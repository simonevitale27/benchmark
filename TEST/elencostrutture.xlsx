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imone\Desktop\EPICODE WINDOWS\ESERCIZI\MODULO 1\TEST\"/>
    </mc:Choice>
  </mc:AlternateContent>
  <xr:revisionPtr revIDLastSave="0" documentId="13_ncr:1_{D52ACEC6-81BD-48CC-B20C-0BCFC293F90E}" xr6:coauthVersionLast="47" xr6:coauthVersionMax="47" xr10:uidLastSave="{00000000-0000-0000-0000-000000000000}"/>
  <bookViews>
    <workbookView xWindow="3060" yWindow="1845" windowWidth="24825" windowHeight="13095" activeTab="2" xr2:uid="{00000000-000D-0000-FFFF-FFFF00000000}"/>
  </bookViews>
  <sheets>
    <sheet name="PIVOT" sheetId="3" r:id="rId1"/>
    <sheet name="Strutture ricettive" sheetId="1" r:id="rId2"/>
    <sheet name="RICERCA" sheetId="2" r:id="rId3"/>
  </sheets>
  <externalReferences>
    <externalReference r:id="rId4"/>
  </externalReferences>
  <definedNames>
    <definedName name="_xlnm._FilterDatabase" localSheetId="1" hidden="1">'Strutture ricettive'!$A$1:$G$6259</definedName>
    <definedName name="Categoria">'Strutture ricettive'!$A$2:$A$1048576</definedName>
    <definedName name="Città">'Strutture ricettive'!$D$2:$D$1048576</definedName>
    <definedName name="Denominazione">'Strutture ricettive'!$B$2:$B$1048576</definedName>
    <definedName name="Indirizzo">'Strutture ricettive'!$C$2:$C$1048576</definedName>
    <definedName name="Indirizzo_di_posta_elettronica">'Strutture ricettive'!$G$2:$G$1048576</definedName>
    <definedName name="Indirizzo_internet">'Strutture ricettive'!$F$2:$F$1048576</definedName>
    <definedName name="Localita">'Strutture ricettive'!$E$2:$E$1048576</definedName>
    <definedName name="Nome_Struttura">'[1]Strutture ricettive'!$B$2:$B$1048576</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jmcF9VIG/CKmb8Pi+fZDefkDmLFw=="/>
    </ext>
  </extLst>
</workbook>
</file>

<file path=xl/calcChain.xml><?xml version="1.0" encoding="utf-8"?>
<calcChain xmlns="http://schemas.openxmlformats.org/spreadsheetml/2006/main">
  <c r="H6259" i="1" l="1"/>
  <c r="H6258" i="1"/>
  <c r="H6257" i="1"/>
  <c r="H6256" i="1"/>
  <c r="H6255" i="1"/>
  <c r="H6254" i="1"/>
  <c r="H6253" i="1"/>
  <c r="H6252" i="1"/>
  <c r="H6251" i="1"/>
  <c r="H6250" i="1"/>
  <c r="H6249" i="1"/>
  <c r="H6248" i="1"/>
  <c r="H6247" i="1"/>
  <c r="H6246" i="1"/>
  <c r="H6245" i="1"/>
  <c r="H6244" i="1"/>
  <c r="H6243" i="1"/>
  <c r="H6242" i="1"/>
  <c r="H6241" i="1"/>
  <c r="H6240" i="1"/>
  <c r="H6239" i="1"/>
  <c r="H6238" i="1"/>
  <c r="H6237" i="1"/>
  <c r="H6236" i="1"/>
  <c r="H6235" i="1"/>
  <c r="H6234" i="1"/>
  <c r="H6233" i="1"/>
  <c r="H6232" i="1"/>
  <c r="H6231" i="1"/>
  <c r="H6230" i="1"/>
  <c r="H6229" i="1"/>
  <c r="H6228" i="1"/>
  <c r="H6227" i="1"/>
  <c r="H6226" i="1"/>
  <c r="H6225" i="1"/>
  <c r="H6224" i="1"/>
  <c r="H6223" i="1"/>
  <c r="H6222" i="1"/>
  <c r="H6221" i="1"/>
  <c r="H6220" i="1"/>
  <c r="H6219" i="1"/>
  <c r="H6218" i="1"/>
  <c r="H6217" i="1"/>
  <c r="H6216" i="1"/>
  <c r="H6215" i="1"/>
  <c r="H6214" i="1"/>
  <c r="H6213" i="1"/>
  <c r="H6212" i="1"/>
  <c r="H6211" i="1"/>
  <c r="H6210" i="1"/>
  <c r="H6209" i="1"/>
  <c r="H6208" i="1"/>
  <c r="H6207" i="1"/>
  <c r="H6206" i="1"/>
  <c r="H6205" i="1"/>
  <c r="H6204" i="1"/>
  <c r="H6203" i="1"/>
  <c r="H6202" i="1"/>
  <c r="H6201" i="1"/>
  <c r="H6200" i="1"/>
  <c r="H6199" i="1"/>
  <c r="H6198" i="1"/>
  <c r="H6197" i="1"/>
  <c r="H6196" i="1"/>
  <c r="H6195" i="1"/>
  <c r="H6194" i="1"/>
  <c r="H6193" i="1"/>
  <c r="H6192" i="1"/>
  <c r="H6191" i="1"/>
  <c r="H6190" i="1"/>
  <c r="H6189" i="1"/>
  <c r="H6188" i="1"/>
  <c r="H6187" i="1"/>
  <c r="H6186" i="1"/>
  <c r="H6185" i="1"/>
  <c r="H6184" i="1"/>
  <c r="H6183" i="1"/>
  <c r="H6182" i="1"/>
  <c r="H6181" i="1"/>
  <c r="H6180" i="1"/>
  <c r="H6179" i="1"/>
  <c r="H6178" i="1"/>
  <c r="H6177" i="1"/>
  <c r="H6176" i="1"/>
  <c r="H6175" i="1"/>
  <c r="H6174" i="1"/>
  <c r="H6173" i="1"/>
  <c r="H6172" i="1"/>
  <c r="H6171" i="1"/>
  <c r="H6170" i="1"/>
  <c r="H6169" i="1"/>
  <c r="H6168" i="1"/>
  <c r="H6167" i="1"/>
  <c r="H6166" i="1"/>
  <c r="H6165" i="1"/>
  <c r="H6164" i="1"/>
  <c r="H6163" i="1"/>
  <c r="H6162" i="1"/>
  <c r="H6161" i="1"/>
  <c r="H6160" i="1"/>
  <c r="H6159" i="1"/>
  <c r="H6158" i="1"/>
  <c r="H6157" i="1"/>
  <c r="H6156" i="1"/>
  <c r="H6155" i="1"/>
  <c r="H6154" i="1"/>
  <c r="H6153" i="1"/>
  <c r="H6152" i="1"/>
  <c r="H6151" i="1"/>
  <c r="H6150" i="1"/>
  <c r="H6149" i="1"/>
  <c r="H6148" i="1"/>
  <c r="H6147" i="1"/>
  <c r="H6146" i="1"/>
  <c r="H6145" i="1"/>
  <c r="H6144" i="1"/>
  <c r="H6143" i="1"/>
  <c r="H6142" i="1"/>
  <c r="H6141" i="1"/>
  <c r="H6140" i="1"/>
  <c r="H6139" i="1"/>
  <c r="H6138" i="1"/>
  <c r="H6137" i="1"/>
  <c r="H6136" i="1"/>
  <c r="H6135" i="1"/>
  <c r="H6134" i="1"/>
  <c r="H6133" i="1"/>
  <c r="H6132" i="1"/>
  <c r="H6131" i="1"/>
  <c r="H6130" i="1"/>
  <c r="H6129" i="1"/>
  <c r="H6128" i="1"/>
  <c r="H6127" i="1"/>
  <c r="H6126" i="1"/>
  <c r="H6125" i="1"/>
  <c r="H6124" i="1"/>
  <c r="H6123" i="1"/>
  <c r="H6122" i="1"/>
  <c r="H6121" i="1"/>
  <c r="H6120" i="1"/>
  <c r="H6119" i="1"/>
  <c r="H6118" i="1"/>
  <c r="H6117" i="1"/>
  <c r="H6116" i="1"/>
  <c r="H6115" i="1"/>
  <c r="H6114" i="1"/>
  <c r="H6113" i="1"/>
  <c r="H6112" i="1"/>
  <c r="H6111" i="1"/>
  <c r="H6110" i="1"/>
  <c r="H6109" i="1"/>
  <c r="H6108" i="1"/>
  <c r="H6107" i="1"/>
  <c r="H6106" i="1"/>
  <c r="H6105" i="1"/>
  <c r="H6104" i="1"/>
  <c r="H6103" i="1"/>
  <c r="H6102" i="1"/>
  <c r="H6101" i="1"/>
  <c r="H6100" i="1"/>
  <c r="H6099" i="1"/>
  <c r="H6098" i="1"/>
  <c r="H6097" i="1"/>
  <c r="H6096" i="1"/>
  <c r="H6095" i="1"/>
  <c r="H6094" i="1"/>
  <c r="H6093" i="1"/>
  <c r="H6092" i="1"/>
  <c r="H6091" i="1"/>
  <c r="H6090" i="1"/>
  <c r="H6089" i="1"/>
  <c r="H6088" i="1"/>
  <c r="H6087" i="1"/>
  <c r="H6086" i="1"/>
  <c r="H6085" i="1"/>
  <c r="H6084" i="1"/>
  <c r="H6083" i="1"/>
  <c r="H6082" i="1"/>
  <c r="H6081" i="1"/>
  <c r="H6080" i="1"/>
  <c r="H6079" i="1"/>
  <c r="H6078" i="1"/>
  <c r="H6077" i="1"/>
  <c r="H6076" i="1"/>
  <c r="H6075" i="1"/>
  <c r="H6074" i="1"/>
  <c r="H6073" i="1"/>
  <c r="H6072" i="1"/>
  <c r="H6071" i="1"/>
  <c r="H6070" i="1"/>
  <c r="H6069" i="1"/>
  <c r="H6068" i="1"/>
  <c r="H6067" i="1"/>
  <c r="H6066" i="1"/>
  <c r="H6065" i="1"/>
  <c r="H6064" i="1"/>
  <c r="H6063" i="1"/>
  <c r="H6062" i="1"/>
  <c r="H6061" i="1"/>
  <c r="H6060" i="1"/>
  <c r="H6059" i="1"/>
  <c r="H6058" i="1"/>
  <c r="H6057" i="1"/>
  <c r="H6056" i="1"/>
  <c r="H6055" i="1"/>
  <c r="H6054" i="1"/>
  <c r="H6053" i="1"/>
  <c r="H6052" i="1"/>
  <c r="H6051" i="1"/>
  <c r="H6050" i="1"/>
  <c r="H6049" i="1"/>
  <c r="H6048" i="1"/>
  <c r="H6047" i="1"/>
  <c r="H6046" i="1"/>
  <c r="H6045" i="1"/>
  <c r="H6044" i="1"/>
  <c r="H6043" i="1"/>
  <c r="H6042" i="1"/>
  <c r="H6041" i="1"/>
  <c r="H6040" i="1"/>
  <c r="H6039" i="1"/>
  <c r="H6038" i="1"/>
  <c r="H6037" i="1"/>
  <c r="H6036" i="1"/>
  <c r="H6035" i="1"/>
  <c r="H6034" i="1"/>
  <c r="H6033" i="1"/>
  <c r="H6032" i="1"/>
  <c r="H6031" i="1"/>
  <c r="H6030" i="1"/>
  <c r="H6029" i="1"/>
  <c r="H6028" i="1"/>
  <c r="H6027" i="1"/>
  <c r="H6026" i="1"/>
  <c r="H6025" i="1"/>
  <c r="H6024" i="1"/>
  <c r="H6023" i="1"/>
  <c r="H6022" i="1"/>
  <c r="H6021" i="1"/>
  <c r="H6020" i="1"/>
  <c r="H6019" i="1"/>
  <c r="H6018" i="1"/>
  <c r="H6017" i="1"/>
  <c r="H6016" i="1"/>
  <c r="H6015" i="1"/>
  <c r="H6014" i="1"/>
  <c r="H6013" i="1"/>
  <c r="H6012" i="1"/>
  <c r="H6011" i="1"/>
  <c r="H6010" i="1"/>
  <c r="H6009" i="1"/>
  <c r="H6008" i="1"/>
  <c r="H6007" i="1"/>
  <c r="H6006" i="1"/>
  <c r="H6005" i="1"/>
  <c r="H6004" i="1"/>
  <c r="H6003" i="1"/>
  <c r="H6002" i="1"/>
  <c r="H6001" i="1"/>
  <c r="H6000" i="1"/>
  <c r="H5999" i="1"/>
  <c r="H5998" i="1"/>
  <c r="H5997" i="1"/>
  <c r="H5996" i="1"/>
  <c r="H5995" i="1"/>
  <c r="H5994" i="1"/>
  <c r="H5993" i="1"/>
  <c r="H5992" i="1"/>
  <c r="H5991" i="1"/>
  <c r="H5990" i="1"/>
  <c r="H5989" i="1"/>
  <c r="H5988" i="1"/>
  <c r="H5987" i="1"/>
  <c r="H5986" i="1"/>
  <c r="H5985" i="1"/>
  <c r="H5984" i="1"/>
  <c r="H5983" i="1"/>
  <c r="H5982" i="1"/>
  <c r="H5981" i="1"/>
  <c r="H5980" i="1"/>
  <c r="H5979" i="1"/>
  <c r="H5978" i="1"/>
  <c r="H5977" i="1"/>
  <c r="H5976" i="1"/>
  <c r="H5975" i="1"/>
  <c r="H5974" i="1"/>
  <c r="H5973" i="1"/>
  <c r="H5972" i="1"/>
  <c r="H5971" i="1"/>
  <c r="H5970" i="1"/>
  <c r="H5969" i="1"/>
  <c r="H5968" i="1"/>
  <c r="H5967" i="1"/>
  <c r="H5966" i="1"/>
  <c r="H5965" i="1"/>
  <c r="H5964" i="1"/>
  <c r="H5963" i="1"/>
  <c r="H5962" i="1"/>
  <c r="H5961" i="1"/>
  <c r="H5960" i="1"/>
  <c r="H5959" i="1"/>
  <c r="H5958" i="1"/>
  <c r="H5957" i="1"/>
  <c r="H5956" i="1"/>
  <c r="H5955" i="1"/>
  <c r="H5954" i="1"/>
  <c r="H5953" i="1"/>
  <c r="H5952" i="1"/>
  <c r="H5951" i="1"/>
  <c r="H5950" i="1"/>
  <c r="H5949" i="1"/>
  <c r="H5948" i="1"/>
  <c r="H5947" i="1"/>
  <c r="H5946" i="1"/>
  <c r="H5945" i="1"/>
  <c r="H5944" i="1"/>
  <c r="H5943" i="1"/>
  <c r="H5942" i="1"/>
  <c r="H5941" i="1"/>
  <c r="H5940" i="1"/>
  <c r="H5939" i="1"/>
  <c r="H5938" i="1"/>
  <c r="H5937" i="1"/>
  <c r="H5936" i="1"/>
  <c r="H5935" i="1"/>
  <c r="H5934" i="1"/>
  <c r="H5933" i="1"/>
  <c r="H5932" i="1"/>
  <c r="H5931" i="1"/>
  <c r="H5930" i="1"/>
  <c r="H5929" i="1"/>
  <c r="H5928" i="1"/>
  <c r="H5927" i="1"/>
  <c r="H5926" i="1"/>
  <c r="H5925" i="1"/>
  <c r="H5924" i="1"/>
  <c r="H5923" i="1"/>
  <c r="H5922" i="1"/>
  <c r="H5921" i="1"/>
  <c r="H5920" i="1"/>
  <c r="H5919" i="1"/>
  <c r="H5918" i="1"/>
  <c r="H5917" i="1"/>
  <c r="H5916" i="1"/>
  <c r="H5915" i="1"/>
  <c r="H5914" i="1"/>
  <c r="H5913" i="1"/>
  <c r="H5912" i="1"/>
  <c r="H5911" i="1"/>
  <c r="H5910" i="1"/>
  <c r="H5909" i="1"/>
  <c r="H5908" i="1"/>
  <c r="H5907" i="1"/>
  <c r="H5906" i="1"/>
  <c r="H5905" i="1"/>
  <c r="H5904" i="1"/>
  <c r="H5903" i="1"/>
  <c r="H5902" i="1"/>
  <c r="H5901" i="1"/>
  <c r="H5900" i="1"/>
  <c r="H5899" i="1"/>
  <c r="H5898" i="1"/>
  <c r="H5897" i="1"/>
  <c r="H5896" i="1"/>
  <c r="H5895" i="1"/>
  <c r="H5894" i="1"/>
  <c r="H5893" i="1"/>
  <c r="H5892" i="1"/>
  <c r="H5891" i="1"/>
  <c r="H5890" i="1"/>
  <c r="H5889" i="1"/>
  <c r="H5888" i="1"/>
  <c r="H5887" i="1"/>
  <c r="H5886" i="1"/>
  <c r="H5885" i="1"/>
  <c r="H5884" i="1"/>
  <c r="H5883" i="1"/>
  <c r="H5882" i="1"/>
  <c r="H5881" i="1"/>
  <c r="H5880" i="1"/>
  <c r="H5879" i="1"/>
  <c r="H5878" i="1"/>
  <c r="H5877" i="1"/>
  <c r="H5876" i="1"/>
  <c r="H5875" i="1"/>
  <c r="H5874" i="1"/>
  <c r="H5873" i="1"/>
  <c r="H5872" i="1"/>
  <c r="H5871" i="1"/>
  <c r="H5870" i="1"/>
  <c r="H5869" i="1"/>
  <c r="H5868" i="1"/>
  <c r="H5867" i="1"/>
  <c r="H5866" i="1"/>
  <c r="H5865" i="1"/>
  <c r="H5864" i="1"/>
  <c r="H5863" i="1"/>
  <c r="H5862" i="1"/>
  <c r="H5861" i="1"/>
  <c r="H5860" i="1"/>
  <c r="H5859" i="1"/>
  <c r="H5858" i="1"/>
  <c r="H5857" i="1"/>
  <c r="H5856" i="1"/>
  <c r="H5855" i="1"/>
  <c r="H5854" i="1"/>
  <c r="H5853" i="1"/>
  <c r="H5852" i="1"/>
  <c r="H5851" i="1"/>
  <c r="H5850" i="1"/>
  <c r="H5849" i="1"/>
  <c r="H5848" i="1"/>
  <c r="H5847" i="1"/>
  <c r="H5846" i="1"/>
  <c r="H5845" i="1"/>
  <c r="H5844" i="1"/>
  <c r="H5843" i="1"/>
  <c r="H5842" i="1"/>
  <c r="H5841" i="1"/>
  <c r="H5840" i="1"/>
  <c r="H5839" i="1"/>
  <c r="H5838" i="1"/>
  <c r="H5837" i="1"/>
  <c r="H5836" i="1"/>
  <c r="H5835" i="1"/>
  <c r="H5834" i="1"/>
  <c r="H5833" i="1"/>
  <c r="H5832" i="1"/>
  <c r="H5831" i="1"/>
  <c r="H5830" i="1"/>
  <c r="H5829" i="1"/>
  <c r="H5828" i="1"/>
  <c r="H5827" i="1"/>
  <c r="H5826" i="1"/>
  <c r="H5825" i="1"/>
  <c r="H5824" i="1"/>
  <c r="H5823" i="1"/>
  <c r="H5822" i="1"/>
  <c r="H5821" i="1"/>
  <c r="H5820" i="1"/>
  <c r="H5819" i="1"/>
  <c r="H5818" i="1"/>
  <c r="H5817" i="1"/>
  <c r="H5816" i="1"/>
  <c r="H5815" i="1"/>
  <c r="H5814" i="1"/>
  <c r="H5813" i="1"/>
  <c r="H5812" i="1"/>
  <c r="H5811" i="1"/>
  <c r="H5810" i="1"/>
  <c r="H5809" i="1"/>
  <c r="H5808" i="1"/>
  <c r="H5807" i="1"/>
  <c r="H5806" i="1"/>
  <c r="H5805" i="1"/>
  <c r="H5804" i="1"/>
  <c r="H5803" i="1"/>
  <c r="H5802" i="1"/>
  <c r="H5801" i="1"/>
  <c r="H5800" i="1"/>
  <c r="H5799" i="1"/>
  <c r="H5798" i="1"/>
  <c r="H5797" i="1"/>
  <c r="H5796" i="1"/>
  <c r="H5795" i="1"/>
  <c r="H5794" i="1"/>
  <c r="H5793" i="1"/>
  <c r="H5792" i="1"/>
  <c r="H5791" i="1"/>
  <c r="H5790" i="1"/>
  <c r="H5789" i="1"/>
  <c r="H5788" i="1"/>
  <c r="H5787" i="1"/>
  <c r="H5786" i="1"/>
  <c r="H5785" i="1"/>
  <c r="H5784" i="1"/>
  <c r="H5783" i="1"/>
  <c r="H5782" i="1"/>
  <c r="H5781" i="1"/>
  <c r="H5780" i="1"/>
  <c r="H5779" i="1"/>
  <c r="H5778" i="1"/>
  <c r="H5777" i="1"/>
  <c r="H5776" i="1"/>
  <c r="H5775" i="1"/>
  <c r="H5774" i="1"/>
  <c r="H5773" i="1"/>
  <c r="H5772" i="1"/>
  <c r="H5771" i="1"/>
  <c r="H5770" i="1"/>
  <c r="H5769" i="1"/>
  <c r="H5768" i="1"/>
  <c r="H5767" i="1"/>
  <c r="H5766" i="1"/>
  <c r="H5765" i="1"/>
  <c r="H5764" i="1"/>
  <c r="H5763" i="1"/>
  <c r="H5762" i="1"/>
  <c r="H5761" i="1"/>
  <c r="H5760" i="1"/>
  <c r="H5759" i="1"/>
  <c r="H5758" i="1"/>
  <c r="H5757" i="1"/>
  <c r="H5756" i="1"/>
  <c r="H5755" i="1"/>
  <c r="H5754" i="1"/>
  <c r="H5753" i="1"/>
  <c r="H5752" i="1"/>
  <c r="H5751" i="1"/>
  <c r="H5750" i="1"/>
  <c r="H5749" i="1"/>
  <c r="H5748" i="1"/>
  <c r="H5747" i="1"/>
  <c r="H5746" i="1"/>
  <c r="H5745" i="1"/>
  <c r="H5744" i="1"/>
  <c r="H5743" i="1"/>
  <c r="H5742" i="1"/>
  <c r="H5741" i="1"/>
  <c r="H5740" i="1"/>
  <c r="H5739" i="1"/>
  <c r="H5738" i="1"/>
  <c r="H5737" i="1"/>
  <c r="H5736" i="1"/>
  <c r="H5735" i="1"/>
  <c r="H5734" i="1"/>
  <c r="H5733" i="1"/>
  <c r="H5732" i="1"/>
  <c r="H5731" i="1"/>
  <c r="H5730" i="1"/>
  <c r="H5729" i="1"/>
  <c r="H5728" i="1"/>
  <c r="H5727" i="1"/>
  <c r="H5726" i="1"/>
  <c r="H5725" i="1"/>
  <c r="H5724" i="1"/>
  <c r="H5723" i="1"/>
  <c r="H5722" i="1"/>
  <c r="H5721" i="1"/>
  <c r="H5720" i="1"/>
  <c r="H5719" i="1"/>
  <c r="H5718" i="1"/>
  <c r="H5717" i="1"/>
  <c r="H5716" i="1"/>
  <c r="H5715" i="1"/>
  <c r="H5714" i="1"/>
  <c r="H5713" i="1"/>
  <c r="H5712" i="1"/>
  <c r="H5711" i="1"/>
  <c r="H5710" i="1"/>
  <c r="H5709" i="1"/>
  <c r="H5708" i="1"/>
  <c r="H5707" i="1"/>
  <c r="H5706" i="1"/>
  <c r="H5705" i="1"/>
  <c r="H5704" i="1"/>
  <c r="H5703" i="1"/>
  <c r="H5702" i="1"/>
  <c r="H5701" i="1"/>
  <c r="H5700" i="1"/>
  <c r="H5699" i="1"/>
  <c r="H5698" i="1"/>
  <c r="H5697" i="1"/>
  <c r="H5696" i="1"/>
  <c r="H5695" i="1"/>
  <c r="H5694" i="1"/>
  <c r="H5693" i="1"/>
  <c r="H5692" i="1"/>
  <c r="H5691" i="1"/>
  <c r="H5690" i="1"/>
  <c r="H5689" i="1"/>
  <c r="H5688" i="1"/>
  <c r="H5687" i="1"/>
  <c r="H5686" i="1"/>
  <c r="H5685" i="1"/>
  <c r="H5684" i="1"/>
  <c r="H5683" i="1"/>
  <c r="H5682" i="1"/>
  <c r="H5681" i="1"/>
  <c r="H5680" i="1"/>
  <c r="H5679" i="1"/>
  <c r="H5678" i="1"/>
  <c r="H5677" i="1"/>
  <c r="H5676" i="1"/>
  <c r="H5675" i="1"/>
  <c r="H5674" i="1"/>
  <c r="H5673" i="1"/>
  <c r="H5672" i="1"/>
  <c r="H5671" i="1"/>
  <c r="H5670" i="1"/>
  <c r="H5669" i="1"/>
  <c r="H5668" i="1"/>
  <c r="H5667" i="1"/>
  <c r="H5666" i="1"/>
  <c r="H5665" i="1"/>
  <c r="H5664" i="1"/>
  <c r="H5663" i="1"/>
  <c r="H5662" i="1"/>
  <c r="H5661" i="1"/>
  <c r="H5660" i="1"/>
  <c r="H5659" i="1"/>
  <c r="H5658" i="1"/>
  <c r="H5657" i="1"/>
  <c r="H5656" i="1"/>
  <c r="H5655" i="1"/>
  <c r="H5654" i="1"/>
  <c r="H5653" i="1"/>
  <c r="H5652" i="1"/>
  <c r="H5651" i="1"/>
  <c r="H5650" i="1"/>
  <c r="H5649" i="1"/>
  <c r="H5648" i="1"/>
  <c r="H5647" i="1"/>
  <c r="H5646" i="1"/>
  <c r="H5645" i="1"/>
  <c r="H5644" i="1"/>
  <c r="H5643" i="1"/>
  <c r="H5642" i="1"/>
  <c r="H5641" i="1"/>
  <c r="H5640" i="1"/>
  <c r="H5639" i="1"/>
  <c r="H5638" i="1"/>
  <c r="H5637" i="1"/>
  <c r="H5636" i="1"/>
  <c r="H5635" i="1"/>
  <c r="H5634" i="1"/>
  <c r="H5633" i="1"/>
  <c r="H5632" i="1"/>
  <c r="H5631" i="1"/>
  <c r="H5630" i="1"/>
  <c r="H5629" i="1"/>
  <c r="H5628" i="1"/>
  <c r="H5627" i="1"/>
  <c r="H5626" i="1"/>
  <c r="H5625" i="1"/>
  <c r="H5624" i="1"/>
  <c r="H5623" i="1"/>
  <c r="H5622" i="1"/>
  <c r="H5621" i="1"/>
  <c r="H5620" i="1"/>
  <c r="H5619" i="1"/>
  <c r="H5618" i="1"/>
  <c r="H5617" i="1"/>
  <c r="H5616" i="1"/>
  <c r="H5615" i="1"/>
  <c r="H5614" i="1"/>
  <c r="H5613" i="1"/>
  <c r="H5612" i="1"/>
  <c r="H5611" i="1"/>
  <c r="H5610" i="1"/>
  <c r="H5609" i="1"/>
  <c r="H5608" i="1"/>
  <c r="H5607" i="1"/>
  <c r="H5606" i="1"/>
  <c r="H5605" i="1"/>
  <c r="H5604" i="1"/>
  <c r="H5603" i="1"/>
  <c r="H5602" i="1"/>
  <c r="H5601" i="1"/>
  <c r="H5600" i="1"/>
  <c r="H5599" i="1"/>
  <c r="H5598" i="1"/>
  <c r="H5597" i="1"/>
  <c r="H5596" i="1"/>
  <c r="H5595" i="1"/>
  <c r="H5594" i="1"/>
  <c r="H5593" i="1"/>
  <c r="H5592" i="1"/>
  <c r="H5591" i="1"/>
  <c r="H5590" i="1"/>
  <c r="H5589" i="1"/>
  <c r="H5588" i="1"/>
  <c r="H5587" i="1"/>
  <c r="H5586" i="1"/>
  <c r="H5585" i="1"/>
  <c r="H5584" i="1"/>
  <c r="H5583" i="1"/>
  <c r="H5582" i="1"/>
  <c r="H5581" i="1"/>
  <c r="H5580" i="1"/>
  <c r="H5579" i="1"/>
  <c r="H5578" i="1"/>
  <c r="H5577" i="1"/>
  <c r="H5576" i="1"/>
  <c r="H5575" i="1"/>
  <c r="H5574" i="1"/>
  <c r="H5573" i="1"/>
  <c r="H5572" i="1"/>
  <c r="H5571" i="1"/>
  <c r="H5570" i="1"/>
  <c r="H5569" i="1"/>
  <c r="H5568" i="1"/>
  <c r="H5567" i="1"/>
  <c r="H5566" i="1"/>
  <c r="H5565" i="1"/>
  <c r="H5564" i="1"/>
  <c r="H5563" i="1"/>
  <c r="H5562" i="1"/>
  <c r="H5561" i="1"/>
  <c r="H5560" i="1"/>
  <c r="H5559" i="1"/>
  <c r="H5558" i="1"/>
  <c r="H5557" i="1"/>
  <c r="H5556" i="1"/>
  <c r="H5555" i="1"/>
  <c r="H5554" i="1"/>
  <c r="H5553" i="1"/>
  <c r="H5552" i="1"/>
  <c r="H5551" i="1"/>
  <c r="H5550" i="1"/>
  <c r="H5549" i="1"/>
  <c r="H5548" i="1"/>
  <c r="H5547" i="1"/>
  <c r="H5546" i="1"/>
  <c r="H5545" i="1"/>
  <c r="H5544" i="1"/>
  <c r="H5543" i="1"/>
  <c r="H5542" i="1"/>
  <c r="H5541" i="1"/>
  <c r="H5540" i="1"/>
  <c r="H5539" i="1"/>
  <c r="H5538" i="1"/>
  <c r="H5537" i="1"/>
  <c r="H5536" i="1"/>
  <c r="H5535" i="1"/>
  <c r="H5534" i="1"/>
  <c r="H5533" i="1"/>
  <c r="H5532" i="1"/>
  <c r="H5531" i="1"/>
  <c r="H5530" i="1"/>
  <c r="H5529" i="1"/>
  <c r="H5528" i="1"/>
  <c r="H5527" i="1"/>
  <c r="H5526" i="1"/>
  <c r="H5525" i="1"/>
  <c r="H5524" i="1"/>
  <c r="H5523" i="1"/>
  <c r="H5522" i="1"/>
  <c r="H5521" i="1"/>
  <c r="H5520" i="1"/>
  <c r="H5519" i="1"/>
  <c r="H5518" i="1"/>
  <c r="H5517" i="1"/>
  <c r="H5516" i="1"/>
  <c r="H5515" i="1"/>
  <c r="H5514" i="1"/>
  <c r="H5513" i="1"/>
  <c r="H5512" i="1"/>
  <c r="H5511" i="1"/>
  <c r="H5510" i="1"/>
  <c r="H5509" i="1"/>
  <c r="H5508" i="1"/>
  <c r="H5507" i="1"/>
  <c r="H5506" i="1"/>
  <c r="H5505" i="1"/>
  <c r="H5504" i="1"/>
  <c r="H5503" i="1"/>
  <c r="H5502" i="1"/>
  <c r="H5501" i="1"/>
  <c r="H5500" i="1"/>
  <c r="H5499" i="1"/>
  <c r="H5498" i="1"/>
  <c r="H5497" i="1"/>
  <c r="H5496" i="1"/>
  <c r="H5495" i="1"/>
  <c r="H5494" i="1"/>
  <c r="H5493" i="1"/>
  <c r="H5492" i="1"/>
  <c r="H5491" i="1"/>
  <c r="H5490" i="1"/>
  <c r="H5489" i="1"/>
  <c r="H5488" i="1"/>
  <c r="H5487" i="1"/>
  <c r="H5486" i="1"/>
  <c r="H5485" i="1"/>
  <c r="H5484" i="1"/>
  <c r="H5483" i="1"/>
  <c r="H5482" i="1"/>
  <c r="H5481" i="1"/>
  <c r="H5480" i="1"/>
  <c r="H5479" i="1"/>
  <c r="H5478" i="1"/>
  <c r="H5477" i="1"/>
  <c r="H5476" i="1"/>
  <c r="H5475" i="1"/>
  <c r="H5474" i="1"/>
  <c r="H5473" i="1"/>
  <c r="H5472" i="1"/>
  <c r="H5471" i="1"/>
  <c r="H5470" i="1"/>
  <c r="H5469" i="1"/>
  <c r="H5468" i="1"/>
  <c r="H5467" i="1"/>
  <c r="H5466" i="1"/>
  <c r="H5465" i="1"/>
  <c r="H5464" i="1"/>
  <c r="H5463" i="1"/>
  <c r="H5462" i="1"/>
  <c r="H5461" i="1"/>
  <c r="H5460" i="1"/>
  <c r="H5459" i="1"/>
  <c r="H5458" i="1"/>
  <c r="H5457" i="1"/>
  <c r="H5456" i="1"/>
  <c r="H5455" i="1"/>
  <c r="H5454" i="1"/>
  <c r="H5453" i="1"/>
  <c r="H5452" i="1"/>
  <c r="H5451" i="1"/>
  <c r="H5450" i="1"/>
  <c r="H5449" i="1"/>
  <c r="H5448" i="1"/>
  <c r="H5447" i="1"/>
  <c r="H5446" i="1"/>
  <c r="H5445" i="1"/>
  <c r="H5444" i="1"/>
  <c r="H5443" i="1"/>
  <c r="H5442" i="1"/>
  <c r="H5441" i="1"/>
  <c r="H5440" i="1"/>
  <c r="H5439" i="1"/>
  <c r="H5438" i="1"/>
  <c r="H5437" i="1"/>
  <c r="H5436" i="1"/>
  <c r="H5435" i="1"/>
  <c r="H5434" i="1"/>
  <c r="H5433" i="1"/>
  <c r="H5432" i="1"/>
  <c r="H5431" i="1"/>
  <c r="H5430" i="1"/>
  <c r="H5429" i="1"/>
  <c r="H5428" i="1"/>
  <c r="H5427" i="1"/>
  <c r="H5426" i="1"/>
  <c r="H5425" i="1"/>
  <c r="H5424" i="1"/>
  <c r="H5423" i="1"/>
  <c r="H5422" i="1"/>
  <c r="H5421" i="1"/>
  <c r="H5420" i="1"/>
  <c r="H5419" i="1"/>
  <c r="H5418" i="1"/>
  <c r="H5417" i="1"/>
  <c r="H5416" i="1"/>
  <c r="H5415" i="1"/>
  <c r="H5414" i="1"/>
  <c r="H5413" i="1"/>
  <c r="H5412" i="1"/>
  <c r="H5411" i="1"/>
  <c r="H5410" i="1"/>
  <c r="H5409" i="1"/>
  <c r="H5408" i="1"/>
  <c r="H5407" i="1"/>
  <c r="H5406" i="1"/>
  <c r="H5405" i="1"/>
  <c r="H5404" i="1"/>
  <c r="H5403" i="1"/>
  <c r="H5402" i="1"/>
  <c r="H5401" i="1"/>
  <c r="H5400" i="1"/>
  <c r="H5399" i="1"/>
  <c r="H5398" i="1"/>
  <c r="H5397" i="1"/>
  <c r="H5396" i="1"/>
  <c r="H5395" i="1"/>
  <c r="H5394" i="1"/>
  <c r="H5393" i="1"/>
  <c r="H5392" i="1"/>
  <c r="H5391" i="1"/>
  <c r="H5390" i="1"/>
  <c r="H5389" i="1"/>
  <c r="H5388" i="1"/>
  <c r="H5387" i="1"/>
  <c r="H5386" i="1"/>
  <c r="H5385" i="1"/>
  <c r="H5384" i="1"/>
  <c r="H5383" i="1"/>
  <c r="H5382" i="1"/>
  <c r="H5381" i="1"/>
  <c r="H5380" i="1"/>
  <c r="H5379" i="1"/>
  <c r="H5378" i="1"/>
  <c r="H5377" i="1"/>
  <c r="H5376" i="1"/>
  <c r="H5375" i="1"/>
  <c r="H5374" i="1"/>
  <c r="H5373" i="1"/>
  <c r="H5372" i="1"/>
  <c r="H5371" i="1"/>
  <c r="H5370" i="1"/>
  <c r="H5369" i="1"/>
  <c r="H5368" i="1"/>
  <c r="H5367" i="1"/>
  <c r="H5366" i="1"/>
  <c r="H5365" i="1"/>
  <c r="H5364" i="1"/>
  <c r="H5363" i="1"/>
  <c r="H5362" i="1"/>
  <c r="H5361" i="1"/>
  <c r="H5360" i="1"/>
  <c r="H5359" i="1"/>
  <c r="H5358" i="1"/>
  <c r="H5357" i="1"/>
  <c r="H5356" i="1"/>
  <c r="H5355" i="1"/>
  <c r="H5354" i="1"/>
  <c r="H5353" i="1"/>
  <c r="H5352" i="1"/>
  <c r="H5351" i="1"/>
  <c r="H5350" i="1"/>
  <c r="H5349" i="1"/>
  <c r="H5348" i="1"/>
  <c r="H5347" i="1"/>
  <c r="H5346" i="1"/>
  <c r="H5345" i="1"/>
  <c r="H5344" i="1"/>
  <c r="H5343" i="1"/>
  <c r="H5342" i="1"/>
  <c r="H5341" i="1"/>
  <c r="H5340" i="1"/>
  <c r="H5339" i="1"/>
  <c r="H5338" i="1"/>
  <c r="H5337" i="1"/>
  <c r="H5336" i="1"/>
  <c r="H5335" i="1"/>
  <c r="H5334" i="1"/>
  <c r="H5333" i="1"/>
  <c r="H5332" i="1"/>
  <c r="H5331" i="1"/>
  <c r="H5330" i="1"/>
  <c r="H5329" i="1"/>
  <c r="H5328" i="1"/>
  <c r="H5327" i="1"/>
  <c r="H5326" i="1"/>
  <c r="H5325" i="1"/>
  <c r="H5324" i="1"/>
  <c r="H5323" i="1"/>
  <c r="H5322" i="1"/>
  <c r="H5321" i="1"/>
  <c r="H5320" i="1"/>
  <c r="H5319" i="1"/>
  <c r="H5318" i="1"/>
  <c r="H5317" i="1"/>
  <c r="H5316" i="1"/>
  <c r="H5315" i="1"/>
  <c r="H5314" i="1"/>
  <c r="H5313" i="1"/>
  <c r="H5312" i="1"/>
  <c r="H5311" i="1"/>
  <c r="H5310" i="1"/>
  <c r="H5309" i="1"/>
  <c r="H5308" i="1"/>
  <c r="H5307" i="1"/>
  <c r="H5306" i="1"/>
  <c r="H5305" i="1"/>
  <c r="H5304" i="1"/>
  <c r="H5303" i="1"/>
  <c r="H5302" i="1"/>
  <c r="H5301" i="1"/>
  <c r="H5300" i="1"/>
  <c r="H5299" i="1"/>
  <c r="H5298" i="1"/>
  <c r="H5297" i="1"/>
  <c r="H5296" i="1"/>
  <c r="H5295" i="1"/>
  <c r="H5294" i="1"/>
  <c r="H5293" i="1"/>
  <c r="H5292" i="1"/>
  <c r="H5291" i="1"/>
  <c r="H5290" i="1"/>
  <c r="H5289" i="1"/>
  <c r="H5288" i="1"/>
  <c r="H5287" i="1"/>
  <c r="H5286" i="1"/>
  <c r="H5285" i="1"/>
  <c r="H5284" i="1"/>
  <c r="H5283" i="1"/>
  <c r="H5282" i="1"/>
  <c r="H5281" i="1"/>
  <c r="H5280" i="1"/>
  <c r="H5279" i="1"/>
  <c r="H5278" i="1"/>
  <c r="H5277" i="1"/>
  <c r="H5276" i="1"/>
  <c r="H5275" i="1"/>
  <c r="H5274" i="1"/>
  <c r="H5273" i="1"/>
  <c r="H5272" i="1"/>
  <c r="H5271" i="1"/>
  <c r="H5270" i="1"/>
  <c r="H5269" i="1"/>
  <c r="H5268" i="1"/>
  <c r="H5267" i="1"/>
  <c r="H5266" i="1"/>
  <c r="H5265" i="1"/>
  <c r="H5264" i="1"/>
  <c r="H5263" i="1"/>
  <c r="H5262" i="1"/>
  <c r="H5261" i="1"/>
  <c r="H5260" i="1"/>
  <c r="H5259" i="1"/>
  <c r="H5258" i="1"/>
  <c r="H5257" i="1"/>
  <c r="H5256" i="1"/>
  <c r="H5255" i="1"/>
  <c r="H5254" i="1"/>
  <c r="H5253" i="1"/>
  <c r="H5252" i="1"/>
  <c r="H5251" i="1"/>
  <c r="H5250" i="1"/>
  <c r="H5249" i="1"/>
  <c r="H5248" i="1"/>
  <c r="H5247" i="1"/>
  <c r="H5246" i="1"/>
  <c r="H5245" i="1"/>
  <c r="H5244" i="1"/>
  <c r="H5243" i="1"/>
  <c r="H5242" i="1"/>
  <c r="H5241" i="1"/>
  <c r="H5240" i="1"/>
  <c r="H5239" i="1"/>
  <c r="H5238" i="1"/>
  <c r="H5237" i="1"/>
  <c r="H5236" i="1"/>
  <c r="H5235" i="1"/>
  <c r="H5234" i="1"/>
  <c r="H5233" i="1"/>
  <c r="H5232" i="1"/>
  <c r="H5231" i="1"/>
  <c r="H5230" i="1"/>
  <c r="H5229" i="1"/>
  <c r="H5228" i="1"/>
  <c r="H5227" i="1"/>
  <c r="H5226" i="1"/>
  <c r="H5225" i="1"/>
  <c r="H5224" i="1"/>
  <c r="H5223" i="1"/>
  <c r="H5222" i="1"/>
  <c r="H5221" i="1"/>
  <c r="H5220" i="1"/>
  <c r="H5219" i="1"/>
  <c r="H5218" i="1"/>
  <c r="H5217" i="1"/>
  <c r="H5216" i="1"/>
  <c r="H5215" i="1"/>
  <c r="H5214" i="1"/>
  <c r="H5213" i="1"/>
  <c r="H5212" i="1"/>
  <c r="H5211" i="1"/>
  <c r="H5210" i="1"/>
  <c r="H5209" i="1"/>
  <c r="H5208" i="1"/>
  <c r="H5207" i="1"/>
  <c r="H5206" i="1"/>
  <c r="H5205" i="1"/>
  <c r="H5204" i="1"/>
  <c r="H5203" i="1"/>
  <c r="H5202" i="1"/>
  <c r="H5201" i="1"/>
  <c r="H5200" i="1"/>
  <c r="H5199" i="1"/>
  <c r="H5198" i="1"/>
  <c r="H5197" i="1"/>
  <c r="H5196" i="1"/>
  <c r="H5195" i="1"/>
  <c r="H5194" i="1"/>
  <c r="H5193" i="1"/>
  <c r="H5192" i="1"/>
  <c r="H5191" i="1"/>
  <c r="H5190" i="1"/>
  <c r="H5189" i="1"/>
  <c r="H5188" i="1"/>
  <c r="H5187" i="1"/>
  <c r="H5186" i="1"/>
  <c r="H5185" i="1"/>
  <c r="H5184" i="1"/>
  <c r="H5183" i="1"/>
  <c r="H5182" i="1"/>
  <c r="H5181" i="1"/>
  <c r="H5180" i="1"/>
  <c r="H5179" i="1"/>
  <c r="H5178" i="1"/>
  <c r="H5177" i="1"/>
  <c r="H5176" i="1"/>
  <c r="H5175" i="1"/>
  <c r="H5174" i="1"/>
  <c r="H5173" i="1"/>
  <c r="H5172" i="1"/>
  <c r="H5171" i="1"/>
  <c r="H5170" i="1"/>
  <c r="H5169" i="1"/>
  <c r="H5168" i="1"/>
  <c r="H5167" i="1"/>
  <c r="H5166" i="1"/>
  <c r="H5165" i="1"/>
  <c r="H5164" i="1"/>
  <c r="H5163" i="1"/>
  <c r="H5162" i="1"/>
  <c r="H5161" i="1"/>
  <c r="H5160" i="1"/>
  <c r="H5159" i="1"/>
  <c r="H5158" i="1"/>
  <c r="H5157" i="1"/>
  <c r="H5156" i="1"/>
  <c r="H5155" i="1"/>
  <c r="H5154" i="1"/>
  <c r="H5153" i="1"/>
  <c r="H5152" i="1"/>
  <c r="H5151" i="1"/>
  <c r="H5150" i="1"/>
  <c r="H5149" i="1"/>
  <c r="H5148" i="1"/>
  <c r="H5147" i="1"/>
  <c r="H5146" i="1"/>
  <c r="H5145" i="1"/>
  <c r="H5144" i="1"/>
  <c r="H5143" i="1"/>
  <c r="H5142" i="1"/>
  <c r="H5141" i="1"/>
  <c r="H5140" i="1"/>
  <c r="H5139" i="1"/>
  <c r="H5138" i="1"/>
  <c r="H5137" i="1"/>
  <c r="H5136" i="1"/>
  <c r="H5135" i="1"/>
  <c r="H5134" i="1"/>
  <c r="H5133" i="1"/>
  <c r="H5132" i="1"/>
  <c r="H5131" i="1"/>
  <c r="H5130" i="1"/>
  <c r="H5129" i="1"/>
  <c r="H5128" i="1"/>
  <c r="H5127" i="1"/>
  <c r="H5126" i="1"/>
  <c r="H5125" i="1"/>
  <c r="H5124" i="1"/>
  <c r="H5123" i="1"/>
  <c r="H5122" i="1"/>
  <c r="H5121" i="1"/>
  <c r="H5120" i="1"/>
  <c r="H5119" i="1"/>
  <c r="H5118" i="1"/>
  <c r="H5117" i="1"/>
  <c r="H5116" i="1"/>
  <c r="H5115" i="1"/>
  <c r="H5114" i="1"/>
  <c r="H5113" i="1"/>
  <c r="H5112" i="1"/>
  <c r="H5111" i="1"/>
  <c r="H5110" i="1"/>
  <c r="H5109" i="1"/>
  <c r="H5108" i="1"/>
  <c r="H5107" i="1"/>
  <c r="H5106" i="1"/>
  <c r="H5105" i="1"/>
  <c r="H5104" i="1"/>
  <c r="H5103" i="1"/>
  <c r="H5102" i="1"/>
  <c r="H5101" i="1"/>
  <c r="H5100" i="1"/>
  <c r="H5099" i="1"/>
  <c r="H5098" i="1"/>
  <c r="H5097" i="1"/>
  <c r="H5096" i="1"/>
  <c r="H5095" i="1"/>
  <c r="H5094" i="1"/>
  <c r="H5093" i="1"/>
  <c r="H5092" i="1"/>
  <c r="H5091" i="1"/>
  <c r="H5090" i="1"/>
  <c r="H5089" i="1"/>
  <c r="H5088" i="1"/>
  <c r="H5087" i="1"/>
  <c r="H5086" i="1"/>
  <c r="H5085" i="1"/>
  <c r="H5084" i="1"/>
  <c r="H5083" i="1"/>
  <c r="H5082" i="1"/>
  <c r="H5081" i="1"/>
  <c r="H5080" i="1"/>
  <c r="H5079" i="1"/>
  <c r="H5078" i="1"/>
  <c r="H5077" i="1"/>
  <c r="H5076" i="1"/>
  <c r="H5075" i="1"/>
  <c r="H5074" i="1"/>
  <c r="H5073" i="1"/>
  <c r="H5072" i="1"/>
  <c r="H5071" i="1"/>
  <c r="H5070" i="1"/>
  <c r="H5069" i="1"/>
  <c r="H5068" i="1"/>
  <c r="H5067" i="1"/>
  <c r="H5066" i="1"/>
  <c r="H5065" i="1"/>
  <c r="H5064" i="1"/>
  <c r="H5063" i="1"/>
  <c r="H5062" i="1"/>
  <c r="H5061" i="1"/>
  <c r="H5060" i="1"/>
  <c r="H5059" i="1"/>
  <c r="H5058" i="1"/>
  <c r="H5057" i="1"/>
  <c r="H5056" i="1"/>
  <c r="H5055" i="1"/>
  <c r="H5054" i="1"/>
  <c r="H5053" i="1"/>
  <c r="H5052" i="1"/>
  <c r="H5051" i="1"/>
  <c r="H5050" i="1"/>
  <c r="H5049" i="1"/>
  <c r="H5048" i="1"/>
  <c r="H5047" i="1"/>
  <c r="H5046" i="1"/>
  <c r="H5045" i="1"/>
  <c r="H5044" i="1"/>
  <c r="H5043" i="1"/>
  <c r="H5042" i="1"/>
  <c r="H5041" i="1"/>
  <c r="H5040" i="1"/>
  <c r="H5039" i="1"/>
  <c r="H5038" i="1"/>
  <c r="H5037" i="1"/>
  <c r="H5036" i="1"/>
  <c r="H5035" i="1"/>
  <c r="H5034" i="1"/>
  <c r="H5033" i="1"/>
  <c r="H5032" i="1"/>
  <c r="H5031" i="1"/>
  <c r="H5030" i="1"/>
  <c r="H5029" i="1"/>
  <c r="H5028" i="1"/>
  <c r="H5027" i="1"/>
  <c r="H5026" i="1"/>
  <c r="H5025" i="1"/>
  <c r="H5024" i="1"/>
  <c r="H5023" i="1"/>
  <c r="H5022" i="1"/>
  <c r="H5021" i="1"/>
  <c r="H5020" i="1"/>
  <c r="H5019" i="1"/>
  <c r="H5018" i="1"/>
  <c r="H5017" i="1"/>
  <c r="H5016" i="1"/>
  <c r="H5015" i="1"/>
  <c r="H5014" i="1"/>
  <c r="H5013" i="1"/>
  <c r="H5012" i="1"/>
  <c r="H5011" i="1"/>
  <c r="H5010" i="1"/>
  <c r="H5009" i="1"/>
  <c r="H5008" i="1"/>
  <c r="H5007" i="1"/>
  <c r="H5006" i="1"/>
  <c r="H5005" i="1"/>
  <c r="H5004" i="1"/>
  <c r="H5003" i="1"/>
  <c r="H5002" i="1"/>
  <c r="H5001" i="1"/>
  <c r="H5000" i="1"/>
  <c r="H4999" i="1"/>
  <c r="H4998" i="1"/>
  <c r="H4997" i="1"/>
  <c r="H4996" i="1"/>
  <c r="H4995" i="1"/>
  <c r="H4994" i="1"/>
  <c r="H4993" i="1"/>
  <c r="H4992" i="1"/>
  <c r="H4991" i="1"/>
  <c r="H4990" i="1"/>
  <c r="H4989" i="1"/>
  <c r="H4988" i="1"/>
  <c r="H4987" i="1"/>
  <c r="H4986" i="1"/>
  <c r="H4985" i="1"/>
  <c r="H4984" i="1"/>
  <c r="H4983" i="1"/>
  <c r="H4982"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50" i="1"/>
  <c r="H4949"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7" i="1"/>
  <c r="H4916"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4" i="1"/>
  <c r="H4883" i="1"/>
  <c r="H4882" i="1"/>
  <c r="H4881" i="1"/>
  <c r="H4880" i="1"/>
  <c r="H4879" i="1"/>
  <c r="H4878" i="1"/>
  <c r="H4877" i="1"/>
  <c r="H4876" i="1"/>
  <c r="H4875" i="1"/>
  <c r="H4874" i="1"/>
  <c r="H4873" i="1"/>
  <c r="H4872" i="1"/>
  <c r="H4871" i="1"/>
  <c r="H4870" i="1"/>
  <c r="H4869" i="1"/>
  <c r="H4868" i="1"/>
  <c r="H4867" i="1"/>
  <c r="H4866" i="1"/>
  <c r="H4865" i="1"/>
  <c r="H4864" i="1"/>
  <c r="H4863" i="1"/>
  <c r="H4862" i="1"/>
  <c r="H4861" i="1"/>
  <c r="H4860" i="1"/>
  <c r="H4859" i="1"/>
  <c r="H4858" i="1"/>
  <c r="H4857" i="1"/>
  <c r="H4856" i="1"/>
  <c r="H4855" i="1"/>
  <c r="H4854" i="1"/>
  <c r="H4853" i="1"/>
  <c r="H4852" i="1"/>
  <c r="H4851" i="1"/>
  <c r="H4850" i="1"/>
  <c r="H4849" i="1"/>
  <c r="H4848" i="1"/>
  <c r="H4847" i="1"/>
  <c r="H4846" i="1"/>
  <c r="H4845" i="1"/>
  <c r="H4844" i="1"/>
  <c r="H4843" i="1"/>
  <c r="H4842" i="1"/>
  <c r="H4841" i="1"/>
  <c r="H4840" i="1"/>
  <c r="H4839" i="1"/>
  <c r="H4838" i="1"/>
  <c r="H4837" i="1"/>
  <c r="H4836" i="1"/>
  <c r="H4835" i="1"/>
  <c r="H4834" i="1"/>
  <c r="H4833" i="1"/>
  <c r="H4832" i="1"/>
  <c r="H4831" i="1"/>
  <c r="H4830" i="1"/>
  <c r="H4829" i="1"/>
  <c r="H4828" i="1"/>
  <c r="H4827" i="1"/>
  <c r="H4826" i="1"/>
  <c r="H4825" i="1"/>
  <c r="H4824" i="1"/>
  <c r="H4823" i="1"/>
  <c r="H4822" i="1"/>
  <c r="H4821" i="1"/>
  <c r="H4820" i="1"/>
  <c r="H4819" i="1"/>
  <c r="H4818" i="1"/>
  <c r="H4817" i="1"/>
  <c r="H4816" i="1"/>
  <c r="H4815" i="1"/>
  <c r="H4814" i="1"/>
  <c r="H4813" i="1"/>
  <c r="H4812" i="1"/>
  <c r="H4811" i="1"/>
  <c r="H4810" i="1"/>
  <c r="H4809" i="1"/>
  <c r="H4808" i="1"/>
  <c r="H4807" i="1"/>
  <c r="H4806" i="1"/>
  <c r="H4805" i="1"/>
  <c r="H4804" i="1"/>
  <c r="H4803" i="1"/>
  <c r="H4802" i="1"/>
  <c r="H4801" i="1"/>
  <c r="H4800" i="1"/>
  <c r="H4799" i="1"/>
  <c r="H4798" i="1"/>
  <c r="H4797" i="1"/>
  <c r="H4796" i="1"/>
  <c r="H4795" i="1"/>
  <c r="H4794" i="1"/>
  <c r="H4793" i="1"/>
  <c r="H4792" i="1"/>
  <c r="H4791" i="1"/>
  <c r="H4790" i="1"/>
  <c r="H4789" i="1"/>
  <c r="H4788" i="1"/>
  <c r="H4787" i="1"/>
  <c r="H4786" i="1"/>
  <c r="H4785" i="1"/>
  <c r="H4784" i="1"/>
  <c r="H4783" i="1"/>
  <c r="H4782" i="1"/>
  <c r="H4781" i="1"/>
  <c r="H4780" i="1"/>
  <c r="H4779" i="1"/>
  <c r="H4778" i="1"/>
  <c r="H4777" i="1"/>
  <c r="H4776" i="1"/>
  <c r="H4775" i="1"/>
  <c r="H4774" i="1"/>
  <c r="H4773" i="1"/>
  <c r="H4772" i="1"/>
  <c r="H4771" i="1"/>
  <c r="H4770" i="1"/>
  <c r="H4769" i="1"/>
  <c r="H4768" i="1"/>
  <c r="H4767" i="1"/>
  <c r="H4766" i="1"/>
  <c r="H4765" i="1"/>
  <c r="H4764" i="1"/>
  <c r="H4763" i="1"/>
  <c r="H4762" i="1"/>
  <c r="H4761" i="1"/>
  <c r="H4760" i="1"/>
  <c r="H4759" i="1"/>
  <c r="H4758" i="1"/>
  <c r="H4757" i="1"/>
  <c r="H4756" i="1"/>
  <c r="H4755" i="1"/>
  <c r="H4754" i="1"/>
  <c r="H4753" i="1"/>
  <c r="H4752" i="1"/>
  <c r="H4751" i="1"/>
  <c r="H4750" i="1"/>
  <c r="H4749" i="1"/>
  <c r="H4748" i="1"/>
  <c r="H4747" i="1"/>
  <c r="H4746" i="1"/>
  <c r="H4745" i="1"/>
  <c r="H4744" i="1"/>
  <c r="H4743" i="1"/>
  <c r="H4742" i="1"/>
  <c r="H4741" i="1"/>
  <c r="H4740" i="1"/>
  <c r="H4739" i="1"/>
  <c r="H4738" i="1"/>
  <c r="H4737" i="1"/>
  <c r="H4736" i="1"/>
  <c r="H4735" i="1"/>
  <c r="H4734" i="1"/>
  <c r="H4733" i="1"/>
  <c r="H4732" i="1"/>
  <c r="H4731" i="1"/>
  <c r="H4730" i="1"/>
  <c r="H4729" i="1"/>
  <c r="H4728" i="1"/>
  <c r="H4727" i="1"/>
  <c r="H4726" i="1"/>
  <c r="H4725" i="1"/>
  <c r="H4724" i="1"/>
  <c r="H4723" i="1"/>
  <c r="H4722" i="1"/>
  <c r="H4721" i="1"/>
  <c r="H4720" i="1"/>
  <c r="H4719" i="1"/>
  <c r="H4718" i="1"/>
  <c r="H4717" i="1"/>
  <c r="H4716" i="1"/>
  <c r="H4715" i="1"/>
  <c r="H4714" i="1"/>
  <c r="H4713" i="1"/>
  <c r="H4712" i="1"/>
  <c r="H4711" i="1"/>
  <c r="H4710" i="1"/>
  <c r="H4709" i="1"/>
  <c r="H4708" i="1"/>
  <c r="H4707" i="1"/>
  <c r="H4706" i="1"/>
  <c r="H4705" i="1"/>
  <c r="H4704" i="1"/>
  <c r="H4703" i="1"/>
  <c r="H4702" i="1"/>
  <c r="H4701" i="1"/>
  <c r="H4700" i="1"/>
  <c r="H4699" i="1"/>
  <c r="H4698" i="1"/>
  <c r="H4697" i="1"/>
  <c r="H4696" i="1"/>
  <c r="H4695" i="1"/>
  <c r="H4694" i="1"/>
  <c r="H4693" i="1"/>
  <c r="H4692" i="1"/>
  <c r="H4691" i="1"/>
  <c r="H4690" i="1"/>
  <c r="H4689" i="1"/>
  <c r="H4688" i="1"/>
  <c r="H4687" i="1"/>
  <c r="H4686" i="1"/>
  <c r="H4685" i="1"/>
  <c r="H4684" i="1"/>
  <c r="H4683" i="1"/>
  <c r="H4682" i="1"/>
  <c r="H4681" i="1"/>
  <c r="H4680" i="1"/>
  <c r="H4679" i="1"/>
  <c r="H4678" i="1"/>
  <c r="H4677" i="1"/>
  <c r="H4676" i="1"/>
  <c r="H4675" i="1"/>
  <c r="H4674" i="1"/>
  <c r="H4673" i="1"/>
  <c r="H4672" i="1"/>
  <c r="H4671" i="1"/>
  <c r="H4670" i="1"/>
  <c r="H4669" i="1"/>
  <c r="H4668" i="1"/>
  <c r="H4667" i="1"/>
  <c r="H4666" i="1"/>
  <c r="H4665" i="1"/>
  <c r="H4664" i="1"/>
  <c r="H4663" i="1"/>
  <c r="H4662" i="1"/>
  <c r="H4661" i="1"/>
  <c r="H4660" i="1"/>
  <c r="H4659" i="1"/>
  <c r="H4658" i="1"/>
  <c r="H4657" i="1"/>
  <c r="H4656" i="1"/>
  <c r="H4655" i="1"/>
  <c r="H4654" i="1"/>
  <c r="H4653" i="1"/>
  <c r="H4652" i="1"/>
  <c r="H4651" i="1"/>
  <c r="H4650" i="1"/>
  <c r="H4649" i="1"/>
  <c r="H4648" i="1"/>
  <c r="H4647" i="1"/>
  <c r="H4646" i="1"/>
  <c r="H4645" i="1"/>
  <c r="H4644" i="1"/>
  <c r="H4643" i="1"/>
  <c r="H4642" i="1"/>
  <c r="H4641" i="1"/>
  <c r="H4640" i="1"/>
  <c r="H4639" i="1"/>
  <c r="H4638" i="1"/>
  <c r="H4637" i="1"/>
  <c r="H4636" i="1"/>
  <c r="H4635" i="1"/>
  <c r="H4634" i="1"/>
  <c r="H4633" i="1"/>
  <c r="H4632" i="1"/>
  <c r="H4631" i="1"/>
  <c r="H4630" i="1"/>
  <c r="H4629" i="1"/>
  <c r="H4628" i="1"/>
  <c r="H4627" i="1"/>
  <c r="H4626" i="1"/>
  <c r="H4625" i="1"/>
  <c r="H4624" i="1"/>
  <c r="H4623" i="1"/>
  <c r="H4622" i="1"/>
  <c r="H4621" i="1"/>
  <c r="H4620" i="1"/>
  <c r="H4619" i="1"/>
  <c r="H4618" i="1"/>
  <c r="H4617" i="1"/>
  <c r="H4616" i="1"/>
  <c r="H4615" i="1"/>
  <c r="H4614"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3" i="1"/>
  <c r="H4582"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7" i="1"/>
  <c r="H4546"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11" i="1"/>
  <c r="H4510"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6"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9"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2" i="1"/>
  <c r="H4391" i="1"/>
  <c r="H4390" i="1"/>
  <c r="H4389" i="1"/>
  <c r="H4388" i="1"/>
  <c r="H4387" i="1"/>
  <c r="H4386" i="1"/>
  <c r="H4385" i="1"/>
  <c r="H4384" i="1"/>
  <c r="H4383" i="1"/>
  <c r="H4382" i="1"/>
  <c r="H4381" i="1"/>
  <c r="H4380" i="1"/>
  <c r="H4379" i="1"/>
  <c r="H4378" i="1"/>
  <c r="H4377" i="1"/>
  <c r="H4376" i="1"/>
  <c r="H4375" i="1"/>
  <c r="H4374" i="1"/>
  <c r="H4373" i="1"/>
  <c r="H4372" i="1"/>
  <c r="H4371" i="1"/>
  <c r="H4370" i="1"/>
  <c r="H4369"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4" i="1"/>
  <c r="H4333" i="1"/>
  <c r="H4332" i="1"/>
  <c r="H4331" i="1"/>
  <c r="H4330" i="1"/>
  <c r="H4329" i="1"/>
  <c r="H4328" i="1"/>
  <c r="H4327" i="1"/>
  <c r="H4326" i="1"/>
  <c r="H4325" i="1"/>
  <c r="H4324" i="1"/>
  <c r="H4323" i="1"/>
  <c r="H4322" i="1"/>
  <c r="H4321" i="1"/>
  <c r="H4320" i="1"/>
  <c r="H4319" i="1"/>
  <c r="H4318"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3" i="1"/>
  <c r="H4282" i="1"/>
  <c r="H4281" i="1"/>
  <c r="H4280" i="1"/>
  <c r="H4279" i="1"/>
  <c r="H4278" i="1"/>
  <c r="H4277" i="1"/>
  <c r="H4276" i="1"/>
  <c r="H4275" i="1"/>
  <c r="H4274" i="1"/>
  <c r="H4273" i="1"/>
  <c r="H4272" i="1"/>
  <c r="H4271" i="1"/>
  <c r="H4270" i="1"/>
  <c r="H4269" i="1"/>
  <c r="H4268" i="1"/>
  <c r="H4267"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2" i="1"/>
  <c r="H4231" i="1"/>
  <c r="H4230" i="1"/>
  <c r="H4229" i="1"/>
  <c r="H4228" i="1"/>
  <c r="H4227" i="1"/>
  <c r="H4226" i="1"/>
  <c r="H4225" i="1"/>
  <c r="H4224" i="1"/>
  <c r="H4223" i="1"/>
  <c r="H4222" i="1"/>
  <c r="H4221" i="1"/>
  <c r="H4220" i="1"/>
  <c r="H4219" i="1"/>
  <c r="H4218" i="1"/>
  <c r="H4217" i="1"/>
  <c r="H4216" i="1"/>
  <c r="H4215" i="1"/>
  <c r="H4214" i="1"/>
  <c r="H4213" i="1"/>
  <c r="H4212" i="1"/>
  <c r="H4211" i="1"/>
  <c r="H4210" i="1"/>
  <c r="H4209" i="1"/>
  <c r="H4208" i="1"/>
  <c r="H4207" i="1"/>
  <c r="H4206" i="1"/>
  <c r="H4205" i="1"/>
  <c r="H4204" i="1"/>
  <c r="H4203" i="1"/>
  <c r="H4202" i="1"/>
  <c r="H4201" i="1"/>
  <c r="H4200" i="1"/>
  <c r="H4199" i="1"/>
  <c r="H4198" i="1"/>
  <c r="H4197" i="1"/>
  <c r="H4196" i="1"/>
  <c r="H4195" i="1"/>
  <c r="H4194" i="1"/>
  <c r="H4193" i="1"/>
  <c r="H4192" i="1"/>
  <c r="H4191" i="1"/>
  <c r="H4190" i="1"/>
  <c r="H4189" i="1"/>
  <c r="H4188" i="1"/>
  <c r="H4187" i="1"/>
  <c r="H4186" i="1"/>
  <c r="H4185" i="1"/>
  <c r="H4184" i="1"/>
  <c r="H4183" i="1"/>
  <c r="H4182" i="1"/>
  <c r="H4181" i="1"/>
  <c r="H4180" i="1"/>
  <c r="H4179" i="1"/>
  <c r="H4178" i="1"/>
  <c r="H4177" i="1"/>
  <c r="H4176" i="1"/>
  <c r="H4175" i="1"/>
  <c r="H4174" i="1"/>
  <c r="H4173" i="1"/>
  <c r="H4172" i="1"/>
  <c r="H4171" i="1"/>
  <c r="H4170" i="1"/>
  <c r="H4169" i="1"/>
  <c r="H4168" i="1"/>
  <c r="H4167" i="1"/>
  <c r="H4166" i="1"/>
  <c r="H4165" i="1"/>
  <c r="H4164" i="1"/>
  <c r="H4163" i="1"/>
  <c r="H4162" i="1"/>
  <c r="H4161" i="1"/>
  <c r="H4160" i="1"/>
  <c r="H4159" i="1"/>
  <c r="H4158" i="1"/>
  <c r="H4157" i="1"/>
  <c r="H4156" i="1"/>
  <c r="H4155" i="1"/>
  <c r="H4154" i="1"/>
  <c r="H4153" i="1"/>
  <c r="H4152" i="1"/>
  <c r="H4151" i="1"/>
  <c r="H4150" i="1"/>
  <c r="H4149" i="1"/>
  <c r="H4148" i="1"/>
  <c r="H4147" i="1"/>
  <c r="H4146" i="1"/>
  <c r="H4145" i="1"/>
  <c r="H4144" i="1"/>
  <c r="H4143" i="1"/>
  <c r="H4142" i="1"/>
  <c r="H4141" i="1"/>
  <c r="H4140" i="1"/>
  <c r="H4139" i="1"/>
  <c r="H4138" i="1"/>
  <c r="H4137" i="1"/>
  <c r="H4136" i="1"/>
  <c r="H4135" i="1"/>
  <c r="H4134" i="1"/>
  <c r="H4133" i="1"/>
  <c r="H4132" i="1"/>
  <c r="H4131" i="1"/>
  <c r="H4130" i="1"/>
  <c r="H4129" i="1"/>
  <c r="H4128" i="1"/>
  <c r="H4127" i="1"/>
  <c r="H4126" i="1"/>
  <c r="H4125" i="1"/>
  <c r="H4124" i="1"/>
  <c r="H4123" i="1"/>
  <c r="H4122" i="1"/>
  <c r="H4121" i="1"/>
  <c r="H4120" i="1"/>
  <c r="H4119" i="1"/>
  <c r="H4118" i="1"/>
  <c r="H4117" i="1"/>
  <c r="H4116" i="1"/>
  <c r="H4115" i="1"/>
  <c r="H4114" i="1"/>
  <c r="H4113" i="1"/>
  <c r="H4112" i="1"/>
  <c r="H4111" i="1"/>
  <c r="H4110" i="1"/>
  <c r="H4109" i="1"/>
  <c r="H4108" i="1"/>
  <c r="H4107" i="1"/>
  <c r="H4106" i="1"/>
  <c r="H4105" i="1"/>
  <c r="H4104" i="1"/>
  <c r="H4103" i="1"/>
  <c r="H4102" i="1"/>
  <c r="H4101" i="1"/>
  <c r="H4100" i="1"/>
  <c r="H4099" i="1"/>
  <c r="H4098" i="1"/>
  <c r="H4097" i="1"/>
  <c r="H4096" i="1"/>
  <c r="H4095" i="1"/>
  <c r="H4094" i="1"/>
  <c r="H4093" i="1"/>
  <c r="H4092" i="1"/>
  <c r="H4091" i="1"/>
  <c r="H4090" i="1"/>
  <c r="H4089" i="1"/>
  <c r="H4088" i="1"/>
  <c r="H4087" i="1"/>
  <c r="H4086" i="1"/>
  <c r="H4085" i="1"/>
  <c r="H4084" i="1"/>
  <c r="H4083" i="1"/>
  <c r="H4082" i="1"/>
  <c r="H4081" i="1"/>
  <c r="H4080" i="1"/>
  <c r="H4079" i="1"/>
  <c r="H4078" i="1"/>
  <c r="H4077" i="1"/>
  <c r="H4076" i="1"/>
  <c r="H4075" i="1"/>
  <c r="H4074" i="1"/>
  <c r="H4073" i="1"/>
  <c r="H4072" i="1"/>
  <c r="H4071" i="1"/>
  <c r="H4070" i="1"/>
  <c r="H4069" i="1"/>
  <c r="H4068" i="1"/>
  <c r="H4067" i="1"/>
  <c r="H4066" i="1"/>
  <c r="H4065" i="1"/>
  <c r="H4064" i="1"/>
  <c r="H4063" i="1"/>
  <c r="H4062" i="1"/>
  <c r="H4061" i="1"/>
  <c r="H4060" i="1"/>
  <c r="H4059" i="1"/>
  <c r="H4058" i="1"/>
  <c r="H4057" i="1"/>
  <c r="H4056" i="1"/>
  <c r="H4055" i="1"/>
  <c r="H4054" i="1"/>
  <c r="H4053" i="1"/>
  <c r="H4052" i="1"/>
  <c r="H4051" i="1"/>
  <c r="H4050" i="1"/>
  <c r="H4049" i="1"/>
  <c r="H4048" i="1"/>
  <c r="H4047" i="1"/>
  <c r="H4046" i="1"/>
  <c r="H4045" i="1"/>
  <c r="H4044" i="1"/>
  <c r="H4043" i="1"/>
  <c r="H4042" i="1"/>
  <c r="H4041" i="1"/>
  <c r="H4040" i="1"/>
  <c r="H4039" i="1"/>
  <c r="H4038" i="1"/>
  <c r="H4037" i="1"/>
  <c r="H4036" i="1"/>
  <c r="H4035" i="1"/>
  <c r="H4034" i="1"/>
  <c r="H4033" i="1"/>
  <c r="H4032" i="1"/>
  <c r="H4031" i="1"/>
  <c r="H4030" i="1"/>
  <c r="H4029" i="1"/>
  <c r="H4028" i="1"/>
  <c r="H4027" i="1"/>
  <c r="H4026" i="1"/>
  <c r="H4025" i="1"/>
  <c r="H4024" i="1"/>
  <c r="H4023" i="1"/>
  <c r="H4022" i="1"/>
  <c r="H4021" i="1"/>
  <c r="H4020" i="1"/>
  <c r="H4019" i="1"/>
  <c r="H4018" i="1"/>
  <c r="H4017" i="1"/>
  <c r="H4016" i="1"/>
  <c r="H4015" i="1"/>
  <c r="H4014" i="1"/>
  <c r="H4013" i="1"/>
  <c r="H4012" i="1"/>
  <c r="H4011" i="1"/>
  <c r="H4010" i="1"/>
  <c r="H4009" i="1"/>
  <c r="H4008" i="1"/>
  <c r="H4007" i="1"/>
  <c r="H4006" i="1"/>
  <c r="H4005" i="1"/>
  <c r="H4004" i="1"/>
  <c r="H4003" i="1"/>
  <c r="H4002" i="1"/>
  <c r="H4001" i="1"/>
  <c r="H4000" i="1"/>
  <c r="H3999" i="1"/>
  <c r="H3998" i="1"/>
  <c r="H3997" i="1"/>
  <c r="H3996" i="1"/>
  <c r="H3995" i="1"/>
  <c r="H3994" i="1"/>
  <c r="H3993" i="1"/>
  <c r="H3992" i="1"/>
  <c r="H3991" i="1"/>
  <c r="H3990" i="1"/>
  <c r="H3989" i="1"/>
  <c r="H3988" i="1"/>
  <c r="H3987" i="1"/>
  <c r="H3986" i="1"/>
  <c r="H3985" i="1"/>
  <c r="H3984" i="1"/>
  <c r="H3983" i="1"/>
  <c r="H3982" i="1"/>
  <c r="H3981" i="1"/>
  <c r="H3980" i="1"/>
  <c r="H3979" i="1"/>
  <c r="H3978" i="1"/>
  <c r="H3977" i="1"/>
  <c r="H3976" i="1"/>
  <c r="H3975" i="1"/>
  <c r="H3974" i="1"/>
  <c r="H3973" i="1"/>
  <c r="H3972" i="1"/>
  <c r="H3971" i="1"/>
  <c r="H3970" i="1"/>
  <c r="H3969" i="1"/>
  <c r="H3968" i="1"/>
  <c r="H3967" i="1"/>
  <c r="H3966" i="1"/>
  <c r="H3965" i="1"/>
  <c r="H3964" i="1"/>
  <c r="H3963" i="1"/>
  <c r="H3962" i="1"/>
  <c r="H3961" i="1"/>
  <c r="H3960" i="1"/>
  <c r="H3959" i="1"/>
  <c r="H3958" i="1"/>
  <c r="H3957" i="1"/>
  <c r="H3956" i="1"/>
  <c r="H3955" i="1"/>
  <c r="H3954" i="1"/>
  <c r="H3953" i="1"/>
  <c r="H3952" i="1"/>
  <c r="H3951" i="1"/>
  <c r="H3950" i="1"/>
  <c r="H3949" i="1"/>
  <c r="H3948" i="1"/>
  <c r="H3947" i="1"/>
  <c r="H3946" i="1"/>
  <c r="H3945" i="1"/>
  <c r="H3944" i="1"/>
  <c r="H3943" i="1"/>
  <c r="H3942" i="1"/>
  <c r="H3941" i="1"/>
  <c r="H3940" i="1"/>
  <c r="H3939" i="1"/>
  <c r="H3938" i="1"/>
  <c r="H3937" i="1"/>
  <c r="H3936" i="1"/>
  <c r="H3935" i="1"/>
  <c r="H3934" i="1"/>
  <c r="H3933" i="1"/>
  <c r="H3932" i="1"/>
  <c r="H3931" i="1"/>
  <c r="H3930" i="1"/>
  <c r="H3929" i="1"/>
  <c r="H3928" i="1"/>
  <c r="H3927" i="1"/>
  <c r="H3926" i="1"/>
  <c r="H3925" i="1"/>
  <c r="H3924" i="1"/>
  <c r="H3923" i="1"/>
  <c r="H3922" i="1"/>
  <c r="H3921" i="1"/>
  <c r="H3920" i="1"/>
  <c r="H3919" i="1"/>
  <c r="H3918" i="1"/>
  <c r="H3917" i="1"/>
  <c r="H3916" i="1"/>
  <c r="H3915" i="1"/>
  <c r="H3914" i="1"/>
  <c r="H3913" i="1"/>
  <c r="H3912" i="1"/>
  <c r="H3911" i="1"/>
  <c r="H3910" i="1"/>
  <c r="H3909" i="1"/>
  <c r="H3908" i="1"/>
  <c r="H3907" i="1"/>
  <c r="H3906" i="1"/>
  <c r="H3905" i="1"/>
  <c r="H3904" i="1"/>
  <c r="H3903" i="1"/>
  <c r="H3902" i="1"/>
  <c r="H3901" i="1"/>
  <c r="H3900" i="1"/>
  <c r="H3899" i="1"/>
  <c r="H3898" i="1"/>
  <c r="H3897" i="1"/>
  <c r="H3896" i="1"/>
  <c r="H3895" i="1"/>
  <c r="H3894" i="1"/>
  <c r="H3893" i="1"/>
  <c r="H3892" i="1"/>
  <c r="H3891" i="1"/>
  <c r="H3890" i="1"/>
  <c r="H3889" i="1"/>
  <c r="H3888" i="1"/>
  <c r="H3887" i="1"/>
  <c r="H3886" i="1"/>
  <c r="H3885" i="1"/>
  <c r="H3884" i="1"/>
  <c r="H3883" i="1"/>
  <c r="H3882" i="1"/>
  <c r="H3881" i="1"/>
  <c r="H3880" i="1"/>
  <c r="H3879" i="1"/>
  <c r="H3878" i="1"/>
  <c r="H3877" i="1"/>
  <c r="H3876" i="1"/>
  <c r="H3875" i="1"/>
  <c r="H3874" i="1"/>
  <c r="H3873" i="1"/>
  <c r="H3872" i="1"/>
  <c r="H3871" i="1"/>
  <c r="H3870" i="1"/>
  <c r="H3869" i="1"/>
  <c r="H3868" i="1"/>
  <c r="H3867" i="1"/>
  <c r="H3866" i="1"/>
  <c r="H3865" i="1"/>
  <c r="H3864" i="1"/>
  <c r="H3863" i="1"/>
  <c r="H3862" i="1"/>
  <c r="H3861" i="1"/>
  <c r="H3860" i="1"/>
  <c r="H3859" i="1"/>
  <c r="H3858" i="1"/>
  <c r="H3857" i="1"/>
  <c r="H3856" i="1"/>
  <c r="H3855" i="1"/>
  <c r="H3854" i="1"/>
  <c r="H3853" i="1"/>
  <c r="H3852" i="1"/>
  <c r="H3851" i="1"/>
  <c r="H3850" i="1"/>
  <c r="H3849" i="1"/>
  <c r="H3848" i="1"/>
  <c r="H3847" i="1"/>
  <c r="H3846" i="1"/>
  <c r="H3845" i="1"/>
  <c r="H3844" i="1"/>
  <c r="H3843" i="1"/>
  <c r="H3842" i="1"/>
  <c r="H3841" i="1"/>
  <c r="H3840" i="1"/>
  <c r="H3839" i="1"/>
  <c r="H3838"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803" i="1"/>
  <c r="H3802" i="1"/>
  <c r="H3801" i="1"/>
  <c r="H3800" i="1"/>
  <c r="H3799" i="1"/>
  <c r="H3798" i="1"/>
  <c r="H3797" i="1"/>
  <c r="H3796" i="1"/>
  <c r="H3795" i="1"/>
  <c r="H3794" i="1"/>
  <c r="H3793" i="1"/>
  <c r="H3792" i="1"/>
  <c r="H3791" i="1"/>
  <c r="H3790" i="1"/>
  <c r="H3789" i="1"/>
  <c r="H3788" i="1"/>
  <c r="H3787" i="1"/>
  <c r="H3786" i="1"/>
  <c r="H3785" i="1"/>
  <c r="H3784" i="1"/>
  <c r="H3783" i="1"/>
  <c r="H3782" i="1"/>
  <c r="H3781" i="1"/>
  <c r="H3780" i="1"/>
  <c r="H3779" i="1"/>
  <c r="H3778" i="1"/>
  <c r="H3777" i="1"/>
  <c r="H3776" i="1"/>
  <c r="H3775" i="1"/>
  <c r="H3774" i="1"/>
  <c r="H3773" i="1"/>
  <c r="H3772" i="1"/>
  <c r="H3771" i="1"/>
  <c r="H3770" i="1"/>
  <c r="H3769" i="1"/>
  <c r="H3768" i="1"/>
  <c r="H3767" i="1"/>
  <c r="H3766" i="1"/>
  <c r="H3765" i="1"/>
  <c r="H3764" i="1"/>
  <c r="H3763" i="1"/>
  <c r="H3762" i="1"/>
  <c r="H3761" i="1"/>
  <c r="H3760" i="1"/>
  <c r="H3759" i="1"/>
  <c r="H3758" i="1"/>
  <c r="H3757" i="1"/>
  <c r="H3756" i="1"/>
  <c r="H3755" i="1"/>
  <c r="H3754" i="1"/>
  <c r="H3753" i="1"/>
  <c r="H3752" i="1"/>
  <c r="H3751" i="1"/>
  <c r="H3750" i="1"/>
  <c r="H3749" i="1"/>
  <c r="H3748" i="1"/>
  <c r="H3747" i="1"/>
  <c r="H3746" i="1"/>
  <c r="H3745" i="1"/>
  <c r="H3744" i="1"/>
  <c r="H3743" i="1"/>
  <c r="H3742" i="1"/>
  <c r="H3741" i="1"/>
  <c r="H3740" i="1"/>
  <c r="H3739" i="1"/>
  <c r="H3738" i="1"/>
  <c r="H3737" i="1"/>
  <c r="H3736" i="1"/>
  <c r="H3735" i="1"/>
  <c r="H3734" i="1"/>
  <c r="H3733" i="1"/>
  <c r="H3732" i="1"/>
  <c r="H3731" i="1"/>
  <c r="H3730" i="1"/>
  <c r="H3729" i="1"/>
  <c r="H3728" i="1"/>
  <c r="H3727" i="1"/>
  <c r="H3726" i="1"/>
  <c r="H3725" i="1"/>
  <c r="H3724" i="1"/>
  <c r="H3723" i="1"/>
  <c r="H3722" i="1"/>
  <c r="H3721" i="1"/>
  <c r="H3720" i="1"/>
  <c r="H3719" i="1"/>
  <c r="H3718" i="1"/>
  <c r="H3717" i="1"/>
  <c r="H3716" i="1"/>
  <c r="H3715" i="1"/>
  <c r="H3714" i="1"/>
  <c r="H3713" i="1"/>
  <c r="H3712" i="1"/>
  <c r="H3711" i="1"/>
  <c r="H3710" i="1"/>
  <c r="H3709" i="1"/>
  <c r="H3708" i="1"/>
  <c r="H3707" i="1"/>
  <c r="H3706" i="1"/>
  <c r="H3705" i="1"/>
  <c r="H3704" i="1"/>
  <c r="H3703" i="1"/>
  <c r="H3702" i="1"/>
  <c r="H3701" i="1"/>
  <c r="H3700" i="1"/>
  <c r="H3699" i="1"/>
  <c r="H3698" i="1"/>
  <c r="H3697" i="1"/>
  <c r="H3696" i="1"/>
  <c r="H3695" i="1"/>
  <c r="H3694" i="1"/>
  <c r="H3693" i="1"/>
  <c r="H3692" i="1"/>
  <c r="H3691" i="1"/>
  <c r="H3690" i="1"/>
  <c r="H3689" i="1"/>
  <c r="H3688" i="1"/>
  <c r="H3687" i="1"/>
  <c r="H3686" i="1"/>
  <c r="H3685" i="1"/>
  <c r="H3684" i="1"/>
  <c r="H3683" i="1"/>
  <c r="H3682" i="1"/>
  <c r="H3681" i="1"/>
  <c r="H3680" i="1"/>
  <c r="H3679" i="1"/>
  <c r="H3678" i="1"/>
  <c r="H3677" i="1"/>
  <c r="H3676" i="1"/>
  <c r="H3675" i="1"/>
  <c r="H3674" i="1"/>
  <c r="H3673" i="1"/>
  <c r="H3672" i="1"/>
  <c r="H3671" i="1"/>
  <c r="H3670" i="1"/>
  <c r="H3669" i="1"/>
  <c r="H3668" i="1"/>
  <c r="H3667" i="1"/>
  <c r="H3666" i="1"/>
  <c r="H3665" i="1"/>
  <c r="H3664" i="1"/>
  <c r="H3663" i="1"/>
  <c r="H3662" i="1"/>
  <c r="H3661" i="1"/>
  <c r="H3660" i="1"/>
  <c r="H3659" i="1"/>
  <c r="H3658" i="1"/>
  <c r="H3657" i="1"/>
  <c r="H3656" i="1"/>
  <c r="H3655" i="1"/>
  <c r="H3654" i="1"/>
  <c r="H3653" i="1"/>
  <c r="H3652" i="1"/>
  <c r="H3651" i="1"/>
  <c r="H3650" i="1"/>
  <c r="H3649" i="1"/>
  <c r="H3648" i="1"/>
  <c r="H3647" i="1"/>
  <c r="H3646" i="1"/>
  <c r="H3645" i="1"/>
  <c r="H3644" i="1"/>
  <c r="H3643" i="1"/>
  <c r="H3642" i="1"/>
  <c r="H3641" i="1"/>
  <c r="H3640" i="1"/>
  <c r="H3639" i="1"/>
  <c r="H3638" i="1"/>
  <c r="H3637" i="1"/>
  <c r="H3636" i="1"/>
  <c r="H3635" i="1"/>
  <c r="H3634" i="1"/>
  <c r="H3633" i="1"/>
  <c r="H3632" i="1"/>
  <c r="H3631" i="1"/>
  <c r="H3630" i="1"/>
  <c r="H3629" i="1"/>
  <c r="H3628" i="1"/>
  <c r="H3627" i="1"/>
  <c r="H3626" i="1"/>
  <c r="H3625" i="1"/>
  <c r="H3624" i="1"/>
  <c r="H3623" i="1"/>
  <c r="H3622" i="1"/>
  <c r="H3621" i="1"/>
  <c r="H3620" i="1"/>
  <c r="H3619" i="1"/>
  <c r="H3618" i="1"/>
  <c r="H3617" i="1"/>
  <c r="H3616" i="1"/>
  <c r="H3615" i="1"/>
  <c r="H3614"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80" i="1"/>
  <c r="H3579" i="1"/>
  <c r="H3578" i="1"/>
  <c r="H3577" i="1"/>
  <c r="H3576" i="1"/>
  <c r="H3575" i="1"/>
  <c r="H3574" i="1"/>
  <c r="H3573" i="1"/>
  <c r="H3572" i="1"/>
  <c r="H3571" i="1"/>
  <c r="H3570" i="1"/>
  <c r="H3569" i="1"/>
  <c r="H3568" i="1"/>
  <c r="H3567"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9" i="1"/>
  <c r="H3518" i="1"/>
  <c r="H3517" i="1"/>
  <c r="H3516" i="1"/>
  <c r="H3515" i="1"/>
  <c r="H3514" i="1"/>
  <c r="H3513" i="1"/>
  <c r="H3512" i="1"/>
  <c r="H3511" i="1"/>
  <c r="H3510" i="1"/>
  <c r="H3509" i="1"/>
  <c r="H3508" i="1"/>
  <c r="H3507" i="1"/>
  <c r="H3506" i="1"/>
  <c r="H3505" i="1"/>
  <c r="H3504"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C9" i="2"/>
  <c r="C8" i="2" l="1"/>
  <c r="C10" i="2" s="1"/>
  <c r="C7" i="2"/>
  <c r="C4" i="2"/>
  <c r="C11" i="2" s="1"/>
  <c r="C5" i="2"/>
  <c r="C6" i="2"/>
</calcChain>
</file>

<file path=xl/sharedStrings.xml><?xml version="1.0" encoding="utf-8"?>
<sst xmlns="http://schemas.openxmlformats.org/spreadsheetml/2006/main" count="37378" uniqueCount="19718">
  <si>
    <t>Categoria</t>
  </si>
  <si>
    <t>Denominazione</t>
  </si>
  <si>
    <t>Indirizzo</t>
  </si>
  <si>
    <t>Città</t>
  </si>
  <si>
    <t>Indirizzo internet</t>
  </si>
  <si>
    <t>Indirizzo di posta elettronica</t>
  </si>
  <si>
    <t>TURISMO RURALE</t>
  </si>
  <si>
    <t>COUNTRY HOUSE LOCALITA' GIROFALCO</t>
  </si>
  <si>
    <t>Via Girfalco, 26</t>
  </si>
  <si>
    <t>URBINO</t>
  </si>
  <si>
    <t>www.girfalco.it</t>
  </si>
  <si>
    <t>info@girfalco.it</t>
  </si>
  <si>
    <t>ALTRI ALLOGGI PRIVATI</t>
  </si>
  <si>
    <t>STAGNOZZI STEFANIA</t>
  </si>
  <si>
    <t>Via Candigliano  5</t>
  </si>
  <si>
    <t>ACQUALAGNA</t>
  </si>
  <si>
    <t>gigliovitto@libero.it</t>
  </si>
  <si>
    <t>GORGOLINI ALESSANDRO</t>
  </si>
  <si>
    <t>Via San Gregorio 9</t>
  </si>
  <si>
    <t>ale.gorgolini@gmail.com</t>
  </si>
  <si>
    <t>ALBERGHI</t>
  </si>
  <si>
    <t>LEON D'ORO</t>
  </si>
  <si>
    <t>Via Flaminia 213</t>
  </si>
  <si>
    <t>ALBERGO DOMUS MARIAE</t>
  </si>
  <si>
    <t>viale Ezio Scaglioni 17</t>
  </si>
  <si>
    <t>giulianaspini@gmail.com</t>
  </si>
  <si>
    <t>TORRE COLOMBARA DI FRONTINO</t>
  </si>
  <si>
    <t>STRADA FRONTINO 24/B</t>
  </si>
  <si>
    <t>luccardi.sandro@gmail.com</t>
  </si>
  <si>
    <t>BED &amp; BREAKFAST</t>
  </si>
  <si>
    <t>B&amp;B AQUILEGIA</t>
  </si>
  <si>
    <t>via Furlo 12</t>
  </si>
  <si>
    <t>Furlo</t>
  </si>
  <si>
    <t>www.aquilegiabeb.com</t>
  </si>
  <si>
    <t>info@aquilegiabeb.com</t>
  </si>
  <si>
    <t>ALLOGGI AGRITURISTICI</t>
  </si>
  <si>
    <t>DEL FRONTINO</t>
  </si>
  <si>
    <t>strada frontino 23</t>
  </si>
  <si>
    <t>LA GINESTRA</t>
  </si>
  <si>
    <t>via Furlo 17</t>
  </si>
  <si>
    <t>www.ginestrafurlo.it</t>
  </si>
  <si>
    <t>info@ginestrafurlo.it</t>
  </si>
  <si>
    <t>BIRRA AL POZZO</t>
  </si>
  <si>
    <t>via Pianacce 12</t>
  </si>
  <si>
    <t>www.birraalpozzo.it</t>
  </si>
  <si>
    <t>info@birraalpozzo.it</t>
  </si>
  <si>
    <t>B&amp;B CRISTINI CRISTINA</t>
  </si>
  <si>
    <t>cri.cristini@alice.it</t>
  </si>
  <si>
    <t>B&amp;B MARTELLONI CESARE</t>
  </si>
  <si>
    <t>via pianacce 67</t>
  </si>
  <si>
    <t>www.lalocandadellabbazia.it</t>
  </si>
  <si>
    <t>info@lalocandadellabbazia.it</t>
  </si>
  <si>
    <t>ALBERGO MEUBLE' SHINE</t>
  </si>
  <si>
    <t>via aldo gamba 54</t>
  </si>
  <si>
    <t>AGRITURISMO CASTELLAGO</t>
  </si>
  <si>
    <t>strada Castellaro 18</t>
  </si>
  <si>
    <t>castellago@virgilio.it</t>
  </si>
  <si>
    <t>ALBERGO ANTICO FURLO</t>
  </si>
  <si>
    <t>via Flaminia 66</t>
  </si>
  <si>
    <t>www.anticofurlo.it</t>
  </si>
  <si>
    <t>info@anticofurlo.it</t>
  </si>
  <si>
    <t>CA' GARAVANO</t>
  </si>
  <si>
    <t>strada Frontino 21</t>
  </si>
  <si>
    <t>www.cagaravano.com</t>
  </si>
  <si>
    <t>urbini.alessandro@alice.it</t>
  </si>
  <si>
    <t>IL CONIO DI DI GIOVANNI FEDERICO</t>
  </si>
  <si>
    <t>strada pietralatra 1</t>
  </si>
  <si>
    <t>AGRITURISMO I CONTI</t>
  </si>
  <si>
    <t>via Pieve del Colle 11 b</t>
  </si>
  <si>
    <t>pieve del colle</t>
  </si>
  <si>
    <t>www.agriturismoiconti.it</t>
  </si>
  <si>
    <t>info@agriturismoiconti.it</t>
  </si>
  <si>
    <t>LA COLOMBARA</t>
  </si>
  <si>
    <t>strada Frontino 24</t>
  </si>
  <si>
    <t>STROPPA GIUSEPPE</t>
  </si>
  <si>
    <t>strada San Gregorio 12</t>
  </si>
  <si>
    <t>Acqualagna</t>
  </si>
  <si>
    <t>http://lapanoramicadastroppa.webstarts.com/</t>
  </si>
  <si>
    <t>stroppag@libero.it</t>
  </si>
  <si>
    <t>SERAFINI GIORGIA</t>
  </si>
  <si>
    <t>BETTI VINCENZO</t>
  </si>
  <si>
    <t>via Pole 69</t>
  </si>
  <si>
    <t>ALLOGGI IN AFFITTO</t>
  </si>
  <si>
    <t>MARCHEHOLIDAY - CASALE DEGLI ULIVI</t>
  </si>
  <si>
    <t>strada San Gregorio 1</t>
  </si>
  <si>
    <t>loc.Ca Donnino</t>
  </si>
  <si>
    <t>www.marcheholiday.it/ulivi</t>
  </si>
  <si>
    <t>info@marcheholiday.it</t>
  </si>
  <si>
    <t>AREE DI SOSTA (PLEIN AIR)</t>
  </si>
  <si>
    <t>AREA SOSTA CAMPER PARCO LE QUERCE</t>
  </si>
  <si>
    <t>via Pianacce 1</t>
  </si>
  <si>
    <t>RISERVA NATURALE STATALE GOLA DEL FURLO</t>
  </si>
  <si>
    <t>parcodelfurlo.it</t>
  </si>
  <si>
    <t>info@parcodelfurlo.it</t>
  </si>
  <si>
    <t>BACCHIOCCHI MARIA ELISA</t>
  </si>
  <si>
    <t>via San Gregorio 17</t>
  </si>
  <si>
    <t>remigio.battistelli@gmail.com</t>
  </si>
  <si>
    <t>MARCHETTI LORENZA</t>
  </si>
  <si>
    <t>via Fossato 37/b</t>
  </si>
  <si>
    <t>thomas.clementi@hotmail.it</t>
  </si>
  <si>
    <t>B&amp;B BISCUBIO</t>
  </si>
  <si>
    <t>via Circonvallazione 46</t>
  </si>
  <si>
    <t>APECCHIO</t>
  </si>
  <si>
    <t>marcellamartinelli17@gmail.com</t>
  </si>
  <si>
    <t>GHIGHETTA</t>
  </si>
  <si>
    <t>via Borgo Mazzini 40</t>
  </si>
  <si>
    <t>doradimaggio@libero.it</t>
  </si>
  <si>
    <t>AGRITURISMO LA ROCCA</t>
  </si>
  <si>
    <t>località la rocca</t>
  </si>
  <si>
    <t>a.parlani@alice.it</t>
  </si>
  <si>
    <t>AGRITURISMO CA' PIERPAOLI</t>
  </si>
  <si>
    <t>località Ca' Pierpaoli</t>
  </si>
  <si>
    <t>www.chipierpaoli.it</t>
  </si>
  <si>
    <t>info@chipierpaoli.it</t>
  </si>
  <si>
    <t>AGRITURISMO PIANDIMOLINO</t>
  </si>
  <si>
    <t>località Pian di Molino 16</t>
  </si>
  <si>
    <t>PIAN DI MOLINO</t>
  </si>
  <si>
    <t>www.agriturismopiandimolino.it</t>
  </si>
  <si>
    <t>info@agriturismopiandimolino.it</t>
  </si>
  <si>
    <t>B&amp;B GRANCI MARIA GRAZIA</t>
  </si>
  <si>
    <t>via Martiri della Liberta' 20</t>
  </si>
  <si>
    <t>LE CIOCCHE</t>
  </si>
  <si>
    <t>ale_cipi@live.it</t>
  </si>
  <si>
    <t>FONTE SOMMA</t>
  </si>
  <si>
    <t>loc.Fontesomma</t>
  </si>
  <si>
    <t>www.fontesomma.it</t>
  </si>
  <si>
    <t>info@fontesomma.it</t>
  </si>
  <si>
    <t>COL ALPI</t>
  </si>
  <si>
    <t>via Circonvallazione 40</t>
  </si>
  <si>
    <t>ilaesimo@virgilio.it</t>
  </si>
  <si>
    <t>COUNTRY HOUSE CACCIABOCCA</t>
  </si>
  <si>
    <t>vocabolo Caselle 100</t>
  </si>
  <si>
    <t>www.countryhousechiciabocca.it</t>
  </si>
  <si>
    <t>info@countryhousechiciabocca.it</t>
  </si>
  <si>
    <t>B&amp;B MOCHI EDMONDO ADOLFO FEDERICO</t>
  </si>
  <si>
    <t>via dante alighieri 41</t>
  </si>
  <si>
    <t>elenamochi@hotmail.it</t>
  </si>
  <si>
    <t>AREA DI SOSTA CAMPER</t>
  </si>
  <si>
    <t>AFFITTACAMERE APPENNINO</t>
  </si>
  <si>
    <t>via Garibaldi 9</t>
  </si>
  <si>
    <t>AGRITURISMO PIEVE DI SAN PAOLO</t>
  </si>
  <si>
    <t>San Paolo di Fagnille 29</t>
  </si>
  <si>
    <t>San Paolo di Fagnille</t>
  </si>
  <si>
    <t>www.pievesp.it</t>
  </si>
  <si>
    <t>info@pievesp.it</t>
  </si>
  <si>
    <t>CASA DELLE ROSE</t>
  </si>
  <si>
    <t>www.valguerriera.it</t>
  </si>
  <si>
    <t>info@valguerriera.it</t>
  </si>
  <si>
    <t>VECCHIA FORNACE</t>
  </si>
  <si>
    <t>vocabolo chignucci 1</t>
  </si>
  <si>
    <t>ESSICCATOIO</t>
  </si>
  <si>
    <t>vocabolo val d' acqua 1</t>
  </si>
  <si>
    <t>COUNTRY HOUSE LA SPINA</t>
  </si>
  <si>
    <t>vocabolo spina 1</t>
  </si>
  <si>
    <t>www.countryhouselaspina.it</t>
  </si>
  <si>
    <t>info@countryhouselaspina.it</t>
  </si>
  <si>
    <t>CA' QUATTROCCHI</t>
  </si>
  <si>
    <t>via Roma 1</t>
  </si>
  <si>
    <t>LUCARAIA</t>
  </si>
  <si>
    <t>localita' Lucaraia 1</t>
  </si>
  <si>
    <t>lpraziendaagricola@gmail.com</t>
  </si>
  <si>
    <t>MONTENERONE</t>
  </si>
  <si>
    <t>localita' Pian di Trebbio 81</t>
  </si>
  <si>
    <t>www.hotelmontenerone.it</t>
  </si>
  <si>
    <t>info@hotelmontenerone.it</t>
  </si>
  <si>
    <t>COL DI FIORE</t>
  </si>
  <si>
    <t>loc Col di Fiore snc</t>
  </si>
  <si>
    <t>CASELLINA</t>
  </si>
  <si>
    <t>loc. la Casellina 1</t>
  </si>
  <si>
    <t>TAVERNA</t>
  </si>
  <si>
    <t>vocabolo caselle 1</t>
  </si>
  <si>
    <t>marialaura@jumpi.it;</t>
  </si>
  <si>
    <t>CHIGNONI</t>
  </si>
  <si>
    <t>vocabolo Chignoni 1</t>
  </si>
  <si>
    <t>www.chignoni.it</t>
  </si>
  <si>
    <t>info@chignoni.it</t>
  </si>
  <si>
    <t>CA' CIRIGIOLO</t>
  </si>
  <si>
    <t>Loc. Casa Nuova di Cirigiolo  s/n</t>
  </si>
  <si>
    <t>Apecchio</t>
  </si>
  <si>
    <t>www.cacirigiolo.it</t>
  </si>
  <si>
    <t>info@cacirigiolo.it</t>
  </si>
  <si>
    <t>VAL DEL LAGO</t>
  </si>
  <si>
    <t>vocabolo Acquapartita 1</t>
  </si>
  <si>
    <t>loc. Val del Lago</t>
  </si>
  <si>
    <t>CASELLE</t>
  </si>
  <si>
    <t>marialaura@jumpi.it</t>
  </si>
  <si>
    <t>OSTELLI PER LA GIOVENTU'</t>
  </si>
  <si>
    <t>OSTELLO DELLA GIOVENTU' LA CHIUSURA (CUCCHIARINI ALDO LORIS)</t>
  </si>
  <si>
    <t>via dante alighieri 1</t>
  </si>
  <si>
    <t>cooplamacina@info-net.it</t>
  </si>
  <si>
    <t>CASE PER FERIE</t>
  </si>
  <si>
    <t>VILLA SANTA MARIA</t>
  </si>
  <si>
    <t>via Cagli 89</t>
  </si>
  <si>
    <t>fraz. Serravalle</t>
  </si>
  <si>
    <t>B&amp;B IL BORGO</t>
  </si>
  <si>
    <t>BORGO MAZZINI 28</t>
  </si>
  <si>
    <t>stevemugs@gmail.com</t>
  </si>
  <si>
    <t>IL POGGIO DI D'ANGELI LIDIA AFFITTACAMERE</t>
  </si>
  <si>
    <t>Via Poggio San Giovanni 17</t>
  </si>
  <si>
    <t>AUDITORE</t>
  </si>
  <si>
    <t>info@baita7nani.com</t>
  </si>
  <si>
    <t>IL POGGIO DI D'ANGELI LIDIA</t>
  </si>
  <si>
    <t>Via Poggio San Giovanni 9</t>
  </si>
  <si>
    <t>B&amp;B IL GIARDINO DELLE NOCI</t>
  </si>
  <si>
    <t>Località Molino Ca' Guerra 48</t>
  </si>
  <si>
    <t>loc. Casinina</t>
  </si>
  <si>
    <t>ilariasanti89@libero.it</t>
  </si>
  <si>
    <t>IL TORRIONE</t>
  </si>
  <si>
    <t>via circonvallazione 14</t>
  </si>
  <si>
    <t>www.albergoiltorrione.it</t>
  </si>
  <si>
    <t>info@albergoiltorrione.it</t>
  </si>
  <si>
    <t>ANTICA OSTERIA DA ORESTE</t>
  </si>
  <si>
    <t>via Risorgimento  4</t>
  </si>
  <si>
    <t>frazione CASININA</t>
  </si>
  <si>
    <t>www.osteria-daoreste.it</t>
  </si>
  <si>
    <t>info@osteria-daoreste.it</t>
  </si>
  <si>
    <t>COUNTRY HOUSE VILLA CISCA</t>
  </si>
  <si>
    <t>localita' molino fulvi 14</t>
  </si>
  <si>
    <t>www.villacisca.com</t>
  </si>
  <si>
    <t>info@villacisca.com</t>
  </si>
  <si>
    <t>B&amp;B TELE GIANNA</t>
  </si>
  <si>
    <t>via G. Leopardi 6</t>
  </si>
  <si>
    <t>CASININA</t>
  </si>
  <si>
    <t>www.bb.telegianna.it</t>
  </si>
  <si>
    <t>carla2009@alice.it</t>
  </si>
  <si>
    <t>LA LUNA NELL'ORTO</t>
  </si>
  <si>
    <t>via Madonna Rafaneto 18</t>
  </si>
  <si>
    <t>BARCHI</t>
  </si>
  <si>
    <t>loc.Rafaneto</t>
  </si>
  <si>
    <t>www.lalunanellorto.it</t>
  </si>
  <si>
    <t>petrabartels@libero.it</t>
  </si>
  <si>
    <t>LA GIRAVOLTA</t>
  </si>
  <si>
    <t>via G. Campioli 10</t>
  </si>
  <si>
    <t>www.lagiravolta.eu</t>
  </si>
  <si>
    <t>info@lagiravolta.eu</t>
  </si>
  <si>
    <t>VILLA RODI</t>
  </si>
  <si>
    <t>via Montesoffio 45</t>
  </si>
  <si>
    <t>d.falcinelli@cia.it</t>
  </si>
  <si>
    <t>VILLA AGAPANTUS</t>
  </si>
  <si>
    <t>via Villa di Monte Campagna 27</t>
  </si>
  <si>
    <t>francini_m@hotmail.com</t>
  </si>
  <si>
    <t>FONTE PAROLLA AGRITURISMO</t>
  </si>
  <si>
    <t>via Villa del Monte Campagna 13</t>
  </si>
  <si>
    <t>loc. Villa del Monte</t>
  </si>
  <si>
    <t>www.fonteparolla.it</t>
  </si>
  <si>
    <t>info@fonteparolla.it</t>
  </si>
  <si>
    <t>FORESTERIA AGRITURISTICA STRADA DEI CAMPIOLI</t>
  </si>
  <si>
    <t>via Giardino Campioli 31</t>
  </si>
  <si>
    <t>www.stradadeicampioli.it</t>
  </si>
  <si>
    <t>info@stradadeicampioli.it</t>
  </si>
  <si>
    <t>COUNTRY HOUSE MONTESOFFIO</t>
  </si>
  <si>
    <t>localita' montesoffio 5</t>
  </si>
  <si>
    <t>www.montesoffio.com</t>
  </si>
  <si>
    <t>info@montesoffio.com</t>
  </si>
  <si>
    <t>CAL FATTORE</t>
  </si>
  <si>
    <t>via Case Sparse snc</t>
  </si>
  <si>
    <t>BELFORTE ALL'ISAURO</t>
  </si>
  <si>
    <t>elebarbie@hotmail.it</t>
  </si>
  <si>
    <t>ROSSI ROSSANO</t>
  </si>
  <si>
    <t>via Angelini 4</t>
  </si>
  <si>
    <t>rossanorossi@hotmail.com</t>
  </si>
  <si>
    <t>CASALE FATTORIA GOSTOLI</t>
  </si>
  <si>
    <t>via Molino 16</t>
  </si>
  <si>
    <t>ilenia.battiato@tiscali.it</t>
  </si>
  <si>
    <t>HOTEL LA RUPE</t>
  </si>
  <si>
    <t>via Meta 76</t>
  </si>
  <si>
    <t>BORGO PACE</t>
  </si>
  <si>
    <t>elisa@emtur.it</t>
  </si>
  <si>
    <t>B&amp;B QUIETE SUL META</t>
  </si>
  <si>
    <t>via Papa Clemente XI 4</t>
  </si>
  <si>
    <t>www.quietesulmeta.com</t>
  </si>
  <si>
    <t>info@quietesulmeta.com</t>
  </si>
  <si>
    <t>B&amp;B VALDERICARTE</t>
  </si>
  <si>
    <t>loc. Valderica 8</t>
  </si>
  <si>
    <t>LAMOLI</t>
  </si>
  <si>
    <t>www.valdericarte.com</t>
  </si>
  <si>
    <t>stella@valdericarte.com</t>
  </si>
  <si>
    <t>AGRITURISMO MORETTI MARCO</t>
  </si>
  <si>
    <t>localita' Campovecchio 1</t>
  </si>
  <si>
    <t>ALBERGO OASI SAN BENEDETTO</t>
  </si>
  <si>
    <t>via dell'Abbazia 7</t>
  </si>
  <si>
    <t>coloriappennino@libero.it</t>
  </si>
  <si>
    <t>RANCO FABBRO</t>
  </si>
  <si>
    <t>PARCHIULE</t>
  </si>
  <si>
    <t>prenotazioni@lamacina.it</t>
  </si>
  <si>
    <t>LOC. LAMOLI</t>
  </si>
  <si>
    <t>AGRITURISMO SANTI GILBERTO</t>
  </si>
  <si>
    <t>via Lame 18</t>
  </si>
  <si>
    <t>loc. Parchiule</t>
  </si>
  <si>
    <t>B&amp;B AURO di BERNARDINI IVO</t>
  </si>
  <si>
    <t>loc. Molino 19</t>
  </si>
  <si>
    <t>ivobernardini@libero.it</t>
  </si>
  <si>
    <t>AGRITURISMO ALPE DELLA LUNA</t>
  </si>
  <si>
    <t>Vildonnino</t>
  </si>
  <si>
    <t>http://www.alpedellaluna.it/</t>
  </si>
  <si>
    <t>agr@alpedellaluna.it</t>
  </si>
  <si>
    <t>LA DILIGENZA</t>
  </si>
  <si>
    <t>piazza del Pino 9</t>
  </si>
  <si>
    <t>www.anticalocandaladiligenza.it</t>
  </si>
  <si>
    <t>info@centrobebladiligenza.it</t>
  </si>
  <si>
    <t>RIFUGI</t>
  </si>
  <si>
    <t>OASI SAN BENEDETTO</t>
  </si>
  <si>
    <t>via dell' Abbazia 13</t>
  </si>
  <si>
    <t>trabaria@libero.it</t>
  </si>
  <si>
    <t>OSTELLO PER LA GIOVENTU'</t>
  </si>
  <si>
    <t>via dell' Abbazia 40</t>
  </si>
  <si>
    <t>lamoli@oasisanbenedetto.it</t>
  </si>
  <si>
    <t>AGRITURISMO IL GINEPRO</t>
  </si>
  <si>
    <t>localita' Figgiano 46</t>
  </si>
  <si>
    <t>info@ilgineprofigiano.com</t>
  </si>
  <si>
    <t>AGRITURISMO SACCHIA ART FARM</t>
  </si>
  <si>
    <t>loc. Sacchia</t>
  </si>
  <si>
    <t>www.sacchiafarm.com</t>
  </si>
  <si>
    <t>info@sacchiafarm.com</t>
  </si>
  <si>
    <t>PAOLO CANGINI</t>
  </si>
  <si>
    <t>loc. Acquaviva 25</t>
  </si>
  <si>
    <t>CAGLI</t>
  </si>
  <si>
    <t>PAVONI LUCIO</t>
  </si>
  <si>
    <t>via Don Minzoni, 66 66/a</t>
  </si>
  <si>
    <t>lucia.pavoni.18@gmail.com</t>
  </si>
  <si>
    <t>GIUNTI FRANCESCO</t>
  </si>
  <si>
    <t>via Case Sparse 85</t>
  </si>
  <si>
    <t>loc. Naro</t>
  </si>
  <si>
    <t>B&amp;B VILLA ADA</t>
  </si>
  <si>
    <t>via B.Buozzi 37</t>
  </si>
  <si>
    <t>http://villaadacagli.tumblr.com/</t>
  </si>
  <si>
    <t>villaadacagli@gmail.com</t>
  </si>
  <si>
    <t>COUNTRY HOUSE IL GIORDANO,SASSO DELLA ROCCA</t>
  </si>
  <si>
    <t>via Centro Pieia 16,45</t>
  </si>
  <si>
    <t>Centro Pieia 16; Centro Pieia 45</t>
  </si>
  <si>
    <t>www.pieiavacanze.it</t>
  </si>
  <si>
    <t>info@pieiavacanze.it</t>
  </si>
  <si>
    <t>B&amp;B LA VILLA DEGLI ORTI</t>
  </si>
  <si>
    <t>via Flaminia Nord 153</t>
  </si>
  <si>
    <t>m.tassi@libero.it</t>
  </si>
  <si>
    <t>L'ONCIA</t>
  </si>
  <si>
    <t>loc. Ca' Serra</t>
  </si>
  <si>
    <t>zio.mele@libero.it</t>
  </si>
  <si>
    <t>VILLA DEGLI ORTI</t>
  </si>
  <si>
    <t>via Flaminia Nord  153</t>
  </si>
  <si>
    <t>info@ortiamo.it</t>
  </si>
  <si>
    <t>LA PIAZZA</t>
  </si>
  <si>
    <t>p.zza Matteotti 6</t>
  </si>
  <si>
    <t>www.casavacanzelapiazza.it</t>
  </si>
  <si>
    <t>info@casavacanzelapiazza.it</t>
  </si>
  <si>
    <t>B&amp;B MORETTI GIUSEPPE</t>
  </si>
  <si>
    <t>via Pian del Vescovo 16</t>
  </si>
  <si>
    <t>giusep.moretti@gmail.com</t>
  </si>
  <si>
    <t>B&amp;B LOCANDA DEGLI ANGELI</t>
  </si>
  <si>
    <t>CASE SPARSE 143</t>
  </si>
  <si>
    <t>FRAZ. ABBADIA DI NARO</t>
  </si>
  <si>
    <t>locandadegliangelidirita@gmail.com</t>
  </si>
  <si>
    <t>WOERNLE BETTINA</t>
  </si>
  <si>
    <t>mail@bewoernle.de</t>
  </si>
  <si>
    <t>RADI MILENA</t>
  </si>
  <si>
    <t>Via Faeto 7</t>
  </si>
  <si>
    <t>FRONTONE</t>
  </si>
  <si>
    <t>milenaradi7@gmail.com</t>
  </si>
  <si>
    <t>CASA MARIAA</t>
  </si>
  <si>
    <t>Vicolo Pino 9</t>
  </si>
  <si>
    <t>www.casamariaa.it</t>
  </si>
  <si>
    <t>contact@casamariaa.it</t>
  </si>
  <si>
    <t>DE RERUM NATURA</t>
  </si>
  <si>
    <t>Località Fornaci di Paravento  123</t>
  </si>
  <si>
    <t>www.coopdererumnatura.it</t>
  </si>
  <si>
    <t>cesare@ilpostodelleviole.it</t>
  </si>
  <si>
    <t>IL POSTO DELLE VIOLE</t>
  </si>
  <si>
    <t>Località Fornaci di Paravento 123</t>
  </si>
  <si>
    <t>www.ilpostodelleviole.it</t>
  </si>
  <si>
    <t>RICCI MARCO</t>
  </si>
  <si>
    <t>Frazione San Savino - Strada Provinciale 424 SNC</t>
  </si>
  <si>
    <t>SAN SAVINO</t>
  </si>
  <si>
    <t>casalecanneto@libero.it</t>
  </si>
  <si>
    <t>RELAIS DRUDA</t>
  </si>
  <si>
    <t>Atanagi 37</t>
  </si>
  <si>
    <t>AZIENDA AGRITURISTICA F.LLI FULVI</t>
  </si>
  <si>
    <t>strada Ca' Rio 1</t>
  </si>
  <si>
    <t>CA' BELVEDERE</t>
  </si>
  <si>
    <t>strada pigno monte martello 103</t>
  </si>
  <si>
    <t>www.cabelvedere.it</t>
  </si>
  <si>
    <t>info@cabelvedere.it</t>
  </si>
  <si>
    <t>AGRITURISMO FRESCINA</t>
  </si>
  <si>
    <t>localita' Frescina Abbadia di Naro  1</t>
  </si>
  <si>
    <t>www.frescina.com</t>
  </si>
  <si>
    <t>info@frescina.com</t>
  </si>
  <si>
    <t>CA' LE SUORE</t>
  </si>
  <si>
    <t>strada Monte Peruzzo 57</t>
  </si>
  <si>
    <t>www.calesuore.it</t>
  </si>
  <si>
    <t>info@calesuore.it</t>
  </si>
  <si>
    <t>SAN SILVESTRO</t>
  </si>
  <si>
    <t>localita' Monte Scatto 1</t>
  </si>
  <si>
    <t>info@agriturismo-sansilvestro.it</t>
  </si>
  <si>
    <t>AGRITURISMO CHE CELLO</t>
  </si>
  <si>
    <t>strada Sant' Angelo in Maiano 5</t>
  </si>
  <si>
    <t>maddalena.scotti@virgilio.it</t>
  </si>
  <si>
    <t>CAPOCCIA LUIGINA</t>
  </si>
  <si>
    <t>strada Monte Petrano 1</t>
  </si>
  <si>
    <t>B&amp;B GIANPAOLO LUCHINI</t>
  </si>
  <si>
    <t>localita' Secchiano strada Cagli Pianello 123</t>
  </si>
  <si>
    <t>LA FERRAIA</t>
  </si>
  <si>
    <t>strada Casale 10</t>
  </si>
  <si>
    <t>www.laferraia.it</t>
  </si>
  <si>
    <t>info@laferraia.it</t>
  </si>
  <si>
    <t>RESIDENZE TURISTICO ALBERGHIERE</t>
  </si>
  <si>
    <t>LA COLLINETTA</t>
  </si>
  <si>
    <t>via ca' lupo 27</t>
  </si>
  <si>
    <t>info@residencelacollinetta.com</t>
  </si>
  <si>
    <t>HOTEL PINETA</t>
  </si>
  <si>
    <t>viale della Vittoria 15</t>
  </si>
  <si>
    <t>info@hpineta.com</t>
  </si>
  <si>
    <t>INTERNATIONAL CAGLI HOTEL SRL</t>
  </si>
  <si>
    <t>strada Civita  5</t>
  </si>
  <si>
    <t>info@internationalcaglihotel.it</t>
  </si>
  <si>
    <t>BORGO FRESCINA</t>
  </si>
  <si>
    <t>ABBADIA DI NARO 118</t>
  </si>
  <si>
    <t>FRESCINA - CAGLI</t>
  </si>
  <si>
    <t>VILLA FONTALBA</t>
  </si>
  <si>
    <t>via flaminia nord 123</t>
  </si>
  <si>
    <t>www.villafontalba.it</t>
  </si>
  <si>
    <t>villafontalba@gmail.com</t>
  </si>
  <si>
    <t>LE RIPE DI BELIGNI IVO</t>
  </si>
  <si>
    <t>fraz. Cà Rio</t>
  </si>
  <si>
    <t>RANCO DI SOPRA</t>
  </si>
  <si>
    <t>strada caimarini 79</t>
  </si>
  <si>
    <t>www.rancodisopra.it</t>
  </si>
  <si>
    <t>info@rancodisopra.it</t>
  </si>
  <si>
    <t>LA COLTICCIOLA DI CANCELLIERI AUGUSTO</t>
  </si>
  <si>
    <t>strada cagli pergola 120</t>
  </si>
  <si>
    <t>aziendaagrituristicacancellieri.com</t>
  </si>
  <si>
    <t>cancellieri75@virgilio.it</t>
  </si>
  <si>
    <t>BONCLERICI HOUSE</t>
  </si>
  <si>
    <t>via tiranni 23</t>
  </si>
  <si>
    <t>www.bonclericihouse.it</t>
  </si>
  <si>
    <t>info@bonclericihouse.it</t>
  </si>
  <si>
    <t>B&amp;B PALADINI ROBERTO</t>
  </si>
  <si>
    <t>via Bencivenne Paganucci 23</t>
  </si>
  <si>
    <t>robertopaladini56@gmail.com</t>
  </si>
  <si>
    <t>LA CONTESA di BERTOZZI MAFALDA</t>
  </si>
  <si>
    <t>loc. Acquaviva 126</t>
  </si>
  <si>
    <t>ACQUAVIVA</t>
  </si>
  <si>
    <t>www.lacontesa.it</t>
  </si>
  <si>
    <t>info@lacontesa.it</t>
  </si>
  <si>
    <t>B&amp;B SAN PIETRO FUORI LE MURA</t>
  </si>
  <si>
    <t>via san pietro 14</t>
  </si>
  <si>
    <t>mhlpieri@gmail.com</t>
  </si>
  <si>
    <t>B&amp;B TORRE D'ACQUAVIVA</t>
  </si>
  <si>
    <t>via Molleone 5</t>
  </si>
  <si>
    <t>www.torreacquaviva.it</t>
  </si>
  <si>
    <t>amichelinitocci@yahoo.it</t>
  </si>
  <si>
    <t>AGRITURISMO COLLE DELLE GINESTRELLE DI CAPOCCIA CARLO</t>
  </si>
  <si>
    <t>via Flaminia Nord 23</t>
  </si>
  <si>
    <t>www.agriturcagli.it</t>
  </si>
  <si>
    <t>info@agriturcagli.it</t>
  </si>
  <si>
    <t>B&amp;B MONSERCHIO</t>
  </si>
  <si>
    <t>PIGNO MONTE MARTELLO  52</t>
  </si>
  <si>
    <t>k.strian@esaway.it</t>
  </si>
  <si>
    <t>LA TENUTA CA' GIONE DI NUCCI VALERIO E GIANMARCO</t>
  </si>
  <si>
    <t>STRADA SAN MARTINO CASTELL'ONESTO, 41 41</t>
  </si>
  <si>
    <t>STRADA SAN MARTINO</t>
  </si>
  <si>
    <t>www.tenutacagione.it</t>
  </si>
  <si>
    <t>info@tenutacagione.it</t>
  </si>
  <si>
    <t>VELLANETA</t>
  </si>
  <si>
    <t>strada pigno monte martello 82</t>
  </si>
  <si>
    <t>www.vellaneta.com</t>
  </si>
  <si>
    <t>agriturismo.vellaneta@esaway.it</t>
  </si>
  <si>
    <t>LE STANZE DI CLOTILDE</t>
  </si>
  <si>
    <t>via purgotti 64-66</t>
  </si>
  <si>
    <t>B&amp;B CA' MAGGIO NUOVO</t>
  </si>
  <si>
    <t>strada monte peruzzo 63</t>
  </si>
  <si>
    <t>www.camaggio.com</t>
  </si>
  <si>
    <t>info@camaggio.com</t>
  </si>
  <si>
    <t>AGRITURISMO MOLLEONE</t>
  </si>
  <si>
    <t>strada molleone 1</t>
  </si>
  <si>
    <t>AGRITURISMO BUFANO</t>
  </si>
  <si>
    <t>strada san fiorano 48</t>
  </si>
  <si>
    <t>www.agriturismobufano.it</t>
  </si>
  <si>
    <t>info@agriturismobufano.it</t>
  </si>
  <si>
    <t>COUNTRY HOUSE CA' BUCARINI</t>
  </si>
  <si>
    <t>case sparse naro 3</t>
  </si>
  <si>
    <t>bucarinilucia@gmail.com</t>
  </si>
  <si>
    <t>B&amp;B DEL TEATRO</t>
  </si>
  <si>
    <t>via Giacomo Leopardi 28</t>
  </si>
  <si>
    <t>www.bbdelteatro.it</t>
  </si>
  <si>
    <t>info@bbdelteatro.it</t>
  </si>
  <si>
    <t>B&amp;B LA ROSA ROSSA</t>
  </si>
  <si>
    <t>via del burano 1</t>
  </si>
  <si>
    <t>teresin@live.it</t>
  </si>
  <si>
    <t>RAGGIO DI SOLE</t>
  </si>
  <si>
    <t>localita' acquaviva 1</t>
  </si>
  <si>
    <t>AGRITURISMO CAMPAGNA</t>
  </si>
  <si>
    <t>strada pigno monte martello 1</t>
  </si>
  <si>
    <t>CA' MAGGIO NUOVO</t>
  </si>
  <si>
    <t>FONTE DELL'OLMO</t>
  </si>
  <si>
    <t>strada monte peruzzo 1</t>
  </si>
  <si>
    <t>purgotti2@virgilio.it</t>
  </si>
  <si>
    <t>RESIDENCE TORRE DEL SASSO</t>
  </si>
  <si>
    <t>localita' via stratta 1</t>
  </si>
  <si>
    <t>AGRITURISMO IL BORGHETTO AL POGGIO</t>
  </si>
  <si>
    <t>loc. Poggio San Cristoforo</t>
  </si>
  <si>
    <t>www.ilborghettoalpoggio.it</t>
  </si>
  <si>
    <t>info@ilborghettoalpoggio.it</t>
  </si>
  <si>
    <t>GREENE PETER ANDREW</t>
  </si>
  <si>
    <t>Strada Santa Barbara 5</t>
  </si>
  <si>
    <t>www.sancristoforo.info</t>
  </si>
  <si>
    <t>mail@le-marche.com</t>
  </si>
  <si>
    <t>B&amp;B VIABENAMATI</t>
  </si>
  <si>
    <t>via Benamati 13</t>
  </si>
  <si>
    <t>viabenamati@virgilio.it</t>
  </si>
  <si>
    <t>AGRITURISMO CA' BATTISTA</t>
  </si>
  <si>
    <t>strada Valubbio 29</t>
  </si>
  <si>
    <t>cabattista@hotmail.it</t>
  </si>
  <si>
    <t>CIANCAMERLA ROBERTA</t>
  </si>
  <si>
    <t>Strada San Martino Castell'onesto  27/a</t>
  </si>
  <si>
    <t>smirra di cagli</t>
  </si>
  <si>
    <t>www.castellonesto.com</t>
  </si>
  <si>
    <t>info@castellonesto.com</t>
  </si>
  <si>
    <t>PIO BRACCO</t>
  </si>
  <si>
    <t>San Paterniano 36</t>
  </si>
  <si>
    <t>SMIRRA</t>
  </si>
  <si>
    <t>www.lamaestade.it</t>
  </si>
  <si>
    <t>explorer@teletu.it ; piobracco@alice.it</t>
  </si>
  <si>
    <t>PACINI MARIA GABRIELLA</t>
  </si>
  <si>
    <t>LOCALITA' PARAVENTO 84</t>
  </si>
  <si>
    <t>LOCALITA' PARAVENTO</t>
  </si>
  <si>
    <t>lincantosullavalle@gmail.com</t>
  </si>
  <si>
    <t>MAGGIOLI GIUSEPPE E SERAFINI DORIANA</t>
  </si>
  <si>
    <t>info@dream-holidays.it</t>
  </si>
  <si>
    <t>AGRITURISMO SERRA CANINA</t>
  </si>
  <si>
    <t>loc.Serra Canina snc</t>
  </si>
  <si>
    <t>AMADUZZI GIOVANNA</t>
  </si>
  <si>
    <t>località Le Pieie Tarugo</t>
  </si>
  <si>
    <t>www.cadeinoci.com</t>
  </si>
  <si>
    <t>bonazelli6@libero.it</t>
  </si>
  <si>
    <t>ACQUABATTIGLIA</t>
  </si>
  <si>
    <t>via fossato 5</t>
  </si>
  <si>
    <t>CANTIANO</t>
  </si>
  <si>
    <t>ACQUABATTAGLIA</t>
  </si>
  <si>
    <t>www.acquabattaglia.com</t>
  </si>
  <si>
    <t>picorri@gmail.com</t>
  </si>
  <si>
    <t>VILLA ANTICA</t>
  </si>
  <si>
    <t>via Finocchieto 60</t>
  </si>
  <si>
    <t>località Fossato</t>
  </si>
  <si>
    <t>http://www.villaantica.eu/</t>
  </si>
  <si>
    <t>ddgiamb@alice.it</t>
  </si>
  <si>
    <t>B&amp;B CA' PARAVENTO</t>
  </si>
  <si>
    <t>via della fornace 73</t>
  </si>
  <si>
    <t>TRANQUILLO</t>
  </si>
  <si>
    <t>www.caparavento.it</t>
  </si>
  <si>
    <t>info@caparavento.it</t>
  </si>
  <si>
    <t>CA' PARAVENTO COUNTRY HOUSE</t>
  </si>
  <si>
    <t>COL D'AGELLO</t>
  </si>
  <si>
    <t>localita' san rocco 1</t>
  </si>
  <si>
    <t>LA LOCANDA DEL BROLIO</t>
  </si>
  <si>
    <t>via G. Mazzini 8</t>
  </si>
  <si>
    <t>www.locandadelbrolio.it</t>
  </si>
  <si>
    <t>info@locandadelbrolio.it</t>
  </si>
  <si>
    <t>OSTELLO SAN GIOVANNI BATTISTA</t>
  </si>
  <si>
    <t>via del mercato 4</t>
  </si>
  <si>
    <t>www.lamacina.it</t>
  </si>
  <si>
    <t>valerio@lamacina.it</t>
  </si>
  <si>
    <t>ALBERGO I CORDELLI</t>
  </si>
  <si>
    <t>via Cordelli 38</t>
  </si>
  <si>
    <t>frazione Chiaserna</t>
  </si>
  <si>
    <t>SANT'APOLLINARE FARMHOUSE RESORT</t>
  </si>
  <si>
    <t>Località Sant'Apollinare via San Crecentino  5</t>
  </si>
  <si>
    <t>SANT'APOLLINARE</t>
  </si>
  <si>
    <t>www.farmhouseresort.it</t>
  </si>
  <si>
    <t>marcoramberti@gmail.com</t>
  </si>
  <si>
    <t>B&amp;B LUCHETTI DANILA</t>
  </si>
  <si>
    <t>via della Badia 2</t>
  </si>
  <si>
    <t>studioquattro@studioquattromail.it</t>
  </si>
  <si>
    <t>CAMPEGGI</t>
  </si>
  <si>
    <t>CAMPING LE GINESTRE DEL CATRIA</t>
  </si>
  <si>
    <t>Via Fossato snc</t>
  </si>
  <si>
    <t>loc. Chiaserna</t>
  </si>
  <si>
    <t>www.camping-leginestredelcatria.it</t>
  </si>
  <si>
    <t>info@camping-leginestredelcatria.it</t>
  </si>
  <si>
    <t>B&amp;B LOVE SUITE NIDO D'AMORE</t>
  </si>
  <si>
    <t>loc. Cantoniera 12</t>
  </si>
  <si>
    <t>CARPEGNA</t>
  </si>
  <si>
    <t>www.lovesuites.it</t>
  </si>
  <si>
    <t>riccibr1@virgilio.it</t>
  </si>
  <si>
    <t>RESIDENCE HOTEL SAN MICHELE</t>
  </si>
  <si>
    <t>via Amaducci 51</t>
  </si>
  <si>
    <t>Carpegna</t>
  </si>
  <si>
    <t>www.hotelsmichele.com</t>
  </si>
  <si>
    <t>info@euromtour.it</t>
  </si>
  <si>
    <t>HOTEL SAN MICHELE</t>
  </si>
  <si>
    <t>PARADISO</t>
  </si>
  <si>
    <t>viale Paradiso 36</t>
  </si>
  <si>
    <t>www.campeggioparadisocarpegna.com</t>
  </si>
  <si>
    <t>info@campeggioparadiso.com</t>
  </si>
  <si>
    <t>RESIDENCE LE TERRAZZE di FILIPPETTI  GIULIANA</t>
  </si>
  <si>
    <t>via Cippo 38</t>
  </si>
  <si>
    <t>www.leterrazzecarpegna.it</t>
  </si>
  <si>
    <t>info@leterrazzecarpegna.it</t>
  </si>
  <si>
    <t>IL MANDRIANO</t>
  </si>
  <si>
    <t>via Cantoniera 76</t>
  </si>
  <si>
    <t>as_studio@libero.it</t>
  </si>
  <si>
    <t>HOTEL ANNA</t>
  </si>
  <si>
    <t>vicolo Francioni 4</t>
  </si>
  <si>
    <t>www.hotelannacarpegna.it</t>
  </si>
  <si>
    <t>info@hotelannacarpegna.it</t>
  </si>
  <si>
    <t>ULISSE</t>
  </si>
  <si>
    <t>via Amaducci, 16 16</t>
  </si>
  <si>
    <t>www.hotelulisse.it</t>
  </si>
  <si>
    <t>info@hotelulisse.it</t>
  </si>
  <si>
    <t>AZIENDA AGRITURISTICA LE VILLE</t>
  </si>
  <si>
    <t>via le Ville 1</t>
  </si>
  <si>
    <t>loc. le Ville di Carpegna</t>
  </si>
  <si>
    <t>www.levilleagriturismo.it</t>
  </si>
  <si>
    <t>info@levilleagriturismo.it</t>
  </si>
  <si>
    <t>LAURA GIOVAGNOLI</t>
  </si>
  <si>
    <t>DAVIDE ROSATI</t>
  </si>
  <si>
    <t>viale paradiso 36</t>
  </si>
  <si>
    <t>ROSATI FEDERICO</t>
  </si>
  <si>
    <t>Viale Paradiso 36</t>
  </si>
  <si>
    <t>B&amp;B IL BUGHETTO</t>
  </si>
  <si>
    <t>via Poggiale 16</t>
  </si>
  <si>
    <t>www.ilbughetto.it</t>
  </si>
  <si>
    <t>info@ilbughetto.it</t>
  </si>
  <si>
    <t>OSTELLO DELLA GIOVENTU'</t>
  </si>
  <si>
    <t>via Rio Maggio 1</t>
  </si>
  <si>
    <t>HOTEL IL POGGIO</t>
  </si>
  <si>
    <t>via Poggio 22</t>
  </si>
  <si>
    <t>www.hotelilpoggio.it</t>
  </si>
  <si>
    <t>info@hotelilpoggio.it</t>
  </si>
  <si>
    <t>B&amp;B LA PACE</t>
  </si>
  <si>
    <t>via Bottegno  1</t>
  </si>
  <si>
    <t>Campo c/o Belforte all'Isauro</t>
  </si>
  <si>
    <t>www.la-pace.it</t>
  </si>
  <si>
    <t>info@la-pace.it</t>
  </si>
  <si>
    <t>IL MONTE</t>
  </si>
  <si>
    <t>via Montepartemio 10</t>
  </si>
  <si>
    <t>CARTOCETO</t>
  </si>
  <si>
    <t>www.casapartemio.it</t>
  </si>
  <si>
    <t>casapartemio@gmail.com</t>
  </si>
  <si>
    <t>B&amp;B TRE CIVETTE SUL COMO'</t>
  </si>
  <si>
    <t>via S. Bernardino 12</t>
  </si>
  <si>
    <t>didi.adri@libero.it</t>
  </si>
  <si>
    <t>LOCANDA BORGOGNINA</t>
  </si>
  <si>
    <t>via Borgognina 31</t>
  </si>
  <si>
    <t>www.locandaborgognina.it</t>
  </si>
  <si>
    <t>locandaborgognina@libero.it</t>
  </si>
  <si>
    <t>LA ROSA</t>
  </si>
  <si>
    <t>via Morola 21</t>
  </si>
  <si>
    <t>www.agriturismolarosacartoceto.it</t>
  </si>
  <si>
    <t>info@agriturismolarosacartoceto.it</t>
  </si>
  <si>
    <t>B&amp;B BORGHI DELLA ROCCA</t>
  </si>
  <si>
    <t>via Giacomo Rossini 4</t>
  </si>
  <si>
    <t>www.borghidellarocca.it</t>
  </si>
  <si>
    <t>info@borghidellarocca.it</t>
  </si>
  <si>
    <t>AGLI ULIVI DI RIPALTA</t>
  </si>
  <si>
    <t>via piana 10</t>
  </si>
  <si>
    <t>info@affittacamereripalta.it</t>
  </si>
  <si>
    <t>CASA MONTEFIORE</t>
  </si>
  <si>
    <t>via montefiore 3</t>
  </si>
  <si>
    <t>www.casamontefiore.it</t>
  </si>
  <si>
    <t>catia.capodagli@libero.it</t>
  </si>
  <si>
    <t>B&amp;B RIVA DEGLI OLIVI</t>
  </si>
  <si>
    <t>VIA BOTTACCIO 14</t>
  </si>
  <si>
    <t>rivadegliolivi@gmail.com</t>
  </si>
  <si>
    <t>B&amp;B AILANTO</t>
  </si>
  <si>
    <t>via D.Berloni  3</t>
  </si>
  <si>
    <t>www.ailanto-beb.com</t>
  </si>
  <si>
    <t>emiliano.eusepi@hotmail.com</t>
  </si>
  <si>
    <t>CASALE TALEVI</t>
  </si>
  <si>
    <t>ALBERONE 5</t>
  </si>
  <si>
    <t>www.casaletalevi.it</t>
  </si>
  <si>
    <t>info@casaletalevi.it</t>
  </si>
  <si>
    <t>AGRITURISMO LA LOCANDA DEL GELSO</t>
  </si>
  <si>
    <t>via morola 12</t>
  </si>
  <si>
    <t>www.lalocandadelgelso.it</t>
  </si>
  <si>
    <t>info@lalocandadelgelso.it</t>
  </si>
  <si>
    <t>CASA MONTEFIORE II</t>
  </si>
  <si>
    <t>CASA SGARZI'N</t>
  </si>
  <si>
    <t>Via Settembrini 12</t>
  </si>
  <si>
    <t>LUCREZIA</t>
  </si>
  <si>
    <t>taddeicarmen@libero.it</t>
  </si>
  <si>
    <t>STABILIMENTI BALNEARI</t>
  </si>
  <si>
    <t>ISLAMORADA DOG-BEACH</t>
  </si>
  <si>
    <t>Via Faa di Bruno SN</t>
  </si>
  <si>
    <t>FANO</t>
  </si>
  <si>
    <t>PONTE SASSO</t>
  </si>
  <si>
    <t>www.islamorada.it</t>
  </si>
  <si>
    <t>info@islamorada.it</t>
  </si>
  <si>
    <t>PRIMAVERA MARIELLA</t>
  </si>
  <si>
    <t>Via Raffaele Jozzino 1</t>
  </si>
  <si>
    <t>mariellaboiani@yahoo.it</t>
  </si>
  <si>
    <t>CURINA PAOLA</t>
  </si>
  <si>
    <t>Via Campioni 3</t>
  </si>
  <si>
    <t>giolun70@gmail.com</t>
  </si>
  <si>
    <t>ESPOSITO MARIACHIARA</t>
  </si>
  <si>
    <t>Viale Romagna 45</t>
  </si>
  <si>
    <t>telematico@renierassociati.com</t>
  </si>
  <si>
    <t>GASPARONI LUIGI APP.TO VIA DE GASPERI 18</t>
  </si>
  <si>
    <t>Via De Gasperi 18</t>
  </si>
  <si>
    <t>segreteria@consulgest.eu</t>
  </si>
  <si>
    <t>MAGRINI INES</t>
  </si>
  <si>
    <t>Via della Marina 34</t>
  </si>
  <si>
    <t>ghinocelani@email.it</t>
  </si>
  <si>
    <t>IL GRECALE</t>
  </si>
  <si>
    <t>Via Sas 459</t>
  </si>
  <si>
    <t>c.vitali62@gmail.com</t>
  </si>
  <si>
    <t>IL GRECALE 2</t>
  </si>
  <si>
    <t>Via Snas  461</t>
  </si>
  <si>
    <t>BONANOMI GRETA</t>
  </si>
  <si>
    <t>Via Caminate 31</t>
  </si>
  <si>
    <t>bbtanadellupo@gmail.com</t>
  </si>
  <si>
    <t>HOTEL SOLE RESORT</t>
  </si>
  <si>
    <t>via Faa' di Bruno 103</t>
  </si>
  <si>
    <t>www.hotelsole-marotta.it</t>
  </si>
  <si>
    <t>info@hotelsole-marotta.it</t>
  </si>
  <si>
    <t>DELLASANTA MASSIMO</t>
  </si>
  <si>
    <t>Via Cavazzotti 7</t>
  </si>
  <si>
    <t>massimo.dellasanta@libero.it</t>
  </si>
  <si>
    <t>BETTINI MARIA LUISA</t>
  </si>
  <si>
    <t>Via Nazario Sauro 266/B</t>
  </si>
  <si>
    <t>goffredodonini@katamail.com</t>
  </si>
  <si>
    <t>BORGOGELLI OTTAVIANI MARCO</t>
  </si>
  <si>
    <t>Vicolo Alavolini 9</t>
  </si>
  <si>
    <t>borgomarco@libero.it</t>
  </si>
  <si>
    <t>BIAGIOTTI GIACOMO</t>
  </si>
  <si>
    <t>Via Giacomo Puccini 14/A</t>
  </si>
  <si>
    <t>biagiotti.giacomo@gmail.com</t>
  </si>
  <si>
    <t>CRESTINI GIANFRANCESCO</t>
  </si>
  <si>
    <t>Via del Pietrisco 30</t>
  </si>
  <si>
    <t>IACCHINI ISABELLA</t>
  </si>
  <si>
    <t>Via Giacomo Puccini 18</t>
  </si>
  <si>
    <t>MANCINELLI SERENELLA</t>
  </si>
  <si>
    <t>Via L. D. Aureliano 17</t>
  </si>
  <si>
    <t>serimancinelli31@gmail.com</t>
  </si>
  <si>
    <t>ORCIANI MARSINO</t>
  </si>
  <si>
    <t>Via Trieste 10</t>
  </si>
  <si>
    <t>VITALI CARMEN</t>
  </si>
  <si>
    <t>Via Dei Mille  15/A PU</t>
  </si>
  <si>
    <t>vitali1952@gmail.com</t>
  </si>
  <si>
    <t>BORGHESI ELVIO</t>
  </si>
  <si>
    <t>Via degli Schiavoni 17</t>
  </si>
  <si>
    <t>elvio.bor@gmail.com</t>
  </si>
  <si>
    <t>L'EREMO AFFITTACAMERE</t>
  </si>
  <si>
    <t>via Prelato 14</t>
  </si>
  <si>
    <t>carnaroli.m@libero.it</t>
  </si>
  <si>
    <t>CENCI ROBERTO</t>
  </si>
  <si>
    <t>Viale Adriatico 16/A</t>
  </si>
  <si>
    <t>VERNA STEFANO</t>
  </si>
  <si>
    <t>Via Adriatico 108</t>
  </si>
  <si>
    <t>VILLA MAURO MARE</t>
  </si>
  <si>
    <t>Via A. Cappellini 58-60</t>
  </si>
  <si>
    <t>info@villamaurosanmartino.it</t>
  </si>
  <si>
    <t>B&amp;B IL TIGLIO</t>
  </si>
  <si>
    <t>Via Luciano Manara 23</t>
  </si>
  <si>
    <t>iltigliofano.altervista.org</t>
  </si>
  <si>
    <t>bbiltiglio@libero.it</t>
  </si>
  <si>
    <t>AGRITURISMO PETTIROSSO</t>
  </si>
  <si>
    <t>LOC. MADONNA PONTE 89/A</t>
  </si>
  <si>
    <t>http://www.agriturismopettirosso.it/</t>
  </si>
  <si>
    <t>info@agriturismopettirosso.it</t>
  </si>
  <si>
    <t>SCIPLINO MARIA TERESA</t>
  </si>
  <si>
    <t>Vicolo Alavolini 6</t>
  </si>
  <si>
    <t>m.teresasciplino@virgilio.it</t>
  </si>
  <si>
    <t>SANTINI SERENELLA APP.TO 210/C</t>
  </si>
  <si>
    <t>SS. Adriatica sud  210/C</t>
  </si>
  <si>
    <t>SANTINI SERENELLA APP.TO 210/A</t>
  </si>
  <si>
    <t>SS. Adriatica sud  210/A</t>
  </si>
  <si>
    <t>SANTINI SERENELLA APP.TO 210/B</t>
  </si>
  <si>
    <t>SS. Adriatica sud 210/B</t>
  </si>
  <si>
    <t>SANTINI SERENELLA APP.TO 212/C</t>
  </si>
  <si>
    <t>SS. Adriatica sud 212/C</t>
  </si>
  <si>
    <t>SANTINI SERENELLA APP.TO 212/B</t>
  </si>
  <si>
    <t>SS. Adriatica sud 212/B</t>
  </si>
  <si>
    <t>SANTINI SERENELLA APP.TO 212/A</t>
  </si>
  <si>
    <t>SS. Adriatica sud 212/A</t>
  </si>
  <si>
    <t>LA DARSENA</t>
  </si>
  <si>
    <t>Via Nazario Sauro 24</t>
  </si>
  <si>
    <t>daquinox@libero.it</t>
  </si>
  <si>
    <t>SPIAGGIA DEI TALENTI</t>
  </si>
  <si>
    <t>ilgermogliocooperativa@gmail.com</t>
  </si>
  <si>
    <t>AIUDI ALBERTO</t>
  </si>
  <si>
    <t>Via Gorizia 11</t>
  </si>
  <si>
    <t>aiudisnc@libero.it</t>
  </si>
  <si>
    <t>COSTANZA</t>
  </si>
  <si>
    <t>MARTINO DA FANO  36</t>
  </si>
  <si>
    <t>Fano zona Centro</t>
  </si>
  <si>
    <t>schiaroli.luciano@gmail.com</t>
  </si>
  <si>
    <t>CASA RELIGIOSA DI OSPITALITA' MAESTRE PIE VENERINI</t>
  </si>
  <si>
    <t>MONTEVECCHIO  51</t>
  </si>
  <si>
    <t>maestrepie.venerini1@gmail.com</t>
  </si>
  <si>
    <t>B&amp;B CASA SGARIA</t>
  </si>
  <si>
    <t>DEL MULINO  44</t>
  </si>
  <si>
    <t>FENILE</t>
  </si>
  <si>
    <t>www.casasgaria.it</t>
  </si>
  <si>
    <t>serfetanto@gmail.com</t>
  </si>
  <si>
    <t>ZIA LELLY B&amp;B</t>
  </si>
  <si>
    <t>VIA VITTORIO VENETO 80/B</t>
  </si>
  <si>
    <t>elenapatrizi@gmail.com</t>
  </si>
  <si>
    <t>BIAGIOTTI ENNIO (9/13)</t>
  </si>
  <si>
    <t>VIA TRIESTE 9/13</t>
  </si>
  <si>
    <t>gest-service@pec.it</t>
  </si>
  <si>
    <t>CANESTRARI FRANCO</t>
  </si>
  <si>
    <t>VIA NIGUSANTI e VIALE PRIMO MAGGIO 25/41</t>
  </si>
  <si>
    <t>canestrari89@hotmail.it</t>
  </si>
  <si>
    <t>CICERCHIA MARIA (11)</t>
  </si>
  <si>
    <t>VIA TRIESTE 11</t>
  </si>
  <si>
    <t>FIORELLI ATTILIO</t>
  </si>
  <si>
    <t>VIALE TRIESTE 4</t>
  </si>
  <si>
    <t>r.andrea@sed84.com</t>
  </si>
  <si>
    <t>VILLA AUGUSTA</t>
  </si>
  <si>
    <t>LOCALITA' SAN BIAGIO 43</t>
  </si>
  <si>
    <t>SAN BIAGIO</t>
  </si>
  <si>
    <t>villa.augusta.fano@gmail.com</t>
  </si>
  <si>
    <t>MENACCINI DIEGO</t>
  </si>
  <si>
    <t>VIA NAZARIO SAURO 22</t>
  </si>
  <si>
    <t>MOLINO MONACELLI COUNTRY HOUSE</t>
  </si>
  <si>
    <t>località Fenile  88</t>
  </si>
  <si>
    <t>località Fenile</t>
  </si>
  <si>
    <t>www.molinomonacelli.it</t>
  </si>
  <si>
    <t>info@molinomonacelli.it; ludochan@hotmail.it</t>
  </si>
  <si>
    <t>B&amp;B LA CASA DI FANO</t>
  </si>
  <si>
    <t>corso Matteotti 173</t>
  </si>
  <si>
    <t>info@lacasadifano.it</t>
  </si>
  <si>
    <t>CAMPING MADONNA PONTE</t>
  </si>
  <si>
    <t>via delle Brecce 25</t>
  </si>
  <si>
    <t>www.campingmadonnaponte.it</t>
  </si>
  <si>
    <t>info@campingmadonnaponte.it</t>
  </si>
  <si>
    <t>ALBERGO EURO</t>
  </si>
  <si>
    <t>B&amp;B AL VILLINO DEL SOLE</t>
  </si>
  <si>
    <t>via Loc.Chiaruccia 78</t>
  </si>
  <si>
    <t>Bellocchi</t>
  </si>
  <si>
    <t>www.alvillinodelsole.it</t>
  </si>
  <si>
    <t>info@alvillinodelsole.it</t>
  </si>
  <si>
    <t>BIONDI AGNESE</t>
  </si>
  <si>
    <t>via SNASS 447</t>
  </si>
  <si>
    <t>mircobiondi@libero.it</t>
  </si>
  <si>
    <t>BENCIVENNI CESARE</t>
  </si>
  <si>
    <t>via Bellavista 1</t>
  </si>
  <si>
    <t>cesarebencivenni@tiscali.it</t>
  </si>
  <si>
    <t>BENCIVENNI SOFIA</t>
  </si>
  <si>
    <t>B&amp;B VERDAZZURRO di FILIPPETTI ELISABETTA</t>
  </si>
  <si>
    <t>via Poggi 17</t>
  </si>
  <si>
    <t>www.bnbverdazzurro.it</t>
  </si>
  <si>
    <t>info@bnbverdazzurro.it</t>
  </si>
  <si>
    <t>VILLA GIULIA</t>
  </si>
  <si>
    <t>www.relaisvillagiulia.com</t>
  </si>
  <si>
    <t>info@relaisvillagiulia.com</t>
  </si>
  <si>
    <t>B&amp;B A 2 PASSI</t>
  </si>
  <si>
    <t>VIA DEL PONTE 15</t>
  </si>
  <si>
    <t>breakaduepassi@gmail.com</t>
  </si>
  <si>
    <t>B&amp;B TERRAZZA SUL MARE</t>
  </si>
  <si>
    <t>VIA MARZABOTTO 12</t>
  </si>
  <si>
    <t>mei-pla1965@hotmail.it</t>
  </si>
  <si>
    <t>SACCHI FERNANDA</t>
  </si>
  <si>
    <t>AURELIANO 9</t>
  </si>
  <si>
    <t>inesistente@regione.marche.it</t>
  </si>
  <si>
    <t>MACCARI DANILO</t>
  </si>
  <si>
    <t>via Lucio Domizio Aureliano 12</t>
  </si>
  <si>
    <t>danilo.maccari@gmail.com</t>
  </si>
  <si>
    <t>PIERETTI SILVIA</t>
  </si>
  <si>
    <t>LAGO DI PILATO 5</t>
  </si>
  <si>
    <t>DEL VECCHIO VILMA</t>
  </si>
  <si>
    <t>via Ferretto  21</t>
  </si>
  <si>
    <t>B&amp;B BIGOTTI 3</t>
  </si>
  <si>
    <t>via Flaminia 444/f</t>
  </si>
  <si>
    <t>www.bigotti.it</t>
  </si>
  <si>
    <t>infobigotti@gmail.com</t>
  </si>
  <si>
    <t>GIROLAMETTI DANIELA</t>
  </si>
  <si>
    <t>via E.Storti 2</t>
  </si>
  <si>
    <t>B&amp;B MERY'S HOUSE</t>
  </si>
  <si>
    <t>viale Romagna 28</t>
  </si>
  <si>
    <t>www.meyhouse.it</t>
  </si>
  <si>
    <t>maria.arias@hotmail.it</t>
  </si>
  <si>
    <t>QUATTRO STAGIONI</t>
  </si>
  <si>
    <t>via Caminate 75</t>
  </si>
  <si>
    <t>ramonanecsoi@gmail.com</t>
  </si>
  <si>
    <t>MONTANARI LEONELLO</t>
  </si>
  <si>
    <t>VIA FAA DI BRUNO 118</t>
  </si>
  <si>
    <t>NARDINI BRUNO</t>
  </si>
  <si>
    <t>via Vanvitelli 27</t>
  </si>
  <si>
    <t>BIAGIOTTI PATRIZIA</t>
  </si>
  <si>
    <t>VIA DEI MANDORLI 1</t>
  </si>
  <si>
    <t>BIAGIOTTI EVELINA</t>
  </si>
  <si>
    <t>VIA FAA' DI BRUNO 136/b</t>
  </si>
  <si>
    <t>OLIVA GIULIA</t>
  </si>
  <si>
    <t>TRENTO 13</t>
  </si>
  <si>
    <t>luigicanestrari49@gmail.com</t>
  </si>
  <si>
    <t>BIAGIOTTI EUGENIO (136/b)</t>
  </si>
  <si>
    <t>info@fanoaffitti.it</t>
  </si>
  <si>
    <t>B&amp;B LE QUATTRO STAGIONI</t>
  </si>
  <si>
    <t>bblequattrostagioni@gmail.com</t>
  </si>
  <si>
    <t>B&amp;B GRETA</t>
  </si>
  <si>
    <t>LOC. CARIGNANO 57</t>
  </si>
  <si>
    <t>CARIGNANO</t>
  </si>
  <si>
    <t>giovannigiommi@alice.it</t>
  </si>
  <si>
    <t>B&amp;B CAVALIER GENTILE</t>
  </si>
  <si>
    <t>VIA CAVALIER GENTILE 161</t>
  </si>
  <si>
    <t>www.cavaliergentile.it</t>
  </si>
  <si>
    <t>info@cavaliergentile.it</t>
  </si>
  <si>
    <t>B&amp;B SANT'ANDREA</t>
  </si>
  <si>
    <t>VIA SANT'ANDREA 50</t>
  </si>
  <si>
    <t>S. ANDREA IN VILLIS</t>
  </si>
  <si>
    <t>www.santandreabb.it</t>
  </si>
  <si>
    <t>info@santandreabb.it</t>
  </si>
  <si>
    <t>B&amp;B IL GIARDINO RITROVATO</t>
  </si>
  <si>
    <t>VIA VI STRADA 40</t>
  </si>
  <si>
    <t>BELLOCCHI DI FANO</t>
  </si>
  <si>
    <t>info@ilgiardinoritrovato.it</t>
  </si>
  <si>
    <t>B&amp;B A CASA DI ERNESTO</t>
  </si>
  <si>
    <t>VIA GUARNIERI 7</t>
  </si>
  <si>
    <t>acasadiernesto.fano@gmail.com</t>
  </si>
  <si>
    <t>B&amp;B LA CARDINELLA</t>
  </si>
  <si>
    <t>LOCALITA' FENILE 11/A</t>
  </si>
  <si>
    <t>www.lacardinella.it</t>
  </si>
  <si>
    <t>info@lacardinella.it</t>
  </si>
  <si>
    <t>OMICCIOLI ALESSANDRO</t>
  </si>
  <si>
    <t>VIA G.FATTORI 3</t>
  </si>
  <si>
    <t>aleomiccioli@alice.it</t>
  </si>
  <si>
    <t>SOTTO LE STELLE</t>
  </si>
  <si>
    <t>IX Strada  34</t>
  </si>
  <si>
    <t>bellocchi</t>
  </si>
  <si>
    <t>bb.sottolestelle@gmail.com</t>
  </si>
  <si>
    <t>B&amp;B VITRUVIO</t>
  </si>
  <si>
    <t>PIAZZA AMIANI  4</t>
  </si>
  <si>
    <t>iantognozzi72@gmail.com</t>
  </si>
  <si>
    <t>B&amp;B VILLINO ELISABETTA</t>
  </si>
  <si>
    <t>ABRUZZI  4</t>
  </si>
  <si>
    <t>carmar@gmail.com</t>
  </si>
  <si>
    <t>FURLANI MAGDA</t>
  </si>
  <si>
    <t>Via Nazario Sauro SNC</t>
  </si>
  <si>
    <t>magdalenafurlani@gmail.com</t>
  </si>
  <si>
    <t>IL COLLE DELLE TERRAZZE</t>
  </si>
  <si>
    <t>Via Roncosambaccio 118</t>
  </si>
  <si>
    <t>RONCOSAMBACCIO</t>
  </si>
  <si>
    <t>mchiaragiovanetti@gmail.com</t>
  </si>
  <si>
    <t>VERNELLI ALESSIA</t>
  </si>
  <si>
    <t>via buonincontri 19</t>
  </si>
  <si>
    <t>AL COLLE SAN GIOVANNI</t>
  </si>
  <si>
    <t>strada comunale di montegiove 104</t>
  </si>
  <si>
    <t>serefabiani@libero.it</t>
  </si>
  <si>
    <t>ASTORIA GOURMET &amp; RELAX</t>
  </si>
  <si>
    <t>viale cairoli 86</t>
  </si>
  <si>
    <t>www.hotelastoriafano.it</t>
  </si>
  <si>
    <t>info@hotelastoriafano.it</t>
  </si>
  <si>
    <t>AFFITTACAMERE OASI</t>
  </si>
  <si>
    <t>via belsito 17</t>
  </si>
  <si>
    <t>hotel.oasi@gostec.net</t>
  </si>
  <si>
    <t>B&amp;B SASSONIA</t>
  </si>
  <si>
    <t>via ruggero ruggeri 20</t>
  </si>
  <si>
    <t>bbsassonia@yahoo.it</t>
  </si>
  <si>
    <t>B&amp;B BAJOCCHI GIANCARLA</t>
  </si>
  <si>
    <t>Petrarca 6</t>
  </si>
  <si>
    <t>dacarla.fano@gmail.com</t>
  </si>
  <si>
    <t>PALM BEACH</t>
  </si>
  <si>
    <t>strada nazionale adriatica sud 1 1</t>
  </si>
  <si>
    <t>BAGNI CAMPING MIMOSA</t>
  </si>
  <si>
    <t>via buonincontri 1 1</t>
  </si>
  <si>
    <t>info@campinglamimosa.it</t>
  </si>
  <si>
    <t>www.campinglamimosa.it</t>
  </si>
  <si>
    <t>B&amp;B A CASA DA MATILDE</t>
  </si>
  <si>
    <t>strada nazionale flaminia 124</t>
  </si>
  <si>
    <t>www.acasadamatilde.it</t>
  </si>
  <si>
    <t>info@acasadamatilde.it</t>
  </si>
  <si>
    <t>CA' DORALE</t>
  </si>
  <si>
    <t>localita' fenile 81</t>
  </si>
  <si>
    <t>www.agriturismocadorale.it</t>
  </si>
  <si>
    <t>cadorale@gmail.com</t>
  </si>
  <si>
    <t>CAMERE IN AFFITTO DA FARINA</t>
  </si>
  <si>
    <t>Via Ticino T 1 D</t>
  </si>
  <si>
    <t>CARRARA DI FANO</t>
  </si>
  <si>
    <t>mori-2004@libero.it</t>
  </si>
  <si>
    <t>B&amp;B VILLA ROSABELLA</t>
  </si>
  <si>
    <t>via del colle 26</t>
  </si>
  <si>
    <t>www.villarosabella.it</t>
  </si>
  <si>
    <t>catiacento@libero.it</t>
  </si>
  <si>
    <t>DA CARIGNANO</t>
  </si>
  <si>
    <t>localita' bevano 70</t>
  </si>
  <si>
    <t>www.dacarignano.it</t>
  </si>
  <si>
    <t>info@dacarignano.it</t>
  </si>
  <si>
    <t>COUNTRY HOUSE ISOLA BELGATTO</t>
  </si>
  <si>
    <t>località belgatto 87</t>
  </si>
  <si>
    <t>www.isolabelgatto.it</t>
  </si>
  <si>
    <t>planet@isolabelgatto.it</t>
  </si>
  <si>
    <t>COUNTRY HOUSE CASTELLO DI MONTEGIOVE</t>
  </si>
  <si>
    <t>via Forcolo 26</t>
  </si>
  <si>
    <t>www.castellomontegiovehotel.com</t>
  </si>
  <si>
    <t>info@castellomontegiove.it</t>
  </si>
  <si>
    <t>MARINA</t>
  </si>
  <si>
    <t>viale Adriatico 15</t>
  </si>
  <si>
    <t xml:space="preserve">info@hotelmarinafano.it
</t>
  </si>
  <si>
    <t xml:space="preserve">www.hotelmarinafano.it
</t>
  </si>
  <si>
    <t>HOTEL IMPERIAL</t>
  </si>
  <si>
    <t>via faa' di bruno 119 119</t>
  </si>
  <si>
    <t>BAGNI ARZILLA DI MONTALBINI E TANFANI S.N.C.</t>
  </si>
  <si>
    <t>via del moletto 1 1</t>
  </si>
  <si>
    <t>BAGNI MARINO DI ALBERTINI ILARIO &amp; C.</t>
  </si>
  <si>
    <t>via faa' di bruno 1 1</t>
  </si>
  <si>
    <t>BAR SPIAGGIA DEI FIORI</t>
  </si>
  <si>
    <t>via delle nasse 1 1</t>
  </si>
  <si>
    <t>spiaggiadeifiori@pec.it</t>
  </si>
  <si>
    <t>BAGNI FRANCO (Conc. N° 56) DI GAUDENZI GIANFRANCO</t>
  </si>
  <si>
    <t>VIA SNAN - FOSSO SEJORE - FANO 2 2</t>
  </si>
  <si>
    <t xml:space="preserve"> FOSSO SEIORE - FANO</t>
  </si>
  <si>
    <t>info@bagnifranco.it</t>
  </si>
  <si>
    <t>www.bagnifranco.it</t>
  </si>
  <si>
    <t>BAGNI ELSA DI TOMBARI ELSA ISOLA</t>
  </si>
  <si>
    <t>FOSSO SEJORE - FANO</t>
  </si>
  <si>
    <t>BAGNI LIDO 1 di CECCONI MATTEO &amp; C. s.n.c. (Conc. N° 235)</t>
  </si>
  <si>
    <t>via c. simonetti 235 235</t>
  </si>
  <si>
    <t>BAGNI 5 - TAM TAM BEACH</t>
  </si>
  <si>
    <t>via della baia 5 5</t>
  </si>
  <si>
    <t>BAGNI LIDO 2 di FRANCHINI FRANCO (Conc. N° 18)</t>
  </si>
  <si>
    <t>via c. simonetti 18 18</t>
  </si>
  <si>
    <t>g.gianca@libero.it</t>
  </si>
  <si>
    <t>HOTEL PLAYA PRINCIPE</t>
  </si>
  <si>
    <t>LA META BEACH DI FERRI MAURO</t>
  </si>
  <si>
    <t>METAURILIA - FANO</t>
  </si>
  <si>
    <t>bastia71@hotmail.com</t>
  </si>
  <si>
    <t>HOTEL RUHIG DI CILINA MARE SRL</t>
  </si>
  <si>
    <t>via faa' di bruno 165 165</t>
  </si>
  <si>
    <t>info@hotelruhig.com</t>
  </si>
  <si>
    <t>www.hotelruhig.com</t>
  </si>
  <si>
    <t>BAGNI CLAUDIA (Conc. N° 17)</t>
  </si>
  <si>
    <t>via cappellini 17 17</t>
  </si>
  <si>
    <t>BAGNI CLAUDIA (Conc. N° 140)</t>
  </si>
  <si>
    <t>via cappellini 140 140</t>
  </si>
  <si>
    <t>FANTASY BEACH DI TONELLI EMANUELE</t>
  </si>
  <si>
    <t>BAGNI AZZURRA</t>
  </si>
  <si>
    <t>via cappellini 1 1</t>
  </si>
  <si>
    <t>pinciodes@gmail.com</t>
  </si>
  <si>
    <t>BAGNI CARMEN DI BATTISTI LEONELLO E BATTISTONI CARMEN LUISA</t>
  </si>
  <si>
    <t>BAGNI CARAVEL DI CUICCHI MARINO &amp; C. SAS</t>
  </si>
  <si>
    <t>Via Faa' di Bruno 135 135</t>
  </si>
  <si>
    <t>Marotta di Fano</t>
  </si>
  <si>
    <t>info@hotel-caravel.it</t>
  </si>
  <si>
    <t>www.hotel-caravel.it</t>
  </si>
  <si>
    <t>BAGNI SOLEADO DI DIOTALLEVI DAVIDE &amp; C.</t>
  </si>
  <si>
    <t>BAGNI SERGIO DI CIAVAGLIA ADAMO</t>
  </si>
  <si>
    <t>viale adriatico 1 1</t>
  </si>
  <si>
    <t>BAGNI LORY DI CASAGRANDE BACCHIOCCHI FABIO</t>
  </si>
  <si>
    <t>via cappellini 21 21</t>
  </si>
  <si>
    <t>BAGNI CAMPING METAURO</t>
  </si>
  <si>
    <t>TORRETTE</t>
  </si>
  <si>
    <t>BAGNI CARLO DI LISOTTI GABRIELLA (Conc N° 48)</t>
  </si>
  <si>
    <t>viale adriatico 48 48</t>
  </si>
  <si>
    <t>LIDO 3 DI GAMBINI GIANFRANCA &amp; C. S.A.S.</t>
  </si>
  <si>
    <t>via c. simonetti 7 7</t>
  </si>
  <si>
    <t>lidodifano@alice.it</t>
  </si>
  <si>
    <t>REGINA BEACH DI BACCHIOCCHI SILVIA E CIACCI SIRIANA</t>
  </si>
  <si>
    <t>BAGNI ERMETE DI GLORI MAURIZIO</t>
  </si>
  <si>
    <t>via stelle di mare 1 1</t>
  </si>
  <si>
    <t>IL LIDO DELLE PALME DI BATTISTI FRANCESCA &amp; C. S.N.C.</t>
  </si>
  <si>
    <t>SPIAGGIA DEI GABBIANI DI STAFOGGIA WALTER</t>
  </si>
  <si>
    <t>via lucio domizio aureliano 1 1</t>
  </si>
  <si>
    <t>BAGNI PEPPE DI TARINI GIUSEPPE</t>
  </si>
  <si>
    <t>info@bagnipeppe.it</t>
  </si>
  <si>
    <t>www.bagnipeppe.it</t>
  </si>
  <si>
    <t>BAGNI MAURIZIO di GABBIANELLI IRIDE</t>
  </si>
  <si>
    <t>info@bagnimaurizio.it</t>
  </si>
  <si>
    <t>www.bagnimaurizio.it</t>
  </si>
  <si>
    <t>BAGNI CRIDA DI BARTOLUCCI PAOLO E DAVIDE</t>
  </si>
  <si>
    <t>KENDWA BEACH DI CURSI MASSIMO</t>
  </si>
  <si>
    <t>via della baia 1 1</t>
  </si>
  <si>
    <t>BAGNI GABRIELE DI BARBINI GABRIELE</t>
  </si>
  <si>
    <t>BAGNI ALDA DI MASTROGIACOMI MARCO</t>
  </si>
  <si>
    <t>info@bagnialda.it</t>
  </si>
  <si>
    <t>BAGNI TORRETTE DI MANDOLINI MAURO E MARCO</t>
  </si>
  <si>
    <t>BLU BEACH</t>
  </si>
  <si>
    <t>strada nazionale adriatica sud 203 203</t>
  </si>
  <si>
    <t>info@campingmareblu.net</t>
  </si>
  <si>
    <t>BAGNI ERMES DI ZAGAGLIA ERMES</t>
  </si>
  <si>
    <t>CAMPING STELLA MARIS DI TARSI AMEDEO</t>
  </si>
  <si>
    <t>BOIANI BEACH DI BOIANI OMAR</t>
  </si>
  <si>
    <t>BAGNI OASI</t>
  </si>
  <si>
    <t>FOSSO SEIORE - FANO</t>
  </si>
  <si>
    <t>BAGNI CAMPING VERDE LUNA</t>
  </si>
  <si>
    <t>LA PRIMASECCA DI DE FRANCESCO PATRIZIA</t>
  </si>
  <si>
    <t>via cappellini 7 7</t>
  </si>
  <si>
    <t>VERNI MARIO</t>
  </si>
  <si>
    <t>BAGNI NELLA di CARBONI CARMEN E NELLA SNC</t>
  </si>
  <si>
    <t>romeof2010@hotmail.it</t>
  </si>
  <si>
    <t>CAMPING METAURO</t>
  </si>
  <si>
    <t>strada nazionale adriatica sud 241</t>
  </si>
  <si>
    <t>www.campingmetauro.it</t>
  </si>
  <si>
    <t>info@campingmetauro.it</t>
  </si>
  <si>
    <t>CAFE' &amp; RESTAURANT BUENA VISTA</t>
  </si>
  <si>
    <t>via faa' di bruno 1</t>
  </si>
  <si>
    <t>lucachef17@gmail.com</t>
  </si>
  <si>
    <t>VERNELLI ANDREA</t>
  </si>
  <si>
    <t>via belsito 19</t>
  </si>
  <si>
    <t>DA FARINA</t>
  </si>
  <si>
    <t>S.N. flaminia 379 O 379</t>
  </si>
  <si>
    <t>CARRARA</t>
  </si>
  <si>
    <t>B&amp;B MERISTELLA</t>
  </si>
  <si>
    <t>strada nazionale adriatica sud 1</t>
  </si>
  <si>
    <t>ligima@infinito.it</t>
  </si>
  <si>
    <t>LOR.CYN. di RENZONI SILVIO &amp; C. S.A.S</t>
  </si>
  <si>
    <t>via vanvitelli 39</t>
  </si>
  <si>
    <t>cristina@studioghiandoni.it</t>
  </si>
  <si>
    <t>AUGUSTUS</t>
  </si>
  <si>
    <t>via Giacomo Puccini 2</t>
  </si>
  <si>
    <t>hotelaugustus.it</t>
  </si>
  <si>
    <t>augustus@hotelaugustus.it</t>
  </si>
  <si>
    <t>ELISABETH DUE</t>
  </si>
  <si>
    <t>piazzale amendola 2</t>
  </si>
  <si>
    <t>www.hotelelisabethdue.it</t>
  </si>
  <si>
    <t>info@hotelelisabethdue.it</t>
  </si>
  <si>
    <t>ALLA LANTERNA</t>
  </si>
  <si>
    <t>strada Nazionale Adriatica Sud 78</t>
  </si>
  <si>
    <t>www.allalanterna.com</t>
  </si>
  <si>
    <t>info@allalanterna.com</t>
  </si>
  <si>
    <t>AMELIA</t>
  </si>
  <si>
    <t>viale cairoli 80</t>
  </si>
  <si>
    <t>www.hotelamelia.it</t>
  </si>
  <si>
    <t>info@hotelamelia.it</t>
  </si>
  <si>
    <t>ANGELA</t>
  </si>
  <si>
    <t>viale Adriatico 13</t>
  </si>
  <si>
    <t>www.hotelangela.it</t>
  </si>
  <si>
    <t>info@hotelangela.it</t>
  </si>
  <si>
    <t>BEAURIVAGE</t>
  </si>
  <si>
    <t>viale adriatico 124</t>
  </si>
  <si>
    <t>CORALLO</t>
  </si>
  <si>
    <t>via Leonardo da Vinci 3</t>
  </si>
  <si>
    <t>www.hotelcorallo-fano.it</t>
  </si>
  <si>
    <t>info@hotelcorallo-fano.it</t>
  </si>
  <si>
    <t>CRISTALLO</t>
  </si>
  <si>
    <t>viale Cesare Battisti 49</t>
  </si>
  <si>
    <t>www.hotelcristallo-fano.it</t>
  </si>
  <si>
    <t>info@hotelcristallo-fano.it</t>
  </si>
  <si>
    <t>EXCELSIOR</t>
  </si>
  <si>
    <t>via C. Simonetti 57</t>
  </si>
  <si>
    <t>HOTEL MARINA</t>
  </si>
  <si>
    <t>www.hotelmarinafano.it</t>
  </si>
  <si>
    <t>info@hotelmarinafano.it</t>
  </si>
  <si>
    <t>ORFEO</t>
  </si>
  <si>
    <t>Corso Giacomo Matteotti 5</t>
  </si>
  <si>
    <t>www.hotelorfeo-fano.it</t>
  </si>
  <si>
    <t>info@hotelorfeo.it</t>
  </si>
  <si>
    <t>PARADISE</t>
  </si>
  <si>
    <t>viale adriatico 126</t>
  </si>
  <si>
    <t>www.hotel-paradise.it</t>
  </si>
  <si>
    <t>info@hotel-paradise.it</t>
  </si>
  <si>
    <t>PLAZA</t>
  </si>
  <si>
    <t>viale Cairoli 114</t>
  </si>
  <si>
    <t>www.plazahotelfano.it</t>
  </si>
  <si>
    <t>info@plazahotelfano.it</t>
  </si>
  <si>
    <t>SIRI HOTEL</t>
  </si>
  <si>
    <t>viale Bruno Buozzi 69</t>
  </si>
  <si>
    <t>http://www.sirihotelfano.it</t>
  </si>
  <si>
    <t>info@sirihotelfano.it</t>
  </si>
  <si>
    <t>MARINELLA</t>
  </si>
  <si>
    <t>strada nazionale adriatica nord 107</t>
  </si>
  <si>
    <t>www.hotelristorantemarinella.it</t>
  </si>
  <si>
    <t>info@hotelristorantemarinella.it</t>
  </si>
  <si>
    <t>ALBERGO METAURO</t>
  </si>
  <si>
    <t>viale piceno 178</t>
  </si>
  <si>
    <t>albemetauro@libero.it</t>
  </si>
  <si>
    <t>SASSONIA</t>
  </si>
  <si>
    <t>viale Adriatico 88</t>
  </si>
  <si>
    <t>www.pensionesassonia.it</t>
  </si>
  <si>
    <t>info@pensionesassonia.it</t>
  </si>
  <si>
    <t>CASADEI</t>
  </si>
  <si>
    <t>via Cappellini 53</t>
  </si>
  <si>
    <t>www.hotelcasadei.it</t>
  </si>
  <si>
    <t>info@hotelcasadei.it</t>
  </si>
  <si>
    <t>EKO</t>
  </si>
  <si>
    <t>via Belvedere 4</t>
  </si>
  <si>
    <t>www.hoteleko.it</t>
  </si>
  <si>
    <t>info@hoteleko.it</t>
  </si>
  <si>
    <t>PLAYA PRINCIPE RESORT</t>
  </si>
  <si>
    <t>via Buonincontri 65</t>
  </si>
  <si>
    <t>www.hotelplayaprincipe.it</t>
  </si>
  <si>
    <t>info@hotelplayaprincipe.it</t>
  </si>
  <si>
    <t>MARIA</t>
  </si>
  <si>
    <t>via Belvedere 5</t>
  </si>
  <si>
    <t>TORRETTE di FANO</t>
  </si>
  <si>
    <t>www.hotelwerther.com</t>
  </si>
  <si>
    <t>pensionemaria@email.it</t>
  </si>
  <si>
    <t>OASI</t>
  </si>
  <si>
    <t>via stelle di mare  10</t>
  </si>
  <si>
    <t>www.hoteloasitorrette.it</t>
  </si>
  <si>
    <t>info@hoteloasitorrette.it</t>
  </si>
  <si>
    <t>WERTHER</t>
  </si>
  <si>
    <t>via stelle di mare 14</t>
  </si>
  <si>
    <t>hotelwerther@email.it</t>
  </si>
  <si>
    <t>EDELWEISS</t>
  </si>
  <si>
    <t>via Buonincontri 27</t>
  </si>
  <si>
    <t>www.hoteledelweissfano.it</t>
  </si>
  <si>
    <t>info@hoteledelweissfano.it</t>
  </si>
  <si>
    <t>CARAVEL</t>
  </si>
  <si>
    <t>via Faa' di Bruno 135</t>
  </si>
  <si>
    <t>Ponte Sasso di Fano</t>
  </si>
  <si>
    <t>RUHIG</t>
  </si>
  <si>
    <t>via faa' di bruno 165</t>
  </si>
  <si>
    <t>via s.n.a.s. dir. sud 1</t>
  </si>
  <si>
    <t>www.campingfano.it</t>
  </si>
  <si>
    <t>info@campingfano.it</t>
  </si>
  <si>
    <t>MAREBLU'</t>
  </si>
  <si>
    <t>strada nazionale adriatica sud 203</t>
  </si>
  <si>
    <t>www.campingmareblu.net</t>
  </si>
  <si>
    <t>CAMPING TORRETTE</t>
  </si>
  <si>
    <t>via Buonincontri 50</t>
  </si>
  <si>
    <t>ALTRI ESERCIZI RICETTIVI</t>
  </si>
  <si>
    <t>FILIPPETTI DANTE - AGRICAMPEGGIO</t>
  </si>
  <si>
    <t>localita' Metaurilia 46</t>
  </si>
  <si>
    <t>FILIPPETTI CLAUDIO - AGRICAMPEGGIO</t>
  </si>
  <si>
    <t>SANTA CRISTINA</t>
  </si>
  <si>
    <t>localita' rosciano 4</t>
  </si>
  <si>
    <t>info@agriturismosantacristina.it</t>
  </si>
  <si>
    <t>ROMANI ENNIO - AGRICAMPEGGIO</t>
  </si>
  <si>
    <t>località Metaurilia 39</t>
  </si>
  <si>
    <t>LA GROTTA</t>
  </si>
  <si>
    <t>VIA SANT'ANGELO IN FERRIANO 16</t>
  </si>
  <si>
    <t>www.agriturlagrotta.it</t>
  </si>
  <si>
    <t>info@agriturlagrotta.it</t>
  </si>
  <si>
    <t>IL PRATO DEI GRILLI - AGRICAMPEGGIO</t>
  </si>
  <si>
    <t>localita' Belgatto 75</t>
  </si>
  <si>
    <t>www.pratodeigrilli.it</t>
  </si>
  <si>
    <t>pratodeigrilli@libero.it</t>
  </si>
  <si>
    <t>FILIPPETTI NANDO - AGRICAMPEGGIO</t>
  </si>
  <si>
    <t>IL PRATO - AGRICAMPEGGIO</t>
  </si>
  <si>
    <t>localita' Metaurilia 81</t>
  </si>
  <si>
    <t>IL PARADISO - AGRICAMPEGGIO</t>
  </si>
  <si>
    <t>localita' Magliano 29</t>
  </si>
  <si>
    <t>www.agriturismoilparadiso.altervista.org</t>
  </si>
  <si>
    <t>ilparadisoagriturismo@gmail.com</t>
  </si>
  <si>
    <t>CA' RAMARRA</t>
  </si>
  <si>
    <t>localita' san biagio 50</t>
  </si>
  <si>
    <t>info@caramarra.it</t>
  </si>
  <si>
    <t>AGRITURISMO MONTE GIOVE</t>
  </si>
  <si>
    <t>agrimontegiove@libero.it</t>
  </si>
  <si>
    <t>STELLA MARIS</t>
  </si>
  <si>
    <t>via cappellini 5</t>
  </si>
  <si>
    <t>loc.Torrette di Fano</t>
  </si>
  <si>
    <t>www.campingstellamaris.it</t>
  </si>
  <si>
    <t>stellamaris@camping.it</t>
  </si>
  <si>
    <t>CAMPEGGIO-CENTRO VACANZE VERDE LUNA</t>
  </si>
  <si>
    <t>strada nazionale Adriatica Sud 251</t>
  </si>
  <si>
    <t>www.campingverdeluna.it</t>
  </si>
  <si>
    <t>info@campingverdeluna.it</t>
  </si>
  <si>
    <t>CASA DI SOGGIORNO ENAM - CONVITTO VITTORIO COLONNA</t>
  </si>
  <si>
    <t>via Montegrappa 19</t>
  </si>
  <si>
    <t>DON ORIONE</t>
  </si>
  <si>
    <t>Via IV Novembre 47</t>
  </si>
  <si>
    <t>donorionefano@virgilio.it</t>
  </si>
  <si>
    <t>EREMO DI MONTE GIOVE</t>
  </si>
  <si>
    <t>strada comunale di montegiove 90</t>
  </si>
  <si>
    <t>ROSCIANO</t>
  </si>
  <si>
    <t>VILLA ALTA PRELATO</t>
  </si>
  <si>
    <t>via del Prelato 3</t>
  </si>
  <si>
    <t>dongiu56@hotmail.it</t>
  </si>
  <si>
    <t>LA MIMOSA</t>
  </si>
  <si>
    <t>strada nazionale Adriatica Sud 259</t>
  </si>
  <si>
    <t>CONTINENTAL</t>
  </si>
  <si>
    <t>viale Adriatico 148</t>
  </si>
  <si>
    <t>www.hotelcontinental-fano.it</t>
  </si>
  <si>
    <t>info@hotelcontinental-fano.it</t>
  </si>
  <si>
    <t>MARE</t>
  </si>
  <si>
    <t>lungomare cristoforo colombo 20</t>
  </si>
  <si>
    <t>HOTEL DE LA VILLE</t>
  </si>
  <si>
    <t>viale Cairoli 1</t>
  </si>
  <si>
    <t>www.hoteldelavillefano.com</t>
  </si>
  <si>
    <t>info@hoteldelavillefano.com</t>
  </si>
  <si>
    <t>IMPERIAL</t>
  </si>
  <si>
    <t>via faa' di bruno 119</t>
  </si>
  <si>
    <t>Ponte Sasso Marotta</t>
  </si>
  <si>
    <t>www.hotel-imperial.it</t>
  </si>
  <si>
    <t>info@hotel-imperial.it</t>
  </si>
  <si>
    <t>HOTEL INTERNAZIONALE</t>
  </si>
  <si>
    <t>via cappellini 85</t>
  </si>
  <si>
    <t>www.hotel-internazionale.net</t>
  </si>
  <si>
    <t>perkins.james@libero.it</t>
  </si>
  <si>
    <t>EL FUNTANON</t>
  </si>
  <si>
    <t>via Cerquelle 70</t>
  </si>
  <si>
    <t>Carignano</t>
  </si>
  <si>
    <t>info@elfuntanon.com</t>
  </si>
  <si>
    <t>BIGOTTI STEFANO</t>
  </si>
  <si>
    <t>strada Nazionale Flaminia 444</t>
  </si>
  <si>
    <t>tommaso_bigotti@alice.it</t>
  </si>
  <si>
    <t>ARCA DI NOE'</t>
  </si>
  <si>
    <t>via del fiume 39</t>
  </si>
  <si>
    <t>www.wix.com/miskull/arca-di-noe</t>
  </si>
  <si>
    <t>beb.arcadinoe@gmail.com</t>
  </si>
  <si>
    <t>B&amp;B MAREVISTA</t>
  </si>
  <si>
    <t>viale romagna 1/A</t>
  </si>
  <si>
    <t>www.marevista.it</t>
  </si>
  <si>
    <t>a_monni@yahoo.it</t>
  </si>
  <si>
    <t>B&amp;B LA CASA DELLE FATE</t>
  </si>
  <si>
    <t>via Carignano  69</t>
  </si>
  <si>
    <t>fenixginnastica@gmail.com</t>
  </si>
  <si>
    <t>B&amp;B VILLA DEA</t>
  </si>
  <si>
    <t>strada Comunale Centinarola 37</t>
  </si>
  <si>
    <t>Centinarola</t>
  </si>
  <si>
    <t>www.bedandbreakfastvilladeafano.wordpress.com</t>
  </si>
  <si>
    <t>villadeafano@libero.it</t>
  </si>
  <si>
    <t>OSTELLO DON ORIONE</t>
  </si>
  <si>
    <t>www.donorionefano.it</t>
  </si>
  <si>
    <t>CASA JOLANDA</t>
  </si>
  <si>
    <t>loc.Caminate 34/a</t>
  </si>
  <si>
    <t>CAMINATE</t>
  </si>
  <si>
    <t>casajolandafano@gmail.com</t>
  </si>
  <si>
    <t>B&amp;B COUNTRY HOUSE VIEWS</t>
  </si>
  <si>
    <t>LAGO DI BOLSENA 7</t>
  </si>
  <si>
    <t>PONTESASSO</t>
  </si>
  <si>
    <t>lrapa@inasitalianwelfare.co.uk</t>
  </si>
  <si>
    <t>IL PORTICO</t>
  </si>
  <si>
    <t>TOSI 9</t>
  </si>
  <si>
    <t>LE TORRETTE</t>
  </si>
  <si>
    <t>www.ilportico-fano.it</t>
  </si>
  <si>
    <t>info@ilportico-fano.it</t>
  </si>
  <si>
    <t>B&amp;B MADONNA DEGLI ANGELI</t>
  </si>
  <si>
    <t>STRADA COM.LE MADONNA DEGLI ANGELI 90</t>
  </si>
  <si>
    <t>BORGO DELLA LUCA</t>
  </si>
  <si>
    <t>www.madonnadegliangeli.it</t>
  </si>
  <si>
    <t>info@madonnadegliangeli.it</t>
  </si>
  <si>
    <t>CASA AURORA</t>
  </si>
  <si>
    <t>via S.N.A.S. 102/a</t>
  </si>
  <si>
    <t>METAURILIA</t>
  </si>
  <si>
    <t>www.casaaurorafano.it</t>
  </si>
  <si>
    <t>casa_aurora@hotmail.it</t>
  </si>
  <si>
    <t>B&amp;B IL CASALE DI GIOVE</t>
  </si>
  <si>
    <t>LOC.MAGLIANO 44</t>
  </si>
  <si>
    <t>MAGLIANO</t>
  </si>
  <si>
    <t>info@ilcasaledigiove.it</t>
  </si>
  <si>
    <t>CAMPO NUNZIA</t>
  </si>
  <si>
    <t>strada statale Adriatica Sud 257/a</t>
  </si>
  <si>
    <t>www.camponunzia.it</t>
  </si>
  <si>
    <t>info@camponunzia.it</t>
  </si>
  <si>
    <t>BAGNI LA BAIA</t>
  </si>
  <si>
    <t>Via Alcide De Gasperi 33</t>
  </si>
  <si>
    <t>maurotalamelli@gmail.com</t>
  </si>
  <si>
    <t>VILLA RINALDUCCI</t>
  </si>
  <si>
    <t>Via Rosciano  24</t>
  </si>
  <si>
    <t>www.villarinalducci.it</t>
  </si>
  <si>
    <t>info@villarinalducci.it</t>
  </si>
  <si>
    <t>B&amp;B ARIA DI CASA MIA</t>
  </si>
  <si>
    <t>via a. bianchini 6</t>
  </si>
  <si>
    <t>tonucci.maurizio@libero.it</t>
  </si>
  <si>
    <t>S.N. Flaminia 369 369/A B 369</t>
  </si>
  <si>
    <t>AL GIRASOLE B&amp;B</t>
  </si>
  <si>
    <t>via Stefano Tomani Amiani 33</t>
  </si>
  <si>
    <t>www.bbgirasolefano.it</t>
  </si>
  <si>
    <t>algirasolebandb@libero.it</t>
  </si>
  <si>
    <t>B&amp;B MATRIOSKA</t>
  </si>
  <si>
    <t>via Andrea De Gabrielli 49</t>
  </si>
  <si>
    <t>città</t>
  </si>
  <si>
    <t>matrioska.italy@gmail.com</t>
  </si>
  <si>
    <t>B&amp;B LE RONDINI</t>
  </si>
  <si>
    <t>via leonardo da vinci 2</t>
  </si>
  <si>
    <t>gmagna@libero.it</t>
  </si>
  <si>
    <t>LE SOFORE</t>
  </si>
  <si>
    <t>localita' sant' andrea 1</t>
  </si>
  <si>
    <t>www.agriturismolesofore.it</t>
  </si>
  <si>
    <t>info@agriturismolesofore.it</t>
  </si>
  <si>
    <t>B&amp;B CITTA' DELLA FORTUNA</t>
  </si>
  <si>
    <t>Via Alessandrini 43</t>
  </si>
  <si>
    <t>www.cittadellafortuna.it</t>
  </si>
  <si>
    <t>cittadellafortuna@gmail.com</t>
  </si>
  <si>
    <t>B&amp;B CITTA' DELLA FORTUNA/AURORA</t>
  </si>
  <si>
    <t>Via Alessandrini 43/E</t>
  </si>
  <si>
    <t>B&amp;B CITTA' DELLA FORTUNA/APOLLO</t>
  </si>
  <si>
    <t>Via Alessandrini 43/D</t>
  </si>
  <si>
    <t>B&amp;B CHEZ CLEO</t>
  </si>
  <si>
    <t>via della fornace 41</t>
  </si>
  <si>
    <t>simo.vince@libero.it</t>
  </si>
  <si>
    <t>RESIDENZA DELLO SQUERO</t>
  </si>
  <si>
    <t>Via dello squero 22/A</t>
  </si>
  <si>
    <t>www.losquero-bb.it</t>
  </si>
  <si>
    <t>info@losquero-bb.it</t>
  </si>
  <si>
    <t>AFFITTACAMERE DA ALDO</t>
  </si>
  <si>
    <t>viale Dante Alighieri 104</t>
  </si>
  <si>
    <t>aldo@tagliatesta.it</t>
  </si>
  <si>
    <t>B&amp;B SIVIERO FEDERICA</t>
  </si>
  <si>
    <t>viale Antonio Gramsci 51</t>
  </si>
  <si>
    <t>fede.vita15@libero.it</t>
  </si>
  <si>
    <t>B&amp;B IL FIENILE DI UGUCCIONI RENATO</t>
  </si>
  <si>
    <t>via Sant' andrea in Villis 62</t>
  </si>
  <si>
    <t>renaterry@libero.it</t>
  </si>
  <si>
    <t>B&amp;B VILLA COSETTA</t>
  </si>
  <si>
    <t>localita' chiaruccia 51</t>
  </si>
  <si>
    <t>info@villacosetta.com</t>
  </si>
  <si>
    <t>STABILIMENTO "BAR RENZONI" di RENZONI ROBERTO</t>
  </si>
  <si>
    <t>via cappellini 83 83</t>
  </si>
  <si>
    <t>ARZILLA BEACH VILLAGE DI VINCENZI GIANLUCA</t>
  </si>
  <si>
    <t>Via del Moletto 7 7</t>
  </si>
  <si>
    <t>www.arzillabeach.it</t>
  </si>
  <si>
    <t>AREA DI SOSTA ADRIATICO</t>
  </si>
  <si>
    <t>STRADA NAZIONALE ADRIATICA SUD 233</t>
  </si>
  <si>
    <t>mariot57@gmail.com</t>
  </si>
  <si>
    <t>BAGNI PELO</t>
  </si>
  <si>
    <t>via fratelli zuccari 1 1</t>
  </si>
  <si>
    <t>francesca@studioghiandoni.it</t>
  </si>
  <si>
    <t>B&amp;B LA MAGNOLIA</t>
  </si>
  <si>
    <t>localita' chiaruccia 84</t>
  </si>
  <si>
    <t>www.bedandbreakfastlamagnolia.it</t>
  </si>
  <si>
    <t>magnoliafano@virgilio.it</t>
  </si>
  <si>
    <t>B&amp;B di LUCARELLI PAOLO</t>
  </si>
  <si>
    <t>via della resistenza 3</t>
  </si>
  <si>
    <t>lucarellipaolo1@tin.it</t>
  </si>
  <si>
    <t>BAGNI LIDO VERDE</t>
  </si>
  <si>
    <t>BAIA METAURO</t>
  </si>
  <si>
    <t>info@studiocappellini.com</t>
  </si>
  <si>
    <t>B&amp;B LA CASINA CELESTE</t>
  </si>
  <si>
    <t>via fanella 47</t>
  </si>
  <si>
    <t>esposito.raffaella@alice.it</t>
  </si>
  <si>
    <t>CASALE DELLE ROSE</t>
  </si>
  <si>
    <t>localita' caminate 103</t>
  </si>
  <si>
    <t>www.fanocasaledellerose.com</t>
  </si>
  <si>
    <t>info@fanocasaledellerose.com</t>
  </si>
  <si>
    <t>via buonincontri 25</t>
  </si>
  <si>
    <t>www.residenceedelweiss.com</t>
  </si>
  <si>
    <t>info@residenceedelweiss.com</t>
  </si>
  <si>
    <t>B&amp;B LA CASA DEL SOLE</t>
  </si>
  <si>
    <t>via del Bersaglio 33</t>
  </si>
  <si>
    <t>lacasadelsole@hotmail.it</t>
  </si>
  <si>
    <t>KALAVERDE DI BALDINI CLAUDIO</t>
  </si>
  <si>
    <t>Baia Metauro</t>
  </si>
  <si>
    <t>mauroeoretta@alice.it</t>
  </si>
  <si>
    <t>kalaverde.it</t>
  </si>
  <si>
    <t>RESIDENCE PRESTIGE</t>
  </si>
  <si>
    <t>via cappellini 90</t>
  </si>
  <si>
    <t>www.hotel-prestige.com</t>
  </si>
  <si>
    <t>info@hotel-prestige.com</t>
  </si>
  <si>
    <t>AGRITURISMO AGRICAMPEGGIO SBREGA</t>
  </si>
  <si>
    <t>via papiria 87</t>
  </si>
  <si>
    <t>http://www.agriturismosbrega.com/</t>
  </si>
  <si>
    <t>agriturismo.sbrega@gmail.com</t>
  </si>
  <si>
    <t>CASA PER FERIE PARROCCHIA OSSANESGA</t>
  </si>
  <si>
    <t>via Cappellini 9</t>
  </si>
  <si>
    <t>colonia.torrette@hotmail.it</t>
  </si>
  <si>
    <t>ITALO BOIANI</t>
  </si>
  <si>
    <t>via Raffaello Jozzino 1 e 25</t>
  </si>
  <si>
    <t>BERTOZZI PATRIZIA</t>
  </si>
  <si>
    <t>via Primo Maggio 88</t>
  </si>
  <si>
    <t>patrizia.bertozzi1950@gmail.com</t>
  </si>
  <si>
    <t>MONTANARI MARZIO</t>
  </si>
  <si>
    <t>VIA FAA' DI BRUNO 118</t>
  </si>
  <si>
    <t>marzio.montanari@libero.it</t>
  </si>
  <si>
    <t>MARINI MARIA GRAZIA</t>
  </si>
  <si>
    <t>via Damiano Chiesa 50</t>
  </si>
  <si>
    <t>STORONI VANDA</t>
  </si>
  <si>
    <t>via A. Cappellini 3</t>
  </si>
  <si>
    <t>MARIO D'AGATA</t>
  </si>
  <si>
    <t>via F. Magnanini 2</t>
  </si>
  <si>
    <t>dadaump@gmail.com</t>
  </si>
  <si>
    <t>BED BEACH &amp; BIKE DEI TALENTI</t>
  </si>
  <si>
    <t>via di Villa Giulia  12</t>
  </si>
  <si>
    <t>San Biagio</t>
  </si>
  <si>
    <t>www.italenti.info</t>
  </si>
  <si>
    <t>bbb@italenti.info</t>
  </si>
  <si>
    <t>B&amp;B CASA DI LUCE</t>
  </si>
  <si>
    <t>via Monaldi 20</t>
  </si>
  <si>
    <t>www.casadiluce.it</t>
  </si>
  <si>
    <t>valeria.anandaveda@gmail.com</t>
  </si>
  <si>
    <t>PIGHIN FRANCESCA</t>
  </si>
  <si>
    <t>via Delle Vele 4</t>
  </si>
  <si>
    <t>BARBADORO VITTORIO</t>
  </si>
  <si>
    <t>via Ippolito Nievo 2</t>
  </si>
  <si>
    <t>MAROTTA</t>
  </si>
  <si>
    <t>cesare.barbadoro@alice.it</t>
  </si>
  <si>
    <t>ALESSANDRINI MANUELA</t>
  </si>
  <si>
    <t>via Cappellini 60</t>
  </si>
  <si>
    <t>le_roby@hotmail.it</t>
  </si>
  <si>
    <t>MARCHIONNI GIUSEPPINA</t>
  </si>
  <si>
    <t>via S. Tomani Amiani 33</t>
  </si>
  <si>
    <t>TAG HOTEL</t>
  </si>
  <si>
    <t>Einaudi  2/a</t>
  </si>
  <si>
    <t>www.taghotelfano.com</t>
  </si>
  <si>
    <t>direzione@taghotelfano.com</t>
  </si>
  <si>
    <t>B&amp;B FATTORINI SAURO</t>
  </si>
  <si>
    <t>via Brigata Messina 12/a</t>
  </si>
  <si>
    <t>marilena.spadoni@gmail.com</t>
  </si>
  <si>
    <t>GASPARINI TARCISIO</t>
  </si>
  <si>
    <t>via A. Cappellini 60/B</t>
  </si>
  <si>
    <t>ALESSANDRINI DANIELE</t>
  </si>
  <si>
    <t>via A. Cappellini 60/a</t>
  </si>
  <si>
    <t>SIMONCINI RITA</t>
  </si>
  <si>
    <t>via Faà di Bruno 113</t>
  </si>
  <si>
    <t>sim.rita.mail@gmail.com</t>
  </si>
  <si>
    <t>SIMONCINI EUGENIO MARIA</t>
  </si>
  <si>
    <t>via Cappellini 180</t>
  </si>
  <si>
    <t>B&amp;B VILLETTA AL MARE</t>
  </si>
  <si>
    <t>via dell'Arzilla 3d</t>
  </si>
  <si>
    <t>www.gardenofitaly/villettaalmare</t>
  </si>
  <si>
    <t>acecco@tin.it</t>
  </si>
  <si>
    <t>TONNINI TATIANA</t>
  </si>
  <si>
    <t>via Belgatto 89/90</t>
  </si>
  <si>
    <t>tatianatonnini@gmail.com</t>
  </si>
  <si>
    <t>MENCACCINI BRUNO</t>
  </si>
  <si>
    <t>via della Marina 40</t>
  </si>
  <si>
    <t>GIORGI MARA</t>
  </si>
  <si>
    <t>via Madonna Mare 25</t>
  </si>
  <si>
    <t>GUIDARELLI GUIDO</t>
  </si>
  <si>
    <t>via Faà di Bruno 148/f</t>
  </si>
  <si>
    <t>loc. Ponte Basso</t>
  </si>
  <si>
    <t>BIAGIOTTI ENNIO (136/b)</t>
  </si>
  <si>
    <t>BIAGIOTTI EUGENIO</t>
  </si>
  <si>
    <t>fano</t>
  </si>
  <si>
    <t>CICERCHIA MARIA (136/B)</t>
  </si>
  <si>
    <t>via Faà di Bruno 136/b</t>
  </si>
  <si>
    <t>GRILLI FRANCO</t>
  </si>
  <si>
    <t>via Rossetti 2</t>
  </si>
  <si>
    <t>grillifrank@libero.it</t>
  </si>
  <si>
    <t>COSIMO CORRADO BARBATO</t>
  </si>
  <si>
    <t>via A. Cappellini 57</t>
  </si>
  <si>
    <t>BIAGIOTTI GIULIANO</t>
  </si>
  <si>
    <t>viale Cairoli 147</t>
  </si>
  <si>
    <t>giuliano.biagiotti@fastwebnet.it</t>
  </si>
  <si>
    <t>B&amp;B BIGOTTI 2</t>
  </si>
  <si>
    <t>strada Nazionale Flaminia 444/be</t>
  </si>
  <si>
    <t>DE BENEDICTIS FIORANGELO</t>
  </si>
  <si>
    <t>viale Cairoli 95</t>
  </si>
  <si>
    <t>db.fiorangelo@libero.it</t>
  </si>
  <si>
    <t>DE BENEDICTIS CARLO</t>
  </si>
  <si>
    <t>STANGONI IDA</t>
  </si>
  <si>
    <t>AFFITTACAMERE DA TINA</t>
  </si>
  <si>
    <t>via Roncosanbaccio 71</t>
  </si>
  <si>
    <t>ennio.and@libero.it</t>
  </si>
  <si>
    <t>PELLEGRINI ANTONELLA</t>
  </si>
  <si>
    <t>Via del Perugino 7</t>
  </si>
  <si>
    <t>simo610@libero.it</t>
  </si>
  <si>
    <t>VITALI MERIS</t>
  </si>
  <si>
    <t>via SNAS  449</t>
  </si>
  <si>
    <t>via SNAS  449/a</t>
  </si>
  <si>
    <t>PAGNONI GIULIANA</t>
  </si>
  <si>
    <t>mauroc@email.it</t>
  </si>
  <si>
    <t>ROSSETTI MARIA LUISA</t>
  </si>
  <si>
    <t>vernagianni@libero.it</t>
  </si>
  <si>
    <t>VERNA GIOVANNI</t>
  </si>
  <si>
    <t>viale Cairoli 83/56</t>
  </si>
  <si>
    <t>FRANCOLINI MARINELLI RITA</t>
  </si>
  <si>
    <t>guglielmogiovannelli@gmail.com</t>
  </si>
  <si>
    <t>VERNA LUCIA</t>
  </si>
  <si>
    <t>via Spontini 2</t>
  </si>
  <si>
    <t>ORDONSELLI SEVERINO</t>
  </si>
  <si>
    <t>via Stelle di Mare 13</t>
  </si>
  <si>
    <t>eurolightillumina@gmail.com</t>
  </si>
  <si>
    <t>PALAZZI FLORIANA</t>
  </si>
  <si>
    <t>Strana Nazionale Adriatica sud 129/b</t>
  </si>
  <si>
    <t>Metaurilia</t>
  </si>
  <si>
    <t>floriana.palazzi@libero.it</t>
  </si>
  <si>
    <t>TEODORI PAOLO</t>
  </si>
  <si>
    <t>via Belgatto 96</t>
  </si>
  <si>
    <t>gianluca.tagliatesta@ingpec.eu</t>
  </si>
  <si>
    <t>TOMASSONI LUIGINO</t>
  </si>
  <si>
    <t>via Schiavoni 1</t>
  </si>
  <si>
    <t>a.tomassoni91@gmail.com</t>
  </si>
  <si>
    <t>B&amp;B VILLA LA PALEOTTA</t>
  </si>
  <si>
    <t>via del Domenichino 3</t>
  </si>
  <si>
    <t>info@villalapaleotta.it</t>
  </si>
  <si>
    <t>OMICCIOLI PIERINO</t>
  </si>
  <si>
    <t>via Simonetti 47</t>
  </si>
  <si>
    <t>pieromic@hotmail.com</t>
  </si>
  <si>
    <t>OMICCIOLI FRANCESCO</t>
  </si>
  <si>
    <t>via Roncosanbaccio 114</t>
  </si>
  <si>
    <t>PAOLETTI MAURA</t>
  </si>
  <si>
    <t>via N. Sauro 208</t>
  </si>
  <si>
    <t>BIANCA MARIA LEONARDI</t>
  </si>
  <si>
    <t>viale Cairoli 110</t>
  </si>
  <si>
    <t>bm13@libero.it</t>
  </si>
  <si>
    <t>BELOGI CARLO</t>
  </si>
  <si>
    <t>via Simonetti 41</t>
  </si>
  <si>
    <t>giulianagiorgi@gmail.com</t>
  </si>
  <si>
    <t>ARCECI DAVIDE</t>
  </si>
  <si>
    <t>via Damiano Chiesa 33</t>
  </si>
  <si>
    <t>PATRIK LIVI</t>
  </si>
  <si>
    <t>strada Nazionale Adriatica Nord 103</t>
  </si>
  <si>
    <t>patlivi@tin.it</t>
  </si>
  <si>
    <t>CIAMPELLI ANTONELLO</t>
  </si>
  <si>
    <t>via Buonincontri 14</t>
  </si>
  <si>
    <t>antonello.ciampelli@gmail.com</t>
  </si>
  <si>
    <t>B&amp;B VILLA LIBERTY</t>
  </si>
  <si>
    <t>viale R. Mariotti 8</t>
  </si>
  <si>
    <t>http://villalibertyfano.it/</t>
  </si>
  <si>
    <t>info@villalibertyfano.it</t>
  </si>
  <si>
    <t>BODINI FRANCESCO</t>
  </si>
  <si>
    <t>via Cappellini 63/a</t>
  </si>
  <si>
    <t>GASPARONI LUIGI APP.TO VIA DE GASPERI 22</t>
  </si>
  <si>
    <t>via De Gasperi 22</t>
  </si>
  <si>
    <t>GASPARONI LUIGI APP.TO VIA DE GASPERI 16</t>
  </si>
  <si>
    <t>via De Gasperi 16</t>
  </si>
  <si>
    <t>GAGLIARDINI LUISELLA</t>
  </si>
  <si>
    <t>via Faà di Bruno 51</t>
  </si>
  <si>
    <t>elimolinari@gmail.com</t>
  </si>
  <si>
    <t>MONTESARCHIO MARIO</t>
  </si>
  <si>
    <t>via A. Cappellini 68</t>
  </si>
  <si>
    <t>HOTEL PRESTIGE</t>
  </si>
  <si>
    <t>via Cappellini 94</t>
  </si>
  <si>
    <t>Torrette di Fano</t>
  </si>
  <si>
    <t>www.hprestige.it</t>
  </si>
  <si>
    <t>info@hprestige.it</t>
  </si>
  <si>
    <t>PALAZZO ROTATI</t>
  </si>
  <si>
    <t>via Nolfi 49</t>
  </si>
  <si>
    <t>www.palazzorotati.com</t>
  </si>
  <si>
    <t>info@palazzorotati.com</t>
  </si>
  <si>
    <t>BACCHIOCCHI ANGELA</t>
  </si>
  <si>
    <t>via A.Cappellini 60/a</t>
  </si>
  <si>
    <t>MORELLI PEPPINO</t>
  </si>
  <si>
    <t>via Lago di Albano 12</t>
  </si>
  <si>
    <t>CIANI OMERE</t>
  </si>
  <si>
    <t>Via Luigi Motta  33</t>
  </si>
  <si>
    <t>cianiomere@hotmail.it</t>
  </si>
  <si>
    <t>MAGGIOLI GIULIANA</t>
  </si>
  <si>
    <t>via Ferretto 6</t>
  </si>
  <si>
    <t>loc. Ferretto</t>
  </si>
  <si>
    <t>EBE UBALDI</t>
  </si>
  <si>
    <t>via G. Ruffini  6</t>
  </si>
  <si>
    <t>MONDOLFO</t>
  </si>
  <si>
    <t>ebe.ubi@alice.it</t>
  </si>
  <si>
    <t>MARCO KINDT</t>
  </si>
  <si>
    <t>via Sant' Anna 46</t>
  </si>
  <si>
    <t>Fenile di Fano</t>
  </si>
  <si>
    <t>marco.kindt@gmail.com</t>
  </si>
  <si>
    <t>BUSCA MARIA DEA</t>
  </si>
  <si>
    <t>via Montesanto  5</t>
  </si>
  <si>
    <t xml:space="preserve"> vacanzefano@libero.it</t>
  </si>
  <si>
    <t>B&amp;B LE VIOLE</t>
  </si>
  <si>
    <t>via Brigata Messina 207</t>
  </si>
  <si>
    <t>francesco.pezzolesi@virgilio.it</t>
  </si>
  <si>
    <t>CASA DI SPIRITUALITA' VILLA SAN BIAGIO</t>
  </si>
  <si>
    <t>Villa San Biagio 17</t>
  </si>
  <si>
    <t>villa@sanbiagiofano.it</t>
  </si>
  <si>
    <t>B&amp;B TERRAZZA IN COLLINA</t>
  </si>
  <si>
    <t>strada comunale Carignano 27/b</t>
  </si>
  <si>
    <t>danyasfur@hotmail.com</t>
  </si>
  <si>
    <t>via Flaminia 369 Int 3 N 369/3</t>
  </si>
  <si>
    <t>ANTONIO VIA</t>
  </si>
  <si>
    <t>via Faà di Bruno 120</t>
  </si>
  <si>
    <t>loc. Ponte Sasso</t>
  </si>
  <si>
    <t>antoniovia@libero.it</t>
  </si>
  <si>
    <t>SELIS GIOVANNA</t>
  </si>
  <si>
    <t>Strada Nazionale Adriatica Sud 117/F</t>
  </si>
  <si>
    <t>DANIELE TALAMELLI E GASPARINI CINZIA</t>
  </si>
  <si>
    <t>via Ammiraglio Cappellini 43,44</t>
  </si>
  <si>
    <t>info@affittoalmare.com</t>
  </si>
  <si>
    <t>VITALI FRANCESCA</t>
  </si>
  <si>
    <t>via Bellavista 3</t>
  </si>
  <si>
    <t>inesistente@regione.it</t>
  </si>
  <si>
    <t>CASA REGINA</t>
  </si>
  <si>
    <t>via della Scuola 9</t>
  </si>
  <si>
    <t>www.casareginafano.com</t>
  </si>
  <si>
    <t>casareginafano@libero.it</t>
  </si>
  <si>
    <t>B&amp;B ARZILLA</t>
  </si>
  <si>
    <t>via Centinarola  9</t>
  </si>
  <si>
    <t>info@bbarzilla.it</t>
  </si>
  <si>
    <t>DA QUINTA</t>
  </si>
  <si>
    <t>via Adriatico 42</t>
  </si>
  <si>
    <t>www.trattorialaquinta.com</t>
  </si>
  <si>
    <t>rengababy@gmail.com</t>
  </si>
  <si>
    <t>B&amp;B LA CASETTA ROSA</t>
  </si>
  <si>
    <t>via di Villa Giulia 51/d</t>
  </si>
  <si>
    <t>lacasettarosa@yahoo.it</t>
  </si>
  <si>
    <t>via A.Cappellini 58/a</t>
  </si>
  <si>
    <t>AGRITURISMO VILLA FURLO</t>
  </si>
  <si>
    <t>loc. Pagino 100</t>
  </si>
  <si>
    <t>FERMIGNANO</t>
  </si>
  <si>
    <t>www.agriturismovillafurlo.it</t>
  </si>
  <si>
    <t>info@agriturismovillafurlo.it</t>
  </si>
  <si>
    <t>B&amp;B CARGANICO MARIA SILVIA</t>
  </si>
  <si>
    <t>via Manzoni 7</t>
  </si>
  <si>
    <t>paolotenti@tin.it</t>
  </si>
  <si>
    <t>TRATTOSTERIA DI DE MARCHI ROMINA</t>
  </si>
  <si>
    <t>viale Vittorio Veneto 54</t>
  </si>
  <si>
    <t>trattosteria@gmail.com</t>
  </si>
  <si>
    <t>RELAIS SERRA ALTA</t>
  </si>
  <si>
    <t>via Serra Alta 28</t>
  </si>
  <si>
    <t>www.serraalta.it</t>
  </si>
  <si>
    <t>info@serraalta.it</t>
  </si>
  <si>
    <t>AZIENDA AGRICOLA "CA' MADDALENA"</t>
  </si>
  <si>
    <t>via giuseppe mazzini 1</t>
  </si>
  <si>
    <t>www.camaddalena.com</t>
  </si>
  <si>
    <t>info@camaddalena.com</t>
  </si>
  <si>
    <t>AZIENDA AGRITURISTICA "CA' VERDESELLE"</t>
  </si>
  <si>
    <t>via san gregorio 22</t>
  </si>
  <si>
    <t>www.caverdeselle.it</t>
  </si>
  <si>
    <t>info@caverdeselle.it</t>
  </si>
  <si>
    <t>AZIENDA AGRITURISTICA IL VERZIERE</t>
  </si>
  <si>
    <t>loc. Verziere Cà l'Agostina snc</t>
  </si>
  <si>
    <t>www.verziere.it</t>
  </si>
  <si>
    <t>info@verziere.it</t>
  </si>
  <si>
    <t>B&amp;B CA' LA CORNACCHIA</t>
  </si>
  <si>
    <t>via Serra Alta 16</t>
  </si>
  <si>
    <t>www.calacornacchia.it</t>
  </si>
  <si>
    <t>bedcorn@gmail.com</t>
  </si>
  <si>
    <t>B&amp;B CA' I SEVERI</t>
  </si>
  <si>
    <t>via pagino castello 1</t>
  </si>
  <si>
    <t>www.bbcaiseveri.it</t>
  </si>
  <si>
    <t>caiseveri@libero.it</t>
  </si>
  <si>
    <t>B&amp;B CA' DEL PINO</t>
  </si>
  <si>
    <t>via degli Orti  1</t>
  </si>
  <si>
    <t>cadelpino@libero.it</t>
  </si>
  <si>
    <t>B&amp;B VILLA MARTINA</t>
  </si>
  <si>
    <t>loc.Zaccagna snc</t>
  </si>
  <si>
    <t>LOCALITA' ZACCAGNA</t>
  </si>
  <si>
    <t>villamartina@hotmail.it</t>
  </si>
  <si>
    <t>IL GIRASOLE</t>
  </si>
  <si>
    <t>via Pagino 40</t>
  </si>
  <si>
    <t>PAGINO</t>
  </si>
  <si>
    <t>HOTEL BUCCI DI PARLATO CLAUDIA</t>
  </si>
  <si>
    <t>via dell' Industria 13</t>
  </si>
  <si>
    <t>hotel.bucci@libero.it</t>
  </si>
  <si>
    <t>LOCANDA DELLA VALLE NUOVA</t>
  </si>
  <si>
    <t>LA CAPPELLA 14</t>
  </si>
  <si>
    <t>Fermignano</t>
  </si>
  <si>
    <t>http://vallenuova.it</t>
  </si>
  <si>
    <t>info@vallenuova.it</t>
  </si>
  <si>
    <t>B&amp;B GARDEN</t>
  </si>
  <si>
    <t>via Martin Luther King 35</t>
  </si>
  <si>
    <t>www.bbgarden.it</t>
  </si>
  <si>
    <t>bedandbreakfastgarden@gmail.com</t>
  </si>
  <si>
    <t>OASI DELLA PACE</t>
  </si>
  <si>
    <t>LOC. CA' PANDOLFO 30</t>
  </si>
  <si>
    <t>FRAZ. SAN SILVESTRO</t>
  </si>
  <si>
    <t>B&amp;B TOC TOC</t>
  </si>
  <si>
    <t>TASSO  62</t>
  </si>
  <si>
    <t>B&amp;B FALASCONI MARCO</t>
  </si>
  <si>
    <t>via R. Sanzio 11</t>
  </si>
  <si>
    <t>benniroberta@virgilio.it</t>
  </si>
  <si>
    <t>CA' SA BARTOCCIO</t>
  </si>
  <si>
    <t>via Ticino 15</t>
  </si>
  <si>
    <t>casabartoccio@libero.it</t>
  </si>
  <si>
    <t>B&amp;B IL BICICLO</t>
  </si>
  <si>
    <t>via Dante Alighieri 3</t>
  </si>
  <si>
    <t>gostolialessandro@gmail.com</t>
  </si>
  <si>
    <t>B&amp;B CAMERA CON VISTA</t>
  </si>
  <si>
    <t>via Umberto I 18</t>
  </si>
  <si>
    <t>FOSSOMBRONE</t>
  </si>
  <si>
    <t>santisamuele@libero.it</t>
  </si>
  <si>
    <t>LA COLLINA DEGLI OLIVI</t>
  </si>
  <si>
    <t>VIA MONTE AGUZZO  29</t>
  </si>
  <si>
    <t>collinadegliolivi@libero.it</t>
  </si>
  <si>
    <t>B&amp;B CORTE ROSSA</t>
  </si>
  <si>
    <t>Cesare Battisti 28</t>
  </si>
  <si>
    <t>bbcorterossa@libero.it</t>
  </si>
  <si>
    <t>RANCO</t>
  </si>
  <si>
    <t>IN ALLESTIMENTO</t>
  </si>
  <si>
    <t>INFO.RANCO@LIBERO.IT</t>
  </si>
  <si>
    <t>SANT'ALDEBRANDO BED&amp;BREAKFAST</t>
  </si>
  <si>
    <t>VIA S. ALDEBRANDO 23</t>
  </si>
  <si>
    <t>www.bebsantaldebrando.com</t>
  </si>
  <si>
    <t>info@bebsantaldebrando.com</t>
  </si>
  <si>
    <t>B&amp;B AL MULINO</t>
  </si>
  <si>
    <t>Via Molino delle Ginestre 29</t>
  </si>
  <si>
    <t>www.bbalmulino.it</t>
  </si>
  <si>
    <t>info@bbalmulino.it</t>
  </si>
  <si>
    <t>EL GATAREL</t>
  </si>
  <si>
    <t>via Pantaneto 10</t>
  </si>
  <si>
    <t>www.elgatarel.it</t>
  </si>
  <si>
    <t>elgatarel@tiscali.it</t>
  </si>
  <si>
    <t>EL MOR</t>
  </si>
  <si>
    <t>via molino delle ginestre 21</t>
  </si>
  <si>
    <t>fossombrone</t>
  </si>
  <si>
    <t>VALLETARUGO DI PARADISI TERENZIO</t>
  </si>
  <si>
    <t>campagna parrocchia caspessa 1</t>
  </si>
  <si>
    <t>www.valletarugo.it</t>
  </si>
  <si>
    <t>webmaster@valletarugo.it</t>
  </si>
  <si>
    <t>AL LAGO</t>
  </si>
  <si>
    <t>parrocchia cattedrale 124</t>
  </si>
  <si>
    <t>albergoristoranteallago.com</t>
  </si>
  <si>
    <t>info@albergoristoranteallago.com</t>
  </si>
  <si>
    <t>DA MARCO</t>
  </si>
  <si>
    <t>via G.Giganti 20</t>
  </si>
  <si>
    <t>www.albergodamarco.it</t>
  </si>
  <si>
    <t>info@albergodamarco.it</t>
  </si>
  <si>
    <t>MANCINELLI LUCIANO</t>
  </si>
  <si>
    <t>piazza Ottaviano Petrucci 5</t>
  </si>
  <si>
    <t>www.albergomancinelli.it</t>
  </si>
  <si>
    <t>mancinelli52@libero.it</t>
  </si>
  <si>
    <t>LOC. Le Mosse</t>
  </si>
  <si>
    <t>VILLA CERBARA</t>
  </si>
  <si>
    <t>strada San Piero in Tambis 33</t>
  </si>
  <si>
    <t>lacerbara@libero.it</t>
  </si>
  <si>
    <t>CASAL SAN SERGIO</t>
  </si>
  <si>
    <t>via san sergio 11 snc</t>
  </si>
  <si>
    <t>www.casalsansergio.it</t>
  </si>
  <si>
    <t>info@casalsansergio.it</t>
  </si>
  <si>
    <t>IL GINEPRO</t>
  </si>
  <si>
    <t>via Frati Cappuccini 19</t>
  </si>
  <si>
    <t>www.ilginepro.net</t>
  </si>
  <si>
    <t>info@ilginepro.net</t>
  </si>
  <si>
    <t>B&amp;B LA FINESTRA SUL FIUME</t>
  </si>
  <si>
    <t>VIA UMBERTO I  30</t>
  </si>
  <si>
    <t>www.ritarinci.com</t>
  </si>
  <si>
    <t>rita.rinci@gmail.com</t>
  </si>
  <si>
    <t>B&amp;B ROMAGNOLI EDMEO</t>
  </si>
  <si>
    <t>a. Negri 7</t>
  </si>
  <si>
    <t>bedandbreakfast.romagnoli@gmail.com</t>
  </si>
  <si>
    <t>LA CAPINERA</t>
  </si>
  <si>
    <t>localita' san martino dei muri 1</t>
  </si>
  <si>
    <t>www.lacapinera.com</t>
  </si>
  <si>
    <t>info@lacapinera.com</t>
  </si>
  <si>
    <t>AGRITURISMO CASCINA MARIANNA</t>
  </si>
  <si>
    <t>via dei Molini 32</t>
  </si>
  <si>
    <t>Isola di Fano</t>
  </si>
  <si>
    <t>www.camarianna.it</t>
  </si>
  <si>
    <t>cascinamarianna@hotmail.com</t>
  </si>
  <si>
    <t>SOCIETA' AGRICOLA FRATTE ROSA</t>
  </si>
  <si>
    <t>via delle Serre 28</t>
  </si>
  <si>
    <t>FRATTE ROSA</t>
  </si>
  <si>
    <t>agriturismo@terracruda.it</t>
  </si>
  <si>
    <t>AGRITURISMO CASALE DEL PODESTA' DI BONIFAZI ROBERTO</t>
  </si>
  <si>
    <t>via dei lubachi 1</t>
  </si>
  <si>
    <t>info@bonifaziassicurazioni.it</t>
  </si>
  <si>
    <t>LOCANDA DELLA RAVIGNANA</t>
  </si>
  <si>
    <t>PRIMO MAGGIO s.n.c.</t>
  </si>
  <si>
    <t>www.locandadellaravignana.it</t>
  </si>
  <si>
    <t>alessandra@studiospallacci.it</t>
  </si>
  <si>
    <t>GREGORI GIUSEPPINA</t>
  </si>
  <si>
    <t>via Carducci 24</t>
  </si>
  <si>
    <t>giungagreg@gmail.com</t>
  </si>
  <si>
    <t>AGRITURISMO DAI DU BOURDEI</t>
  </si>
  <si>
    <t>via Cà Marchino snc</t>
  </si>
  <si>
    <t>FRONTINO</t>
  </si>
  <si>
    <t>info@daidubourdei.com</t>
  </si>
  <si>
    <t>LA PALAZZINA</t>
  </si>
  <si>
    <t>carmen@sistivenanzio.it</t>
  </si>
  <si>
    <t>SOTTO LA TORRE</t>
  </si>
  <si>
    <t>Via Europa Unita 7</t>
  </si>
  <si>
    <t>bbsottolatorre@libero.it</t>
  </si>
  <si>
    <t>CORRADO CALIENDI</t>
  </si>
  <si>
    <t>LOCALITA' PIAN DEI PRATI sn</t>
  </si>
  <si>
    <t>LA SPIGA D'ORO</t>
  </si>
  <si>
    <t>VIA SAN GIROLAMO SN</t>
  </si>
  <si>
    <t>www.laspigadoro.eu</t>
  </si>
  <si>
    <t>mail@lasipgadoro.eu</t>
  </si>
  <si>
    <t>IL MUTINO</t>
  </si>
  <si>
    <t>via del mutino 57</t>
  </si>
  <si>
    <t>CENTRO SERVIZIO POLIVALENTE DEL MONTEFELTRO</t>
  </si>
  <si>
    <t>corso Giovanni XXIII 1</t>
  </si>
  <si>
    <t>AGRITURISMO MONTEFIORENTINO</t>
  </si>
  <si>
    <t>loc. Montefiorentino 174</t>
  </si>
  <si>
    <t>loc. Montefiorentino</t>
  </si>
  <si>
    <t>www.montefiorentino.it</t>
  </si>
  <si>
    <t>info@montefiorentino.it</t>
  </si>
  <si>
    <t>RESIDENZA SAN GIROLAMO</t>
  </si>
  <si>
    <t>San Girolamo 1</t>
  </si>
  <si>
    <t>SAN GIROLAMO</t>
  </si>
  <si>
    <t>www.sangirolamo.com</t>
  </si>
  <si>
    <t>info@sangirolamo.com</t>
  </si>
  <si>
    <t>LE QUERCE</t>
  </si>
  <si>
    <t>loc. Calmugnano 103</t>
  </si>
  <si>
    <t>CALMUGNANO</t>
  </si>
  <si>
    <t>www.locandalequerce.com</t>
  </si>
  <si>
    <t>lequerce32@hotmail.com</t>
  </si>
  <si>
    <t>LA ROCCA DEI MALATESTA</t>
  </si>
  <si>
    <t>corso giovanni XXIII 1</t>
  </si>
  <si>
    <t>www.laroccadeimalatesta.com</t>
  </si>
  <si>
    <t>info@laroccadeimalatesta.com</t>
  </si>
  <si>
    <t>PIAN DEI PRATI</t>
  </si>
  <si>
    <t>www.campingpiandeiprati.com</t>
  </si>
  <si>
    <t>info@campingpiandeiprati.com</t>
  </si>
  <si>
    <t>CALIENDI CORRADO</t>
  </si>
  <si>
    <t>PIAN DEI PRATI - FRONTINO</t>
  </si>
  <si>
    <t>B&amp;B BORGO CASANOVA di ERCOLANI LUCIANA</t>
  </si>
  <si>
    <t>loc. Casanova 1</t>
  </si>
  <si>
    <t>www.borgocasanova.it</t>
  </si>
  <si>
    <t>B&amp;B CA' GIORGETTO</t>
  </si>
  <si>
    <t>localita' ca' giorgetto 216</t>
  </si>
  <si>
    <t>www.bedandbreakfastcagiorgetto.com</t>
  </si>
  <si>
    <t>paxismith@libero.it</t>
  </si>
  <si>
    <t>CALIENDI CORRADO 1</t>
  </si>
  <si>
    <t>B&amp;B LA TANA</t>
  </si>
  <si>
    <t>via buonconsiglio 9</t>
  </si>
  <si>
    <t>ferdinando.raggi@libero.it; info@latanabed.it</t>
  </si>
  <si>
    <t>IL POGGIO</t>
  </si>
  <si>
    <t>frazione Poggio 6</t>
  </si>
  <si>
    <t>ANCONA</t>
  </si>
  <si>
    <t>LOCANDA DEL CASTELLO</t>
  </si>
  <si>
    <t>piazzale della Rocca 5</t>
  </si>
  <si>
    <t>www.locandadelcastello.it</t>
  </si>
  <si>
    <t>locandadelcastello@liberto.it</t>
  </si>
  <si>
    <t>IL DAINO</t>
  </si>
  <si>
    <t>via roma 19 19</t>
  </si>
  <si>
    <t>info@hotelildaino.it</t>
  </si>
  <si>
    <t>IL CINISCO</t>
  </si>
  <si>
    <t>via Cinisco snc</t>
  </si>
  <si>
    <t>www.ilcinisco.it/informazioni.html</t>
  </si>
  <si>
    <t>info@ilcinisco.it</t>
  </si>
  <si>
    <t>CASA VACANZE OSTERIACCIO</t>
  </si>
  <si>
    <t>via Osteriaccio 3</t>
  </si>
  <si>
    <t>Monte San Vito</t>
  </si>
  <si>
    <t>www.osteriaccio.it</t>
  </si>
  <si>
    <t>info@osteriaccio.it</t>
  </si>
  <si>
    <t>B&amp;B IL GIBBO</t>
  </si>
  <si>
    <t>VIA FONTE AVELLANA 37</t>
  </si>
  <si>
    <t>FOCE</t>
  </si>
  <si>
    <t>giuly.bartocci@virgilio.it</t>
  </si>
  <si>
    <t>B&amp;B AI PIEDI DEL CATRIA</t>
  </si>
  <si>
    <t>via Strada del Caprile 2</t>
  </si>
  <si>
    <t>www.aipiedidelcatria.it</t>
  </si>
  <si>
    <t>pmorbi@tin.it</t>
  </si>
  <si>
    <t>CASA VACANZE IL CAPRILE</t>
  </si>
  <si>
    <t>Caprile</t>
  </si>
  <si>
    <t>www.edilmartino.com</t>
  </si>
  <si>
    <t>brunarossi1976@virgilio.it</t>
  </si>
  <si>
    <t>B&amp;B LA FOCE</t>
  </si>
  <si>
    <t>via fonte avellana 19</t>
  </si>
  <si>
    <t>www.beblafoce.it</t>
  </si>
  <si>
    <t>cinisco@alice.it; info@beblafoce.it</t>
  </si>
  <si>
    <t>AGRITURISMO PIAN DI GALLO</t>
  </si>
  <si>
    <t>strada della contea 15</t>
  </si>
  <si>
    <t>coopag3a@gmail.com</t>
  </si>
  <si>
    <t>CASA VACANZE EDILFRONTONE</t>
  </si>
  <si>
    <t>Via Colombara SN</t>
  </si>
  <si>
    <t>RIFUGIO MONTE CATRIA COTALINE 1400</t>
  </si>
  <si>
    <t>Monte Acuto</t>
  </si>
  <si>
    <t>cupadellecotaline@gmail.com</t>
  </si>
  <si>
    <t>NADIA ROSSI</t>
  </si>
  <si>
    <t>via Medaglia d'Oro 18</t>
  </si>
  <si>
    <t>GABICCE MARE</t>
  </si>
  <si>
    <t>rnadia73.nr@gmail.com; alan.grassi@alice.it</t>
  </si>
  <si>
    <t>BAGNI N 45</t>
  </si>
  <si>
    <t>rosmarchini@gmail.com</t>
  </si>
  <si>
    <t>BAGNI N 46</t>
  </si>
  <si>
    <t>FORONCHI GIUSEPPE</t>
  </si>
  <si>
    <t>via Trieste 25/b</t>
  </si>
  <si>
    <t>FORONCHI ELVIRA</t>
  </si>
  <si>
    <t>via Trieste, via Trento 25,20</t>
  </si>
  <si>
    <t>monica_vincenzo@virgilio.it</t>
  </si>
  <si>
    <t>HOTEL LOSANNA</t>
  </si>
  <si>
    <t>piazza giardini unita' d' italia 7</t>
  </si>
  <si>
    <t>www.hotellosanna.info</t>
  </si>
  <si>
    <t>info@hotellosanna.info</t>
  </si>
  <si>
    <t>HOTEL ATHENA</t>
  </si>
  <si>
    <t>via Panoramica 9</t>
  </si>
  <si>
    <t>www.hotelathena.eu</t>
  </si>
  <si>
    <t>direzione@hotelathena.eu;</t>
  </si>
  <si>
    <t>VICHI MALVINA</t>
  </si>
  <si>
    <t>via Circonvallazione 6</t>
  </si>
  <si>
    <t>GAUDENZI VENERINA</t>
  </si>
  <si>
    <t>via G.Pascoli 5</t>
  </si>
  <si>
    <t>LEONARDI CLAUDIO</t>
  </si>
  <si>
    <t>via G. Pascoli 12</t>
  </si>
  <si>
    <t>SARTORI SUSANNA</t>
  </si>
  <si>
    <t>via Trieste 2</t>
  </si>
  <si>
    <t>GALLI MARIA PIA, FILIPPINI MARIA</t>
  </si>
  <si>
    <t>via Nino Bixio 4</t>
  </si>
  <si>
    <t>VANZOLINI GIULIANO</t>
  </si>
  <si>
    <t>via Trento 14</t>
  </si>
  <si>
    <t>BERTUCCIOLI SILVANO</t>
  </si>
  <si>
    <t>via G. D'Annuzio 4</t>
  </si>
  <si>
    <t>DEL CHIERICO GILBERTO</t>
  </si>
  <si>
    <t>Via Madonna di Loreto 16</t>
  </si>
  <si>
    <t>BETTY AFFITTACAMERE</t>
  </si>
  <si>
    <t>via panoramica 98</t>
  </si>
  <si>
    <t>www.hotelgabiccemonte.com</t>
  </si>
  <si>
    <t>bettys@gabiccemare.com</t>
  </si>
  <si>
    <t>CAMPING GABICCE MONTE</t>
  </si>
  <si>
    <t>maioli.giacomo@libero.it</t>
  </si>
  <si>
    <t>VIA VITTORIO VENETO 73</t>
  </si>
  <si>
    <t>hotelexcelsiorgabicce.com</t>
  </si>
  <si>
    <t>info@hotelexcelsiorgabicce.com</t>
  </si>
  <si>
    <t>MEETING</t>
  </si>
  <si>
    <t>via panoramica 13</t>
  </si>
  <si>
    <t>www.residencemeeting.it</t>
  </si>
  <si>
    <t>info@residencemeeting.it</t>
  </si>
  <si>
    <t>VILLE E APPARTAMENTI ARCOBALENO</t>
  </si>
  <si>
    <t>via Giovanni Pascoli 25</t>
  </si>
  <si>
    <t>www.villeappartamentigabicce.com</t>
  </si>
  <si>
    <t>info@villeappartamentigabicce.com</t>
  </si>
  <si>
    <t>B&amp;B MAISON d'O</t>
  </si>
  <si>
    <t>via panoramica 1</t>
  </si>
  <si>
    <t>paolamichelacci@michelacci.com</t>
  </si>
  <si>
    <t>HOTEL EUROPA</t>
  </si>
  <si>
    <t>via vittorio veneto 5</t>
  </si>
  <si>
    <t>www.hoteleuropagabicce.com</t>
  </si>
  <si>
    <t>info@hoteleuropagabicce.com</t>
  </si>
  <si>
    <t>HOTEL LIDIA</t>
  </si>
  <si>
    <t>via edmondo de amicis 28</t>
  </si>
  <si>
    <t>www.hotellidiagabiccemare.com</t>
  </si>
  <si>
    <t>info@hotellidiagabiccemare.com</t>
  </si>
  <si>
    <t>HOTEL ATLAS</t>
  </si>
  <si>
    <t>via edmondo de amicis 6</t>
  </si>
  <si>
    <t>www.gabiccemare.com/atlas</t>
  </si>
  <si>
    <t>atlas@gabiccemare.com</t>
  </si>
  <si>
    <t>APPARTAMENTI FONTAINEBLEAU</t>
  </si>
  <si>
    <t>via Panoramica 92</t>
  </si>
  <si>
    <t>ab37rn@tin.it</t>
  </si>
  <si>
    <t>VENUS</t>
  </si>
  <si>
    <t>via Panoramica 29</t>
  </si>
  <si>
    <t>www.hotelvenus.it</t>
  </si>
  <si>
    <t>venus@gabiccemare.com</t>
  </si>
  <si>
    <t>VENUS DIPENDENZA</t>
  </si>
  <si>
    <t>viale Mare 26</t>
  </si>
  <si>
    <t>MY HOTEL MEUBLE' GARNI'</t>
  </si>
  <si>
    <t>via Redipuglia 18</t>
  </si>
  <si>
    <t>www.myhotelgabicce.it</t>
  </si>
  <si>
    <t>info@myhotelgabicce.it</t>
  </si>
  <si>
    <t>APPARTAMENTI GRAZIELLA</t>
  </si>
  <si>
    <t>via Panoramica 26</t>
  </si>
  <si>
    <t>www.appartamentigabiccemare.it</t>
  </si>
  <si>
    <t>info@appartamentigabiccemare.it</t>
  </si>
  <si>
    <t>HOTEL LUX</t>
  </si>
  <si>
    <t>via Ariosto 8</t>
  </si>
  <si>
    <t>www.hotelluxgabicce.it</t>
  </si>
  <si>
    <t>info@hotelluxgabicce.it</t>
  </si>
  <si>
    <t>ANTONELLI NORMA</t>
  </si>
  <si>
    <t>via Redipuglia 14</t>
  </si>
  <si>
    <t>BERTUCCIOLI QUINTA</t>
  </si>
  <si>
    <t>via Primo Maggio 23</t>
  </si>
  <si>
    <t>PALAZZI GIUSEPPINA</t>
  </si>
  <si>
    <t>via Cavour 15</t>
  </si>
  <si>
    <t>RICCI TIZIANA</t>
  </si>
  <si>
    <t>vicolo Mgellano 14</t>
  </si>
  <si>
    <t>CARICATO GIOVANNI</t>
  </si>
  <si>
    <t>via Marina 9</t>
  </si>
  <si>
    <t>GAUDENZI MARCO</t>
  </si>
  <si>
    <t>via Redipuglia 12</t>
  </si>
  <si>
    <t>GAUDENZI LUCIANO</t>
  </si>
  <si>
    <t>RESIDENCE AZZURRO</t>
  </si>
  <si>
    <t>via Redipuglia 62</t>
  </si>
  <si>
    <t>VINCENZETTI MARCELLO</t>
  </si>
  <si>
    <t>via Eritrea 4/3</t>
  </si>
  <si>
    <t>LEONARDI VENERINO</t>
  </si>
  <si>
    <t>via Trento 34,38</t>
  </si>
  <si>
    <t>LEONARDI FABIO</t>
  </si>
  <si>
    <t>via Trento 34,36</t>
  </si>
  <si>
    <t>MASTRANGELO DARIO</t>
  </si>
  <si>
    <t>GAUDENZI MARIA LUISA</t>
  </si>
  <si>
    <t>RIDOLFI PAOLA</t>
  </si>
  <si>
    <t>via Vittorio Veneto 72</t>
  </si>
  <si>
    <t>BRAGAGNA QUINTO</t>
  </si>
  <si>
    <t>via De Amicis 17</t>
  </si>
  <si>
    <t>BACCHINI ROBERTO</t>
  </si>
  <si>
    <t>viale della Repubblica 10</t>
  </si>
  <si>
    <t>PRIMAVERA MARIA</t>
  </si>
  <si>
    <t>via Bellavista 9</t>
  </si>
  <si>
    <t>MICHELINI DINO</t>
  </si>
  <si>
    <t>via Cesare Battisti 67</t>
  </si>
  <si>
    <t>BACCHINI ORIANA</t>
  </si>
  <si>
    <t>viale della Repubblica, via Vittorio Veneto 10,136</t>
  </si>
  <si>
    <t>RICCI ERNESTO</t>
  </si>
  <si>
    <t>via Vittorio Veneto  135</t>
  </si>
  <si>
    <t>RICCI TERESA</t>
  </si>
  <si>
    <t>via Marco Polo 3</t>
  </si>
  <si>
    <t>TERENZI GIORGIO</t>
  </si>
  <si>
    <t>via Redipuglia  24</t>
  </si>
  <si>
    <t>GAUDENZI IVANA</t>
  </si>
  <si>
    <t>GAUDENZI ANNA MARIA</t>
  </si>
  <si>
    <t>via Giovanni Pascoli 20</t>
  </si>
  <si>
    <t>BERTUCCIOLI REMIGIO</t>
  </si>
  <si>
    <t>via Madonna di Loreto 17</t>
  </si>
  <si>
    <t>BALDASSARRI VANDA</t>
  </si>
  <si>
    <t>via Eritrea 9</t>
  </si>
  <si>
    <t>SCOLA LUCIANO</t>
  </si>
  <si>
    <t>via Redipuglia 37</t>
  </si>
  <si>
    <t>GIAGNOLINI GIOVANNI</t>
  </si>
  <si>
    <t>via dell' Orizzonte 27</t>
  </si>
  <si>
    <t>PRIOLI ANTONIO</t>
  </si>
  <si>
    <t>via Trento 19</t>
  </si>
  <si>
    <t>FACONDINI MARINO</t>
  </si>
  <si>
    <t>via De Amicis 8</t>
  </si>
  <si>
    <t>BERTUCCIOLI LUCIANO</t>
  </si>
  <si>
    <t>via Primo Maggio 21</t>
  </si>
  <si>
    <t>PAGNINI GILBERTO</t>
  </si>
  <si>
    <t>RESIDENCE BEACH RESIDENCE</t>
  </si>
  <si>
    <t>via Vittorio Veneto 180</t>
  </si>
  <si>
    <t>www.beachresidence.it/</t>
  </si>
  <si>
    <t>info@beachresidence.it</t>
  </si>
  <si>
    <t>SPORTING</t>
  </si>
  <si>
    <t>via Panoramica 37</t>
  </si>
  <si>
    <t>info@sportinghotelgabicce.it</t>
  </si>
  <si>
    <t>HOTEL NORD EST</t>
  </si>
  <si>
    <t>via Vittorio Veneto 71</t>
  </si>
  <si>
    <t>www.nordesthotel.com</t>
  </si>
  <si>
    <t>info@nordesthotel.com</t>
  </si>
  <si>
    <t>CLUB HOTEL</t>
  </si>
  <si>
    <t>via Panoramica 33</t>
  </si>
  <si>
    <t>www.clubhotelgabicce.it</t>
  </si>
  <si>
    <t>info@clubhotelgabicce.it</t>
  </si>
  <si>
    <t>ACRUX</t>
  </si>
  <si>
    <t>via Vittorio Veneto 146</t>
  </si>
  <si>
    <t>www.hotelacrux.com</t>
  </si>
  <si>
    <t>info@hotelacrux.com</t>
  </si>
  <si>
    <t>ADLER</t>
  </si>
  <si>
    <t>viale mare 13</t>
  </si>
  <si>
    <t>www.adlerhotel.eu</t>
  </si>
  <si>
    <t>info@adlerhotel.eu</t>
  </si>
  <si>
    <t>ADRIA</t>
  </si>
  <si>
    <t>Via Vittorio Veneto 25</t>
  </si>
  <si>
    <t>www.hoteladriagabicce.it</t>
  </si>
  <si>
    <t>info@hoteladriagabicce.it</t>
  </si>
  <si>
    <t>ADRIATICO RESIDENCE</t>
  </si>
  <si>
    <t>via Edmondo De Amicis 39</t>
  </si>
  <si>
    <t>www.adriaticoresidence.com</t>
  </si>
  <si>
    <t>info@adriaticoresidence.com</t>
  </si>
  <si>
    <t>ALEXANDER</t>
  </si>
  <si>
    <t>via Panoramica 35</t>
  </si>
  <si>
    <t>www.alexanderhotel.it</t>
  </si>
  <si>
    <t>info@alexanderhotel.it</t>
  </si>
  <si>
    <t>AMBRA</t>
  </si>
  <si>
    <t>via vittorio veneto 20</t>
  </si>
  <si>
    <t>www.ambrahotel.eu</t>
  </si>
  <si>
    <t>info@ambrahotel.eu</t>
  </si>
  <si>
    <t>AUGUSTA</t>
  </si>
  <si>
    <t>via vittorio veneto 77</t>
  </si>
  <si>
    <t>www.hotelaugustagabicce.com</t>
  </si>
  <si>
    <t>info@hotelaugustagabicce.com</t>
  </si>
  <si>
    <t>AURORA</t>
  </si>
  <si>
    <t>via Cristoforo Colombo 45</t>
  </si>
  <si>
    <t>www.gabiccemare.com/aurora</t>
  </si>
  <si>
    <t>aurora@gabiccemare.com</t>
  </si>
  <si>
    <t>BALTIC</t>
  </si>
  <si>
    <t>via Primo Maggio 14</t>
  </si>
  <si>
    <t>www.hotelbalticgabicce.com</t>
  </si>
  <si>
    <t>info@hotelbalticgabicce.com</t>
  </si>
  <si>
    <t>BELLAVISTA</t>
  </si>
  <si>
    <t>piazza giardini unita' d' italia 9</t>
  </si>
  <si>
    <t>www.bellavistahtl.com</t>
  </si>
  <si>
    <t>bellavista@gabiccemare.com</t>
  </si>
  <si>
    <t>BELLEVUE</t>
  </si>
  <si>
    <t>via redipuglia 22</t>
  </si>
  <si>
    <t>www.bellevueresidence.it</t>
  </si>
  <si>
    <t>info@bellevueresidence.it</t>
  </si>
  <si>
    <t>BLU STAR HOTEL</t>
  </si>
  <si>
    <t>via Redipuglia 6</t>
  </si>
  <si>
    <t>www.hotelblustar.com</t>
  </si>
  <si>
    <t>info@hotelblustar.com</t>
  </si>
  <si>
    <t>BREZZA MEUBLE'</t>
  </si>
  <si>
    <t>via Vittorio Veneto 117</t>
  </si>
  <si>
    <t>BELLAVISTA DIPENDENZA</t>
  </si>
  <si>
    <t>via vittorio veneto 192</t>
  </si>
  <si>
    <t>CAPO EST</t>
  </si>
  <si>
    <t>via panoramica 123</t>
  </si>
  <si>
    <t>www.capoest.com</t>
  </si>
  <si>
    <t>capoest@capoest.com</t>
  </si>
  <si>
    <t>CAPRI</t>
  </si>
  <si>
    <t>viale della repubblica 1</t>
  </si>
  <si>
    <t>www.gabiccemare.com/capri</t>
  </si>
  <si>
    <t>capri@gabiccemare.com</t>
  </si>
  <si>
    <t>HOTEL CAVALLUCCIO MARINO</t>
  </si>
  <si>
    <t>via vittorio veneto 111</t>
  </si>
  <si>
    <t>www.hotelcavallucciomarino.it</t>
  </si>
  <si>
    <t>info@hotelcavallucciomarino.it</t>
  </si>
  <si>
    <t>via primo maggio 6</t>
  </si>
  <si>
    <t>www.continentalhotel.info</t>
  </si>
  <si>
    <t>continental@continentalhotel.info</t>
  </si>
  <si>
    <t>DU PARC</t>
  </si>
  <si>
    <t>via panoramica 48</t>
  </si>
  <si>
    <t>www.duparchotel.it</t>
  </si>
  <si>
    <t>info@duparchotel.it</t>
  </si>
  <si>
    <t>EDEN</t>
  </si>
  <si>
    <t>viale della Vittoria 57</t>
  </si>
  <si>
    <t>www.residenceeden.it</t>
  </si>
  <si>
    <t>eden@residenceeden.it</t>
  </si>
  <si>
    <t>ALBERGO EVEREST MEUBLE' GARNI</t>
  </si>
  <si>
    <t>via Enrico Filiberto 2</t>
  </si>
  <si>
    <t>www.hotel-everest.com</t>
  </si>
  <si>
    <t>heverest@libero.it</t>
  </si>
  <si>
    <t>HOTEL FABBRI</t>
  </si>
  <si>
    <t>via Cesare Battisti 48</t>
  </si>
  <si>
    <t>www.hotelfabbri.it</t>
  </si>
  <si>
    <t>info@hotelfabbri.it</t>
  </si>
  <si>
    <t>FULVIA</t>
  </si>
  <si>
    <t>via Trieste 23</t>
  </si>
  <si>
    <t>www.gabiccemare.com/fulvia; info@hotelfulvia.com</t>
  </si>
  <si>
    <t>info@hotelfulvia.com</t>
  </si>
  <si>
    <t>GABICCE</t>
  </si>
  <si>
    <t>via trento 24</t>
  </si>
  <si>
    <t>www.hotelgabicce.it</t>
  </si>
  <si>
    <t>info@hotelgabicce.it</t>
  </si>
  <si>
    <t>GARDEN</t>
  </si>
  <si>
    <t>via vittorio veneto 31</t>
  </si>
  <si>
    <t>www.hotelgardengabicce.com</t>
  </si>
  <si>
    <t>info@hotelgardengabicce.com</t>
  </si>
  <si>
    <t>GIOVANNA REGINA</t>
  </si>
  <si>
    <t>via vittorio veneto 173</t>
  </si>
  <si>
    <t>www.hotelgiovannaregina.com</t>
  </si>
  <si>
    <t>giovanna@gabiccemare.com</t>
  </si>
  <si>
    <t>GIUSEPPINA</t>
  </si>
  <si>
    <t>via edmondo de amicis 46</t>
  </si>
  <si>
    <t>www.gabiccemare.com/giuseppina</t>
  </si>
  <si>
    <t>GLORIA</t>
  </si>
  <si>
    <t>via niccolo' machiavelli 1</t>
  </si>
  <si>
    <t>www.gloriahotel.net</t>
  </si>
  <si>
    <t>direzione@gloriahotel.net</t>
  </si>
  <si>
    <t>GRAND HOTEL MICHELACCI</t>
  </si>
  <si>
    <t>Piazza Giardini Unità d'Italia 1</t>
  </si>
  <si>
    <t>www.michelacci.com</t>
  </si>
  <si>
    <t>info@michelacci.com</t>
  </si>
  <si>
    <t>ITALIA MEUBLE'</t>
  </si>
  <si>
    <t>via Vittorio Veneto 132</t>
  </si>
  <si>
    <t>www.hotelitaliagabiccemare.com</t>
  </si>
  <si>
    <t>info@hotelitaliagabiccemare.com</t>
  </si>
  <si>
    <t>LIDO</t>
  </si>
  <si>
    <t>via armando diaz 6</t>
  </si>
  <si>
    <t>www.lidohotel.org</t>
  </si>
  <si>
    <t>lido@gabiccemare.com</t>
  </si>
  <si>
    <t>MADISON</t>
  </si>
  <si>
    <t>www.hotel-madison.it</t>
  </si>
  <si>
    <t>madison@hotel-madison.it</t>
  </si>
  <si>
    <t>MAJESTIC</t>
  </si>
  <si>
    <t>viale Balneare 10</t>
  </si>
  <si>
    <t>www.majestichotel.it</t>
  </si>
  <si>
    <t>majestic@gabiccemare.com</t>
  </si>
  <si>
    <t>MAJESTIC DIPENDENZA</t>
  </si>
  <si>
    <t>viale balneare 10</t>
  </si>
  <si>
    <t>MAREMONTI</t>
  </si>
  <si>
    <t>Via Nino Bixio 1</t>
  </si>
  <si>
    <t>via Vittorio Veneto 127</t>
  </si>
  <si>
    <t>www.hotel-marinella.it</t>
  </si>
  <si>
    <t>info@hotel-marinella.it</t>
  </si>
  <si>
    <t>MAXIM</t>
  </si>
  <si>
    <t>via Circonvallazione 12</t>
  </si>
  <si>
    <t>www.maximhotel.it</t>
  </si>
  <si>
    <t>maxim@gabiccemare.com</t>
  </si>
  <si>
    <t>MIRAMARE</t>
  </si>
  <si>
    <t>via vittorio veneto 163</t>
  </si>
  <si>
    <t>www.miramarehtl.com</t>
  </si>
  <si>
    <t>info@miramarehtl.com</t>
  </si>
  <si>
    <t>NAPOLEON</t>
  </si>
  <si>
    <t>via vittorio veneto 151</t>
  </si>
  <si>
    <t>www.hotel-napoleon.it</t>
  </si>
  <si>
    <t>napoleon@hotel-napoleon.it</t>
  </si>
  <si>
    <t>NOBEL</t>
  </si>
  <si>
    <t>via vittorio veneto 99</t>
  </si>
  <si>
    <t>www.hotelnobel.it</t>
  </si>
  <si>
    <t>info@hotelnobel.it</t>
  </si>
  <si>
    <t>NUOVO FIORE</t>
  </si>
  <si>
    <t>via Edmondo de Amicis 25</t>
  </si>
  <si>
    <t>www.gabiccemare.com/nuovofiore</t>
  </si>
  <si>
    <t>nuovofiore@gabiccemare.com</t>
  </si>
  <si>
    <t>NUOVO FIORE DIPENDENZA</t>
  </si>
  <si>
    <t>via Edmondo De Amicis 18</t>
  </si>
  <si>
    <t>OLYMPIA</t>
  </si>
  <si>
    <t>via del porto 41</t>
  </si>
  <si>
    <t>www.olimpiagabicce.com</t>
  </si>
  <si>
    <t>info@olimpiagabicce.com</t>
  </si>
  <si>
    <t>PALAZZI</t>
  </si>
  <si>
    <t>via Panoramica 31</t>
  </si>
  <si>
    <t>www.hotelpalazzi.com</t>
  </si>
  <si>
    <t>info@hotelpalazzi.com</t>
  </si>
  <si>
    <t>PERLA</t>
  </si>
  <si>
    <t>via trento 5</t>
  </si>
  <si>
    <t>www.hotel-perla.it</t>
  </si>
  <si>
    <t>info@hotel-perla.it</t>
  </si>
  <si>
    <t>via circonvallazione 8</t>
  </si>
  <si>
    <t>www.hotelplazagabiccemare.com</t>
  </si>
  <si>
    <t>POSILLIPO</t>
  </si>
  <si>
    <t>viale dell' orizzonte 1</t>
  </si>
  <si>
    <t>www.hotelposillipo.com</t>
  </si>
  <si>
    <t>info@hotelposillipo.com</t>
  </si>
  <si>
    <t>PRINCIPE</t>
  </si>
  <si>
    <t>via circonvallazione 24</t>
  </si>
  <si>
    <t>www.hotelprincipegabicce.com</t>
  </si>
  <si>
    <t>info@hotelprincipegabicce.com</t>
  </si>
  <si>
    <t>PROMENADE</t>
  </si>
  <si>
    <t>viale mare 15</t>
  </si>
  <si>
    <t>www.hpromenade.it</t>
  </si>
  <si>
    <t>info@hpromenade.it</t>
  </si>
  <si>
    <t>RESIDENZA DEL GRAND HOTEL MICHELACCI</t>
  </si>
  <si>
    <t>Via Panoramica 6</t>
  </si>
  <si>
    <t>REX</t>
  </si>
  <si>
    <t>via eritrea 1</t>
  </si>
  <si>
    <t>www.hotelrex.com</t>
  </si>
  <si>
    <t>rex@gabiccemare.com</t>
  </si>
  <si>
    <t>ROCK CRYSTAL</t>
  </si>
  <si>
    <t>viale mare 46</t>
  </si>
  <si>
    <t>www.gabiccemareturismo.com</t>
  </si>
  <si>
    <t>hotelrockcrystal@libero.it</t>
  </si>
  <si>
    <t>ROMANTICO K2</t>
  </si>
  <si>
    <t>via trieste 8</t>
  </si>
  <si>
    <t>www.hotelromantico.it</t>
  </si>
  <si>
    <t>info@hotelromantico.it</t>
  </si>
  <si>
    <t>ROSA</t>
  </si>
  <si>
    <t>via Vittorio Veneto 18</t>
  </si>
  <si>
    <t>www.gabiccemare.com/rosa</t>
  </si>
  <si>
    <t>rosa@gabiccemare.com</t>
  </si>
  <si>
    <t>ROSA MEUBLE' GARNI</t>
  </si>
  <si>
    <t>via edmondo de amicis 42</t>
  </si>
  <si>
    <t>SAN MARCO</t>
  </si>
  <si>
    <t>via giacomo leopardi 5</t>
  </si>
  <si>
    <t>www.sanmarcohotel.com</t>
  </si>
  <si>
    <t>info@sanmarcohotel.com</t>
  </si>
  <si>
    <t>HOTEL SAYONARA</t>
  </si>
  <si>
    <t>viale della vittoria 12</t>
  </si>
  <si>
    <t>www.sayonarahotel.com</t>
  </si>
  <si>
    <t>info@sayonarahotel.com</t>
  </si>
  <si>
    <t>SIRENA</t>
  </si>
  <si>
    <t>via Gabriele d' Annunzio 14</t>
  </si>
  <si>
    <t>www.sirenahotel.com</t>
  </si>
  <si>
    <t>info@sirenahotel.com</t>
  </si>
  <si>
    <t>HOTEL SPLENDID</t>
  </si>
  <si>
    <t>via armando diaz 5</t>
  </si>
  <si>
    <t>www.hotelsplendidgabicce.it</t>
  </si>
  <si>
    <t>lucianapiermaria@libero.it</t>
  </si>
  <si>
    <t>STRAND HOTEL</t>
  </si>
  <si>
    <t>via vittorio veneto 167</t>
  </si>
  <si>
    <t>www.strand-hotel.it</t>
  </si>
  <si>
    <t>info@strand-hotel.it</t>
  </si>
  <si>
    <t>HOTEL THEA</t>
  </si>
  <si>
    <t>via Vittorio Veneto 7</t>
  </si>
  <si>
    <t>www.hotelthea.it</t>
  </si>
  <si>
    <t>info@hotelthea.it</t>
  </si>
  <si>
    <t>HOTEL THEA DIPENDENZA</t>
  </si>
  <si>
    <t>via Vittorio Veneto 16</t>
  </si>
  <si>
    <t>TRE STELLE</t>
  </si>
  <si>
    <t>via Gabriele D'Annunzio 12</t>
  </si>
  <si>
    <t>www.trestellehotel.net</t>
  </si>
  <si>
    <t>info@trestellehotel.net</t>
  </si>
  <si>
    <t>VILLA MARE</t>
  </si>
  <si>
    <t>viale Mare 18</t>
  </si>
  <si>
    <t>www.villamarehotel.net</t>
  </si>
  <si>
    <t>villamare@gabiccemare.com</t>
  </si>
  <si>
    <t>ZEUS</t>
  </si>
  <si>
    <t>via Giuseppe Mazzini 4</t>
  </si>
  <si>
    <t>www.gabiccemare.com/zeus</t>
  </si>
  <si>
    <t>zeus@gabiccemare.com</t>
  </si>
  <si>
    <t>M GLAMOUR HOTEL</t>
  </si>
  <si>
    <t>via Panoramica 4-6</t>
  </si>
  <si>
    <t>ALBA</t>
  </si>
  <si>
    <t>via Vittorio Veneto 15</t>
  </si>
  <si>
    <t>www.hotel-alba.it</t>
  </si>
  <si>
    <t>info@hotel-alba.it</t>
  </si>
  <si>
    <t>ATLANTIC</t>
  </si>
  <si>
    <t>via Panoramica 22</t>
  </si>
  <si>
    <t>www.hatlantic.it</t>
  </si>
  <si>
    <t>info@hatlantic.it</t>
  </si>
  <si>
    <t>RESIDENCE CONTINENTAL RESORT</t>
  </si>
  <si>
    <t>via primo maggio 4</t>
  </si>
  <si>
    <t>info@residencecontinental.it</t>
  </si>
  <si>
    <t>INTERNATIONAL</t>
  </si>
  <si>
    <t>via Vittorio Veneto 165</t>
  </si>
  <si>
    <t>www.internationalgabicce.com</t>
  </si>
  <si>
    <t>info@internationalgabicce.com</t>
  </si>
  <si>
    <t>LAURA</t>
  </si>
  <si>
    <t>via giacomo leopardi 25</t>
  </si>
  <si>
    <t>www.hotellaura.it</t>
  </si>
  <si>
    <t>info@hotellaura.it</t>
  </si>
  <si>
    <t>MAJORCA</t>
  </si>
  <si>
    <t>via Primo Maggio 107</t>
  </si>
  <si>
    <t>www.majorcagabicce.com</t>
  </si>
  <si>
    <t>info@majorcagabicce.com</t>
  </si>
  <si>
    <t>PARIS MEUBLE' GARNI'</t>
  </si>
  <si>
    <t>via Cesare Battisti 78</t>
  </si>
  <si>
    <t>www.gabiccemare.com/paris</t>
  </si>
  <si>
    <t>HOTEL SANS SOUCI</t>
  </si>
  <si>
    <t>viale Mare 9</t>
  </si>
  <si>
    <t>www.parkhotels.it/sanssouci</t>
  </si>
  <si>
    <t>sanssouci@parkhotels.it</t>
  </si>
  <si>
    <t>VIENNA</t>
  </si>
  <si>
    <t>viale della Repubblica 18</t>
  </si>
  <si>
    <t>www.hotelviennagabicce.com</t>
  </si>
  <si>
    <t>info@hotelviennagabicce.com</t>
  </si>
  <si>
    <t>TIC TAC</t>
  </si>
  <si>
    <t>Viale della Vittoria 37</t>
  </si>
  <si>
    <t>bar.tictac@virgilio.it</t>
  </si>
  <si>
    <t>BAGNI  N. 32</t>
  </si>
  <si>
    <t>via cristoforo colombo 1 1</t>
  </si>
  <si>
    <t>matteo@baldassarri.com</t>
  </si>
  <si>
    <t>www.bagni32.it</t>
  </si>
  <si>
    <t>BAGNO N. 46</t>
  </si>
  <si>
    <t>via Cristoforo Colombo 45 45</t>
  </si>
  <si>
    <t>BAGNI SANDRO N. 6</t>
  </si>
  <si>
    <t>viale cristoforo colombo 6 6</t>
  </si>
  <si>
    <t>bagni6gabicce@gmail.com</t>
  </si>
  <si>
    <t>www.bagni6gabicce.altervista.org</t>
  </si>
  <si>
    <t>BANANA BEACH N. 10-9</t>
  </si>
  <si>
    <t>viale cristoforo colombo 10 10</t>
  </si>
  <si>
    <t>BAGNI SERGIO N. 4</t>
  </si>
  <si>
    <t>via cristoforo colombo 4 4</t>
  </si>
  <si>
    <t>BAGNI ANGELO N. 11</t>
  </si>
  <si>
    <t>viale cristoforo colombo 11 11</t>
  </si>
  <si>
    <t>GabicceMare</t>
  </si>
  <si>
    <t>BAGNI N. 14</t>
  </si>
  <si>
    <t>lungomare cristoforo colombo 1 1</t>
  </si>
  <si>
    <t>BAGNI ALBERTO E MARIO N° 16</t>
  </si>
  <si>
    <t>lungomare cristoforo colombo 16 16</t>
  </si>
  <si>
    <t>BANANA BEACH N. 12</t>
  </si>
  <si>
    <t>viale cristoforo colombo 12 12</t>
  </si>
  <si>
    <t>ZONA 17</t>
  </si>
  <si>
    <t>via colombo 1 1</t>
  </si>
  <si>
    <t>valerioleardini@gmail.com</t>
  </si>
  <si>
    <t>BAGNI ENZO N. 18</t>
  </si>
  <si>
    <t>via cristoforo colombo 18 18</t>
  </si>
  <si>
    <t>BAGNI GINO E CARLA N. 19</t>
  </si>
  <si>
    <t>via cristoforo colombo 19 19</t>
  </si>
  <si>
    <t>gino19@gabiccemare.com</t>
  </si>
  <si>
    <t>www.bagni19.com</t>
  </si>
  <si>
    <t>BAGNI PEPPINO N. 20</t>
  </si>
  <si>
    <t>via cristoforo colombo 20 20</t>
  </si>
  <si>
    <t>BAGNI ARMANDO E GIUSEPPE N. 7, 8</t>
  </si>
  <si>
    <t>lungomare cristoforo colombo 7 7</t>
  </si>
  <si>
    <t>BAGNI LUIGI N. 21</t>
  </si>
  <si>
    <t>via cristoforo colombo 21 21</t>
  </si>
  <si>
    <t>bagni21@yahoo.it</t>
  </si>
  <si>
    <t>BAGNO N. 45</t>
  </si>
  <si>
    <t>strada della Vallugola 45 45</t>
  </si>
  <si>
    <t>PESARO</t>
  </si>
  <si>
    <t>BAGNI CATIA E GIORGIO N. 42, 43, 44</t>
  </si>
  <si>
    <t>via cristoforo colombo 42 42</t>
  </si>
  <si>
    <t>BAGNI FRANCO N. 37</t>
  </si>
  <si>
    <t>via cristoforo colombo 17 17</t>
  </si>
  <si>
    <t>alessandro.fili-2008@libero.it</t>
  </si>
  <si>
    <t>I DELFINI SNC</t>
  </si>
  <si>
    <t>BAGNI N. 35</t>
  </si>
  <si>
    <t>via cristoforo colombo 35 35</t>
  </si>
  <si>
    <t>info@gabiccemarespiaggia.com</t>
  </si>
  <si>
    <t>www.gabiccemarespiaggia.com</t>
  </si>
  <si>
    <t>BAGNI N. 34</t>
  </si>
  <si>
    <t>via cristoforo colombo 34 34</t>
  </si>
  <si>
    <t>BAGNO MARIA N. 33</t>
  </si>
  <si>
    <t>viale cristoforo colombo 33 33</t>
  </si>
  <si>
    <t>info@bagnimaria33.it</t>
  </si>
  <si>
    <t>www.bagnimaria33.it</t>
  </si>
  <si>
    <t>ZONA 31</t>
  </si>
  <si>
    <t>lungomare cristoforo colombo 31 31</t>
  </si>
  <si>
    <t>info@spiaggia31gabiccemare.com</t>
  </si>
  <si>
    <t>www.spiaggia31gabiccemare.com</t>
  </si>
  <si>
    <t>ZONA 30 GIGIO</t>
  </si>
  <si>
    <t>gabicce mare</t>
  </si>
  <si>
    <t>gigiopaolo@alice.it</t>
  </si>
  <si>
    <t>BAGNI TONINO N. 29</t>
  </si>
  <si>
    <t>viale cristoforo colombo 29 29</t>
  </si>
  <si>
    <t>BAGNI SILVIO N. 28</t>
  </si>
  <si>
    <t>viale cristoforo colombo 28 28</t>
  </si>
  <si>
    <t>gianfranco_leonardi@tin.it</t>
  </si>
  <si>
    <t>www.bagnisilvio28.com</t>
  </si>
  <si>
    <t>BAGNI GIORGIO N. 27</t>
  </si>
  <si>
    <t>BAGNI ROBERTO N. 26</t>
  </si>
  <si>
    <t>viale cristoforo colombo 26 26</t>
  </si>
  <si>
    <t>info@spiaggia26gabiccemare.info</t>
  </si>
  <si>
    <t>BAGNI FERNANDO &amp; LUCIANO N. 25</t>
  </si>
  <si>
    <t>via cristoforo colombo 25 25</t>
  </si>
  <si>
    <t>bagni25gabicce@libero.it</t>
  </si>
  <si>
    <t>BAGNI PEPPO N. 24</t>
  </si>
  <si>
    <t>via cristoforo colombo 24 24</t>
  </si>
  <si>
    <t>GRADARA</t>
  </si>
  <si>
    <t>info@giovannaregina.com</t>
  </si>
  <si>
    <t>BAGNI MARISA N. 23</t>
  </si>
  <si>
    <t>bagnimarisa@libero.it</t>
  </si>
  <si>
    <t>BAGNI DINO N. 22</t>
  </si>
  <si>
    <t>via cristoforo colombo 22 22</t>
  </si>
  <si>
    <t>BAGNI DANTE N. 1</t>
  </si>
  <si>
    <t>BAGNI MARIO E NORMA N. 2</t>
  </si>
  <si>
    <t>lungomare cristoforo colombo 2 2</t>
  </si>
  <si>
    <t>BAGNI GIACOMO N. 3</t>
  </si>
  <si>
    <t>via cristoforo colombo 3 3</t>
  </si>
  <si>
    <t>BAGNI ROBERTO E LUCA  N. 5</t>
  </si>
  <si>
    <t>viale cristoforo colombo 5 5</t>
  </si>
  <si>
    <t>IL GLICINE</t>
  </si>
  <si>
    <t>via Mercato 6</t>
  </si>
  <si>
    <t>delbianco.mar@gmail.com</t>
  </si>
  <si>
    <t>VILLA MATARAZZO</t>
  </si>
  <si>
    <t>via Farneto 1</t>
  </si>
  <si>
    <t>www.villamatarazzo.it</t>
  </si>
  <si>
    <t>info@villamatarazzo.com</t>
  </si>
  <si>
    <t>CASTELLO DI GRANAROLA</t>
  </si>
  <si>
    <t>via Castello 1</t>
  </si>
  <si>
    <t>www.castellodigranarola.it</t>
  </si>
  <si>
    <t>info@castellodigranarola.it</t>
  </si>
  <si>
    <t>IL CASALE DEL BONCIO</t>
  </si>
  <si>
    <t>via Boncio 8</t>
  </si>
  <si>
    <t>info@casaledelboncio.it</t>
  </si>
  <si>
    <t>RESIDENZA AURORA</t>
  </si>
  <si>
    <t>via della Fiera 1</t>
  </si>
  <si>
    <t>info@appartamentigradara.com</t>
  </si>
  <si>
    <t>B&amp;B DIMORA DELLA ROVERE</t>
  </si>
  <si>
    <t>via della Rovere 4</t>
  </si>
  <si>
    <t>www.dimoradellarovere.com</t>
  </si>
  <si>
    <t>info@dimoradellarovere.com</t>
  </si>
  <si>
    <t>B&amp;B LA ROSA ANTICA</t>
  </si>
  <si>
    <t>via Ghetto 1</t>
  </si>
  <si>
    <t>https://www.facebook.com/BbLaRosaAntica?hc_location=timeline</t>
  </si>
  <si>
    <t>marilena.turroni@gmail.com</t>
  </si>
  <si>
    <t>AL BORGO</t>
  </si>
  <si>
    <t>via Mancini 36</t>
  </si>
  <si>
    <t>www.affittacameregradara.com</t>
  </si>
  <si>
    <t>luisa@gradara.com</t>
  </si>
  <si>
    <t>MARIPOSA</t>
  </si>
  <si>
    <t>via Sotto Granarola 1/3</t>
  </si>
  <si>
    <t>mari.maffei@virgilio.it</t>
  </si>
  <si>
    <t>B&amp;B CASA DELLA STELLA</t>
  </si>
  <si>
    <t>via Tario 1</t>
  </si>
  <si>
    <t>www.casadellastella.it</t>
  </si>
  <si>
    <t>info@casadellastella.it</t>
  </si>
  <si>
    <t>B&amp;B GRADARA</t>
  </si>
  <si>
    <t>via Tavullia 28</t>
  </si>
  <si>
    <t>emanuelatf1@gmail.com</t>
  </si>
  <si>
    <t>AREA SOSTA CAMPER</t>
  </si>
  <si>
    <t>www.comune.gradara.pu.it</t>
  </si>
  <si>
    <t>comune.gradara@provincia.ps.it</t>
  </si>
  <si>
    <t>LA LOGGIA</t>
  </si>
  <si>
    <t>via Dante Alighieri 2</t>
  </si>
  <si>
    <t>www.laloggiagradara.it</t>
  </si>
  <si>
    <t>info@laloggiagradara.it</t>
  </si>
  <si>
    <t>B&amp;B VILLA DEI FIORI</t>
  </si>
  <si>
    <t>via Santo Stefano 5</t>
  </si>
  <si>
    <t>www.bb-gradara.com</t>
  </si>
  <si>
    <t>info@bb-gradara.com</t>
  </si>
  <si>
    <t>CASA RENALDA</t>
  </si>
  <si>
    <t>VIA TAVULLIA 44</t>
  </si>
  <si>
    <t>casarenalda@gmail.com</t>
  </si>
  <si>
    <t>B&amp;B LA PULCIA</t>
  </si>
  <si>
    <t>Via Cattolica 16</t>
  </si>
  <si>
    <t>lapulciagradara@gmail.com</t>
  </si>
  <si>
    <t>Via Gaggera 4</t>
  </si>
  <si>
    <t>lamagnolia.gradara@gmail.com</t>
  </si>
  <si>
    <t>VALLE DEL PICCHIO</t>
  </si>
  <si>
    <t>Via Vicinato 17/1</t>
  </si>
  <si>
    <t>leo.vince70@gmail.com</t>
  </si>
  <si>
    <t>B&amp;B COLLESOLE</t>
  </si>
  <si>
    <t>BONCIO 6</t>
  </si>
  <si>
    <t>paolomarini57@gmail.com</t>
  </si>
  <si>
    <t>B&amp;B DIMORA MALATESTA</t>
  </si>
  <si>
    <t>via Zanvettori 2</t>
  </si>
  <si>
    <t>Gradara</t>
  </si>
  <si>
    <t>arianna.tagliabracci@virgilio.it</t>
  </si>
  <si>
    <t>B&amp;B CUBO CON VISTA</t>
  </si>
  <si>
    <t>VIA TAVULLIA 71</t>
  </si>
  <si>
    <t>www.cuboconvista.it</t>
  </si>
  <si>
    <t>info@cuboconvista.it</t>
  </si>
  <si>
    <t>DEL MAGNA LUCIANA - PIANO TERRA</t>
  </si>
  <si>
    <t>Via Rubini 1</t>
  </si>
  <si>
    <t>DEL MAGNA LUCIANA - PIANO PRIMO</t>
  </si>
  <si>
    <t>EMPORIO LA LOGGIA</t>
  </si>
  <si>
    <t>Via Malatestiana 6</t>
  </si>
  <si>
    <t>FRANCHINI FEDERICA</t>
  </si>
  <si>
    <t>Via Cattolica 24/B</t>
  </si>
  <si>
    <t>franchini.federica82@gmail.com</t>
  </si>
  <si>
    <t>GERBONI ROMEO</t>
  </si>
  <si>
    <t>Via Tavullia 19</t>
  </si>
  <si>
    <t>allkr456.7@gmail.com</t>
  </si>
  <si>
    <t>SCASSAMACCHIA PIETRO</t>
  </si>
  <si>
    <t>Via Strada Romagna 40</t>
  </si>
  <si>
    <t>marinascassamacchia@hotmail.it</t>
  </si>
  <si>
    <t>TERENZI ELISA</t>
  </si>
  <si>
    <t>Via Cattolica 9</t>
  </si>
  <si>
    <t>elisaterenzi82@gmail.com</t>
  </si>
  <si>
    <t>TAGLIABRACCI NORMA</t>
  </si>
  <si>
    <t>strada delle valli 25</t>
  </si>
  <si>
    <t>ISOLA DEL PIANO</t>
  </si>
  <si>
    <t>norma.tagliabracci@libero.it</t>
  </si>
  <si>
    <t>CAMPO DEGLI OLIVI</t>
  </si>
  <si>
    <t>strada ponte degli alberi 55</t>
  </si>
  <si>
    <t>www.campodegliolivi.it</t>
  </si>
  <si>
    <t>info@campodegliolivi.it</t>
  </si>
  <si>
    <t>TENUTA DI MONTEBELLO</t>
  </si>
  <si>
    <t>MONTEBELLO 1</t>
  </si>
  <si>
    <t>www.agriturismogirolomoni.it</t>
  </si>
  <si>
    <t>agriturismo@girolomoni.it</t>
  </si>
  <si>
    <t>AGRITURISMO DAI MORI</t>
  </si>
  <si>
    <t>strada delle Valli 5</t>
  </si>
  <si>
    <t>www.agriturismodaimori.it</t>
  </si>
  <si>
    <t>agriturismodaimori@libero.it</t>
  </si>
  <si>
    <t>LA POLARINA DI BATTISTI GIUSEPPINA</t>
  </si>
  <si>
    <t>strada castelgagliardo 22</t>
  </si>
  <si>
    <t>IL PODERE</t>
  </si>
  <si>
    <t>strada delle valli 8</t>
  </si>
  <si>
    <t>I CASTAGNI DELLA PIANELLA</t>
  </si>
  <si>
    <t>loc. Pianella sn</t>
  </si>
  <si>
    <t>LUNANO</t>
  </si>
  <si>
    <t>loc. La Pianella</t>
  </si>
  <si>
    <t>manenti.stefano@tiscali.it</t>
  </si>
  <si>
    <t>IL CLAN ILLUMINATO</t>
  </si>
  <si>
    <t>LOCALITA' CONVENTO DEL MONTE ILLUMINATO</t>
  </si>
  <si>
    <t>anna.pierleoni@tin.it</t>
  </si>
  <si>
    <t>AGRITURISMO LA FAGGIOLA</t>
  </si>
  <si>
    <t>CASINO FAGGIOLA 3</t>
  </si>
  <si>
    <t>MACERATA FELTRIA</t>
  </si>
  <si>
    <t>SAN TEODORO</t>
  </si>
  <si>
    <t>lafaggiola@gmail.com</t>
  </si>
  <si>
    <t>AGRITURISMO LA CISTERNA</t>
  </si>
  <si>
    <t>frazione santa lucia 12</t>
  </si>
  <si>
    <t>www.lacisterna.net</t>
  </si>
  <si>
    <t>info@lacisterna.net</t>
  </si>
  <si>
    <t>B&amp;B LE LOGGE</t>
  </si>
  <si>
    <t>via Angelo Battelli 28</t>
  </si>
  <si>
    <t>cris.sper@alice.it</t>
  </si>
  <si>
    <t>OSTELLO GRASSANO</t>
  </si>
  <si>
    <t>frazione Castellina 1</t>
  </si>
  <si>
    <t>loc. Grassano</t>
  </si>
  <si>
    <t>www.tuttipertuttiaps.com</t>
  </si>
  <si>
    <t>tuttipertuttips@libero.it</t>
  </si>
  <si>
    <t>B&amp;B CA' RICCIO DELLA FAGGIOLA</t>
  </si>
  <si>
    <t>Cà Riccio 14</t>
  </si>
  <si>
    <t>San Teodoro</t>
  </si>
  <si>
    <t>www.caricciodellafaggiola.it</t>
  </si>
  <si>
    <t>info@caricciodellafaggiola.it</t>
  </si>
  <si>
    <t>LE BLANC MATOU</t>
  </si>
  <si>
    <t>via Pieve Cà Marchetto 15</t>
  </si>
  <si>
    <t>www.leblancmatou.it</t>
  </si>
  <si>
    <t>soffiaostro@yahoo.it</t>
  </si>
  <si>
    <t>MULINO DELLE MONACHE SRL</t>
  </si>
  <si>
    <t>via Mulino delle Marche 1</t>
  </si>
  <si>
    <t>studiogragnani@studiogragnani.it</t>
  </si>
  <si>
    <t>PITINUM</t>
  </si>
  <si>
    <t>via giacomo matteotti 16</t>
  </si>
  <si>
    <t>www.pitinum.com</t>
  </si>
  <si>
    <t>info@pitinum.com</t>
  </si>
  <si>
    <t>HOTEL TERME ALESSANDRA GONZAGA CENTRO BENESSERE SPA</t>
  </si>
  <si>
    <t>circonvallazione 7</t>
  </si>
  <si>
    <t>www.hoteltermealessandragonzaga.it</t>
  </si>
  <si>
    <t>info@hoteltermealessandragonzaga.it</t>
  </si>
  <si>
    <t>B&amp;B DINI CARLO</t>
  </si>
  <si>
    <t>Via voc. Santa Lucia  sn</t>
  </si>
  <si>
    <t>MERCATELLO SUL METAURO</t>
  </si>
  <si>
    <t>raffaele.dini@virgilio.it</t>
  </si>
  <si>
    <t>AGRITURISMO CA' BETANIA</t>
  </si>
  <si>
    <t>via Cà Betania 34</t>
  </si>
  <si>
    <t>Betania</t>
  </si>
  <si>
    <t>www.cabetania.nl</t>
  </si>
  <si>
    <t>steenbergenb@hotmail.com</t>
  </si>
  <si>
    <t>EUSEBI MAURIZIO</t>
  </si>
  <si>
    <t>LOC. VALLEPETRA 34</t>
  </si>
  <si>
    <t>VALLEPETRA</t>
  </si>
  <si>
    <t>INESISTENTE@REGIONE.IT</t>
  </si>
  <si>
    <t>AGRITURISMO PALAZZO DONATI</t>
  </si>
  <si>
    <t>Corso Bencivenni 29</t>
  </si>
  <si>
    <t>www.palazzodonati.com</t>
  </si>
  <si>
    <t>eventi@montestigliano.it</t>
  </si>
  <si>
    <t>LE VOCI DEL SILENZIO</t>
  </si>
  <si>
    <t>loc.Cal Bianchino</t>
  </si>
  <si>
    <t>levocidelsilenzio@libero.it</t>
  </si>
  <si>
    <t>LE CASELLE</t>
  </si>
  <si>
    <t>localita' Caselle 1</t>
  </si>
  <si>
    <t>loc.Caselle di Metola</t>
  </si>
  <si>
    <t>cabaronco@libero.it</t>
  </si>
  <si>
    <t>AGRITURISMO LA GROTTA DEI FOLLETTI</t>
  </si>
  <si>
    <t>localita' Bruciata 29/a</t>
  </si>
  <si>
    <t>www.lagrottadeifolletti.it</t>
  </si>
  <si>
    <t>info@lagrottadeifolletti.it</t>
  </si>
  <si>
    <t>LA TORRE</t>
  </si>
  <si>
    <t>localita' castello della pieve 1</t>
  </si>
  <si>
    <t>CASTELLO DELLA PIEVE</t>
  </si>
  <si>
    <t>localita' Castello della Pieve 1</t>
  </si>
  <si>
    <t>www.castellodellapieve.it</t>
  </si>
  <si>
    <t>info@castellodellapieve.it</t>
  </si>
  <si>
    <t>B&amp;B IL SOCCORSO</t>
  </si>
  <si>
    <t>via Soccorso 2</t>
  </si>
  <si>
    <t>www.bbilsoccorso.it</t>
  </si>
  <si>
    <t>info@bbilsoccorso.it</t>
  </si>
  <si>
    <t>LE QUERCE DEL METAURO</t>
  </si>
  <si>
    <t>ss Bocca Trabaria 73 bis 1</t>
  </si>
  <si>
    <t>loc.Fosso Porcari</t>
  </si>
  <si>
    <t>www.lequercedelmetauro.it</t>
  </si>
  <si>
    <t>info@lequercedelmetauro.it</t>
  </si>
  <si>
    <t>LA CASA NEL BORGO</t>
  </si>
  <si>
    <t>IL CASALE DEL BARONE</t>
  </si>
  <si>
    <t>loc. Cà Franceschino 5/a</t>
  </si>
  <si>
    <t>loc. Cà Franceschino</t>
  </si>
  <si>
    <t>www.agriturismobiomarche.it</t>
  </si>
  <si>
    <t>info@agriturismobiomarche.it</t>
  </si>
  <si>
    <t>B&amp;B LE ROSE DI TERESINA</t>
  </si>
  <si>
    <t>via Campo Lungo 1</t>
  </si>
  <si>
    <t>serenella.martelli@alice.it</t>
  </si>
  <si>
    <t>VAL DELLA PETRA</t>
  </si>
  <si>
    <t>via Val della Petra 33</t>
  </si>
  <si>
    <t>B&amp;B MAURIZIO BALDUCCI</t>
  </si>
  <si>
    <t>via Don Luigi Sturzo 7</t>
  </si>
  <si>
    <t>casabalduccimercatello@gmail.com</t>
  </si>
  <si>
    <t>B&amp;B BENCIVENNI DI UGOLINI VERONICA</t>
  </si>
  <si>
    <t>via Bencivenni 13</t>
  </si>
  <si>
    <t>http://www.altometauro.it/BeB_Bencivenni/</t>
  </si>
  <si>
    <t>pcincilla@gmail.com</t>
  </si>
  <si>
    <t>CA' FRANCESCHINO, THE GREEN HOUSE</t>
  </si>
  <si>
    <t>www.cafranceschino.it</t>
  </si>
  <si>
    <t>cafranceschino@yahoo.it</t>
  </si>
  <si>
    <t>AGRITURISMO CA' MONTIONI</t>
  </si>
  <si>
    <t>via Ca' Lillina 23</t>
  </si>
  <si>
    <t>loc. Guinza</t>
  </si>
  <si>
    <t>www.camontioni.it</t>
  </si>
  <si>
    <t>agriturcamontioni@gmail.com</t>
  </si>
  <si>
    <t>CALBERTONE</t>
  </si>
  <si>
    <t>via Beata Margherita della Metola 1</t>
  </si>
  <si>
    <t>loc. Metola</t>
  </si>
  <si>
    <t>www.calbertone.it</t>
  </si>
  <si>
    <t>infocalbertone@gmail.com</t>
  </si>
  <si>
    <t>LOCANDA DEI SACCHI</t>
  </si>
  <si>
    <t>corso Bencivenni 6</t>
  </si>
  <si>
    <t>www.locandasacchi.it</t>
  </si>
  <si>
    <t>sacchiumberto@virgilio.it</t>
  </si>
  <si>
    <t>AGRITURISMO LA POSSIONE</t>
  </si>
  <si>
    <t>via villa bassa 1</t>
  </si>
  <si>
    <t>MERCATINO CONCA</t>
  </si>
  <si>
    <t>PIANDICASTELLO</t>
  </si>
  <si>
    <t>via del Borgo 12</t>
  </si>
  <si>
    <t>Piandicastello</t>
  </si>
  <si>
    <t>LA CASA DELLE LUNE</t>
  </si>
  <si>
    <t>via Turlo  23</t>
  </si>
  <si>
    <t>MOMBAROCCIO</t>
  </si>
  <si>
    <t>elenarugiada@yahoo.it</t>
  </si>
  <si>
    <t>CHESANOVA</t>
  </si>
  <si>
    <t>via Turlo 26</t>
  </si>
  <si>
    <t>Villagrande</t>
  </si>
  <si>
    <t>www.chesanova.com</t>
  </si>
  <si>
    <t>info@chesanova.com</t>
  </si>
  <si>
    <t>AGRITURISMO GIANO BIFRONTE</t>
  </si>
  <si>
    <t>via Ciro Pavisa 28</t>
  </si>
  <si>
    <t>www.gianobifronte.com</t>
  </si>
  <si>
    <t>info@gianobifronte.com</t>
  </si>
  <si>
    <t>B&amp;B IL CASALE</t>
  </si>
  <si>
    <t>via Montemarino 11</t>
  </si>
  <si>
    <t>Montemarino</t>
  </si>
  <si>
    <t>www.ilcasalespadoni.it</t>
  </si>
  <si>
    <t>ilcasale.spadoni@libero.it</t>
  </si>
  <si>
    <t>B&amp;B LA PACE TRA GLI OLIVI</t>
  </si>
  <si>
    <t>via Pontaccio 2</t>
  </si>
  <si>
    <t>www.bblapacetragliolivi.com</t>
  </si>
  <si>
    <t>sparvingolo@libero.it</t>
  </si>
  <si>
    <t>CA' BONI</t>
  </si>
  <si>
    <t>via Croce 6</t>
  </si>
  <si>
    <t>maarit@libero.it</t>
  </si>
  <si>
    <t>B&amp;B CASALE ROSSI</t>
  </si>
  <si>
    <t>Via D'Annunzio 5</t>
  </si>
  <si>
    <t>robertorossi79@live.it</t>
  </si>
  <si>
    <t>casalerossi.roberto@gmail.com;</t>
  </si>
  <si>
    <t>IL BRUGNOLO</t>
  </si>
  <si>
    <t>Via Adiacenze 6</t>
  </si>
  <si>
    <t>avv.aiudi@yahoo.it</t>
  </si>
  <si>
    <t>L'INFINITO</t>
  </si>
  <si>
    <t>Via Marte 3</t>
  </si>
  <si>
    <t>www.lavandainfinito.com</t>
  </si>
  <si>
    <t>info@lavandainfinito.com</t>
  </si>
  <si>
    <t>VILLA DIANA</t>
  </si>
  <si>
    <t>TURLO  19</t>
  </si>
  <si>
    <t>mariarosa.fiacconi@gmail.com</t>
  </si>
  <si>
    <t>CURINA LUCIA</t>
  </si>
  <si>
    <t>VIA VILLAGRANDE 159</t>
  </si>
  <si>
    <t>luciacurina@legalmail.it</t>
  </si>
  <si>
    <t>VINCENZI PATRIZIO</t>
  </si>
  <si>
    <t>Via Montegiano  34</t>
  </si>
  <si>
    <t>B&amp;B CASA CAIRO</t>
  </si>
  <si>
    <t>via Cairo 18</t>
  </si>
  <si>
    <t>http://www.bbcasacairo.it</t>
  </si>
  <si>
    <t>casacairo@bbcasacairo.it</t>
  </si>
  <si>
    <t>B&amp;B IL BOSCO DEI CICLAMINI</t>
  </si>
  <si>
    <t>via Passo 26</t>
  </si>
  <si>
    <t>ilboscodeiciclamini@gmail.com</t>
  </si>
  <si>
    <t>AGRITURISMO BORGO LA ROVERE</t>
  </si>
  <si>
    <t>contrada Merlaro 9</t>
  </si>
  <si>
    <t>MONDAVIO</t>
  </si>
  <si>
    <t>borgolarovere@gmail.com</t>
  </si>
  <si>
    <t>AGRITURISMO MARIA FABRIZI</t>
  </si>
  <si>
    <t>CAVALLARA  3</t>
  </si>
  <si>
    <t>rist_maria_cavallara@libero.it</t>
  </si>
  <si>
    <t>AGRITURISMO LA LIMONAIA</t>
  </si>
  <si>
    <t>Via Mondaviese 150</t>
  </si>
  <si>
    <t>pacipiergiorgio@libero.it</t>
  </si>
  <si>
    <t>CASA MERLARO</t>
  </si>
  <si>
    <t>strada Merlaro 3,/3a</t>
  </si>
  <si>
    <t>www.casamerlaro.it</t>
  </si>
  <si>
    <t>info@casamerlaro.it</t>
  </si>
  <si>
    <t>AFFITTACAMERE LA PALOMBA</t>
  </si>
  <si>
    <t>borgo Gramsci 10</t>
  </si>
  <si>
    <t>info@lapalomba.it</t>
  </si>
  <si>
    <t>ALBERGO LA PALOMBA</t>
  </si>
  <si>
    <t>borgo Gramsci 13</t>
  </si>
  <si>
    <t>www.lapalomba.it</t>
  </si>
  <si>
    <t>CASA PER VACANZE LA ROCCA</t>
  </si>
  <si>
    <t>via Bramante 7</t>
  </si>
  <si>
    <t>www.casavacanzelarocca.it</t>
  </si>
  <si>
    <t>marymoro@hotmail.it</t>
  </si>
  <si>
    <t>LA CASINA DI MONDAVIO</t>
  </si>
  <si>
    <t>via bramante 5</t>
  </si>
  <si>
    <t>info@lacasinadimondavio.it</t>
  </si>
  <si>
    <t>AGRITURISMO VILLA BEATRICE</t>
  </si>
  <si>
    <t>contrada piano san michele al fiume 4</t>
  </si>
  <si>
    <t>www.villabeatrice.eu</t>
  </si>
  <si>
    <t>info@villabeatrice.eu</t>
  </si>
  <si>
    <t>B&amp;B IL GUFO RILASSATO</t>
  </si>
  <si>
    <t>via XXIV Maggio 36</t>
  </si>
  <si>
    <t>FRAZ. SAN MICHELE AL FIUME</t>
  </si>
  <si>
    <t>www.ilguforilassato.com</t>
  </si>
  <si>
    <t>info@ilguforilassato.com</t>
  </si>
  <si>
    <t>CASA GINEVRI</t>
  </si>
  <si>
    <t>via Valdiveltrica  14</t>
  </si>
  <si>
    <t>www.cooperativaroveresca.it</t>
  </si>
  <si>
    <t>info@villaginevri.it</t>
  </si>
  <si>
    <t>B&amp;B IL BORGHETTO DI SOTTO</t>
  </si>
  <si>
    <t>via Fantina 44</t>
  </si>
  <si>
    <t>c.sparta@libero.it</t>
  </si>
  <si>
    <t>SANTINELLI PIETRO</t>
  </si>
  <si>
    <t>via Litoranea 137</t>
  </si>
  <si>
    <t>pietrolucaelena@alice.it</t>
  </si>
  <si>
    <t>CAROBI PAOLA</t>
  </si>
  <si>
    <t>viale Carducci 252/c</t>
  </si>
  <si>
    <t>VERGARI GAETANO</t>
  </si>
  <si>
    <t>via G. Verdi 14/a</t>
  </si>
  <si>
    <t>g.vergari@comune.pesaro.pu.it</t>
  </si>
  <si>
    <t>CARONTI EMANUELA</t>
  </si>
  <si>
    <t>via Andrea Costa 31</t>
  </si>
  <si>
    <t>info.casavacanzebc@gmail.com</t>
  </si>
  <si>
    <t>BATTISTELLI BERNARD</t>
  </si>
  <si>
    <t>via Litoranea 294</t>
  </si>
  <si>
    <t>bernyb@gmail.com</t>
  </si>
  <si>
    <t>TINTI ALESSANDRO</t>
  </si>
  <si>
    <t>via 28 Settembre 20/l</t>
  </si>
  <si>
    <t>alessandropes@libero.it</t>
  </si>
  <si>
    <t>viale Carducci 65</t>
  </si>
  <si>
    <t>via San martino 5</t>
  </si>
  <si>
    <t>ELISABETTA GABRIELLI RIVOSECCHI</t>
  </si>
  <si>
    <t>viale Carducci 178</t>
  </si>
  <si>
    <t>ORAZI MILENA</t>
  </si>
  <si>
    <t>viale Carducci 129/a</t>
  </si>
  <si>
    <t>milena.orazi@libero.it</t>
  </si>
  <si>
    <t>CESARE SORA</t>
  </si>
  <si>
    <t>via Mazzini 87</t>
  </si>
  <si>
    <t>consuele78@hotmail.com</t>
  </si>
  <si>
    <t>EMILI SILVANA</t>
  </si>
  <si>
    <t>via Rossini 8</t>
  </si>
  <si>
    <t>semili@libero.it</t>
  </si>
  <si>
    <t>GIORGIA SORCI SIMONI</t>
  </si>
  <si>
    <t>via Marconi 32</t>
  </si>
  <si>
    <t>giorgiasorci@hotmail.com</t>
  </si>
  <si>
    <t>ABBAZIA CLUB HOTEL</t>
  </si>
  <si>
    <t>viale Cristoforo Colombo 107</t>
  </si>
  <si>
    <t>www.clubhotel-marotta.com</t>
  </si>
  <si>
    <t>info@clubhotel-marotta.com</t>
  </si>
  <si>
    <t>RESIDENZA LA SIGNORA</t>
  </si>
  <si>
    <t>piazza John Fitzgerald Kennedy 1</t>
  </si>
  <si>
    <t>fabriziagibiino@gmail.com</t>
  </si>
  <si>
    <t>ALTRA MAREA di CORSALETTI DAVIDE E GUIDI GIANLUCA</t>
  </si>
  <si>
    <t>viale cristoforo colombo 1 1</t>
  </si>
  <si>
    <t>lungomare C.Colombo 158</t>
  </si>
  <si>
    <t>alruff@tin.it</t>
  </si>
  <si>
    <t>BUTIRRONI DONATELLA</t>
  </si>
  <si>
    <t>via Colombo 171</t>
  </si>
  <si>
    <t>marotta</t>
  </si>
  <si>
    <t>biuty@libero.it</t>
  </si>
  <si>
    <t>B&amp;B LA DIMORA DEL GAMBERO</t>
  </si>
  <si>
    <t>via Michelangelo Buonarroti 25</t>
  </si>
  <si>
    <t>www.dimoradelgambero.eu</t>
  </si>
  <si>
    <t>info@dimoradelgambero.eu</t>
  </si>
  <si>
    <t>PAOLINELLI MICHELE</t>
  </si>
  <si>
    <t>LA MERIDIANA</t>
  </si>
  <si>
    <t>viale cristoforo colombo 1</t>
  </si>
  <si>
    <t>IL PUNTO</t>
  </si>
  <si>
    <t>via Litoranea 220</t>
  </si>
  <si>
    <t>info@albergoilpunto.com</t>
  </si>
  <si>
    <t>HOTEL AMBASSADOR</t>
  </si>
  <si>
    <t>viale Cristoforo Colombo 2</t>
  </si>
  <si>
    <t>www.hotelambassadormarotta.it</t>
  </si>
  <si>
    <t>info@hotelambassadormarotta.it</t>
  </si>
  <si>
    <t>LA TAVOLA</t>
  </si>
  <si>
    <t>via Litoranea 188/B</t>
  </si>
  <si>
    <t>info@eurosistema.191.it</t>
  </si>
  <si>
    <t>CAMPING CESANO</t>
  </si>
  <si>
    <t>Via Ugo Foscolo 22</t>
  </si>
  <si>
    <t>www.campingclubcesano.com</t>
  </si>
  <si>
    <t>info@campingclubcesano.it</t>
  </si>
  <si>
    <t>viale cristoforo colombo 132</t>
  </si>
  <si>
    <t>www.campingmarotta.it</t>
  </si>
  <si>
    <t>info@campingmarotta.it</t>
  </si>
  <si>
    <t>NETTUNO</t>
  </si>
  <si>
    <t>viale Cristoforo Colombo  1</t>
  </si>
  <si>
    <t>www.bardeitritonispiaggianettuno.com</t>
  </si>
  <si>
    <t>cesaretonelli86@gmail.com</t>
  </si>
  <si>
    <t>BAGNI MIRIAM</t>
  </si>
  <si>
    <t>viale Cristoforo Colombo 1 1</t>
  </si>
  <si>
    <t>raffaeletinti@freemail.it</t>
  </si>
  <si>
    <t>HAPPY DAYS BEACH</t>
  </si>
  <si>
    <t>viale Cristoforo Colombo 100</t>
  </si>
  <si>
    <t>STONE BEACH</t>
  </si>
  <si>
    <t>larivadafranco@libero.it</t>
  </si>
  <si>
    <t>BAGNI CLAUDIO</t>
  </si>
  <si>
    <t>BAGNI RICCARDO</t>
  </si>
  <si>
    <t>BAGNI CARLO DI SCROSTA CARLO ( Conc. N° 131)</t>
  </si>
  <si>
    <t>via faa' di bruno 131 131</t>
  </si>
  <si>
    <t>BAGNI ALBERTO &amp; CESARE</t>
  </si>
  <si>
    <t>BAGNI FRANCO DI PORTAVIA LUCA(Conc. Integrativa N° 1)</t>
  </si>
  <si>
    <t>BAGNI SOLINDO</t>
  </si>
  <si>
    <t>VIA FAA' DI BRUNO 1</t>
  </si>
  <si>
    <t>francy-12@libero.it</t>
  </si>
  <si>
    <t>BAGNI MONASCO DI MONTONI MONASCO</t>
  </si>
  <si>
    <t>monasco.montoni@libero.it</t>
  </si>
  <si>
    <t>CAMPING DEL GABBIANO</t>
  </si>
  <si>
    <t>via faa' di bruno 95 95</t>
  </si>
  <si>
    <t>info@campingdelgabbiano.it</t>
  </si>
  <si>
    <t>www.campingdelgabbiano.it</t>
  </si>
  <si>
    <t>PER BACCO</t>
  </si>
  <si>
    <t>viale dell' artigianato 26</t>
  </si>
  <si>
    <t>WWW.COUNTRYHOUSEPERBACCO.IT</t>
  </si>
  <si>
    <t>INFO@COUNTRYHOUSEPERBACCO.IT</t>
  </si>
  <si>
    <t>BAGNO N° 2 - OASI BEACH</t>
  </si>
  <si>
    <t>viale cristoforo colombo 2 2</t>
  </si>
  <si>
    <t>PAPINI PAPI ORNELLA</t>
  </si>
  <si>
    <t>Via Cristoforo Colombo 62</t>
  </si>
  <si>
    <t>FRANCESCONI CARLA</t>
  </si>
  <si>
    <t>Via Damiano Chiesa 34</t>
  </si>
  <si>
    <t>IL GABBIANO</t>
  </si>
  <si>
    <t>Strada Nazionale Adriatica Sud 396</t>
  </si>
  <si>
    <t>www.ilgabbianomarotta.it</t>
  </si>
  <si>
    <t>B&amp;B LA CASETTA</t>
  </si>
  <si>
    <t>Largo Neviera  8</t>
  </si>
  <si>
    <t>francyprio@inwind.it</t>
  </si>
  <si>
    <t>BARONCIANI FILIPPO APP.TO PIANO 2</t>
  </si>
  <si>
    <t>Via Damiano Chiesa 84</t>
  </si>
  <si>
    <t>BARONCIANI FILIPPO APP.TO PIANO 1</t>
  </si>
  <si>
    <t>LA PALMA</t>
  </si>
  <si>
    <t>Via A. de Gasperi  9</t>
  </si>
  <si>
    <t>studio.petroni@libero.it</t>
  </si>
  <si>
    <t>VILLA MAURO</t>
  </si>
  <si>
    <t>Via San Martino 5</t>
  </si>
  <si>
    <t>info@villasanmartino.it</t>
  </si>
  <si>
    <t>MONTANARI FRANCO</t>
  </si>
  <si>
    <t>Via Panzini 28/E</t>
  </si>
  <si>
    <t>LILLY</t>
  </si>
  <si>
    <t>Via faa' di bruno 22</t>
  </si>
  <si>
    <t>BIANCANEVE</t>
  </si>
  <si>
    <t>via damiano chiesa 53</t>
  </si>
  <si>
    <t>www.albergobiancaneve.it</t>
  </si>
  <si>
    <t>info@albergobiancaneve.it</t>
  </si>
  <si>
    <t>HOTEL SPIAGGIA D'ORO</t>
  </si>
  <si>
    <t>hotelspiaggiadoromarotta.jimdo.com</t>
  </si>
  <si>
    <t>spiaggiadoromarotta@libero.it</t>
  </si>
  <si>
    <t>Via Damiano Chiesa 15</t>
  </si>
  <si>
    <t>www.hotel-miramare.com</t>
  </si>
  <si>
    <t>info@hotel-miramare.com</t>
  </si>
  <si>
    <t>TRIESTE</t>
  </si>
  <si>
    <t>via Esino 15</t>
  </si>
  <si>
    <t>www.htrieste.net</t>
  </si>
  <si>
    <t>info@htrieste.net</t>
  </si>
  <si>
    <t>HOTEL FLORENCE</t>
  </si>
  <si>
    <t>via Faa' di Bruno 15</t>
  </si>
  <si>
    <t>www.hotelflorencemarotta.it</t>
  </si>
  <si>
    <t>info@hotelflorencemarotta.it</t>
  </si>
  <si>
    <t>via faa' di bruno 43</t>
  </si>
  <si>
    <t>www.hotelsanmarcomarotta.com</t>
  </si>
  <si>
    <t>info@hotelsanmarcomarotta.com</t>
  </si>
  <si>
    <t>TOSCANA</t>
  </si>
  <si>
    <t>via faa' di bruno 19</t>
  </si>
  <si>
    <t>www.hoteltoscanamarotta.com</t>
  </si>
  <si>
    <t>info@hoteltoscanamarotta.com</t>
  </si>
  <si>
    <t>NIAGARA</t>
  </si>
  <si>
    <t>via Damiano Chiesa 22</t>
  </si>
  <si>
    <t>www.hotelniagaramarotta.com</t>
  </si>
  <si>
    <t>hotelniagaramarotta@gmail.com</t>
  </si>
  <si>
    <t>via daniele manin 4</t>
  </si>
  <si>
    <t>www.hotelgarden-marotta.it</t>
  </si>
  <si>
    <t>info@hotelgarden-marotta.it</t>
  </si>
  <si>
    <t>DINARICA</t>
  </si>
  <si>
    <t>via Faà di Bruno  42</t>
  </si>
  <si>
    <t>www.hoteldinarica.it</t>
  </si>
  <si>
    <t>info@hoteldinarica.it</t>
  </si>
  <si>
    <t>MIRAMARE INN</t>
  </si>
  <si>
    <t>via faa' di bruno 48</t>
  </si>
  <si>
    <t>DEL GABBIANO</t>
  </si>
  <si>
    <t>via faa' di bruno 95</t>
  </si>
  <si>
    <t>MUGIANESI DAVID</t>
  </si>
  <si>
    <t>VIA DI VITTORIO 77</t>
  </si>
  <si>
    <t>PATRIGNANELLI GIANNI</t>
  </si>
  <si>
    <t>VIALE C. COLOMBO 133</t>
  </si>
  <si>
    <t>patrignanellig@gmail.com</t>
  </si>
  <si>
    <t>CECCHINI SANDRINA</t>
  </si>
  <si>
    <t>PERINI CATIUSCIA</t>
  </si>
  <si>
    <t>VIA C. COLOMBO 134</t>
  </si>
  <si>
    <t>PATRIGNANELLI LAURETTA</t>
  </si>
  <si>
    <t>VIALE C. COLOMBO 131</t>
  </si>
  <si>
    <t>PIERPAOLI GIUSEPPA</t>
  </si>
  <si>
    <t>VIA PERGOLESE 172</t>
  </si>
  <si>
    <t>B&amp;B CASITA BLANCA</t>
  </si>
  <si>
    <t>Via O. Respighi 9</t>
  </si>
  <si>
    <t>casitablanca@libero.it</t>
  </si>
  <si>
    <t>ANGELI AGOSTINO</t>
  </si>
  <si>
    <t>Via Chienti 1</t>
  </si>
  <si>
    <t>LUCIA GATTI</t>
  </si>
  <si>
    <t>viale Carducci 147</t>
  </si>
  <si>
    <t>lucia-gatti@alice.it</t>
  </si>
  <si>
    <t>CASA DI MAX</t>
  </si>
  <si>
    <t>via Alfredo Panzini 25</t>
  </si>
  <si>
    <t>Marotta</t>
  </si>
  <si>
    <t>www.casadimax.jimdo.com</t>
  </si>
  <si>
    <t>casa-di-max@libero.it</t>
  </si>
  <si>
    <t>MARTA SORA</t>
  </si>
  <si>
    <t>via Verdi 16</t>
  </si>
  <si>
    <t>martasora@hotmail.it</t>
  </si>
  <si>
    <t>ILARIA, LUIGI MOSCATELLI</t>
  </si>
  <si>
    <t>via Cristoforo Colombo 16</t>
  </si>
  <si>
    <t>SERI MARCO</t>
  </si>
  <si>
    <t>viale Carducci  131/b</t>
  </si>
  <si>
    <t>marco.seri@libero.it</t>
  </si>
  <si>
    <t>BELLAGAMBA LUCA</t>
  </si>
  <si>
    <t>via Carducci  97</t>
  </si>
  <si>
    <t>loc. Marotta</t>
  </si>
  <si>
    <t>ANTONUCCI MARCO</t>
  </si>
  <si>
    <t>via Carducci 83</t>
  </si>
  <si>
    <t>marco.tide@alice.it</t>
  </si>
  <si>
    <t>MONTIRONI ELIO</t>
  </si>
  <si>
    <t>via Carducci 133</t>
  </si>
  <si>
    <t>ANTONUCCI OMBRETTA</t>
  </si>
  <si>
    <t>via G.Carducci 108/a</t>
  </si>
  <si>
    <t>ombrez@libero.it</t>
  </si>
  <si>
    <t>FIORDALISO,GIGLIO,GIRASOLE,IRIS,MARGHERITA,ORCHIDEA,VIOLETTA</t>
  </si>
  <si>
    <t>via Sterpettine 20/22</t>
  </si>
  <si>
    <t>rondinaveruska@gmail.com</t>
  </si>
  <si>
    <t>FAMILY BEACH RESORT IL GIRASOLE</t>
  </si>
  <si>
    <t>via Ugo Foscolo 28</t>
  </si>
  <si>
    <t>amministrazione@familyresortilgirasole.com</t>
  </si>
  <si>
    <t>GRAMOLINI NADIA</t>
  </si>
  <si>
    <t>D.CHIESA 48/A</t>
  </si>
  <si>
    <t>SUN CITY B&amp;B</t>
  </si>
  <si>
    <t>LITORANEA  218</t>
  </si>
  <si>
    <t>fabiolavecchi1@hotmail.it</t>
  </si>
  <si>
    <t>AGRITURISMO LA BADIA</t>
  </si>
  <si>
    <t>Loc Badia 18 -Ca' Gallo- 18</t>
  </si>
  <si>
    <t>MONTECALVO IN FOGLIA</t>
  </si>
  <si>
    <t>Montecalvo in Foglia</t>
  </si>
  <si>
    <t>www.agriturismolabadia.it</t>
  </si>
  <si>
    <t>info@agriturismolabadia.it</t>
  </si>
  <si>
    <t>LA VECCHIA CANTINA</t>
  </si>
  <si>
    <t>localita' cal medico 17</t>
  </si>
  <si>
    <t>info@vecchiacantina.it</t>
  </si>
  <si>
    <t>I CALANCHI AGRITURISMO</t>
  </si>
  <si>
    <t>STRADA PROVINCIALE PER BORGO MASSANO 5</t>
  </si>
  <si>
    <t>www.icalanchiagriturismo.com</t>
  </si>
  <si>
    <t>info@icalanchiagriturismo.com</t>
  </si>
  <si>
    <t>CA' VIRGINIA COUNTRY HOUSE WELLNESS</t>
  </si>
  <si>
    <t>loc Foglia Secca sn</t>
  </si>
  <si>
    <t>SAN GIORGIO</t>
  </si>
  <si>
    <t>www.cavirginia.it</t>
  </si>
  <si>
    <t>info@cavirginia.it</t>
  </si>
  <si>
    <t>AGRITURISMO CA' BRANDANO</t>
  </si>
  <si>
    <t>strada provinciale per Borgo Massano 9</t>
  </si>
  <si>
    <t>info@cabrandano.com</t>
  </si>
  <si>
    <t>B&amp;B SEVERINI ELISA</t>
  </si>
  <si>
    <t>via A.Moro 5</t>
  </si>
  <si>
    <t>elisa.sev@libero.it; ma812000@yahoo.it</t>
  </si>
  <si>
    <t>B&amp;B ANTONIA COFANO</t>
  </si>
  <si>
    <t>via Michelangelo Buonarroti 68</t>
  </si>
  <si>
    <t>Cà Gallo</t>
  </si>
  <si>
    <t>ristoranteilcrinale@alice.it</t>
  </si>
  <si>
    <t>VALLE MAGNONE di GIORGINI DAVIDE GIORGIO</t>
  </si>
  <si>
    <t>via san donato 35</t>
  </si>
  <si>
    <t>MONTE CERIGNONE</t>
  </si>
  <si>
    <t>valle.magnone@email.it</t>
  </si>
  <si>
    <t>B&amp;B SALTO NEL CUORE DI PENSERINI MANUEL</t>
  </si>
  <si>
    <t>via del Poggio 1</t>
  </si>
  <si>
    <t>PARCO COMUNALE</t>
  </si>
  <si>
    <t>B&amp;B SAN DONATO</t>
  </si>
  <si>
    <t>SAN DONATO 57</t>
  </si>
  <si>
    <t>katia.03@libero.it</t>
  </si>
  <si>
    <t>IL CASTELLO</t>
  </si>
  <si>
    <t>via valle di teva 5</t>
  </si>
  <si>
    <t>www.vallediteva.it</t>
  </si>
  <si>
    <t>ilcastello@vallediteva.it</t>
  </si>
  <si>
    <t>B&amp;B NONNA LINDA</t>
  </si>
  <si>
    <t>via Angelo Battelli 29</t>
  </si>
  <si>
    <t>CA' DELL'OLMO</t>
  </si>
  <si>
    <t>via Montecipollino 16</t>
  </si>
  <si>
    <t>MONTECICCARDO</t>
  </si>
  <si>
    <t>www.cadellolmo.altervista.org</t>
  </si>
  <si>
    <t>cadellolmo@altervista.org</t>
  </si>
  <si>
    <t>IL CARRUBO</t>
  </si>
  <si>
    <t>via Petricci 25</t>
  </si>
  <si>
    <t>MONTE SANTA MARIA</t>
  </si>
  <si>
    <t>paolino.a63@tiscali.it; amadoripaolo@libero.it</t>
  </si>
  <si>
    <t>CAMPING PODERE SEI POORTE</t>
  </si>
  <si>
    <t>via Petricci 14</t>
  </si>
  <si>
    <t>www.podereseipoorte.it</t>
  </si>
  <si>
    <t>info@podereseipoorte.it</t>
  </si>
  <si>
    <t>AGRITURISMO AZIENDA AGRICOLA F.LLI NOBILI</t>
  </si>
  <si>
    <t>via Petricci 18</t>
  </si>
  <si>
    <t>nobili@pec.it</t>
  </si>
  <si>
    <t>B&amp;B SAN DANIELE</t>
  </si>
  <si>
    <t>strada di Gaviano 3</t>
  </si>
  <si>
    <t>Monteciccardo</t>
  </si>
  <si>
    <t>falcioniclara@gmail.com</t>
  </si>
  <si>
    <t>FONTEBRUNA</t>
  </si>
  <si>
    <t>via Sant'Angelo 15</t>
  </si>
  <si>
    <t>fontebruna@virgilio.it</t>
  </si>
  <si>
    <t>LA RUPE DEL FALCO</t>
  </si>
  <si>
    <t>strada di Gaviano 12</t>
  </si>
  <si>
    <t>larupedelfalco@gmail.com</t>
  </si>
  <si>
    <t>VENDROSELLA</t>
  </si>
  <si>
    <t>via Mombaroccio 11</t>
  </si>
  <si>
    <t>info@giommisystem.it</t>
  </si>
  <si>
    <t>B&amp;B LE QUERCE</t>
  </si>
  <si>
    <t>via Casina 103</t>
  </si>
  <si>
    <t>MONTECOPIOLO</t>
  </si>
  <si>
    <t>loc. Madonna di Pugliano</t>
  </si>
  <si>
    <t>lequercemontecopiolo@gmail.com</t>
  </si>
  <si>
    <t>B&amp;B IL POGGIO</t>
  </si>
  <si>
    <t>via Cà Moneta 17</t>
  </si>
  <si>
    <t>ca'moneta</t>
  </si>
  <si>
    <t>dgabrielli@libero.it</t>
  </si>
  <si>
    <t>ALBERGO CASETTA</t>
  </si>
  <si>
    <t>localita' Rancaliccio 82</t>
  </si>
  <si>
    <t>www.albergocasetta.it</t>
  </si>
  <si>
    <t>info@albergocasetta.it</t>
  </si>
  <si>
    <t>B&amp;B PISANI RENZO</t>
  </si>
  <si>
    <t>via Montefeltresca 80/1</t>
  </si>
  <si>
    <t>losgana@yahoo.it</t>
  </si>
  <si>
    <t>B&amp;B CANGIARI MAURO</t>
  </si>
  <si>
    <t>via Calvillano 15</t>
  </si>
  <si>
    <t>maurocangiari@tiscali.it</t>
  </si>
  <si>
    <t>ALBERGO RISTORANTE SCIBAR LA BAITA</t>
  </si>
  <si>
    <t>via Circonvallazione 2</t>
  </si>
  <si>
    <t>www.scibarlabaita.it</t>
  </si>
  <si>
    <t>info@scibarlabaita.it</t>
  </si>
  <si>
    <t>CEA CALVILLANO</t>
  </si>
  <si>
    <t>localita' Calvillano snc</t>
  </si>
  <si>
    <t>PARCO DEL LAGO DIPENDENZA</t>
  </si>
  <si>
    <t>via San Francesco 1</t>
  </si>
  <si>
    <t>www.parco-del-lago.com</t>
  </si>
  <si>
    <t>parcodellago@inwind.it</t>
  </si>
  <si>
    <t>PARCO DEL LAGO</t>
  </si>
  <si>
    <t>VILLA LABOR</t>
  </si>
  <si>
    <t>localita' Villa Battelli 44</t>
  </si>
  <si>
    <t>www.villalabor.it</t>
  </si>
  <si>
    <t>info@villalabor.it</t>
  </si>
  <si>
    <t>COSTA DELLA FIGURA</t>
  </si>
  <si>
    <t>MONTEFELCINO</t>
  </si>
  <si>
    <t>Montefelcino</t>
  </si>
  <si>
    <t>info@costadellafigura.com</t>
  </si>
  <si>
    <t>LA VALLE DELL'OLMO SCURO</t>
  </si>
  <si>
    <t>VIA PIEVE 7</t>
  </si>
  <si>
    <t>MONTEGUIDUCCIO</t>
  </si>
  <si>
    <t>www.lavalledellolmoscuro.it</t>
  </si>
  <si>
    <t>info@lavalledellolmoscuro.it</t>
  </si>
  <si>
    <t>CORNIO DELLE FRONDE</t>
  </si>
  <si>
    <t>Via Costa della Figura  24</t>
  </si>
  <si>
    <t>Fontecorniale</t>
  </si>
  <si>
    <t>www.corniodellefronde.it</t>
  </si>
  <si>
    <t>info@corniodellefronde.it</t>
  </si>
  <si>
    <t>SAN SEVERO</t>
  </si>
  <si>
    <t>via san severo 3</t>
  </si>
  <si>
    <t>www.agritursansevero.it</t>
  </si>
  <si>
    <t>VILLA ROSA</t>
  </si>
  <si>
    <t>via Casarotonda 24</t>
  </si>
  <si>
    <t>www.agriturismovillarosa.com</t>
  </si>
  <si>
    <t>info@agriturismovillarosa.com</t>
  </si>
  <si>
    <t>B&amp;B ALAN ERIC NEILSON</t>
  </si>
  <si>
    <t>via Bramante 4</t>
  </si>
  <si>
    <t>cecchinato.virna@tiscali.it</t>
  </si>
  <si>
    <t>B&amp;B ALBA CHIARA</t>
  </si>
  <si>
    <t>via Rossini 28</t>
  </si>
  <si>
    <t>loc. Ponte degli Alberi</t>
  </si>
  <si>
    <t>lupini.elisabetta@gmail.com</t>
  </si>
  <si>
    <t>FURIASSI LUIZA</t>
  </si>
  <si>
    <t>COSTA DELLA FIGURA 20</t>
  </si>
  <si>
    <t>B&amp;B IL SENTIERO DEI GOTI</t>
  </si>
  <si>
    <t>via Carponeto 6</t>
  </si>
  <si>
    <t>MONTE GRIMANO TERME</t>
  </si>
  <si>
    <t>Montelicciano</t>
  </si>
  <si>
    <t>riccardomularoni@gmail.com</t>
  </si>
  <si>
    <t>BASSI FERNANDO</t>
  </si>
  <si>
    <t>via I Maggio  31</t>
  </si>
  <si>
    <t>annafernando@alice.it</t>
  </si>
  <si>
    <t>ZAVOLI PIERINA</t>
  </si>
  <si>
    <t>via Rimini 4</t>
  </si>
  <si>
    <t>VIA POGGIO 13</t>
  </si>
  <si>
    <t>tala_m@hotmail.it</t>
  </si>
  <si>
    <t>B&amp;B MARINA SPADINI</t>
  </si>
  <si>
    <t>A. BATTELLI 10</t>
  </si>
  <si>
    <t>www.bbmontegrimanoterme.it</t>
  </si>
  <si>
    <t>spadini@bbmontegrimanoterme.it</t>
  </si>
  <si>
    <t>THERMAL RESIDENCE</t>
  </si>
  <si>
    <t>VIALE MARTIRI DELLA RESISTENZA  2</t>
  </si>
  <si>
    <t>www.villadicarlo.it</t>
  </si>
  <si>
    <t>info@villadicarlo.it</t>
  </si>
  <si>
    <t>HOTEL CENTRO BENESSERE VILLA DI CARLO</t>
  </si>
  <si>
    <t>viale Martiri della Resistenza 1</t>
  </si>
  <si>
    <t>DELLA SALUTE</t>
  </si>
  <si>
    <t>via dante alighieri 20</t>
  </si>
  <si>
    <t>hoteldellasalute@gmail.com</t>
  </si>
  <si>
    <t>NORD OVEST</t>
  </si>
  <si>
    <t>via Rimini 1</t>
  </si>
  <si>
    <t>www.hotelnordovest.it</t>
  </si>
  <si>
    <t>info@hotelnordovest.it</t>
  </si>
  <si>
    <t>DEL CASTELLO</t>
  </si>
  <si>
    <t>via Montali 17</t>
  </si>
  <si>
    <t>MONTELABBATE</t>
  </si>
  <si>
    <t>www.ristorantedelcastello.it</t>
  </si>
  <si>
    <t>info@ristorantedelcastello.it</t>
  </si>
  <si>
    <t>CASA MARCUCCI</t>
  </si>
  <si>
    <t>via Roma 9</t>
  </si>
  <si>
    <t>CASA DEL SOLE</t>
  </si>
  <si>
    <t>via Abbadia 20</t>
  </si>
  <si>
    <t>www.agriturismocasadelsole.it</t>
  </si>
  <si>
    <t>info@agriturismocasadelsole.it</t>
  </si>
  <si>
    <t>B&amp;B CASULA</t>
  </si>
  <si>
    <t>via Ripe  108/3</t>
  </si>
  <si>
    <t>casulapiero@yahoo.com</t>
  </si>
  <si>
    <t>B&amp;B VILLA CASULA</t>
  </si>
  <si>
    <t>via Ripe  108/1</t>
  </si>
  <si>
    <t>RIPE</t>
  </si>
  <si>
    <t>info@villacasula.com</t>
  </si>
  <si>
    <t>IL MONTALE COUNTRY RESORT</t>
  </si>
  <si>
    <t>via Calamone 12</t>
  </si>
  <si>
    <t>www.ilmontale.it</t>
  </si>
  <si>
    <t>info@ilmontale.it</t>
  </si>
  <si>
    <t>MONS MAJOR RELAIS</t>
  </si>
  <si>
    <t>via delle Mura 16 31</t>
  </si>
  <si>
    <t>MONTEMAGGIORE AL METAURO</t>
  </si>
  <si>
    <t>Montemaggiore al Metauro</t>
  </si>
  <si>
    <t>www.monsmajor.it</t>
  </si>
  <si>
    <t>info@monsmajor.it</t>
  </si>
  <si>
    <t>CASA VACANZE ELSA</t>
  </si>
  <si>
    <t>via Canaletta 3</t>
  </si>
  <si>
    <t>www.casavacanze-elsa.it</t>
  </si>
  <si>
    <t>casavacanze.elsa@gmail.com</t>
  </si>
  <si>
    <t>B&amp;B IL NIDO DELLE ROSE di MANDOLINI NAZARIO</t>
  </si>
  <si>
    <t>via Salvamaggio 19 L</t>
  </si>
  <si>
    <t>nzr@libero.it; alessandratappezzeria@gmail.com</t>
  </si>
  <si>
    <t>CASA FIORENZUOLA</t>
  </si>
  <si>
    <t>via Tombolina 3,7</t>
  </si>
  <si>
    <t>VALLE DEL METAURO COUNTRY HOUSE</t>
  </si>
  <si>
    <t>www.valledelmetaurocountryhouse.it</t>
  </si>
  <si>
    <t>info@valledelmetaurocountryhouse.it</t>
  </si>
  <si>
    <t>RISTORANTE ALBERGO BORGO MONTEMAGGIORE</t>
  </si>
  <si>
    <t>piazza Bramante  8</t>
  </si>
  <si>
    <t>www.borgomontemaggiore.it</t>
  </si>
  <si>
    <t>info@borgomontemaggiore.it</t>
  </si>
  <si>
    <t>CASA RONCAGLIA</t>
  </si>
  <si>
    <t>via roncaglia 9</t>
  </si>
  <si>
    <t>www.casaroncaglia.it</t>
  </si>
  <si>
    <t>info@casaroncaglia.it</t>
  </si>
  <si>
    <t>VILLA TOMBOLINA</t>
  </si>
  <si>
    <t>via tombolina sn</t>
  </si>
  <si>
    <t>www.villatombolina.it</t>
  </si>
  <si>
    <t>info@villatombolina.it</t>
  </si>
  <si>
    <t>FRATICELLI MASSIMO</t>
  </si>
  <si>
    <t>via Borghetto 9</t>
  </si>
  <si>
    <t>massimo@fraticelli.eu</t>
  </si>
  <si>
    <t>VILLA MARIETTA</t>
  </si>
  <si>
    <t>via Piagge 19</t>
  </si>
  <si>
    <t>www.nonnamarietta.com</t>
  </si>
  <si>
    <t>raffyrp@libero.it</t>
  </si>
  <si>
    <t>B&amp;B TRA ULIVI E GINESTRE</t>
  </si>
  <si>
    <t>via Bellaguardia 4</t>
  </si>
  <si>
    <t>adelchi.biagioli@gmail.com</t>
  </si>
  <si>
    <t>SANTINELLI ELENA</t>
  </si>
  <si>
    <t>via Cesanense 160/f</t>
  </si>
  <si>
    <t>MONTE PORZIO</t>
  </si>
  <si>
    <t>CASCINA OTTALEVI</t>
  </si>
  <si>
    <t>via Monte 3</t>
  </si>
  <si>
    <t>cascinaottalevi@gmail.com</t>
  </si>
  <si>
    <t>alarott@alice.it</t>
  </si>
  <si>
    <t>AGRITURISMO REGINA DI FIORI</t>
  </si>
  <si>
    <t>VIA CESANENSE 10</t>
  </si>
  <si>
    <t>laura.carboni7@gmail.com</t>
  </si>
  <si>
    <t>AUSONIA</t>
  </si>
  <si>
    <t>viale Cante di Montevecchio 43</t>
  </si>
  <si>
    <t>www.hotelristoranteausonia.it</t>
  </si>
  <si>
    <t>info@hotelristoranteausonia.it</t>
  </si>
  <si>
    <t>AZIENDA AGRICOLA BELLAGAMBA FILIPPO</t>
  </si>
  <si>
    <t>via Montebello 13,14</t>
  </si>
  <si>
    <t>loc. Castelvecchio</t>
  </si>
  <si>
    <t>gambarai@libero.it</t>
  </si>
  <si>
    <t>VILLA PALOMBARA COUNTRY HOUSE</t>
  </si>
  <si>
    <t>via Fusarola 2</t>
  </si>
  <si>
    <t>loc.Castelvecchio</t>
  </si>
  <si>
    <t>www.villapalombara.it</t>
  </si>
  <si>
    <t>contatti@villapalombara.it</t>
  </si>
  <si>
    <t>B&amp;B SANTINELLI LUCA</t>
  </si>
  <si>
    <t>via Cesanense  160/e</t>
  </si>
  <si>
    <t>loc.Ponte Rio</t>
  </si>
  <si>
    <t>B&amp;B CASA CANTE LA GARBATINA</t>
  </si>
  <si>
    <t>strada Montecucco 1</t>
  </si>
  <si>
    <t>loc. Monte Cucco</t>
  </si>
  <si>
    <t>www.lagarbatina.eu</t>
  </si>
  <si>
    <t>info@lagarbatina.eu</t>
  </si>
  <si>
    <t>PICCOLO HOTEL SAN CRISTOFORO</t>
  </si>
  <si>
    <t>via Cesanense 132</t>
  </si>
  <si>
    <t>www.piccolohotelsancristoforo.com</t>
  </si>
  <si>
    <t>info@piccolohotelsancristoforo.com</t>
  </si>
  <si>
    <t>AGRITURISMO BACCHIOCCHI ISABELLA</t>
  </si>
  <si>
    <t>via ville fonti 4</t>
  </si>
  <si>
    <t>ORCIANO DI PESARO</t>
  </si>
  <si>
    <t>www.agriturismobacchiocchi.it</t>
  </si>
  <si>
    <t>info@agriturismobacchiocchi.it</t>
  </si>
  <si>
    <t>AREA DI SOSTA CAMPER "PLEIN AIR PIEVE CANNETI"</t>
  </si>
  <si>
    <t>via Pieve Canneti snc</t>
  </si>
  <si>
    <t>CENTRO SPORTIVO</t>
  </si>
  <si>
    <t>IL COLORE DEL GRANO</t>
  </si>
  <si>
    <t>via Montepiano Colombara  14</t>
  </si>
  <si>
    <t>www.agriturismoilcoloredelgrano.it</t>
  </si>
  <si>
    <t>info@agriturismoilcoloredelgrano.it</t>
  </si>
  <si>
    <t>AGRITURISMO LE FONTI</t>
  </si>
  <si>
    <t>via fonti 4</t>
  </si>
  <si>
    <t>agriturismo.lefonti@alice.it</t>
  </si>
  <si>
    <t>IL CASTAGNO</t>
  </si>
  <si>
    <t>corso matteotti 72</t>
  </si>
  <si>
    <t>www.hotelcastagno.com</t>
  </si>
  <si>
    <t>hotelilcastagno@libero.it</t>
  </si>
  <si>
    <t>B&amp;B VILLA TITTI</t>
  </si>
  <si>
    <t>via Tre Ponti 23</t>
  </si>
  <si>
    <t>tiziana.tercon@virgilio.it</t>
  </si>
  <si>
    <t>VILLA FONTI</t>
  </si>
  <si>
    <t>via Ville Fonti 10</t>
  </si>
  <si>
    <t>ada@villafonti.com</t>
  </si>
  <si>
    <t>ALBERGO RISTORANTE BALCONE SUL METAURO</t>
  </si>
  <si>
    <t>via Alessandro Manzoni 20</t>
  </si>
  <si>
    <t>PEGLIO</t>
  </si>
  <si>
    <t>www.balconesulmetauro.com</t>
  </si>
  <si>
    <t>balconesulmetauro@tin.it</t>
  </si>
  <si>
    <t>LOCANDA SANTA MUSTIOLA</t>
  </si>
  <si>
    <t>localita' santa mustiola 1</t>
  </si>
  <si>
    <t>L'ORIZZONTE</t>
  </si>
  <si>
    <t>via Metauro 22</t>
  </si>
  <si>
    <t>www.orizzontepeglio.it</t>
  </si>
  <si>
    <t>info@orizzontepeglio.it</t>
  </si>
  <si>
    <t>COUNTRY HOUSE CA' - LANI</t>
  </si>
  <si>
    <t>localita' battaglia 5</t>
  </si>
  <si>
    <t>AGRITURISMO SAN GIUSEPPE</t>
  </si>
  <si>
    <t>loc. San Fortunato 39</t>
  </si>
  <si>
    <t>www.sangiuseppeagriturismo.it</t>
  </si>
  <si>
    <t>info@sangiuseppeagriturismo.it</t>
  </si>
  <si>
    <t>CA' MINCELLO</t>
  </si>
  <si>
    <t>via Alcide De Gasperi  8</t>
  </si>
  <si>
    <t>Ca' Mincello</t>
  </si>
  <si>
    <t>roberto.antoniucci@yahoo.it</t>
  </si>
  <si>
    <t>CA ' MINCELLO</t>
  </si>
  <si>
    <t>via Alcide de Gasperi  8 8</t>
  </si>
  <si>
    <t>AGRITURISMO XIX SECOLO</t>
  </si>
  <si>
    <t>localita' Serraspinosa 19</t>
  </si>
  <si>
    <t>PERGOLA</t>
  </si>
  <si>
    <t>laurac1986@hotmail.it</t>
  </si>
  <si>
    <t>B&amp;B ANGELI DEL BORGO</t>
  </si>
  <si>
    <t>via san marco evangelista 37</t>
  </si>
  <si>
    <t>www.angelidelborgo.it</t>
  </si>
  <si>
    <t>I TRE MORI</t>
  </si>
  <si>
    <t>localita' Grifoleto 54</t>
  </si>
  <si>
    <t>loc. Colventoso Pantana</t>
  </si>
  <si>
    <t>www.agriturismoitremori.it</t>
  </si>
  <si>
    <t>info@agriturismoitremori.it</t>
  </si>
  <si>
    <t>B&amp;B VAN HAMBURG ANNELIES</t>
  </si>
  <si>
    <t>frazione montesecco 54</t>
  </si>
  <si>
    <t>www.imagnoni.com</t>
  </si>
  <si>
    <t>imagnoni@imagnoni.com</t>
  </si>
  <si>
    <t>LE MARASCHE</t>
  </si>
  <si>
    <t>via della Codarda snc</t>
  </si>
  <si>
    <t>loc. Percozzone</t>
  </si>
  <si>
    <t>a.barbadoro@teletu.it</t>
  </si>
  <si>
    <t>CA' SORCI</t>
  </si>
  <si>
    <t>via Valrea 11</t>
  </si>
  <si>
    <t>www.agriturismocasorci.it</t>
  </si>
  <si>
    <t>casorci@libero.it</t>
  </si>
  <si>
    <t>CARINCONE DI HEEMAN NANJA LISENKA</t>
  </si>
  <si>
    <t>frazione Montaiate 52</t>
  </si>
  <si>
    <t>frazione Montaiate</t>
  </si>
  <si>
    <t>www.carincone.com</t>
  </si>
  <si>
    <t>info@carincone.com</t>
  </si>
  <si>
    <t>COUNTRY HOUSE ELINE</t>
  </si>
  <si>
    <t>via Madonna del Piano 85</t>
  </si>
  <si>
    <t>info@casaleeline.com</t>
  </si>
  <si>
    <t>B&amp;B PALAZZO MUTI</t>
  </si>
  <si>
    <t>frazione Mezzanotte 5</t>
  </si>
  <si>
    <t>www.palazzomuti.it</t>
  </si>
  <si>
    <t>info@palazzomuti.it</t>
  </si>
  <si>
    <t>B&amp;B CASA SPONGE</t>
  </si>
  <si>
    <t>via Mezzanotte  84</t>
  </si>
  <si>
    <t>www.bbcasasponge.com</t>
  </si>
  <si>
    <t>bbcasasponge@gmail.com</t>
  </si>
  <si>
    <t>CINI GRAZIANO</t>
  </si>
  <si>
    <t>via XX Settembre  78</t>
  </si>
  <si>
    <t>cini.graziano@gmail.com</t>
  </si>
  <si>
    <t>B&amp;B DROGHINI DAVIDE</t>
  </si>
  <si>
    <t>frazione Fenigli 135</t>
  </si>
  <si>
    <t>frazione Fenigli</t>
  </si>
  <si>
    <t>studiogiulianorossi@libero.it</t>
  </si>
  <si>
    <t>MALATESTA MAISON</t>
  </si>
  <si>
    <t>via Montaiate 65</t>
  </si>
  <si>
    <t>contact@malatesta-maison.com</t>
  </si>
  <si>
    <t>IL CASALE</t>
  </si>
  <si>
    <t>via Sterleto 46</t>
  </si>
  <si>
    <t>www.agriturismoilcasale.net</t>
  </si>
  <si>
    <t>info@agriturismoilcasale.net</t>
  </si>
  <si>
    <t>AGRITURISMO FATTORIA SANT'ONOFRIO</t>
  </si>
  <si>
    <t>loc. Cuppio 157</t>
  </si>
  <si>
    <t>frazione Mezzanotte</t>
  </si>
  <si>
    <t>www.fattoriasantonofrio.it</t>
  </si>
  <si>
    <t>info@fattoriasantonofrio.it</t>
  </si>
  <si>
    <t>LO SGORZOLO</t>
  </si>
  <si>
    <t>frazione Montesecco 66</t>
  </si>
  <si>
    <t>www.losgorzolo.it</t>
  </si>
  <si>
    <t>info@losgorzolo.it</t>
  </si>
  <si>
    <t>B&amp;B IL GIARDINO di FABBRI MARIA CRISTINA</t>
  </si>
  <si>
    <t>via Guglielmo Marconi 21</t>
  </si>
  <si>
    <t>info@ilgiardinobb.it</t>
  </si>
  <si>
    <t>CASE BOTTARO</t>
  </si>
  <si>
    <t>loc. Lanaro Montaiate 61</t>
  </si>
  <si>
    <t>www.casebottaro.it  www.casebottaro.com</t>
  </si>
  <si>
    <t>info@casebottaro.it</t>
  </si>
  <si>
    <t>I MAGNONI S.R.L.</t>
  </si>
  <si>
    <t>frazione montesecco 156</t>
  </si>
  <si>
    <t>AGRITURISMO COLLE DEL LUPO</t>
  </si>
  <si>
    <t>localita' Serraspinosa 57</t>
  </si>
  <si>
    <t>www.colledellupo.com</t>
  </si>
  <si>
    <t>colledellupo@gmx.net</t>
  </si>
  <si>
    <t>OSTARIA LA PERGOLA</t>
  </si>
  <si>
    <t>viale alcide de gasperi 4</t>
  </si>
  <si>
    <t>info@studiopasqui.com</t>
  </si>
  <si>
    <t>GLI IPPOCASTANI</t>
  </si>
  <si>
    <t>SP72 123</t>
  </si>
  <si>
    <t>loc. Madonna del Piano</t>
  </si>
  <si>
    <t>www.agriturismoippocastani.it</t>
  </si>
  <si>
    <t>ippocastani.pergola@libero.it</t>
  </si>
  <si>
    <t>ALLA VECCHIA QUERCIA</t>
  </si>
  <si>
    <t>frazione Montajate 26</t>
  </si>
  <si>
    <t>www.vecchiaquercia.it</t>
  </si>
  <si>
    <t>info@vecchiaquercia.it</t>
  </si>
  <si>
    <t>FATTORIA DI MONTESECCO</t>
  </si>
  <si>
    <t>frazione Montesecco 1</t>
  </si>
  <si>
    <t>MERLINO</t>
  </si>
  <si>
    <t>frazione Mezzanotte 29</t>
  </si>
  <si>
    <t>www.agriturismomerlino.it</t>
  </si>
  <si>
    <t>info@agriturismomerlino.it</t>
  </si>
  <si>
    <t>CALAMELLO</t>
  </si>
  <si>
    <t>frazione Cartoceto 81</t>
  </si>
  <si>
    <t>www.agriturismocalamello.it</t>
  </si>
  <si>
    <t>cavallini.fiorenza@libero.it</t>
  </si>
  <si>
    <t>BRUNELLA CARLA</t>
  </si>
  <si>
    <t>loc. Canneto</t>
  </si>
  <si>
    <t>www.agriturismo-marche.it/pu/brunella.htm</t>
  </si>
  <si>
    <t>conteessa@libero.it</t>
  </si>
  <si>
    <t>FRATTABELLA</t>
  </si>
  <si>
    <t>frazione Monterolo 114</t>
  </si>
  <si>
    <t>loc. Monterolo</t>
  </si>
  <si>
    <t>www.agriturismofrattabella.it</t>
  </si>
  <si>
    <t>info@agriturismofrattabella.it</t>
  </si>
  <si>
    <t>MONTEROLO</t>
  </si>
  <si>
    <t>loc. Monterolo 65</t>
  </si>
  <si>
    <t>FRANCO CASTELLANO</t>
  </si>
  <si>
    <t>via Montajate 51</t>
  </si>
  <si>
    <t>B&amp;B A CASA DI ANNA</t>
  </si>
  <si>
    <t>via De Gasperi  3</t>
  </si>
  <si>
    <t>B&amp;B IL GIRASOLE</t>
  </si>
  <si>
    <t>fraz. Fenigli 49</t>
  </si>
  <si>
    <t>info@girasolepergola.it</t>
  </si>
  <si>
    <t>CA' PALAZZO</t>
  </si>
  <si>
    <t>via Fenigli 52</t>
  </si>
  <si>
    <t>www.capalazzo.com</t>
  </si>
  <si>
    <t>jacopo.vrg@libero.it</t>
  </si>
  <si>
    <t>EVANGELISTA FERNANDA</t>
  </si>
  <si>
    <t>via Stroppato 5</t>
  </si>
  <si>
    <t>evanfer35@gmail.com</t>
  </si>
  <si>
    <t>B&amp;B VIA ABBA</t>
  </si>
  <si>
    <t>VIA ABBA 13</t>
  </si>
  <si>
    <t>stefanianettuno@alice.it</t>
  </si>
  <si>
    <t>HOTEL ELVEZIA</t>
  </si>
  <si>
    <t>viale Fiume  67</t>
  </si>
  <si>
    <t>http://www.hotelelveziapesaro.it</t>
  </si>
  <si>
    <t>hotelelvezia@outlook.it</t>
  </si>
  <si>
    <t>B&amp;B VILLA FIORE</t>
  </si>
  <si>
    <t>VIA SCARLATTI 20</t>
  </si>
  <si>
    <t>dr.cido@alice.it</t>
  </si>
  <si>
    <t>B&amp;B LE DOLCI NOTE</t>
  </si>
  <si>
    <t>GIORGI 27</t>
  </si>
  <si>
    <t>sabrina.santangeli@alice.it</t>
  </si>
  <si>
    <t>B&amp;B TERRE DI MARE</t>
  </si>
  <si>
    <t>via Cavallotti 74</t>
  </si>
  <si>
    <t>rolafe@alice.it</t>
  </si>
  <si>
    <t>VILLA GIRASOLE</t>
  </si>
  <si>
    <t>strada delle Primule 20</t>
  </si>
  <si>
    <t>www.villagirasole.it</t>
  </si>
  <si>
    <t>info@villagirasole.it</t>
  </si>
  <si>
    <t>B&amp;B VILLA SAN NICOLA</t>
  </si>
  <si>
    <t>strada San Nicola 39</t>
  </si>
  <si>
    <t>grilli43@gmail.com</t>
  </si>
  <si>
    <t>AGRITURISMO LA STRADACCIA</t>
  </si>
  <si>
    <t>STRADA DI VALCELLI 4/F</t>
  </si>
  <si>
    <t>bonifatirosa@pec.it</t>
  </si>
  <si>
    <t>B&amp;B L'OLEANDRO BIANCO</t>
  </si>
  <si>
    <t>VIA PEROZZI 15</t>
  </si>
  <si>
    <t>fabio687@libero.it</t>
  </si>
  <si>
    <t>HOTEL CAESAR</t>
  </si>
  <si>
    <t>viale trieste 125</t>
  </si>
  <si>
    <t>www.hotelcaesar.net</t>
  </si>
  <si>
    <t>info@hotelcaesar.net</t>
  </si>
  <si>
    <t>B&amp;B LA TERRAZZA</t>
  </si>
  <si>
    <t>VIA ORSINI 20</t>
  </si>
  <si>
    <t>t.nerone@yahoo.it</t>
  </si>
  <si>
    <t>TERRACHIARA AZ.AGRICOLA E B&amp;B</t>
  </si>
  <si>
    <t>VIA STRADA LUNGA 7</t>
  </si>
  <si>
    <t>CANDELARA</t>
  </si>
  <si>
    <t>terrachiaracandelara@gmail.com</t>
  </si>
  <si>
    <t>ASTORIA</t>
  </si>
  <si>
    <t>viale Trieste 86</t>
  </si>
  <si>
    <t>www.silmir.it/hotel-astoria-pesaro</t>
  </si>
  <si>
    <t>hotelastoriapesaro@hotmail.it</t>
  </si>
  <si>
    <t>CHIGIO</t>
  </si>
  <si>
    <t>strada Ciarciano 63</t>
  </si>
  <si>
    <t>www.pesaro-chigiocountryhouse.it</t>
  </si>
  <si>
    <t>countrychigio@hotmail.com</t>
  </si>
  <si>
    <t>B&amp;B LA GAZZA LADRA</t>
  </si>
  <si>
    <t>via Nuti 1</t>
  </si>
  <si>
    <t>www.lagazzaladrabb.it</t>
  </si>
  <si>
    <t>info@lagazzaladrabb.it</t>
  </si>
  <si>
    <t>B&amp;B LUCY</t>
  </si>
  <si>
    <t>via G.Spontini 6</t>
  </si>
  <si>
    <t>lucia.biondi.86@gmail.com</t>
  </si>
  <si>
    <t>B&amp;B DA PENS</t>
  </si>
  <si>
    <t>via Virgilio 19</t>
  </si>
  <si>
    <t>penseriniluca@gmail.com; stefaniaiowa@yahoo.it</t>
  </si>
  <si>
    <t>B&amp;B SAN BARTOLO</t>
  </si>
  <si>
    <t>via Panaro 61</t>
  </si>
  <si>
    <t>bebsanbartolo@gmail.com</t>
  </si>
  <si>
    <t>LE QUIETE DIMORE</t>
  </si>
  <si>
    <t>Strada delle Campagne  7/1</t>
  </si>
  <si>
    <t>Novilara</t>
  </si>
  <si>
    <t>www.lequietedimore.it</t>
  </si>
  <si>
    <t>lequietedimore@gmail.com</t>
  </si>
  <si>
    <t>HOTEL FLYING</t>
  </si>
  <si>
    <t>viale Giuseppe Verdi 126</t>
  </si>
  <si>
    <t>info@flyinghotel.it</t>
  </si>
  <si>
    <t>B&amp;B DA LARRY</t>
  </si>
  <si>
    <t>via Guazzi 11</t>
  </si>
  <si>
    <t>gabriele-ferri@alice.it</t>
  </si>
  <si>
    <t>HOTEL FIGARO</t>
  </si>
  <si>
    <t>viale Trieste 71</t>
  </si>
  <si>
    <t>www.hotelfigaro.it</t>
  </si>
  <si>
    <t>info@hotelfigaro.it</t>
  </si>
  <si>
    <t>HOTEL CAPITOL</t>
  </si>
  <si>
    <t>viale Rovereto  19</t>
  </si>
  <si>
    <t>www.hotelcapitol.pu.it</t>
  </si>
  <si>
    <t>info@hotelcapitol.pu.it</t>
  </si>
  <si>
    <t>B&amp;B MAIANO</t>
  </si>
  <si>
    <t>via Lunga 10</t>
  </si>
  <si>
    <t>loc. Candelora</t>
  </si>
  <si>
    <t>lorena.righi@gmail.com</t>
  </si>
  <si>
    <t>HOTEL PRESIDENT'S</t>
  </si>
  <si>
    <t>lungomare N. Sauro 33</t>
  </si>
  <si>
    <t>info@hotelpresidents.it</t>
  </si>
  <si>
    <t>LEONARDO DA VINCI</t>
  </si>
  <si>
    <t>HOTEL GALA</t>
  </si>
  <si>
    <t>Viale Trieste 49</t>
  </si>
  <si>
    <t>www.hotelgala.it</t>
  </si>
  <si>
    <t>info@hotelgala.it</t>
  </si>
  <si>
    <t>B&amp;B DA PEPPENNADIA</t>
  </si>
  <si>
    <t>strada del Boncio 20</t>
  </si>
  <si>
    <t>Fiorenzuola di Focara</t>
  </si>
  <si>
    <t>peppennadia14@vodafone.it</t>
  </si>
  <si>
    <t>CAPODAGLI ANNA</t>
  </si>
  <si>
    <t>Via Gavardini 9</t>
  </si>
  <si>
    <t>annacapo49@libero.it</t>
  </si>
  <si>
    <t>SPADA DOMENICO</t>
  </si>
  <si>
    <t>Via Mosca 6</t>
  </si>
  <si>
    <t>info@immobiliaretriestepesaro.it</t>
  </si>
  <si>
    <t>CARNALI FRANCESCO</t>
  </si>
  <si>
    <t>Lungomare N. Sauro 5</t>
  </si>
  <si>
    <t>MEZZOLANI FILIPPO</t>
  </si>
  <si>
    <t>GURINI GRAZIELLA APP.TO 237</t>
  </si>
  <si>
    <t>Viale C. Battisti 237</t>
  </si>
  <si>
    <t>gurini.graziella@libero.it</t>
  </si>
  <si>
    <t>GURINI GRAZIELLA APP.TO 239</t>
  </si>
  <si>
    <t>Viale C. Battisti 233</t>
  </si>
  <si>
    <t>ROMANINI GUIDO</t>
  </si>
  <si>
    <t>Via Vittorini 1</t>
  </si>
  <si>
    <t>giovanni.romanini@gmail.com</t>
  </si>
  <si>
    <t>LA MANSARDINA</t>
  </si>
  <si>
    <t>Via Agostini 79</t>
  </si>
  <si>
    <t>sanjohni@libero.it</t>
  </si>
  <si>
    <t>viale Trieste 291</t>
  </si>
  <si>
    <t>www.ambassadorpesaro.it</t>
  </si>
  <si>
    <t>info@ambassadorpesaro.it</t>
  </si>
  <si>
    <t>NAUHOME DEPENDANCE HOTEL NAUTILUS</t>
  </si>
  <si>
    <t>viale Trieste 26</t>
  </si>
  <si>
    <t>www.nautiluspesaro.edenhotels.it</t>
  </si>
  <si>
    <t>info@hotelnautilus.it</t>
  </si>
  <si>
    <t>OASI VERDE</t>
  </si>
  <si>
    <t>COSTA DI FAGNANO 5</t>
  </si>
  <si>
    <t>valentinapascucci@gmail.com</t>
  </si>
  <si>
    <t>FRANCA GIACOMO</t>
  </si>
  <si>
    <t>Via Castelfidardo 98</t>
  </si>
  <si>
    <t>PESARP</t>
  </si>
  <si>
    <t>immobiliare@adriamar.net</t>
  </si>
  <si>
    <t>FRANCA ETTORE</t>
  </si>
  <si>
    <t>Viale della Vittoria 155</t>
  </si>
  <si>
    <t>BUSCAGLIA SERGIO</t>
  </si>
  <si>
    <t>Via Recchi 3</t>
  </si>
  <si>
    <t>LIPPOLIS LAURA</t>
  </si>
  <si>
    <t>Via G. Passeri 49</t>
  </si>
  <si>
    <t>GATTONI GABRIELE</t>
  </si>
  <si>
    <t>Via L. Laurana 33</t>
  </si>
  <si>
    <t>g.gattoni@live.it</t>
  </si>
  <si>
    <t>DONATI GIORGIA</t>
  </si>
  <si>
    <t>Via Varese 25</t>
  </si>
  <si>
    <t>BORSELLA ANNA MARIA</t>
  </si>
  <si>
    <t>Via Barsanti 98</t>
  </si>
  <si>
    <t>by.corallonistaff@coppola.it</t>
  </si>
  <si>
    <t>CENTRO MARE LUNA</t>
  </si>
  <si>
    <t>Via Marconi 6</t>
  </si>
  <si>
    <t>bbpesaro@gmail.com</t>
  </si>
  <si>
    <t>MAGI MARIA GRAZIA</t>
  </si>
  <si>
    <t>Via Zara 18</t>
  </si>
  <si>
    <t>FASANO GIUSEPPE</t>
  </si>
  <si>
    <t>Via Mascagni 88</t>
  </si>
  <si>
    <t>PAONE MARCO</t>
  </si>
  <si>
    <t>Viale Trento 60</t>
  </si>
  <si>
    <t>PIERMATTEI CLAUDIA</t>
  </si>
  <si>
    <t>Via Napoli 85</t>
  </si>
  <si>
    <t>O' DONNELL LAURA</t>
  </si>
  <si>
    <t>Via dei Partigiani 34</t>
  </si>
  <si>
    <t>SIMONCELLI MATTEO</t>
  </si>
  <si>
    <t>Via B. Baldi 61</t>
  </si>
  <si>
    <t>MARTINELLI MIRCO</t>
  </si>
  <si>
    <t>Tommasi 6</t>
  </si>
  <si>
    <t>CASA DELLE VIOLE</t>
  </si>
  <si>
    <t>Via Mascagni 74</t>
  </si>
  <si>
    <t>ilaria.vichi@gmail.com</t>
  </si>
  <si>
    <t>SPIAGGIA CAMPING MARINELLA</t>
  </si>
  <si>
    <t>info@campingmarinella.it</t>
  </si>
  <si>
    <t>MATTIOLI MAURO APP.TO VIALE VITTORIA</t>
  </si>
  <si>
    <t>Viale Vittoria  155</t>
  </si>
  <si>
    <t>VILLA LILIANA</t>
  </si>
  <si>
    <t>Via Lunga 4/C</t>
  </si>
  <si>
    <t>GIOMMI OSCAR</t>
  </si>
  <si>
    <t>Via Trieste 81</t>
  </si>
  <si>
    <t>BARANOVA YELENA</t>
  </si>
  <si>
    <t>Via Cesare Battisti 134/2</t>
  </si>
  <si>
    <t>alberto@laber.it</t>
  </si>
  <si>
    <t>MENCHETTI ARTIDORO</t>
  </si>
  <si>
    <t>Via Belluzzi 5</t>
  </si>
  <si>
    <t>SMALDINI ANNA SANTA</t>
  </si>
  <si>
    <t>Strada delle Marche 60</t>
  </si>
  <si>
    <t>a.smaldini@seam-adriatic.it</t>
  </si>
  <si>
    <t>BASTIANELLI DEMETRIO</t>
  </si>
  <si>
    <t>Piazza Puccini 8</t>
  </si>
  <si>
    <t>d.bastianelli@email.it</t>
  </si>
  <si>
    <t>DI BENEDETTO ROSSANA</t>
  </si>
  <si>
    <t>Viale Berna 12</t>
  </si>
  <si>
    <t>info@immobiliaretriestepesaro.ti</t>
  </si>
  <si>
    <t>BELIGOTTI EMANUELA</t>
  </si>
  <si>
    <t>Via Trieste 265</t>
  </si>
  <si>
    <t>expoemanuela@composit.it</t>
  </si>
  <si>
    <t>MATTIOLI MAURO APP.TO VIALE TRENTO</t>
  </si>
  <si>
    <t>Viale Trento  190</t>
  </si>
  <si>
    <t>BARBERINI MARIANO</t>
  </si>
  <si>
    <t>Viale Londra 11</t>
  </si>
  <si>
    <t>CA' SIDERIA</t>
  </si>
  <si>
    <t>Strada del Molino Mosca  10</t>
  </si>
  <si>
    <t>B&amp;B GLI ULIVI</t>
  </si>
  <si>
    <t>Via Lago Maggiore  34</t>
  </si>
  <si>
    <t>VILLA CECCOLINI</t>
  </si>
  <si>
    <t>luca.vagno@gmail.com</t>
  </si>
  <si>
    <t>VILLA FRANCA</t>
  </si>
  <si>
    <t>Strada di San Bartolo  22/1</t>
  </si>
  <si>
    <t>andreafranca66@gmail.com</t>
  </si>
  <si>
    <t>SWEET HARBOUR</t>
  </si>
  <si>
    <t>Via Gessi 16</t>
  </si>
  <si>
    <t>fabioannibali1980@gmail.com</t>
  </si>
  <si>
    <t>LA ROSA BLU</t>
  </si>
  <si>
    <t>Strada di Stoppato 32</t>
  </si>
  <si>
    <t>bblarosablu@virgilio.it</t>
  </si>
  <si>
    <t>IL TERRAZZINO</t>
  </si>
  <si>
    <t>Via Ciro Menotti 103</t>
  </si>
  <si>
    <t>bedandbreakfastlaterrazza@yahoo.it</t>
  </si>
  <si>
    <t>CASA VACANZE ABBAZIA</t>
  </si>
  <si>
    <t>Via Pasubio 1</t>
  </si>
  <si>
    <t>PESARO-Novilara</t>
  </si>
  <si>
    <t>abbazia.residhotel@libero.it</t>
  </si>
  <si>
    <t>CA'  TUREN di bartoli francesco</t>
  </si>
  <si>
    <t>strada valle dei castagni 8</t>
  </si>
  <si>
    <t>caturen@gmail.com</t>
  </si>
  <si>
    <t>GRAND HOTEL VITTORIA</t>
  </si>
  <si>
    <t>Piazzale della Libertà 2</t>
  </si>
  <si>
    <t>www.grandhotelvittoriapesaro.it</t>
  </si>
  <si>
    <t>vittoria@viphotels.it</t>
  </si>
  <si>
    <t>HOTEL IMPERIAL SPORT</t>
  </si>
  <si>
    <t>via Annibale Ninchi 6</t>
  </si>
  <si>
    <t>www.imperialsporthotel.it</t>
  </si>
  <si>
    <t>info@imperialsporthotel.it</t>
  </si>
  <si>
    <t>HOTEL MAJESTIC</t>
  </si>
  <si>
    <t>viale Trieste 80</t>
  </si>
  <si>
    <t>www.hotelmajesticpesaro.com</t>
  </si>
  <si>
    <t>info@hotelmajesticpesaro.com</t>
  </si>
  <si>
    <t>MEDITERRANEO</t>
  </si>
  <si>
    <t>viale Trieste 199</t>
  </si>
  <si>
    <t>www.hmed.it</t>
  </si>
  <si>
    <t>info@hmed.it</t>
  </si>
  <si>
    <t>METROPOL</t>
  </si>
  <si>
    <t>via cristoforo colombo 3</t>
  </si>
  <si>
    <t>www.hotelmetropol.it</t>
  </si>
  <si>
    <t>info@hotelmetropol.it</t>
  </si>
  <si>
    <t>via marina ardizia 158</t>
  </si>
  <si>
    <t>infohotelmiramare@gmail.com</t>
  </si>
  <si>
    <t>HOTEL NAPOLEON</t>
  </si>
  <si>
    <t>viale fiume 118</t>
  </si>
  <si>
    <t>www.hotelnapoleonpesaro.it</t>
  </si>
  <si>
    <t>info@hotelnapoleonpesaro.it</t>
  </si>
  <si>
    <t>NAUTILUS</t>
  </si>
  <si>
    <t>viale Trieste 30</t>
  </si>
  <si>
    <t>info.nautilus@edenhotels.it</t>
  </si>
  <si>
    <t>HOTEL NETTUNO</t>
  </si>
  <si>
    <t>viale trieste 367</t>
  </si>
  <si>
    <t>www.hotelnettunopesaro.it</t>
  </si>
  <si>
    <t>info@hotelnettunopesaro.it</t>
  </si>
  <si>
    <t>PERTICARI</t>
  </si>
  <si>
    <t>viale zara 67</t>
  </si>
  <si>
    <t>www.hotelperticari.com</t>
  </si>
  <si>
    <t>info@hotelperticari.com</t>
  </si>
  <si>
    <t>viale trieste 45</t>
  </si>
  <si>
    <t>www.hotelplaza.pu.it</t>
  </si>
  <si>
    <t>info@hotelplaza.pu.it</t>
  </si>
  <si>
    <t>RIVAZZURRA</t>
  </si>
  <si>
    <t>viale Trieste 93</t>
  </si>
  <si>
    <t>www.rivazzurrahotel.it</t>
  </si>
  <si>
    <t>info@rivazzurrahotel.it</t>
  </si>
  <si>
    <t>ROYAL</t>
  </si>
  <si>
    <t>viale cesare battisti 144</t>
  </si>
  <si>
    <t>www.innitalia.com</t>
  </si>
  <si>
    <t>royal@innitalia.com</t>
  </si>
  <si>
    <t>viale xi Febbraio 32</t>
  </si>
  <si>
    <t>www.hotelsanmarcopu.it</t>
  </si>
  <si>
    <t>h.sanmarco@libero.it</t>
  </si>
  <si>
    <t>SAVOY</t>
  </si>
  <si>
    <t>viale della repubblica 22</t>
  </si>
  <si>
    <t>www.hotelsavoypesaro.it</t>
  </si>
  <si>
    <t>savoy@viphotels.it</t>
  </si>
  <si>
    <t>SPIAGGIA</t>
  </si>
  <si>
    <t>viale trieste 76</t>
  </si>
  <si>
    <t>www.hotelspiaggia.com</t>
  </si>
  <si>
    <t>info@hotelspiaggia.com</t>
  </si>
  <si>
    <t>SYLVIA</t>
  </si>
  <si>
    <t>viale rovereto 30</t>
  </si>
  <si>
    <t>www.sylviahotel.it</t>
  </si>
  <si>
    <t>glauco@sylviahotel.it</t>
  </si>
  <si>
    <t>ATHENA</t>
  </si>
  <si>
    <t>viale pola 18</t>
  </si>
  <si>
    <t>www.hotelathena-pesaro.com</t>
  </si>
  <si>
    <t>mail@hotelathena-pesaro.com</t>
  </si>
  <si>
    <t>viale Trieste 36</t>
  </si>
  <si>
    <t>www.hbaltic.it</t>
  </si>
  <si>
    <t>info@hbaltic.it</t>
  </si>
  <si>
    <t>viale trieste 88</t>
  </si>
  <si>
    <t>www.bellevuehotel.net</t>
  </si>
  <si>
    <t>info@bellevuehotel.net</t>
  </si>
  <si>
    <t>BLUMEN</t>
  </si>
  <si>
    <t>viale Trieste 77</t>
  </si>
  <si>
    <t>info@hotelblumenpesaro.it</t>
  </si>
  <si>
    <t>CARAVAN</t>
  </si>
  <si>
    <t>viale monfalcone 58</t>
  </si>
  <si>
    <t>www.hotelcaravan.it</t>
  </si>
  <si>
    <t>info@hotelcaravan.it</t>
  </si>
  <si>
    <t>HOTEL CARAVELLE</t>
  </si>
  <si>
    <t>viale trieste 269</t>
  </si>
  <si>
    <t>www.hotel-caravelle.net</t>
  </si>
  <si>
    <t>info@hotel-caravelle.net</t>
  </si>
  <si>
    <t>CLIPPER</t>
  </si>
  <si>
    <t>viale Guglielmo Marconi 53</t>
  </si>
  <si>
    <t>www.hotelclipper.it</t>
  </si>
  <si>
    <t>info@hotelclipper.it</t>
  </si>
  <si>
    <t>CRUISER</t>
  </si>
  <si>
    <t>viale trieste 281</t>
  </si>
  <si>
    <t>Mercure Pesaro</t>
  </si>
  <si>
    <t>HA746@accor.com</t>
  </si>
  <si>
    <t>DES BAINS</t>
  </si>
  <si>
    <t>viale Trieste 221</t>
  </si>
  <si>
    <t>desbains@innitalia.com</t>
  </si>
  <si>
    <t>DELLE NAZIONI</t>
  </si>
  <si>
    <t>viale Trieste 60</t>
  </si>
  <si>
    <t>www.hoteldellenazionipesaro.it</t>
  </si>
  <si>
    <t>info@hoteldellenazionipesaro.it</t>
  </si>
  <si>
    <t>DUE PALME</t>
  </si>
  <si>
    <t>viale Trieste 52</t>
  </si>
  <si>
    <t>www.hotelduepalmeonline.com</t>
  </si>
  <si>
    <t>info@hotelduepalmeonline.com</t>
  </si>
  <si>
    <t>DUE PAVONI</t>
  </si>
  <si>
    <t>viale fiume 79</t>
  </si>
  <si>
    <t>www.hotelduepavoni.com</t>
  </si>
  <si>
    <t>info@hotelduepavoni.com</t>
  </si>
  <si>
    <t>EMBASSY</t>
  </si>
  <si>
    <t>viale trieste 64</t>
  </si>
  <si>
    <t>www.hotelembassypesaro.com</t>
  </si>
  <si>
    <t>embassy@hotelembassypesaro.com</t>
  </si>
  <si>
    <t>via Trebbiantico 1</t>
  </si>
  <si>
    <t>lavecchiacantina.pu@gmail.com</t>
  </si>
  <si>
    <t>LOCANDA STOP</t>
  </si>
  <si>
    <t>via Yuri Gagarin 24</t>
  </si>
  <si>
    <t>strada Nazionale Adriatica Nord 242</t>
  </si>
  <si>
    <t>www.campingmarinella.it</t>
  </si>
  <si>
    <t>PANORAMA</t>
  </si>
  <si>
    <t>strada Brisighella 1</t>
  </si>
  <si>
    <t>www.campingpanorama.it</t>
  </si>
  <si>
    <t>info@campingpanorama.it</t>
  </si>
  <si>
    <t>CAMPING NORINA</t>
  </si>
  <si>
    <t>via Marina Ardizia 181</t>
  </si>
  <si>
    <t>www.campingnorina.it</t>
  </si>
  <si>
    <t>info@campingnorina.it</t>
  </si>
  <si>
    <t>strada delle rive del faro 1</t>
  </si>
  <si>
    <t>www.campingparadiso.it</t>
  </si>
  <si>
    <t>info@campingparadiso.it</t>
  </si>
  <si>
    <t>VILLA BORROMEO</t>
  </si>
  <si>
    <t>via Amedeo Avogadro 40</t>
  </si>
  <si>
    <t>www.arcidiocesipesaro.it</t>
  </si>
  <si>
    <t>amministrativo2@arcidiocesipesaro.it.</t>
  </si>
  <si>
    <t>SACRO CUORE</t>
  </si>
  <si>
    <t>viale Giovanni Amendola 20</t>
  </si>
  <si>
    <t>www.piccoleancelledelsacrocuore.net/Accoglienza</t>
  </si>
  <si>
    <t>coloniasacrocuore@pcn.net; suormarilena@email.it</t>
  </si>
  <si>
    <t>AGRITURISMO BADIA</t>
  </si>
  <si>
    <t>strada della Grancia 20</t>
  </si>
  <si>
    <t>www.badiagriturismo.it</t>
  </si>
  <si>
    <t>info@badiagriturismo.it</t>
  </si>
  <si>
    <t>VILLA CATTANI STUART</t>
  </si>
  <si>
    <t>via Trebbiantico 67</t>
  </si>
  <si>
    <t>www.villacattani.it</t>
  </si>
  <si>
    <t>info@villacattani.it</t>
  </si>
  <si>
    <t>B&amp;B SERAFINI</t>
  </si>
  <si>
    <t>via Ciro Menotti 9</t>
  </si>
  <si>
    <t>floriana.serafini@alice.it</t>
  </si>
  <si>
    <t>RESIDENCE ARIANNA</t>
  </si>
  <si>
    <t>Viale Pietro Mascagni 84</t>
  </si>
  <si>
    <t>www.residencearianna.it</t>
  </si>
  <si>
    <t>info@residencearianna.it</t>
  </si>
  <si>
    <t>RESIDENCE ABBAZIA</t>
  </si>
  <si>
    <t>viale Trento 147</t>
  </si>
  <si>
    <t>PESARO - 61121</t>
  </si>
  <si>
    <t>IL GUARDACIELO</t>
  </si>
  <si>
    <t>strada panoramica adriatica 1</t>
  </si>
  <si>
    <t>www.ilguardacielo.it</t>
  </si>
  <si>
    <t>ilguardacielo@virgilio.it</t>
  </si>
  <si>
    <t>DISCANNO ANNA MARIA</t>
  </si>
  <si>
    <t>strada panoramica ardizio 190</t>
  </si>
  <si>
    <t>BAGNI RE SOLE</t>
  </si>
  <si>
    <t>viale trieste 1 1</t>
  </si>
  <si>
    <t>BAGNI VALLUGOLA</t>
  </si>
  <si>
    <t>strada della vallugola 1 1</t>
  </si>
  <si>
    <t>BAGNI COCOLOCO BEACH N 62</t>
  </si>
  <si>
    <t>via Marina Ardizia snc snc</t>
  </si>
  <si>
    <t>BAGNI JOLLY</t>
  </si>
  <si>
    <t>viale Trieste 1 1</t>
  </si>
  <si>
    <t>Levante</t>
  </si>
  <si>
    <t>SAN CRISTOFORO ALLA VALLUGOLA</t>
  </si>
  <si>
    <t>strada di Vincolungo 16</t>
  </si>
  <si>
    <t>www.agriturismobaiavallugola.it</t>
  </si>
  <si>
    <t>info@agriturismobaiavallugola.it</t>
  </si>
  <si>
    <t>HOTEL FIERA</t>
  </si>
  <si>
    <t>strada fornace vecchia 69</t>
  </si>
  <si>
    <t>www.hotelfierapesaro.com</t>
  </si>
  <si>
    <t>info@hotelfierapesaro.com</t>
  </si>
  <si>
    <t>ALBERGO MEUBLE' VILLA FASTIGGI</t>
  </si>
  <si>
    <t>via Brigata Garibaldi 1</t>
  </si>
  <si>
    <t>albergo.villafastiggi@gmail.com</t>
  </si>
  <si>
    <t>BAGNI LAURA N 24</t>
  </si>
  <si>
    <t>lungomare Nazario Sauro 1 1</t>
  </si>
  <si>
    <t>BAGNI BAIA</t>
  </si>
  <si>
    <t>via bernardino baldi 42 42</t>
  </si>
  <si>
    <t>BAGNI LUCIANO</t>
  </si>
  <si>
    <t>BAGNI MARGHERITA</t>
  </si>
  <si>
    <t>strada delle Marche 1 1</t>
  </si>
  <si>
    <t>BAGNI BIBI</t>
  </si>
  <si>
    <t>bagnibibi.gianni@yahoo.it</t>
  </si>
  <si>
    <t>Sottomonte</t>
  </si>
  <si>
    <t>BAGNI AGATA</t>
  </si>
  <si>
    <t>via Marina Ardizia 1 1</t>
  </si>
  <si>
    <t>BAGNI MIRAMARE N 60</t>
  </si>
  <si>
    <t>via Marina Ardizia 60 60</t>
  </si>
  <si>
    <t>s.giorgi@koruspartners.it</t>
  </si>
  <si>
    <t>BAGNI HELIOS</t>
  </si>
  <si>
    <t>strada delle Marche 54 54</t>
  </si>
  <si>
    <t>JOE AMARENA DI FILIPPO SPARACCA &amp; C. SNC</t>
  </si>
  <si>
    <t>viale parigi 2 2</t>
  </si>
  <si>
    <t>BAGNI SPINACI N 18</t>
  </si>
  <si>
    <t>viale Trieste 18 18</t>
  </si>
  <si>
    <t>BAGNI LALLO N 21</t>
  </si>
  <si>
    <t>viale Trieste 21 21</t>
  </si>
  <si>
    <t>BAGNI WANDA N 26</t>
  </si>
  <si>
    <t>lungomare nazario sauro 1 1</t>
  </si>
  <si>
    <t>BAGNI PRIMAVERA</t>
  </si>
  <si>
    <t>BAGNI GABRY</t>
  </si>
  <si>
    <t>lungomare Nazario Sauro 25 25</t>
  </si>
  <si>
    <t>BAGNI CIRO</t>
  </si>
  <si>
    <t>viale trieste 33 33</t>
  </si>
  <si>
    <t>info@larghettipartners.it</t>
  </si>
  <si>
    <t>RE SOLE</t>
  </si>
  <si>
    <t>BAGNI MARINO</t>
  </si>
  <si>
    <t>viale Trieste 39 39</t>
  </si>
  <si>
    <t>fsanchioni@studiopa.it</t>
  </si>
  <si>
    <t>BAGNI FRANCO</t>
  </si>
  <si>
    <t>lungomare nazario sauro 27 27</t>
  </si>
  <si>
    <t>BAGNI TINO N 5</t>
  </si>
  <si>
    <t>viale trieste 5 5</t>
  </si>
  <si>
    <t>BAGNI ROBY 14</t>
  </si>
  <si>
    <t>viale trieste  1</t>
  </si>
  <si>
    <t>carlab54@gmail.com</t>
  </si>
  <si>
    <t>PARADISE BEACH N 20</t>
  </si>
  <si>
    <t>viale Trieste 20 20</t>
  </si>
  <si>
    <t>BAGNI ENRICO N 19</t>
  </si>
  <si>
    <t>viale Trieste 19 19</t>
  </si>
  <si>
    <t>Ponente</t>
  </si>
  <si>
    <t>BAGNI TINA</t>
  </si>
  <si>
    <t>via annibale ninchi 22 22</t>
  </si>
  <si>
    <t>BAGNI VENERUCCI</t>
  </si>
  <si>
    <t>BAGNI IOLE</t>
  </si>
  <si>
    <t>BAGNI ARCOBALENO</t>
  </si>
  <si>
    <t>spiaggia di Levante</t>
  </si>
  <si>
    <t>paolos@abafree.it</t>
  </si>
  <si>
    <t>BAGNI GIUSEPPE</t>
  </si>
  <si>
    <t>rebecca.giunti@tuquitour.it</t>
  </si>
  <si>
    <t>BAGNI GINO N.34</t>
  </si>
  <si>
    <t>BAGNI IRENE</t>
  </si>
  <si>
    <t>BAGNI MARIO</t>
  </si>
  <si>
    <t>BAGNI LUCIO N 12</t>
  </si>
  <si>
    <t>BAGNI ALFREDO</t>
  </si>
  <si>
    <t>via lungomare Nazario Sauro  1 1</t>
  </si>
  <si>
    <t>BAGNI GILBERTO</t>
  </si>
  <si>
    <t>BAGNI SERGIO</t>
  </si>
  <si>
    <t>BAGNI GASTONE &amp; MARTA</t>
  </si>
  <si>
    <t>spiaggia di Ponente</t>
  </si>
  <si>
    <t>info@bagnigastonemarta.it</t>
  </si>
  <si>
    <t>BAGNI GINO DI GUIDI MONICA</t>
  </si>
  <si>
    <t>bagnigino15@gmail.com</t>
  </si>
  <si>
    <t>BAGNI RIDOLFI</t>
  </si>
  <si>
    <t>viale trieste  sn</t>
  </si>
  <si>
    <t>www.bagniridolfi13.it</t>
  </si>
  <si>
    <t>bagniridolfi13@hotmail.it</t>
  </si>
  <si>
    <t>BAGNI STEFANO</t>
  </si>
  <si>
    <t>BAGNI BARONCIANI DI BARONCIANI ANTONELLA</t>
  </si>
  <si>
    <t>baronciani.antonella@libero.it</t>
  </si>
  <si>
    <t>BASSA MAREA</t>
  </si>
  <si>
    <t>Sottomonte Ardizio</t>
  </si>
  <si>
    <t>BAGNI TOTO</t>
  </si>
  <si>
    <t>BAGNI PARADISO</t>
  </si>
  <si>
    <t>strada delle marche KM.242,5 1</t>
  </si>
  <si>
    <t>claudiopace71@libero.it</t>
  </si>
  <si>
    <t>BAGNI VASINTO</t>
  </si>
  <si>
    <t>spiagga di Ponente</t>
  </si>
  <si>
    <t>BAGNI DUE PALME</t>
  </si>
  <si>
    <t>CASALE E. BEAUHARNAIS</t>
  </si>
  <si>
    <t>strada di Casale 33</t>
  </si>
  <si>
    <t>www.casalebeauharnais.com</t>
  </si>
  <si>
    <t>info@casalebeauharnais.com</t>
  </si>
  <si>
    <t>AGRITURISMO PARADISOINCOLLINA</t>
  </si>
  <si>
    <t>strada di San Nicola 32</t>
  </si>
  <si>
    <t>www.paradisoincollina.it</t>
  </si>
  <si>
    <t>mirco@paradisoincollina.it</t>
  </si>
  <si>
    <t>B&amp;B ANGELO CUSTODE</t>
  </si>
  <si>
    <t>strada della Rupola 6</t>
  </si>
  <si>
    <t>www.loredanacipressi.it</t>
  </si>
  <si>
    <t>loredana.cipressi@yahoo.it</t>
  </si>
  <si>
    <t>HOTEL CONTINENTAL</t>
  </si>
  <si>
    <t>viale Trieste 70</t>
  </si>
  <si>
    <t>continental@globaltoursrls.com</t>
  </si>
  <si>
    <t>GIULIO ANTONIO CECCHI</t>
  </si>
  <si>
    <t>via del Seminario 16</t>
  </si>
  <si>
    <t>casavaccaj@yahoo.it</t>
  </si>
  <si>
    <t>MOSCA GABRIELLA</t>
  </si>
  <si>
    <t>strada Santa Lucia 1</t>
  </si>
  <si>
    <t>ga.mosca@libero.it</t>
  </si>
  <si>
    <t>HOTEL ATLANTIC</t>
  </si>
  <si>
    <t>viale Trieste 365</t>
  </si>
  <si>
    <t>www.atlanticpesaro.it</t>
  </si>
  <si>
    <t>info@atlanticpesaro.it</t>
  </si>
  <si>
    <t>HOTEL PROMENADE</t>
  </si>
  <si>
    <t>viale Trieste 115</t>
  </si>
  <si>
    <t>www.hotelpromenade.pu.it</t>
  </si>
  <si>
    <t>info@hotelpromenade.pu.it</t>
  </si>
  <si>
    <t>HOTEL MARE</t>
  </si>
  <si>
    <t>viale Trieste 371</t>
  </si>
  <si>
    <t>www.marepesaro.it</t>
  </si>
  <si>
    <t>info@marepesaro.it</t>
  </si>
  <si>
    <t>CA' NAPOLEON di LA ROTA LORETTA</t>
  </si>
  <si>
    <t>strada dei Pelati 17</t>
  </si>
  <si>
    <t>canapoleon1831@gmail.com</t>
  </si>
  <si>
    <t>B&amp;B AGORA'</t>
  </si>
  <si>
    <t>via San Egidio 23</t>
  </si>
  <si>
    <t>curina.francesco@gmail.com</t>
  </si>
  <si>
    <t>B&amp;B NOTTI A PESARO</t>
  </si>
  <si>
    <t>VIA DELLA NEVIERA 10</t>
  </si>
  <si>
    <t>nottiapesaro@gmail.com</t>
  </si>
  <si>
    <t>B&amp;B LA SCALA DI SETA</t>
  </si>
  <si>
    <t>via Fratelli Bandiera 7</t>
  </si>
  <si>
    <t>lascaladiseta2014@gmail.com</t>
  </si>
  <si>
    <t>LEA CORALLONI</t>
  </si>
  <si>
    <t>via Baldi  60</t>
  </si>
  <si>
    <t>paola.vi@fastwebnet.it</t>
  </si>
  <si>
    <t>B&amp;B I FIORI DELLA CAVA</t>
  </si>
  <si>
    <t>via della Cava 4</t>
  </si>
  <si>
    <t>www.ifioridellacava.com</t>
  </si>
  <si>
    <t>ifioridellacava@gmail.com</t>
  </si>
  <si>
    <t>B&amp;B PASQUALON</t>
  </si>
  <si>
    <t>via O.Giansanti 5</t>
  </si>
  <si>
    <t>Pesaro</t>
  </si>
  <si>
    <t>bb.pasqualon@gmail.com</t>
  </si>
  <si>
    <t>B&amp;B PREMA DHAM</t>
  </si>
  <si>
    <t>strada Santa Lucia 19</t>
  </si>
  <si>
    <t>Ginestreto di Pesaro</t>
  </si>
  <si>
    <t>www.associazionepremadham.com</t>
  </si>
  <si>
    <t>info@associazionepremadham.com</t>
  </si>
  <si>
    <t>CA' PRINCIVALLE</t>
  </si>
  <si>
    <t>strada Ponte Marotto 22/2</t>
  </si>
  <si>
    <t>Ponte Valle, Santa Veneranda</t>
  </si>
  <si>
    <t>www.caprincivalle.it</t>
  </si>
  <si>
    <t>info@caprincivalle.it</t>
  </si>
  <si>
    <t>BAGNI CHALET A MARE N 4</t>
  </si>
  <si>
    <t>via Marino Ardizio snc snc</t>
  </si>
  <si>
    <t>loc. Sottomonte</t>
  </si>
  <si>
    <t>www.chaletamare.it</t>
  </si>
  <si>
    <t>info@chaletamare.it</t>
  </si>
  <si>
    <t>BAGNI CHALET A MARE N 5</t>
  </si>
  <si>
    <t>via Marina Ardizio  s.n.</t>
  </si>
  <si>
    <t>ITACA BEACH N 6/7</t>
  </si>
  <si>
    <t>strada Marina Ardizia snc snc</t>
  </si>
  <si>
    <t>LOCANDA TYPO</t>
  </si>
  <si>
    <t>strada delle Marche 116</t>
  </si>
  <si>
    <t>www.typolocanda.it; www.typolocanda.com</t>
  </si>
  <si>
    <t>info@typolocanda.it</t>
  </si>
  <si>
    <t>B&amp;B GOGA &amp; ROMEO</t>
  </si>
  <si>
    <t>via F.Tumiati 11</t>
  </si>
  <si>
    <t>oliospellava@yahoo.it</t>
  </si>
  <si>
    <t>ANTICA DIMORA DI VAL REGINA</t>
  </si>
  <si>
    <t>strada Selve Granarola 12</t>
  </si>
  <si>
    <t>www.anticadimoradivalregina.com</t>
  </si>
  <si>
    <t>info@anticadimoradivalregina.com</t>
  </si>
  <si>
    <t>HOLIDAY</t>
  </si>
  <si>
    <t>viale Trento 159</t>
  </si>
  <si>
    <t>www.holidaypesaro.com</t>
  </si>
  <si>
    <t>info@holidaypesaro.com</t>
  </si>
  <si>
    <t>APPARTAMENTIO TURISTICO MALTEMPI</t>
  </si>
  <si>
    <t>via L. della Robbia 21</t>
  </si>
  <si>
    <t>fulvia.maltempi@gmail.com</t>
  </si>
  <si>
    <t>B&amp;B CASA EZELINA</t>
  </si>
  <si>
    <t>strada di Santa Lucia  1</t>
  </si>
  <si>
    <t>loc. Ginestreto di Pesaro</t>
  </si>
  <si>
    <t>www.casaezelina.it</t>
  </si>
  <si>
    <t>info@casaezelina.it</t>
  </si>
  <si>
    <t>B&amp;B L'OSSERVATORIO</t>
  </si>
  <si>
    <t>strada Cerreto 6</t>
  </si>
  <si>
    <t>loc.Cerreto di Novilara</t>
  </si>
  <si>
    <t>residenzalacanonica@libero.it</t>
  </si>
  <si>
    <t>B&amp;B PESARO-MARE</t>
  </si>
  <si>
    <t>via Sara Levi Nathan  68</t>
  </si>
  <si>
    <t>bebpesaromare@gmx.com</t>
  </si>
  <si>
    <t>BRISTOL MEUBLE'</t>
  </si>
  <si>
    <t>Piazzale della Libertà 7</t>
  </si>
  <si>
    <t>http://hotelbristol-pu.com/index.php</t>
  </si>
  <si>
    <t>info@hotelbristolpesaro.191.it</t>
  </si>
  <si>
    <t>IL FIORE E LA FARFALLA</t>
  </si>
  <si>
    <t>Strada Blilla 11</t>
  </si>
  <si>
    <t>www.ilfioreelafarfalla.com</t>
  </si>
  <si>
    <t>info@ilfioreelafarfalla.com</t>
  </si>
  <si>
    <t>LA BOTTE</t>
  </si>
  <si>
    <t>viale trieste 40</t>
  </si>
  <si>
    <t>info@residencelabotte.it</t>
  </si>
  <si>
    <t>BAIA FLAMINIA RESORT</t>
  </si>
  <si>
    <t>viale parigi 8 8</t>
  </si>
  <si>
    <t>www.baiaflaminiaresort.com</t>
  </si>
  <si>
    <t>info@baiaflaminiaresort.com</t>
  </si>
  <si>
    <t>B&amp;B VILLA TORRACCIA</t>
  </si>
  <si>
    <t>via Torraccia 3</t>
  </si>
  <si>
    <t>www.villatorraccia.it</t>
  </si>
  <si>
    <t>info@villatorraccia.it</t>
  </si>
  <si>
    <t>BAGNI LUCA</t>
  </si>
  <si>
    <t>HOTEL ROSSINI</t>
  </si>
  <si>
    <t>viale Guglielmo Marconi 44</t>
  </si>
  <si>
    <t>www.hotelrossini.it</t>
  </si>
  <si>
    <t>info@hotelrossini.it</t>
  </si>
  <si>
    <t>B&amp;B CASA BERARDI</t>
  </si>
  <si>
    <t>via Madonna di Loreto 103</t>
  </si>
  <si>
    <t>www.casaberardipesaro.it</t>
  </si>
  <si>
    <t>info@casaberardipesaro.it</t>
  </si>
  <si>
    <t>B&amp;B PIGIOTTO</t>
  </si>
  <si>
    <t>via Petrucci 55</t>
  </si>
  <si>
    <t>Pesaro centro</t>
  </si>
  <si>
    <t>www.pigiotto.it</t>
  </si>
  <si>
    <t>pigiotto.pesaro@gmail.com</t>
  </si>
  <si>
    <t>LIANA</t>
  </si>
  <si>
    <t>viale Trieste  102</t>
  </si>
  <si>
    <t>CASA RENILI</t>
  </si>
  <si>
    <t>strada Lunga 13</t>
  </si>
  <si>
    <t>www.casarenili.it</t>
  </si>
  <si>
    <t>mirco.renili@gmail.com</t>
  </si>
  <si>
    <t>BAGNI SACRO CUORE</t>
  </si>
  <si>
    <t>viale Trieste 45</t>
  </si>
  <si>
    <t>economato.pesaro@yahoo.it</t>
  </si>
  <si>
    <t>BAGNI TIKI</t>
  </si>
  <si>
    <t>via marina ardizia 1 1</t>
  </si>
  <si>
    <t>BAGNI SOLE</t>
  </si>
  <si>
    <t>strada delle Marche 36 36</t>
  </si>
  <si>
    <t>lungomare Nazario Sauro 30/34</t>
  </si>
  <si>
    <t>www.excelsiorpesaro.it</t>
  </si>
  <si>
    <t>info@excelsiorpesaro.it</t>
  </si>
  <si>
    <t>IL PIGNOCCO</t>
  </si>
  <si>
    <t>strada del Pignocco 3</t>
  </si>
  <si>
    <t>www.ilpignocco.it</t>
  </si>
  <si>
    <t>info@ilpignocco.it</t>
  </si>
  <si>
    <t>B&amp;B LA MAISON DE NADINE</t>
  </si>
  <si>
    <t>via Canale 33</t>
  </si>
  <si>
    <t>nadia.sorbini@gmail.com</t>
  </si>
  <si>
    <t>B&amp;B AURORA DOMUS D-AMARE</t>
  </si>
  <si>
    <t>via Carlo Cattaneo 33</t>
  </si>
  <si>
    <t>aurorabbpesaro@gmail.com</t>
  </si>
  <si>
    <t>B&amp;B PANORAMIC</t>
  </si>
  <si>
    <t>Strada Tresole 44</t>
  </si>
  <si>
    <t>www.bebpanoramic.it</t>
  </si>
  <si>
    <t>info@bebpanoramic.it</t>
  </si>
  <si>
    <t>B&amp;B LE CUPOLE</t>
  </si>
  <si>
    <t>strada Fornace Mancini 178</t>
  </si>
  <si>
    <t>alessandro.domen@gmail.com</t>
  </si>
  <si>
    <t>CA' VERDE</t>
  </si>
  <si>
    <t>strada panoramica adriatica 345</t>
  </si>
  <si>
    <t>www.agriturismocaverde.it</t>
  </si>
  <si>
    <t>info@agriturismocaverde.it</t>
  </si>
  <si>
    <t>B&amp;B LUCILLA VILLA</t>
  </si>
  <si>
    <t>via G.Torelli 5</t>
  </si>
  <si>
    <t>www.bnblucillavilla.it</t>
  </si>
  <si>
    <t>mt.pampaloni@gmail.com</t>
  </si>
  <si>
    <t>B&amp;B LA GRANDE AGAVE</t>
  </si>
  <si>
    <t>strada della Siligata 12</t>
  </si>
  <si>
    <t>www.lagrandeagave.it</t>
  </si>
  <si>
    <t>lagrandeagave@gmail.com</t>
  </si>
  <si>
    <t>B&amp;B AMALIA FURNO</t>
  </si>
  <si>
    <t>strada delle Primule 22</t>
  </si>
  <si>
    <t>strada Micaloro 1</t>
  </si>
  <si>
    <t>www.ilpoggiopesaro.it</t>
  </si>
  <si>
    <t>info@ilpoggiopesaro.it</t>
  </si>
  <si>
    <t>B&amp;B DAI CASOLI</t>
  </si>
  <si>
    <t>strada del boncio 61</t>
  </si>
  <si>
    <t>www.daicasoli.it</t>
  </si>
  <si>
    <t>casoli@libero.it</t>
  </si>
  <si>
    <t>ALEXANDER MUSEUM PALACE HOTEL</t>
  </si>
  <si>
    <t>viale trieste 20</t>
  </si>
  <si>
    <t>www.alexandermuseum.it</t>
  </si>
  <si>
    <t>alexander@viphotels.it</t>
  </si>
  <si>
    <t>B&amp;B RESIDENZA LA CANONICA</t>
  </si>
  <si>
    <t>www.residenzalacanonica.com</t>
  </si>
  <si>
    <t>AZIENDA AGRITURISTICA VIVAIO CLARETTA</t>
  </si>
  <si>
    <t>via san gianno 20</t>
  </si>
  <si>
    <t>PETRIANO</t>
  </si>
  <si>
    <t>www.agriturismo-claretta.it</t>
  </si>
  <si>
    <t>agriturimo.claretta@gmail.com</t>
  </si>
  <si>
    <t>LOCANDA DA CIACCI</t>
  </si>
  <si>
    <t>via roma 105</t>
  </si>
  <si>
    <t>B&amp;B CAPOTORTO</t>
  </si>
  <si>
    <t>via Cà Capotorto 1</t>
  </si>
  <si>
    <t>Riceci</t>
  </si>
  <si>
    <t>www.capotorto.be</t>
  </si>
  <si>
    <t>info@capotorto.be</t>
  </si>
  <si>
    <t>DIMORA DELLE VIGNE</t>
  </si>
  <si>
    <t>via San Filippo 24</t>
  </si>
  <si>
    <t>PIAGGE</t>
  </si>
  <si>
    <t>www.dimoradellevigne.it</t>
  </si>
  <si>
    <t>info@aziendaguerrieri.it</t>
  </si>
  <si>
    <t>B&amp;B LA PIAZZA DELLA TORRE</t>
  </si>
  <si>
    <t>via della Torre 1</t>
  </si>
  <si>
    <t>lapiazzadellatorre.freshcreator.com</t>
  </si>
  <si>
    <t>lapiazzadellatorre@libero.it</t>
  </si>
  <si>
    <t>B&amp;B LA LOCANDA DI CAVOLETO</t>
  </si>
  <si>
    <t>Località CAVOLETO 8</t>
  </si>
  <si>
    <t>PIANDIMELETO</t>
  </si>
  <si>
    <t>www.lalocandadicavoleto.it</t>
  </si>
  <si>
    <t>info@lalocandadicavoleto.it</t>
  </si>
  <si>
    <t>AGRITURISMO CA' DELL'AIA</t>
  </si>
  <si>
    <t>loc. Cà dell'Olio s.n.</t>
  </si>
  <si>
    <t>fraz. Viano</t>
  </si>
  <si>
    <t>www.cadellaia.it</t>
  </si>
  <si>
    <t>info@cadellaia.it</t>
  </si>
  <si>
    <t>CASAL VAL D'ALTO</t>
  </si>
  <si>
    <t>loc. Val d'Alto di Sopra</t>
  </si>
  <si>
    <t>mariapiagarulli@libero.it</t>
  </si>
  <si>
    <t>ALBERGO ESTER</t>
  </si>
  <si>
    <t>corso Giovanni XXIII 54/56</t>
  </si>
  <si>
    <t>www.albergoester.it</t>
  </si>
  <si>
    <t>info@albergoester.it</t>
  </si>
  <si>
    <t>corso Giovanni XXIII 6</t>
  </si>
  <si>
    <t>ristorantinodelcastello@gmail.com</t>
  </si>
  <si>
    <t>LE TORRICELLE</t>
  </si>
  <si>
    <t>FRAZIONE PIRLO 1</t>
  </si>
  <si>
    <t>B&amp;B PINETA di CILIBERTO VITTORIA</t>
  </si>
  <si>
    <t>VIA CA'BALDISSERRA 53</t>
  </si>
  <si>
    <t>PIETRARUBBIA</t>
  </si>
  <si>
    <t>carpegna@ascompesaro.it</t>
  </si>
  <si>
    <t>LEONARDI GUIDO</t>
  </si>
  <si>
    <t>via montefeltresca 118</t>
  </si>
  <si>
    <t>B&amp;B FONTE GRIMA</t>
  </si>
  <si>
    <t>via Montefeltresca 167</t>
  </si>
  <si>
    <t>Ponte Cappuccini</t>
  </si>
  <si>
    <t>www.fontegrima.it</t>
  </si>
  <si>
    <t>annamaria.salucci@gmail.com</t>
  </si>
  <si>
    <t>B&amp;B NONNA VELINA</t>
  </si>
  <si>
    <t>via montefeltresca 121</t>
  </si>
  <si>
    <t>AREA SOSTA CAMPER - PIETRARUBBIA</t>
  </si>
  <si>
    <t>via Montefeltresca 107</t>
  </si>
  <si>
    <t>LA RUPE DI SEVERI MARCO &amp; C. S.N.C.</t>
  </si>
  <si>
    <t>via montefeltresca 163</t>
  </si>
  <si>
    <t>CASA BRACCI</t>
  </si>
  <si>
    <t>via Ca' Boso 2</t>
  </si>
  <si>
    <t>www.casabracci.com</t>
  </si>
  <si>
    <t>michele.bracci.657@agenzie.realemutua.it</t>
  </si>
  <si>
    <t>DIMORA GALASTERNA</t>
  </si>
  <si>
    <t>via Poggio Pagano 12</t>
  </si>
  <si>
    <t>studiopompeiing@alice.it</t>
  </si>
  <si>
    <t>AGRITURISMO CARDELLA</t>
  </si>
  <si>
    <t>GIOVANNI XXVIII 4</t>
  </si>
  <si>
    <t>PIOBBICO</t>
  </si>
  <si>
    <t>CARDELLA</t>
  </si>
  <si>
    <t>burami.raffaella@gmail.com</t>
  </si>
  <si>
    <t>AGRITURISMO L'EIA DI CARETTI</t>
  </si>
  <si>
    <t>SANTA MARIA IN VAL D'ABISSO  46</t>
  </si>
  <si>
    <t>info@bptecnology.it</t>
  </si>
  <si>
    <t>RIFUGIO ESCURSIONISTICO SAN LORENZO</t>
  </si>
  <si>
    <t>Località Bacciardi - San Lorenzo SNC</t>
  </si>
  <si>
    <t>BACCIARDI</t>
  </si>
  <si>
    <t>comunanza.rocca.leonella@gmail.com</t>
  </si>
  <si>
    <t>AGRITURISMO SLOWCANDA</t>
  </si>
  <si>
    <t>via Baciardi 12</t>
  </si>
  <si>
    <t>BACIARDI</t>
  </si>
  <si>
    <t>www.slowcanda.it</t>
  </si>
  <si>
    <t>slowcanda@tiscali.it</t>
  </si>
  <si>
    <t>ZONA PARCO ACQUE MINERALI</t>
  </si>
  <si>
    <t>www.comune.piobbico.pu.it</t>
  </si>
  <si>
    <t>comune.piobbico@provincia.ps.it</t>
  </si>
  <si>
    <t>CENTRO EDUCAZIONE AMBIENTALE</t>
  </si>
  <si>
    <t>via giacomo matteotti 1</t>
  </si>
  <si>
    <t>AGRITURISMO LA CAPRARECCIA</t>
  </si>
  <si>
    <t>localita' gorgo a cerbara 1</t>
  </si>
  <si>
    <t>www.lacaprareccia.it</t>
  </si>
  <si>
    <t>info@lacaprareccia.it</t>
  </si>
  <si>
    <t>B&amp;B VILLA TADDEA</t>
  </si>
  <si>
    <t>localita' Baciardi 1</t>
  </si>
  <si>
    <t>www.vllataddea.com</t>
  </si>
  <si>
    <t>info@villataddea.com</t>
  </si>
  <si>
    <t>via Roma 30</t>
  </si>
  <si>
    <t>lorenzoni.alfredo@libero.it</t>
  </si>
  <si>
    <t>GIOVANNI XVII</t>
  </si>
  <si>
    <t>vocabolo Pianaccio di Sotto 164</t>
  </si>
  <si>
    <t>giovanni_17@alice.it</t>
  </si>
  <si>
    <t>PIEVE DEGLI ACINELLI</t>
  </si>
  <si>
    <t>Acinelli</t>
  </si>
  <si>
    <t>www.pievedegliacinelli.net</t>
  </si>
  <si>
    <t>info@pievedegliacinelli.net</t>
  </si>
  <si>
    <t>COUNTRY HOUSE IL FALCO</t>
  </si>
  <si>
    <t>localita' Finocchieto 204</t>
  </si>
  <si>
    <t>www.ilfalco.eu</t>
  </si>
  <si>
    <t>info@ilfalco.eu</t>
  </si>
  <si>
    <t>PERBACCO</t>
  </si>
  <si>
    <t>via monsignor luigi scipioni 7</t>
  </si>
  <si>
    <t>www.perbaccochevacanze.it</t>
  </si>
  <si>
    <t>info@perbaccochevacanze.it</t>
  </si>
  <si>
    <t>FINOCCHIETTO</t>
  </si>
  <si>
    <t>LOC. FINOCCHIETTO</t>
  </si>
  <si>
    <t>www.caserrantonio-ferri.com</t>
  </si>
  <si>
    <t>info_ferri@libero.it</t>
  </si>
  <si>
    <t>ACQUANERA</t>
  </si>
  <si>
    <t>localita' acquanera 1</t>
  </si>
  <si>
    <t>www.acquanera.com</t>
  </si>
  <si>
    <t>info@acquanera.com</t>
  </si>
  <si>
    <t>COUNTRY HOUSE CA PAZZO</t>
  </si>
  <si>
    <t>via Le Case 213</t>
  </si>
  <si>
    <t>www.capazzo.com</t>
  </si>
  <si>
    <t>info@capazzo.com</t>
  </si>
  <si>
    <t>localita' cardella 50</t>
  </si>
  <si>
    <t>info@lacaprareccia.com</t>
  </si>
  <si>
    <t>COLONIA DON ORIONE</t>
  </si>
  <si>
    <t>CASCIAIA - MONTE NERONE</t>
  </si>
  <si>
    <t>giorgiotasso50@gmail.com</t>
  </si>
  <si>
    <t>AGRITURISMO CA' LICOZZO</t>
  </si>
  <si>
    <t>CA' LICOZZO</t>
  </si>
  <si>
    <t>info@agriturismocalicozzo.it</t>
  </si>
  <si>
    <t>METAURO</t>
  </si>
  <si>
    <t>via Flaminia 278</t>
  </si>
  <si>
    <t>SALTARA</t>
  </si>
  <si>
    <t>Calcinelli di Saltara</t>
  </si>
  <si>
    <t>www.albergometauro.com</t>
  </si>
  <si>
    <t>info@albergometauro.com</t>
  </si>
  <si>
    <t>ISTITUTO SUORE DISCEPOLE DI GESU' EUCARISTICO</t>
  </si>
  <si>
    <t>via San Francesco 8</t>
  </si>
  <si>
    <t>sdgesanfrancesco@libero.it</t>
  </si>
  <si>
    <t>VILLA ROMANA</t>
  </si>
  <si>
    <t>via Gambarelli 1</t>
  </si>
  <si>
    <t>www.agriturismovillaromana.it</t>
  </si>
  <si>
    <t>vr@agriturismovillaromana.it</t>
  </si>
  <si>
    <t>CASA BORGACCIO</t>
  </si>
  <si>
    <t>via Buonarotti 11/B</t>
  </si>
  <si>
    <t>Borgaccio di Saltara</t>
  </si>
  <si>
    <t>www.casaborgaccio.it</t>
  </si>
  <si>
    <t>info@casaborgaccio.it</t>
  </si>
  <si>
    <t>via Buonarotti 11/c</t>
  </si>
  <si>
    <t xml:space="preserve"> Borgaccio di Saltara via Buonarotti 13</t>
  </si>
  <si>
    <t>Borgaccio di Saltra</t>
  </si>
  <si>
    <t>casaborgaccio@gmail.com</t>
  </si>
  <si>
    <t>B&amp;B ANTICO ULIVO</t>
  </si>
  <si>
    <t>via Cesare Pavese 1</t>
  </si>
  <si>
    <t>Calcinelli</t>
  </si>
  <si>
    <t>www.anticoulivo.com</t>
  </si>
  <si>
    <t>anticoulivo@libero.it</t>
  </si>
  <si>
    <t>LOCANDA DEL BORGO</t>
  </si>
  <si>
    <t>www.villasanmartino-countryhouse.it</t>
  </si>
  <si>
    <t>info@villasanmartino-countryhouse.it</t>
  </si>
  <si>
    <t>B&amp;B IL BORGHETTO</t>
  </si>
  <si>
    <t>via Borghetto 11</t>
  </si>
  <si>
    <t>SAN COSTANZO</t>
  </si>
  <si>
    <t>borghetto</t>
  </si>
  <si>
    <t>silvialip@libero.it</t>
  </si>
  <si>
    <t>B&amp;B CASA UNO</t>
  </si>
  <si>
    <t>via Vincareto 51</t>
  </si>
  <si>
    <t>www.casa-uno.it</t>
  </si>
  <si>
    <t>alisonscott@libero.it</t>
  </si>
  <si>
    <t>B&amp;B VILLA DOLCE VITA</t>
  </si>
  <si>
    <t>via B. Croce  22</t>
  </si>
  <si>
    <t>www.villadolcevitamarche.it</t>
  </si>
  <si>
    <t>villadolcevitamarche@gmail.com</t>
  </si>
  <si>
    <t>DA PAOLO E MILENA</t>
  </si>
  <si>
    <t>paul.esposto@libero.it</t>
  </si>
  <si>
    <t>B&amp;B GIORGINI MARINELLA</t>
  </si>
  <si>
    <t>strada Belvedere 1</t>
  </si>
  <si>
    <t>www.beb-marinella.jimdo.com</t>
  </si>
  <si>
    <t>massimofranchini53@gmail.com</t>
  </si>
  <si>
    <t>B&amp;B IL GLICINE</t>
  </si>
  <si>
    <t>strada san vitale 86</t>
  </si>
  <si>
    <t>info@ilglicinefano.it</t>
  </si>
  <si>
    <t>B&amp;B CASA SORGENTE</t>
  </si>
  <si>
    <t>strada Acqua Sorgente 2</t>
  </si>
  <si>
    <t>www.casasorgente.nl</t>
  </si>
  <si>
    <t>info@casasorgente.nl</t>
  </si>
  <si>
    <t>B&amp;B A CASA DI MAEL</t>
  </si>
  <si>
    <t>strada P.Nenni 4/6</t>
  </si>
  <si>
    <t>loc. Cerasa</t>
  </si>
  <si>
    <t>acasadimael@gmail.com</t>
  </si>
  <si>
    <t>AGRITURISMO SAN MARTINO</t>
  </si>
  <si>
    <t>strada san martino 20</t>
  </si>
  <si>
    <t>www.agriturismosanmartino.net</t>
  </si>
  <si>
    <t>info@agriturismosanmartino.net</t>
  </si>
  <si>
    <t>AGRITURISMO COLOMBONI</t>
  </si>
  <si>
    <t>strada vencareto 25</t>
  </si>
  <si>
    <t>www.agriturismocolomboni.it</t>
  </si>
  <si>
    <t>agriturismocolomboni@gmail.com</t>
  </si>
  <si>
    <t>DIVIN AMORE</t>
  </si>
  <si>
    <t>strada divino amore 1</t>
  </si>
  <si>
    <t>www.agridivinamore.it</t>
  </si>
  <si>
    <t>info@agridivinamore.it</t>
  </si>
  <si>
    <t>AZIENDA BARTOLACCI DI PIERINI MONICA E MATTEO</t>
  </si>
  <si>
    <t>strada del breccione 1</t>
  </si>
  <si>
    <t>www.bartolacci.it</t>
  </si>
  <si>
    <t>agriturismo@bartolacci.it</t>
  </si>
  <si>
    <t>LOCANDA LA BRECCIA</t>
  </si>
  <si>
    <t>strada delle caminate 43</t>
  </si>
  <si>
    <t>www.locandalabreccia.com</t>
  </si>
  <si>
    <t>info@locandalabreccia.com</t>
  </si>
  <si>
    <t>BALDELLI FLAVIA</t>
  </si>
  <si>
    <t>via Giovanni XXIII 3</t>
  </si>
  <si>
    <t>flavia.baldelli@icluod.com</t>
  </si>
  <si>
    <t>VILLA BEATUS</t>
  </si>
  <si>
    <t>Via Tomba 36</t>
  </si>
  <si>
    <t>www.sancostanzo.no</t>
  </si>
  <si>
    <t>info@studi-associati.it</t>
  </si>
  <si>
    <t>CAMPANELLI GIACOMO</t>
  </si>
  <si>
    <t>Strada San Costanzo Torrette 62</t>
  </si>
  <si>
    <t>RIFINO MARCANTONIO</t>
  </si>
  <si>
    <t>Strada Mondolfo 42</t>
  </si>
  <si>
    <t>REDGEKKO B&amp;B</t>
  </si>
  <si>
    <t>STRADA DI MEZZO 61</t>
  </si>
  <si>
    <t>www.redgekko.onweb.it</t>
  </si>
  <si>
    <t>bbredgekko@gmail.com</t>
  </si>
  <si>
    <t>MOCK HARRY</t>
  </si>
  <si>
    <t>LOCALITA' SAN GIOVANNI IN VENCARETO 60</t>
  </si>
  <si>
    <t>SAN GIOVANNI IN VENCARETO</t>
  </si>
  <si>
    <t>robertacastellani@libero.it</t>
  </si>
  <si>
    <t>B&amp;B MONTECUCCO</t>
  </si>
  <si>
    <t>Montecucco 15</t>
  </si>
  <si>
    <t>SAN GIORGIO DI PESARO</t>
  </si>
  <si>
    <t>sabi.roberti@gmail.com</t>
  </si>
  <si>
    <t>B&amp;B SPICELLO di CINGOLANI SANDRO</t>
  </si>
  <si>
    <t>Strada Spicello 24</t>
  </si>
  <si>
    <t>www.cingolanisandro.it</t>
  </si>
  <si>
    <t>info@cingolanisandro.it</t>
  </si>
  <si>
    <t>CASA RELIGIOSA DI OSPITALITA' DON STEFANO LAMERA</t>
  </si>
  <si>
    <t>via Spicello snc</t>
  </si>
  <si>
    <t>radiciluciano@tin.it</t>
  </si>
  <si>
    <t>B&amp;B LE TAMERICI</t>
  </si>
  <si>
    <t>strada Orcianense 91</t>
  </si>
  <si>
    <t>www.letamerici.biz</t>
  </si>
  <si>
    <t>info@letamerici.biz</t>
  </si>
  <si>
    <t>L'ANNESSO</t>
  </si>
  <si>
    <t>via Tortolino 6</t>
  </si>
  <si>
    <t>margherita1056@libero.it</t>
  </si>
  <si>
    <t>B&amp;B CASALE VEGA</t>
  </si>
  <si>
    <t>via San Vito sul Cesano 44</t>
  </si>
  <si>
    <t>SAN LORENZO IN CAMPO</t>
  </si>
  <si>
    <t>info@casalevega.it</t>
  </si>
  <si>
    <t>CASALE ULIVO</t>
  </si>
  <si>
    <t>lupa8994@libero.it</t>
  </si>
  <si>
    <t>BORGO RONCAGLIA</t>
  </si>
  <si>
    <t>via Roncaglia 106</t>
  </si>
  <si>
    <t>www.borgoroncaglia.it</t>
  </si>
  <si>
    <t>info@borgoroncaglia.it</t>
  </si>
  <si>
    <t>FARROTECA MONTEROSSO</t>
  </si>
  <si>
    <t>via Costantinopoli 1</t>
  </si>
  <si>
    <t>info@mrosso.it</t>
  </si>
  <si>
    <t>B&amp;B AL CASTELLO DI MONTALFOGLIO</t>
  </si>
  <si>
    <t>piazza San Martino 2</t>
  </si>
  <si>
    <t>Montalfoglio</t>
  </si>
  <si>
    <t>www.montalfoglio.it</t>
  </si>
  <si>
    <t>info@montalfoglio.it</t>
  </si>
  <si>
    <t>AGRITURISMO ANGELI</t>
  </si>
  <si>
    <t>via Caprile 15</t>
  </si>
  <si>
    <t>agriturismoangeli06@libero.it</t>
  </si>
  <si>
    <t>AGRITURISMO MIRALBELLO</t>
  </si>
  <si>
    <t>via Mazzalaio 36</t>
  </si>
  <si>
    <t>www.agriturismomiralbello.it</t>
  </si>
  <si>
    <t>info@agriturismomiralbello.it</t>
  </si>
  <si>
    <t>HOTEL RISTORANTE GIARDINO</t>
  </si>
  <si>
    <t>via Enrico Mattei 4</t>
  </si>
  <si>
    <t>www.hotelgiardino.it</t>
  </si>
  <si>
    <t>info@hotelgiardino.it</t>
  </si>
  <si>
    <t>B&amp;B MONTANARI MARINA</t>
  </si>
  <si>
    <t>PIAZZA SAN MARTINO 14</t>
  </si>
  <si>
    <t>MONTALFOGLIO</t>
  </si>
  <si>
    <t>info@locandasanmartino.it;</t>
  </si>
  <si>
    <t>B&amp;B SAN VITO</t>
  </si>
  <si>
    <t>via San Vito sul Cesano 74</t>
  </si>
  <si>
    <t>CASALE DON DOME'</t>
  </si>
  <si>
    <t>Via San Severo 46</t>
  </si>
  <si>
    <t>mi.cantiani@alice.it</t>
  </si>
  <si>
    <t>B&amp;B LA FIORENZUOLA di TRUFFI TANIA E FERRI ALESSANDRO</t>
  </si>
  <si>
    <t>via Fiorenzuola 21</t>
  </si>
  <si>
    <t>SANT'ANGELO IN VADO</t>
  </si>
  <si>
    <t>www.lafiorenzuola.it</t>
  </si>
  <si>
    <t>lafiorenzuolabeb@gmail.com</t>
  </si>
  <si>
    <t>B&amp;B TRUFFI E FERRI</t>
  </si>
  <si>
    <t>B&amp;B DEGL'INNOCENTI MARIA ALESSANDRA</t>
  </si>
  <si>
    <t>corso Garibaldi 20</t>
  </si>
  <si>
    <t>arpen@arpen.it</t>
  </si>
  <si>
    <t>SANTA CHIARA</t>
  </si>
  <si>
    <t>corso Garibaldi 26</t>
  </si>
  <si>
    <t>SANT' ANGELO IN VADO</t>
  </si>
  <si>
    <t>www.santachiarahotel.it</t>
  </si>
  <si>
    <t>info@santachiarahotel.it</t>
  </si>
  <si>
    <t>RISTO' TADDEO E FEDERICO</t>
  </si>
  <si>
    <t>via Mancini 4</t>
  </si>
  <si>
    <t>www.palazzobaldani.it</t>
  </si>
  <si>
    <t>info@palazzobaldani.it</t>
  </si>
  <si>
    <t>VILLA DELL' AGATA</t>
  </si>
  <si>
    <t>vocabolo Villa Giudizi dell'Agata 1</t>
  </si>
  <si>
    <t>loc.Baciuccaro</t>
  </si>
  <si>
    <t>www.villa-agata.com; www.villa-agata.eu</t>
  </si>
  <si>
    <t>bestitaly@villa-agata.de; info@villa-agata.eu</t>
  </si>
  <si>
    <t>AGRITURISMO I PALAZZI</t>
  </si>
  <si>
    <t>vocabolo Palazzi 1</t>
  </si>
  <si>
    <t>loc. Palazzi loc. Capanne</t>
  </si>
  <si>
    <t>www.agriturismoipalazzi.it</t>
  </si>
  <si>
    <t>info@agriturismoipalazzi.it</t>
  </si>
  <si>
    <t>LA TAVOLA MARCHE</t>
  </si>
  <si>
    <t>info@latavolamarche.com</t>
  </si>
  <si>
    <t>EREMO SAN DONATO</t>
  </si>
  <si>
    <t>loc.Palazzi</t>
  </si>
  <si>
    <t>www.caresto.it</t>
  </si>
  <si>
    <t>eremocaresto@libero.it</t>
  </si>
  <si>
    <t>AGRITURISMO AIOLINA</t>
  </si>
  <si>
    <t>loc.Aiolina 17</t>
  </si>
  <si>
    <t>www.aiolinamonti.com</t>
  </si>
  <si>
    <t>info@aiolinamonti.com</t>
  </si>
  <si>
    <t>B&amp;B CA' BETO</t>
  </si>
  <si>
    <t>loc.Cà Beto 12</t>
  </si>
  <si>
    <t>loc.Cà Beto</t>
  </si>
  <si>
    <t>rolfingesmit@gmail.com</t>
  </si>
  <si>
    <t>CASA PER VACANZE CARESTO</t>
  </si>
  <si>
    <t>vocabolo Colombaro Caresto 1</t>
  </si>
  <si>
    <t>loc. Caresto</t>
  </si>
  <si>
    <t>B&amp;B CALMANCINO</t>
  </si>
  <si>
    <t>piazza Umberto I 4</t>
  </si>
  <si>
    <t>loc.Cal Mancino</t>
  </si>
  <si>
    <t>info@calmancino.eu</t>
  </si>
  <si>
    <t>B&amp;B TERRA E CIELO</t>
  </si>
  <si>
    <t>vocabolo calmancino 4</t>
  </si>
  <si>
    <t>www.calmancino.eu</t>
  </si>
  <si>
    <t>B&amp;B CELLAVECCHIA</t>
  </si>
  <si>
    <t>via Apecchiese 6</t>
  </si>
  <si>
    <t>www.cellavecchia.com</t>
  </si>
  <si>
    <t>info@cellavecchia.com</t>
  </si>
  <si>
    <t>B&amp;B GALLI ENRICO</t>
  </si>
  <si>
    <t>via Giovanni Pascoli 1</t>
  </si>
  <si>
    <t>http://www.madonnagrande.com</t>
  </si>
  <si>
    <t>info@madonnagrande.com</t>
  </si>
  <si>
    <t>CA' SALVATORE</t>
  </si>
  <si>
    <t>loc.Cà Salvatore 22</t>
  </si>
  <si>
    <t>loc. Cà Salvatore</t>
  </si>
  <si>
    <t>info@casalvatore.it</t>
  </si>
  <si>
    <t>B&amp;B PIAZZA DEL PAPA</t>
  </si>
  <si>
    <t>via S. Bernardino 1</t>
  </si>
  <si>
    <t>www.piazzadelpapa.it</t>
  </si>
  <si>
    <t>elibrinci@gmail.com</t>
  </si>
  <si>
    <t>COUNTRY HOUSE CASA LONDEI</t>
  </si>
  <si>
    <t>via Reforzate 7</t>
  </si>
  <si>
    <t>SANT'IPPOLITO</t>
  </si>
  <si>
    <t>davidelondei@libero.it</t>
  </si>
  <si>
    <t>AGRITURISMO SAMSARA</t>
  </si>
  <si>
    <t>via pian di rose 3</t>
  </si>
  <si>
    <t>SANT' IPPOLITO</t>
  </si>
  <si>
    <t>www.samsara-center.it</t>
  </si>
  <si>
    <t>info@samsara-center.it</t>
  </si>
  <si>
    <t>BED&amp;BREAKFAST I CIPRESSI EX VILLA MARONCELLI</t>
  </si>
  <si>
    <t>via Raffaello 170</t>
  </si>
  <si>
    <t>www.bbcipressi.it</t>
  </si>
  <si>
    <t>vsrbe@libero.it</t>
  </si>
  <si>
    <t>via Alberici 1</t>
  </si>
  <si>
    <t>LA VALLE DEL SOLE</t>
  </si>
  <si>
    <t>via fontanelle 8</t>
  </si>
  <si>
    <t>www.lavalledelsole.it</t>
  </si>
  <si>
    <t>info@lavalledelsole.it</t>
  </si>
  <si>
    <t>LE FONTANELLE</t>
  </si>
  <si>
    <t>via fontanelle 15</t>
  </si>
  <si>
    <t>info@countryhouselefontanelle.it</t>
  </si>
  <si>
    <t>AGRITURISMO POGGIOLIVO</t>
  </si>
  <si>
    <t>via Peglio 1</t>
  </si>
  <si>
    <t>www.agriturismopoggiolivo.it</t>
  </si>
  <si>
    <t>info@agriturismopoggiolivo.it</t>
  </si>
  <si>
    <t>LA RITROVATA</t>
  </si>
  <si>
    <t>VIA GESSARE TARUGO 9</t>
  </si>
  <si>
    <t>ferdonnini@pec.it; ferdonnini@gmail.com</t>
  </si>
  <si>
    <t>B&amp;B VILLAGGIO RANCO</t>
  </si>
  <si>
    <t>loc. Ranco 18</t>
  </si>
  <si>
    <t>SASSOCORVARO</t>
  </si>
  <si>
    <t>www.villaggioranco.it</t>
  </si>
  <si>
    <t>a.sartorio@libero.it</t>
  </si>
  <si>
    <t>B&amp;B CA' AGOSTINO di JORG PETER</t>
  </si>
  <si>
    <t>Via Ca' Agostino (S.M. Val di Loto) 12</t>
  </si>
  <si>
    <t>ca-agostino.it</t>
  </si>
  <si>
    <t>caagostinobeb@libero.it</t>
  </si>
  <si>
    <t>AGRITURISMO IL GELSO</t>
  </si>
  <si>
    <t>via calciurro 45</t>
  </si>
  <si>
    <t>2000 di DIAMANTINI ASSUNTA</t>
  </si>
  <si>
    <t>via giacomo puccini 9</t>
  </si>
  <si>
    <t>fabbrica-delle-idee@libero.it</t>
  </si>
  <si>
    <t>B&amp;B CATONTINO di LILLI ADRIANA</t>
  </si>
  <si>
    <t>via catontino 26</t>
  </si>
  <si>
    <t>info@catontino.it</t>
  </si>
  <si>
    <t>Ca' Cellino</t>
  </si>
  <si>
    <t>VIA CACELLINO 15</t>
  </si>
  <si>
    <t>Piandalberi</t>
  </si>
  <si>
    <t>www.cacellino.it</t>
  </si>
  <si>
    <t>info@cacellino.it</t>
  </si>
  <si>
    <t>ART B&amp;B</t>
  </si>
  <si>
    <t>via Nuova  155</t>
  </si>
  <si>
    <t>Mercatale</t>
  </si>
  <si>
    <t>www.artbb.onweb.it</t>
  </si>
  <si>
    <t>riminucci@gmail.com</t>
  </si>
  <si>
    <t>HOTEL ARCA</t>
  </si>
  <si>
    <t>via Circonvallazione 69</t>
  </si>
  <si>
    <t>www.hotelarca.it</t>
  </si>
  <si>
    <t>info@hotelarca.it</t>
  </si>
  <si>
    <t>AGRITURISMO CA' CECCHINO</t>
  </si>
  <si>
    <t>loc. Ca' Cecchino</t>
  </si>
  <si>
    <t>germana.perella@gmail.com</t>
  </si>
  <si>
    <t>AGRITURISMO CA' MAGGIO</t>
  </si>
  <si>
    <t>via Cà Maggio 1</t>
  </si>
  <si>
    <t>SASSOFELTRIO</t>
  </si>
  <si>
    <t>Mulino Renzini</t>
  </si>
  <si>
    <t>www.agriturismocamaggio.it</t>
  </si>
  <si>
    <t>info@agriturismocamaggio.it</t>
  </si>
  <si>
    <t>B&amp;B ROSE E MERLETTI</t>
  </si>
  <si>
    <t>via Risorgimento 39</t>
  </si>
  <si>
    <t>gabellini@live.it</t>
  </si>
  <si>
    <t>L'A CECCOLI</t>
  </si>
  <si>
    <t>località Cà Ceccoli 1</t>
  </si>
  <si>
    <t>località Cà Ceccoli</t>
  </si>
  <si>
    <t>www.laceccoli.com</t>
  </si>
  <si>
    <t>info@laceccoli.com</t>
  </si>
  <si>
    <t>B&amp;B LA SERRA DEL SASSO</t>
  </si>
  <si>
    <t>via a. battelli 8</t>
  </si>
  <si>
    <t>http://www.laserradelsasso.it</t>
  </si>
  <si>
    <t>odecca@email.it</t>
  </si>
  <si>
    <t>via Cà la Palma 2</t>
  </si>
  <si>
    <t>info@bbbettybike.it</t>
  </si>
  <si>
    <t>B&amp;B IL GELSOMINO</t>
  </si>
  <si>
    <t>corso Europa 25</t>
  </si>
  <si>
    <t>ilgelsomino25@alice.it</t>
  </si>
  <si>
    <t>ROMANTICO B&amp;B</t>
  </si>
  <si>
    <t>via Mazzini 3</t>
  </si>
  <si>
    <t>SERRA SANT'ABBONDIO</t>
  </si>
  <si>
    <t>www.romanticobeb.it</t>
  </si>
  <si>
    <t>vittorio.biancarosa@gmail.com</t>
  </si>
  <si>
    <t>CASADEI ERICA</t>
  </si>
  <si>
    <t>erica.casadei@virgilio.it</t>
  </si>
  <si>
    <t>via fonte avellana 7</t>
  </si>
  <si>
    <t>SERRA SANT' ABBONDIO</t>
  </si>
  <si>
    <t>www.agriturismolaloggia.it</t>
  </si>
  <si>
    <t>info@agriturismolaloggia.it</t>
  </si>
  <si>
    <t>AREA DI SOSTA DI SERRA SANT'ABBONDIO</t>
  </si>
  <si>
    <t>AGRITURISMO BELLAVISTA</t>
  </si>
  <si>
    <t>via Montevecchio 41</t>
  </si>
  <si>
    <t>www.ristorobellavista.it</t>
  </si>
  <si>
    <t>info@ristorobellavista.it</t>
  </si>
  <si>
    <t>B&amp;B LA CASA DI CENCIO</t>
  </si>
  <si>
    <t>corso Dante Alighieri 39</t>
  </si>
  <si>
    <t>vitdiam@tin.it</t>
  </si>
  <si>
    <t>B&amp;B VIA DEGLI ORTI</t>
  </si>
  <si>
    <t>via Petrarca 23</t>
  </si>
  <si>
    <t>sam.ilgobbo@alice.it</t>
  </si>
  <si>
    <t>B&amp;B VIA PRADELLA</t>
  </si>
  <si>
    <t>via Pradella 58/b</t>
  </si>
  <si>
    <t>B&amp;B IL POGGETTO di CARBONARI LUISA</t>
  </si>
  <si>
    <t>via Poggetto 41</t>
  </si>
  <si>
    <t>loc.Poggetto</t>
  </si>
  <si>
    <t>bebilpoggetto@libero.it</t>
  </si>
  <si>
    <t>CASA DI MI</t>
  </si>
  <si>
    <t>via della Fonte snc</t>
  </si>
  <si>
    <t>SERRUNGARINA</t>
  </si>
  <si>
    <t>info@casadimi.it</t>
  </si>
  <si>
    <t>CASA VACANZE</t>
  </si>
  <si>
    <t>piazza B. Serafini 7</t>
  </si>
  <si>
    <t>CASA LA CIVETTA E FALCO</t>
  </si>
  <si>
    <t>via Montebruciato 7</t>
  </si>
  <si>
    <t>www.ferien-in-italien-marken.de</t>
  </si>
  <si>
    <t>fewo@kauzundfalke.com</t>
  </si>
  <si>
    <t>B&amp;B DA GUSTIN</t>
  </si>
  <si>
    <t>via Castello 22</t>
  </si>
  <si>
    <t>www.dagustin.it/bed-and-breakfast-urbino</t>
  </si>
  <si>
    <t>info@dagustin.it</t>
  </si>
  <si>
    <t>B&amp;B BLANDIN FREDERIQUE</t>
  </si>
  <si>
    <t>via Monticelli 6</t>
  </si>
  <si>
    <t>frederique.blandin@alice.it</t>
  </si>
  <si>
    <t>IL NOCETO</t>
  </si>
  <si>
    <t>via Tomba 50</t>
  </si>
  <si>
    <t>www.il-noceto.it</t>
  </si>
  <si>
    <t>info@il-noceto.it</t>
  </si>
  <si>
    <t>CA' GINESTRA</t>
  </si>
  <si>
    <t>via Montebruciato 4</t>
  </si>
  <si>
    <t>www.marcheholiday.it</t>
  </si>
  <si>
    <t>gennari68@gmail.com</t>
  </si>
  <si>
    <t>VILLA OTTANI</t>
  </si>
  <si>
    <t>via Cartoceto 40</t>
  </si>
  <si>
    <t>villaottani@yahoo.it</t>
  </si>
  <si>
    <t>AGRITURISMO POZZUOLO</t>
  </si>
  <si>
    <t>via di Mezzo 31</t>
  </si>
  <si>
    <t>www.agriturismopozzuolo.com</t>
  </si>
  <si>
    <t>info@agriturismopozzuolo.com</t>
  </si>
  <si>
    <t>HOTEL FLAMINIO</t>
  </si>
  <si>
    <t>via Flaminia 12</t>
  </si>
  <si>
    <t>www.hotelflaminiotavernelle.com</t>
  </si>
  <si>
    <t>info@hotelflaminiotavernelle.com</t>
  </si>
  <si>
    <t>AGRITURISMO LA MERIDIANA di PURCARO ARIBERTO</t>
  </si>
  <si>
    <t>via Bargni  16</t>
  </si>
  <si>
    <t>www.agriturismolameridiana.com</t>
  </si>
  <si>
    <t>info@agriturismolameridiana.com</t>
  </si>
  <si>
    <t>LA MERIDIANA 2 - "PALAZZO" di PURCARO VALERIA</t>
  </si>
  <si>
    <t>via bargni 9</t>
  </si>
  <si>
    <t>AL MANDORLO</t>
  </si>
  <si>
    <t>via tomba 57</t>
  </si>
  <si>
    <t>CASA OLIVA</t>
  </si>
  <si>
    <t>via castello 19</t>
  </si>
  <si>
    <t>www.casaoliva.it</t>
  </si>
  <si>
    <t>casaoliva@casaoliva.it</t>
  </si>
  <si>
    <t>SYMPOSIUM RESORT</t>
  </si>
  <si>
    <t>Cartoceto 38/a</t>
  </si>
  <si>
    <t>www.symposium4stagioni.it</t>
  </si>
  <si>
    <t>cristina@symposium4stagioni.it</t>
  </si>
  <si>
    <t>IL POGGETTO</t>
  </si>
  <si>
    <t>c.so Vittorio Veneto 2</t>
  </si>
  <si>
    <t>TAVOLETO</t>
  </si>
  <si>
    <t>www.ilpoggetto.eu</t>
  </si>
  <si>
    <t>info@ilpoggetto.eu</t>
  </si>
  <si>
    <t>CASE VENTENA</t>
  </si>
  <si>
    <t>TORRICELLA  2</t>
  </si>
  <si>
    <t>www.caseventena.com</t>
  </si>
  <si>
    <t>info@caseventena.com</t>
  </si>
  <si>
    <t>B&amp;B ALBERTO HOUSE</t>
  </si>
  <si>
    <t>via giordano bruno 35</t>
  </si>
  <si>
    <t>celestinomagnani@libero.it</t>
  </si>
  <si>
    <t>LA ROSA DEI VENTI</t>
  </si>
  <si>
    <t>via Il Casino  1</t>
  </si>
  <si>
    <t>RIPAMASSANA</t>
  </si>
  <si>
    <t>www.larosadeiventiagriturismo.it</t>
  </si>
  <si>
    <t>rosa-deiventi@virgilio.it</t>
  </si>
  <si>
    <t>B&amp;B CASA FIORITA DI CAVALLI ROSANNA</t>
  </si>
  <si>
    <t>via giacomo matteotti 5</t>
  </si>
  <si>
    <t>www.casafioritabb.it</t>
  </si>
  <si>
    <t>info@casafioritabb.it</t>
  </si>
  <si>
    <t>B&amp;B LE BUMBARELLE</t>
  </si>
  <si>
    <t>via Cannelle 18</t>
  </si>
  <si>
    <t>www.lebumbarelle.it</t>
  </si>
  <si>
    <t>info@lebumbarelle.it</t>
  </si>
  <si>
    <t>RISTORANTE DA RENATA</t>
  </si>
  <si>
    <t>via Vittorio Veneto  20</t>
  </si>
  <si>
    <t>MARY AL TRAMONTO ROSSO</t>
  </si>
  <si>
    <t>via Pergolesi 2/B</t>
  </si>
  <si>
    <t>TAVULLIA</t>
  </si>
  <si>
    <t>PU</t>
  </si>
  <si>
    <t>maryaltramontorosso.jimdo.com</t>
  </si>
  <si>
    <t>alberto.bartolucci@adriatic.net</t>
  </si>
  <si>
    <t>B&amp;B CASA ALYSA</t>
  </si>
  <si>
    <t>via San Giovanni in M. 48/A</t>
  </si>
  <si>
    <t>bart.c@alice.it</t>
  </si>
  <si>
    <t>RENTAL ROOMS ANTONELLA di ANTONELLA SERAFINI</t>
  </si>
  <si>
    <t>via Balducci 5</t>
  </si>
  <si>
    <t>rentalroomsantonella@gmail.com</t>
  </si>
  <si>
    <t>B&amp;B NONNA VERA</t>
  </si>
  <si>
    <t>via Parrocchiale 42</t>
  </si>
  <si>
    <t>Belvedere Fogliense</t>
  </si>
  <si>
    <t>lucygiunta@hotmail.it</t>
  </si>
  <si>
    <t>LA TENUTA DEL GIGLIO</t>
  </si>
  <si>
    <t>strada Monteluro 11/m</t>
  </si>
  <si>
    <t>Monteluro</t>
  </si>
  <si>
    <t>www.tenutadelgiglio.com</t>
  </si>
  <si>
    <t>info@tenutadelgiglio.com</t>
  </si>
  <si>
    <t>AL CASTELLO</t>
  </si>
  <si>
    <t>via Cesare Battisti 32</t>
  </si>
  <si>
    <t>www.alcastello-tavullia.it</t>
  </si>
  <si>
    <t>zgiulia.castello@gmail.com</t>
  </si>
  <si>
    <t>LA CASA DEL TESORO</t>
  </si>
  <si>
    <t>strada del tesoro 12</t>
  </si>
  <si>
    <t>www.casadeltesoro.it</t>
  </si>
  <si>
    <t>casadeltesoro@gmail.com</t>
  </si>
  <si>
    <t>B&amp;B MARGHERITA</t>
  </si>
  <si>
    <t>Strada pirano 21</t>
  </si>
  <si>
    <t>www.bb-margherita.net</t>
  </si>
  <si>
    <t>info@bb-margherita.net</t>
  </si>
  <si>
    <t>VILLA CLAUDIA RESORT</t>
  </si>
  <si>
    <t>strada per San Giovanni in Marignano 107</t>
  </si>
  <si>
    <t>www.villaclaudiaresort.it</t>
  </si>
  <si>
    <t>info@villaclaudiaresort.it</t>
  </si>
  <si>
    <t>TARCISIO B&amp;B</t>
  </si>
  <si>
    <t>via I. Balducci 5</t>
  </si>
  <si>
    <t>www.tarcisiobb.com</t>
  </si>
  <si>
    <t>tarcisiobeb@gmail.com</t>
  </si>
  <si>
    <t>B&amp;B CASA MONTELURO</t>
  </si>
  <si>
    <t>Strada Friuli 18/20</t>
  </si>
  <si>
    <t>MONTELURO</t>
  </si>
  <si>
    <t>albertopompucci@virgilio.it</t>
  </si>
  <si>
    <t>B&amp;B IL GIARDINO</t>
  </si>
  <si>
    <t>strada picciano 21</t>
  </si>
  <si>
    <t>www.bedandbreakfastilgiardino.com</t>
  </si>
  <si>
    <t>info@bedandbreakfastilgiardino.com</t>
  </si>
  <si>
    <t>AGRITURISMO AGRIRIO</t>
  </si>
  <si>
    <t>Via Ofanto 8</t>
  </si>
  <si>
    <t>www.agririo.it</t>
  </si>
  <si>
    <t>agririo@libero.it</t>
  </si>
  <si>
    <t>RAGGIO DI LUCE</t>
  </si>
  <si>
    <t>strada Marrone 9</t>
  </si>
  <si>
    <t>www.raggiodiluce.info</t>
  </si>
  <si>
    <t>info@raggiodiluce.info</t>
  </si>
  <si>
    <t>VILLA ROSA di RADI CLAUDIA</t>
  </si>
  <si>
    <t>STRADA STROPPATO 18</t>
  </si>
  <si>
    <t>MONTELURO di TAVULLIA</t>
  </si>
  <si>
    <t>claudia@gierremarmi.it</t>
  </si>
  <si>
    <t>IL NIDO</t>
  </si>
  <si>
    <t>VIA PIRANO 45</t>
  </si>
  <si>
    <t>lorena.buscaglia@yahoo.it</t>
  </si>
  <si>
    <t>ANTICA FONTE</t>
  </si>
  <si>
    <t>Via Aldo Moro 106</t>
  </si>
  <si>
    <t>www.anticafontebnb.com</t>
  </si>
  <si>
    <t>lucianomarcantoni@libero.it</t>
  </si>
  <si>
    <t>MAURIZIO RADI</t>
  </si>
  <si>
    <t>strada Stroppato 18/b</t>
  </si>
  <si>
    <t>giorgi@koruspartners.it</t>
  </si>
  <si>
    <t>ULIVETO DEL TESORO</t>
  </si>
  <si>
    <t>STRADA DEL TESORO 10</t>
  </si>
  <si>
    <t>PIRANO</t>
  </si>
  <si>
    <t>giacomo.uguccioni@gmail.com</t>
  </si>
  <si>
    <t>IL BORGO</t>
  </si>
  <si>
    <t>via Cesare 1/b</t>
  </si>
  <si>
    <t>ww.ilborgotavullia.it</t>
  </si>
  <si>
    <t>sandroniambra@gmail.com</t>
  </si>
  <si>
    <t>TOPI MARIA</t>
  </si>
  <si>
    <t>URBANIA</t>
  </si>
  <si>
    <t>LOCALITA' LE CAPANNACCE</t>
  </si>
  <si>
    <t>B&amp;B MONTE SAN PIETRO</t>
  </si>
  <si>
    <t>Monte San Pietro</t>
  </si>
  <si>
    <t>www.bbmontesanpietro.it</t>
  </si>
  <si>
    <t>info@bbmontesanpietro.it</t>
  </si>
  <si>
    <t>B&amp;B CATERINA</t>
  </si>
  <si>
    <t>via Monte Berticchio 11</t>
  </si>
  <si>
    <t>taburchio@virgilio.it</t>
  </si>
  <si>
    <t>B&amp;B VI.VI'</t>
  </si>
  <si>
    <t>PONTE VECCHIO 5/C</t>
  </si>
  <si>
    <t>SCHEGGIOLA</t>
  </si>
  <si>
    <t>violinimassiomo@gmail.com</t>
  </si>
  <si>
    <t>VILLA ENRICO</t>
  </si>
  <si>
    <t>piero.alberto.carrara@outlook.it</t>
  </si>
  <si>
    <t>CAL TERRAZZANO</t>
  </si>
  <si>
    <t>via Fangacci 7</t>
  </si>
  <si>
    <t>stefano.alippi@gmail.com</t>
  </si>
  <si>
    <t>B&amp;B PICCOLO EDEN</t>
  </si>
  <si>
    <t>via Santa Maria in Triaria 10</t>
  </si>
  <si>
    <t>alvonimonica@gmail.com</t>
  </si>
  <si>
    <t>ISABELLE SARAH CORBETT</t>
  </si>
  <si>
    <t>via Santa Cecilia  30</t>
  </si>
  <si>
    <t>ir@isabelleriviere.it</t>
  </si>
  <si>
    <t>B&amp;B MULINO DELLA RICAVATA</t>
  </si>
  <si>
    <t>via Porta Celle  5</t>
  </si>
  <si>
    <t>MOLINO ARCAVATA</t>
  </si>
  <si>
    <t>www.mulinodellaricavata.com</t>
  </si>
  <si>
    <t>info@mulinodellaricavata.com</t>
  </si>
  <si>
    <t>COUNTRY HOUSE SANT'ANGIOLINO</t>
  </si>
  <si>
    <t>LOC. S. ERACLIANO 13</t>
  </si>
  <si>
    <t>LOC. SANT'ANGIOLINO</t>
  </si>
  <si>
    <t>www.santangiolino.it</t>
  </si>
  <si>
    <t>info@santangiolino.it</t>
  </si>
  <si>
    <t>B&amp;B FOX'S HILL</t>
  </si>
  <si>
    <t>localita' sant' andrea in serra d' ocre 1</t>
  </si>
  <si>
    <t>www.foxhill.it</t>
  </si>
  <si>
    <t>fox.elizabeth@libero.it</t>
  </si>
  <si>
    <t>B&amp;B CASA MINI DI FAGGI LUCIANO</t>
  </si>
  <si>
    <t>via f. ugolini 32</t>
  </si>
  <si>
    <t>http://www.casamini.it</t>
  </si>
  <si>
    <t>casamini@gmail.com</t>
  </si>
  <si>
    <t>CENTRO DI EDUCAZIONE AMBIENTALE - OSTELLO SAN MARTINO</t>
  </si>
  <si>
    <t>LOCALITA' SANTA MARIA IN CAMPOLUNGO 1</t>
  </si>
  <si>
    <t>LOC. SANTA MARIA IN CAMPOLONGO</t>
  </si>
  <si>
    <t>AGRITURISMO CASALE TICCHI</t>
  </si>
  <si>
    <t>piazza martiri della liberta' 1</t>
  </si>
  <si>
    <t>LA ROSA TEA</t>
  </si>
  <si>
    <t>localita' santa cecilia 18</t>
  </si>
  <si>
    <t>www.agriturismolarosatea.it</t>
  </si>
  <si>
    <t>info@agriturismolarosatea.it</t>
  </si>
  <si>
    <t>AGRITURISMO VAL PIETRO</t>
  </si>
  <si>
    <t>localita' san lorenzo in torre 21</t>
  </si>
  <si>
    <t>PARCO DUCALE</t>
  </si>
  <si>
    <t>PARCO - URBANIA</t>
  </si>
  <si>
    <t>www.ilparcoducale.it</t>
  </si>
  <si>
    <t>info@ilparcoducale.it</t>
  </si>
  <si>
    <t>AGRITURISMO ORSAIOLA</t>
  </si>
  <si>
    <t>localita' Orsaiola 36</t>
  </si>
  <si>
    <t>www.orsaiola.it</t>
  </si>
  <si>
    <t>agriturismoorsaiola@libero.it</t>
  </si>
  <si>
    <t>CANDIANACCIO</t>
  </si>
  <si>
    <t>via Candigliano 6</t>
  </si>
  <si>
    <t>S. VINCENZO IN CANDIGLIANO-CANDIANACCIO</t>
  </si>
  <si>
    <t>gjm.mochi@libero.it</t>
  </si>
  <si>
    <t>AGRITURISMO CA' SERRANTONIO - CASA FERRI</t>
  </si>
  <si>
    <t>piazza Martiri della Liberta' 1</t>
  </si>
  <si>
    <t>Cà Serrantonio</t>
  </si>
  <si>
    <t>AGRITURISMO LA CAPUTA</t>
  </si>
  <si>
    <t>localita' porta celle 23</t>
  </si>
  <si>
    <t>agriturlacaputa@virgilio.it</t>
  </si>
  <si>
    <t>CA' SERRANTONIO</t>
  </si>
  <si>
    <t>via candigliano 3</t>
  </si>
  <si>
    <t>San Vincenzo in Candigliano</t>
  </si>
  <si>
    <t>www.caserrantonio.com</t>
  </si>
  <si>
    <t>booking@caserrantonio.com</t>
  </si>
  <si>
    <t>AGRITURISMO S. ALESSANDRO</t>
  </si>
  <si>
    <t>localita' porta nuova 39</t>
  </si>
  <si>
    <t>www.sant-alessandro.com</t>
  </si>
  <si>
    <t>sant-alessandro@libero.it</t>
  </si>
  <si>
    <t>PIEVE DEL COLLE</t>
  </si>
  <si>
    <t>strada pieve del colle 1</t>
  </si>
  <si>
    <t>www.pievedelcolle.com</t>
  </si>
  <si>
    <t>info@pievedelcolle.com</t>
  </si>
  <si>
    <t>CA' BOSCARINI</t>
  </si>
  <si>
    <t>Via della Bastiola 7</t>
  </si>
  <si>
    <t>www.caboscarini.it</t>
  </si>
  <si>
    <t>info@caboscarini.it</t>
  </si>
  <si>
    <t>BRAMANTE</t>
  </si>
  <si>
    <t>via roma 92/94</t>
  </si>
  <si>
    <t>albergobramante@virgilio.it</t>
  </si>
  <si>
    <t>localita' santa maria del piano 107</t>
  </si>
  <si>
    <t>B&amp;B LUZI GRAZIELLA</t>
  </si>
  <si>
    <t>localita' san giorgio 19</t>
  </si>
  <si>
    <t>AREA DI SOSTA CAMPER COMUNALE</t>
  </si>
  <si>
    <t>viale Michelangelo 1</t>
  </si>
  <si>
    <t>piazzale delle corriere</t>
  </si>
  <si>
    <t>CA' FEDE COUNTRY HOUSE</t>
  </si>
  <si>
    <t>localita' orsaiola 14</t>
  </si>
  <si>
    <t>www.CaFedeCountryHouse.com</t>
  </si>
  <si>
    <t>graham@cafedecountryhouse.com</t>
  </si>
  <si>
    <t>LOC. BARCO DUCALE</t>
  </si>
  <si>
    <t>B&amp;B PAOLI ADAMO</t>
  </si>
  <si>
    <t>VIA S.PATERNIANO 7/A</t>
  </si>
  <si>
    <t>COUNTRY HOUSE ANGELO BLU</t>
  </si>
  <si>
    <t>Via Porta Parco 37</t>
  </si>
  <si>
    <t>www.countryhouseangeloblu.it</t>
  </si>
  <si>
    <t>info@countryhouseangeloblu.it</t>
  </si>
  <si>
    <t>B&amp;B CA' LACINA</t>
  </si>
  <si>
    <t>localita' orsaiola 37</t>
  </si>
  <si>
    <t>B&amp;B TOPI ANTONIO</t>
  </si>
  <si>
    <t>Cà Filippo</t>
  </si>
  <si>
    <t>topiantonio@virgilio.it</t>
  </si>
  <si>
    <t>LA TINTORIA</t>
  </si>
  <si>
    <t>via Porta Molino 9</t>
  </si>
  <si>
    <t>giuditta.bendelli@gmail.com</t>
  </si>
  <si>
    <t>B&amp;B BALDELLI DIANA</t>
  </si>
  <si>
    <t>via P. Bembo 15</t>
  </si>
  <si>
    <t>Monte Berticchio</t>
  </si>
  <si>
    <t>ago.palmitessa@gmail.com</t>
  </si>
  <si>
    <t>B&amp;B NONNA RINA</t>
  </si>
  <si>
    <t>via B. Tacchi 9</t>
  </si>
  <si>
    <t>ny75nina@libero.it</t>
  </si>
  <si>
    <t>B&amp;B PIPPINELLA</t>
  </si>
  <si>
    <t>via Metauro  12</t>
  </si>
  <si>
    <t>palini.italo@teletu.it</t>
  </si>
  <si>
    <t>B&amp;B CA' LASAGNO</t>
  </si>
  <si>
    <t>loc. Santa Maria in Campolungo 17</t>
  </si>
  <si>
    <t>loc. Santa Maria in Campolungo</t>
  </si>
  <si>
    <t>bnb.calasagno@gmail.com</t>
  </si>
  <si>
    <t>LA VALLE DIMENTICATA</t>
  </si>
  <si>
    <t>Loc. Santa Maria in Spinateci 26</t>
  </si>
  <si>
    <t>Cà Battaglino</t>
  </si>
  <si>
    <t>www.lavalledimenticata.it</t>
  </si>
  <si>
    <t>info@lavalledimenticata.it</t>
  </si>
  <si>
    <t>PESCHKE MARTIN MICHAEL ERNST</t>
  </si>
  <si>
    <t>strada provinciale Peglio San Donato 17</t>
  </si>
  <si>
    <t>www.capiero.it</t>
  </si>
  <si>
    <t>email.capiero@googlemail.com</t>
  </si>
  <si>
    <t>B&amp;B IL MONCHETTO</t>
  </si>
  <si>
    <t>via Monte Pallotta  31</t>
  </si>
  <si>
    <t>Cà Staccolo</t>
  </si>
  <si>
    <t>lauraquaresima@virgilio.it</t>
  </si>
  <si>
    <t>VILLA LAURA</t>
  </si>
  <si>
    <t>via E. Mattei 30</t>
  </si>
  <si>
    <t>www.vacanzeavillalaura.it</t>
  </si>
  <si>
    <t>vacanzevillalaura@gmail.com</t>
  </si>
  <si>
    <t>B&amp;B IL CASALE DEL DUCA</t>
  </si>
  <si>
    <t>strada provinciale Montefabbri 104</t>
  </si>
  <si>
    <t>Cal Duca</t>
  </si>
  <si>
    <t>www.ilcasaledelduca.it</t>
  </si>
  <si>
    <t>info@ilcasaledelduca.it</t>
  </si>
  <si>
    <t>DOMENICA B&amp;B</t>
  </si>
  <si>
    <t>via Don Luigi Sturzo 11</t>
  </si>
  <si>
    <t>loc. Canavaccio</t>
  </si>
  <si>
    <t>patrizia.diotallevi62@hotmail.com</t>
  </si>
  <si>
    <t>B&amp;B CA' FABBRO</t>
  </si>
  <si>
    <t>strada provinciale Pieve di Cagna 33/35</t>
  </si>
  <si>
    <t>mprossi1@virgilio.it</t>
  </si>
  <si>
    <t>B&amp;B SASSO FIORITO</t>
  </si>
  <si>
    <t>via Monte Pallotta 12</t>
  </si>
  <si>
    <t>loc. Sasso</t>
  </si>
  <si>
    <t>mauro.sisti@alice.it</t>
  </si>
  <si>
    <t>CA' LUPINO</t>
  </si>
  <si>
    <t>via Cà Bergamo 44</t>
  </si>
  <si>
    <t>www.calupino.it</t>
  </si>
  <si>
    <t>info@calupino.it</t>
  </si>
  <si>
    <t>B&amp;B A CASA MIA</t>
  </si>
  <si>
    <t>via Colonna 25</t>
  </si>
  <si>
    <t>loc. Trasanni</t>
  </si>
  <si>
    <t>tecla1111@yahoo.it</t>
  </si>
  <si>
    <t>B&amp;B AMPIAVISTA</t>
  </si>
  <si>
    <t>via Bramante 66/a</t>
  </si>
  <si>
    <t>ampiavista@libero.it</t>
  </si>
  <si>
    <t>B&amp;B CASA NELLA</t>
  </si>
  <si>
    <t>via dei Vasari 13</t>
  </si>
  <si>
    <t>susix1it@yahoo.it</t>
  </si>
  <si>
    <t>CA' AURORA</t>
  </si>
  <si>
    <t>via Nazionale Boccatrabaria ovest 144</t>
  </si>
  <si>
    <t>HOTEL MAMIANI</t>
  </si>
  <si>
    <t>via Errigo Bernini 6</t>
  </si>
  <si>
    <t>www.hotelmamiani.it</t>
  </si>
  <si>
    <t>info@hotelmamiani.it</t>
  </si>
  <si>
    <t>B&amp;B CA' IMELDE</t>
  </si>
  <si>
    <t>via Bocca Trabaria 123</t>
  </si>
  <si>
    <t>arcalavalle@gmail.com</t>
  </si>
  <si>
    <t>B&amp;B VILLA CINI</t>
  </si>
  <si>
    <t>via S.P.Montefabbri 17</t>
  </si>
  <si>
    <t>www.bbvillacini.com</t>
  </si>
  <si>
    <t>info@bbvillacini.com</t>
  </si>
  <si>
    <t>ACERO FRANCESCO E FILIPPO</t>
  </si>
  <si>
    <t>via Monte Polo 10</t>
  </si>
  <si>
    <t>m.g.acero@alice.it</t>
  </si>
  <si>
    <t>ACERO MARIA GRAZIA</t>
  </si>
  <si>
    <t>via Monte Polo 8</t>
  </si>
  <si>
    <t>B&amp;B LA NATURA</t>
  </si>
  <si>
    <t>via San Bartolo - loc. Rancitella 2</t>
  </si>
  <si>
    <t>loc. Rancitella - via San Bartolo</t>
  </si>
  <si>
    <t>www.bblanatura.it</t>
  </si>
  <si>
    <t>info@bblanatura.it</t>
  </si>
  <si>
    <t>B&amp;B LA CASETTA DEL BORGO</t>
  </si>
  <si>
    <t>via del Borgo Antico 5</t>
  </si>
  <si>
    <t>loc.Pantiere</t>
  </si>
  <si>
    <t>beblacasettadelborgo@gmail.com</t>
  </si>
  <si>
    <t>B&amp;B MARIA GIUSEPPINA MASTORE</t>
  </si>
  <si>
    <t>via San Marino 19</t>
  </si>
  <si>
    <t>pinamastore@gmail.com</t>
  </si>
  <si>
    <t>B&amp;B ALBORNOZ</t>
  </si>
  <si>
    <t>via dei Maceri 23</t>
  </si>
  <si>
    <t>www.bbalbornoz.com</t>
  </si>
  <si>
    <t>email@bbalbornoz.com</t>
  </si>
  <si>
    <t>CA' FERRO</t>
  </si>
  <si>
    <t>Bocca Trabaria Ovest  126</t>
  </si>
  <si>
    <t>Tufo</t>
  </si>
  <si>
    <t>agriturismocaferro.it</t>
  </si>
  <si>
    <t>fogliaa84@libero.it</t>
  </si>
  <si>
    <t>B&amp;B SANPOLO 1544</t>
  </si>
  <si>
    <t>via Aurelio Saffi 3</t>
  </si>
  <si>
    <t>www.sanpolo1544.it</t>
  </si>
  <si>
    <t>info@sanpolo1544.it</t>
  </si>
  <si>
    <t>B&amp;B IL GHETTO</t>
  </si>
  <si>
    <t>via Stretta 31</t>
  </si>
  <si>
    <t>www.ilghetto.net</t>
  </si>
  <si>
    <t>ilghettourbino@gmail.com</t>
  </si>
  <si>
    <t>ISTITUTO SANTA FELICITA</t>
  </si>
  <si>
    <t>via del fiancale 1</t>
  </si>
  <si>
    <t>PENSIONATO MARIA IMMACOLATA</t>
  </si>
  <si>
    <t>via giuseppe mazzini 36</t>
  </si>
  <si>
    <t>mpvurbino@tiscali.it</t>
  </si>
  <si>
    <t>ANNA BED &amp; BREAKFAST</t>
  </si>
  <si>
    <t>via nazionale 1</t>
  </si>
  <si>
    <t>www.anna-bed-breakfast.it</t>
  </si>
  <si>
    <t>ardu09@gmail.com</t>
  </si>
  <si>
    <t>B&amp;B VILLA GERHARDT</t>
  </si>
  <si>
    <t>localita' rancitella via san bartolo 23</t>
  </si>
  <si>
    <t>COUNTRY HOUSE AI CIPRESSI</t>
  </si>
  <si>
    <t>via mainardi 3</t>
  </si>
  <si>
    <t>http://www.cipressiurbino.it</t>
  </si>
  <si>
    <t>cipressiurbino@gmail.com</t>
  </si>
  <si>
    <t>B&amp;B DELLE DUCHESSE</t>
  </si>
  <si>
    <t>via Santa Margherita 22</t>
  </si>
  <si>
    <t>www.albergoraffaello.com</t>
  </si>
  <si>
    <t>info@albergoraffaello.com</t>
  </si>
  <si>
    <t>B&amp;B LA VALLE</t>
  </si>
  <si>
    <t>Via della valle 1</t>
  </si>
  <si>
    <t>www.bblavalle.com</t>
  </si>
  <si>
    <t>prenotazioni@bblavalle.com</t>
  </si>
  <si>
    <t>B&amp;B ACACIA</t>
  </si>
  <si>
    <t>via strada provinciale numero 9 feltresca 63</t>
  </si>
  <si>
    <t>www.acaciaurbino.it</t>
  </si>
  <si>
    <t>sdenti@libero.it</t>
  </si>
  <si>
    <t>B&amp;B ABACO - ALMA DOMUS</t>
  </si>
  <si>
    <t>via mainardi 1</t>
  </si>
  <si>
    <t>www.almadomus.it</t>
  </si>
  <si>
    <t>almadomus@gmail.com</t>
  </si>
  <si>
    <t>IL CASALE NEL TUFO</t>
  </si>
  <si>
    <t>localita' Rancitella 1</t>
  </si>
  <si>
    <t>faustofoglietta@interfree.it</t>
  </si>
  <si>
    <t>AGRITURISMO CA' MATTIOLI</t>
  </si>
  <si>
    <t>via Checiccarino  17</t>
  </si>
  <si>
    <t>loc. Montecalende</t>
  </si>
  <si>
    <t>m.romagnoli@cia.it</t>
  </si>
  <si>
    <t>B&amp;B URBINO</t>
  </si>
  <si>
    <t>via Fornace 1</t>
  </si>
  <si>
    <t>marosx@vodafone.it</t>
  </si>
  <si>
    <t>B&amp;B SAN FRANCESCO</t>
  </si>
  <si>
    <t>via raffaello 9</t>
  </si>
  <si>
    <t>www.bbsanfrancescourbino.com</t>
  </si>
  <si>
    <t>info@bbsanfrancescourbino.com</t>
  </si>
  <si>
    <t>viale antonio gramsci 22</t>
  </si>
  <si>
    <t>info@bbaquilone.com</t>
  </si>
  <si>
    <t>B&amp;B  At  VILLA SAN MARTINO</t>
  </si>
  <si>
    <t>via ca' le suore 12</t>
  </si>
  <si>
    <t>www.villasanmartino.net</t>
  </si>
  <si>
    <t>villasanctusmartini@libero.it</t>
  </si>
  <si>
    <t>B&amp;B AL NIDO</t>
  </si>
  <si>
    <t>Via strada provinciale montefabbri 32</t>
  </si>
  <si>
    <t>rettori@libero.it</t>
  </si>
  <si>
    <t>B&amp;B LE CALLE</t>
  </si>
  <si>
    <t>via Paolo Uccello 4</t>
  </si>
  <si>
    <t>LOCALITA' TRASANNI</t>
  </si>
  <si>
    <t>http://bblecalle.it</t>
  </si>
  <si>
    <t>le.calle@yahoo.it</t>
  </si>
  <si>
    <t>B&amp;B AI CIPRESSI</t>
  </si>
  <si>
    <t>via Mainardi 3</t>
  </si>
  <si>
    <t>www.cipressiurbino.it</t>
  </si>
  <si>
    <t>B&amp;B SANTA MARGHERITA</t>
  </si>
  <si>
    <t>via Santa Margherita 3</t>
  </si>
  <si>
    <t>B&amp;B LA SCUOLA</t>
  </si>
  <si>
    <t>via palazzo del piano 3</t>
  </si>
  <si>
    <t>www.bblascuola.it/</t>
  </si>
  <si>
    <t>AGRITURISMO CA'  VANZO</t>
  </si>
  <si>
    <t>via San Giacomo in Foglia 8</t>
  </si>
  <si>
    <t>info@urbinoresort.it</t>
  </si>
  <si>
    <t>B&amp;B VILLA BANCI di CIOPPI STEFANO</t>
  </si>
  <si>
    <t>via Rancitella  23</t>
  </si>
  <si>
    <t>www.villabanci.it</t>
  </si>
  <si>
    <t>villabanci@libero.it</t>
  </si>
  <si>
    <t>AL NOCE BIANCO</t>
  </si>
  <si>
    <t>CA' DONDO 44</t>
  </si>
  <si>
    <t>SAN DONATO</t>
  </si>
  <si>
    <t>www.alnocebianco.it</t>
  </si>
  <si>
    <t>cesane@libero.it</t>
  </si>
  <si>
    <t>B&amp;B CASTELBOCCIONE</t>
  </si>
  <si>
    <t>castelboccione 3</t>
  </si>
  <si>
    <t>TRASANNI</t>
  </si>
  <si>
    <t>B&amp;B Castelboccione</t>
  </si>
  <si>
    <t>bbcastelboccione@gmail.com</t>
  </si>
  <si>
    <t>B&amp;B VILLA VITTORIA</t>
  </si>
  <si>
    <t>S. P. DELLE CESANE  43</t>
  </si>
  <si>
    <t>cirella23@libero.it</t>
  </si>
  <si>
    <t>DOMUS URBINO PALAZZO ANGELONI</t>
  </si>
  <si>
    <t>DOMUS URBINO PIEVE SAN CASSIANO</t>
  </si>
  <si>
    <t>prenotazioni@domus-urbino.it</t>
  </si>
  <si>
    <t>B&amp;B CA' BARTOCCIO</t>
  </si>
  <si>
    <t>S.P. Montefabbri 109</t>
  </si>
  <si>
    <t>cabartoccio@tiscali.it</t>
  </si>
  <si>
    <t>CA' MIGNONE</t>
  </si>
  <si>
    <t>strada provinciale le Cesane 43</t>
  </si>
  <si>
    <t>agricamignone@libero.it</t>
  </si>
  <si>
    <t>B&amp;B GLI AURI</t>
  </si>
  <si>
    <t>via San Bernardino 51</t>
  </si>
  <si>
    <t>beb.gliauri@gmail.com</t>
  </si>
  <si>
    <t>B&amp;B LA BELLA URBINO</t>
  </si>
  <si>
    <t>circonvallazione giro dei debitori 12</t>
  </si>
  <si>
    <t>francescogtt@hotmail.it</t>
  </si>
  <si>
    <t>IL CORTEGIANO</t>
  </si>
  <si>
    <t>via federico veterani 1</t>
  </si>
  <si>
    <t>ilcortegiano@libero.it</t>
  </si>
  <si>
    <t>LA FORNACE</t>
  </si>
  <si>
    <t>via Bocca Trabaria Ovest 66/74</t>
  </si>
  <si>
    <t>cavalentino58@gmail.com - cavalentino@pec.it</t>
  </si>
  <si>
    <t>B&amp;B CAL TORELLO</t>
  </si>
  <si>
    <t>via strada provinciale montefabbri 87</t>
  </si>
  <si>
    <t>PALLINO</t>
  </si>
  <si>
    <t>http://www.caltorello.it</t>
  </si>
  <si>
    <t>caltorello@gmail.com</t>
  </si>
  <si>
    <t>B&amp;B L'ANGOLO FIORITO</t>
  </si>
  <si>
    <t>via strada provinciale pieve di cagna 21</t>
  </si>
  <si>
    <t>RANCITELLA</t>
  </si>
  <si>
    <t>bblangolofiorito@libero.it</t>
  </si>
  <si>
    <t>B&amp;B VILLA ANJANA</t>
  </si>
  <si>
    <t>via S. Eufemia 7/9</t>
  </si>
  <si>
    <t>S.EUFEMIA</t>
  </si>
  <si>
    <t>www.villaanjana.altervista.org</t>
  </si>
  <si>
    <t>villaanjana@libero.it</t>
  </si>
  <si>
    <t>POGGIO DEI PRUGNOLI di MARINA ARCANGELI</t>
  </si>
  <si>
    <t>loc.la Marcella Strada provinciale Tavoleto 31</t>
  </si>
  <si>
    <t>www.poggiodeiprugnoli.it</t>
  </si>
  <si>
    <t>info@poggiodeiprugnoli.it</t>
  </si>
  <si>
    <t>BONCONTE</t>
  </si>
  <si>
    <t>via delle mura 28</t>
  </si>
  <si>
    <t>www.viphotels.it</t>
  </si>
  <si>
    <t>bonconte@viphotels.it</t>
  </si>
  <si>
    <t>DEI DUCHI</t>
  </si>
  <si>
    <t>via giannetto dini 12</t>
  </si>
  <si>
    <t>deiduchi@viphotels.it</t>
  </si>
  <si>
    <t>ITALIA</t>
  </si>
  <si>
    <t>corso giuseppe garibaldi 32</t>
  </si>
  <si>
    <t>www.albergo-italia-urbino.it</t>
  </si>
  <si>
    <t>info@albergo-italia-urbino.it</t>
  </si>
  <si>
    <t>via urbinate 43</t>
  </si>
  <si>
    <t>www.la-meridiana.com</t>
  </si>
  <si>
    <t>meridiana@la-meridiana.com</t>
  </si>
  <si>
    <t>NENE'</t>
  </si>
  <si>
    <t>via biancalana- STRADA ROSSA  39</t>
  </si>
  <si>
    <t>www.neneurbino.com</t>
  </si>
  <si>
    <t>nene@neneurbino.com</t>
  </si>
  <si>
    <t>PIERO DELLA FRANCESCA</t>
  </si>
  <si>
    <t>viale federico comandino 53</t>
  </si>
  <si>
    <t>www.hotelpierodellafrancesca.net</t>
  </si>
  <si>
    <t>info@hotelpierodellafrancesca.net</t>
  </si>
  <si>
    <t>ALBERGO RAFFAELLO</t>
  </si>
  <si>
    <t>via Santa Margherita 38</t>
  </si>
  <si>
    <t>SAN DOMENICO</t>
  </si>
  <si>
    <t>piazza rinascimento 3</t>
  </si>
  <si>
    <t>sandomenico@viphotels.it</t>
  </si>
  <si>
    <t>SAN GIOVANNI</t>
  </si>
  <si>
    <t>via federico barocci 13</t>
  </si>
  <si>
    <t>www.albergosangiovanniurbino.it</t>
  </si>
  <si>
    <t>info@albergosangiovanniurbino.it</t>
  </si>
  <si>
    <t>TORTORINA</t>
  </si>
  <si>
    <t>via ottaviano petrucci 4</t>
  </si>
  <si>
    <t>www.hotel-tortorina.it</t>
  </si>
  <si>
    <t>info@hotel-tortorina.it</t>
  </si>
  <si>
    <t>LA VALLE DEL VENTO</t>
  </si>
  <si>
    <t>via monte olivo 12</t>
  </si>
  <si>
    <t>www.lavalledelvento.it</t>
  </si>
  <si>
    <t>info@lavalledelvento.it</t>
  </si>
  <si>
    <t>AGRITURISMO LE FONTANE</t>
  </si>
  <si>
    <t>via pallino 25</t>
  </si>
  <si>
    <t>www.lefontaneurbino.it</t>
  </si>
  <si>
    <t>lefontaneurbino@lefontaneurbino.it</t>
  </si>
  <si>
    <t>via Monte Tomba 11</t>
  </si>
  <si>
    <t>Scotaneto</t>
  </si>
  <si>
    <t>www.fossolupo.it</t>
  </si>
  <si>
    <t>d.garota@libero.it</t>
  </si>
  <si>
    <t>SANT'ANTONIO</t>
  </si>
  <si>
    <t>localita' gadana 55</t>
  </si>
  <si>
    <t>santantonio@simail.it</t>
  </si>
  <si>
    <t>CALBERTARO</t>
  </si>
  <si>
    <t>via sant' antonio 1</t>
  </si>
  <si>
    <t>calbertaro@libero.it</t>
  </si>
  <si>
    <t>via colonna 43</t>
  </si>
  <si>
    <t>www.agriturismodeiduchi.it</t>
  </si>
  <si>
    <t>agriturismodeiduchi@libero.it</t>
  </si>
  <si>
    <t>IL PALAZZO DI MINIERA</t>
  </si>
  <si>
    <t>via fornace 1</t>
  </si>
  <si>
    <t>renato.pulisca@gmail.com</t>
  </si>
  <si>
    <t>B&amp;B CA' LANTE</t>
  </si>
  <si>
    <t>via Ca' Lante 7</t>
  </si>
  <si>
    <t>tiegerie@yahoo.it</t>
  </si>
  <si>
    <t>VALDAPPIO</t>
  </si>
  <si>
    <t>via urbinate 198</t>
  </si>
  <si>
    <t>www.agriturismovaldappio.it</t>
  </si>
  <si>
    <t>t.broccoli@libero.it</t>
  </si>
  <si>
    <t>PIETRA ROSA</t>
  </si>
  <si>
    <t>via Monte Polo 132</t>
  </si>
  <si>
    <t>www.pietrarosa.it</t>
  </si>
  <si>
    <t>info@pietrarosa.it</t>
  </si>
  <si>
    <t>BELLAVISTA SAN EGIDIO</t>
  </si>
  <si>
    <t>via Torre Brombolona 85</t>
  </si>
  <si>
    <t>CA' ANDREANA</t>
  </si>
  <si>
    <t>via Ca' Andreana 2</t>
  </si>
  <si>
    <t>www.caandreana.it</t>
  </si>
  <si>
    <t>info@caandreana.it</t>
  </si>
  <si>
    <t>IL GRILLOTTO</t>
  </si>
  <si>
    <t>via del grillotto 8</t>
  </si>
  <si>
    <t>www.urbinoeprovincia.com/ilgrillotto.htm</t>
  </si>
  <si>
    <t>mary.silvestre@alice.it</t>
  </si>
  <si>
    <t>VAREA/LECOSTE</t>
  </si>
  <si>
    <t>via dell' annunziata 35</t>
  </si>
  <si>
    <t>info@varealecoste.it</t>
  </si>
  <si>
    <t>CA' LA PACINA</t>
  </si>
  <si>
    <t>via del Collegio 4</t>
  </si>
  <si>
    <t>www.turismo.marche.it</t>
  </si>
  <si>
    <t>calapacina@yahoo.it</t>
  </si>
  <si>
    <t>B&amp;B CA' IL GOVERNATORE</t>
  </si>
  <si>
    <t>via strada provinciale Montefabbri 30</t>
  </si>
  <si>
    <t>www.ilgovernatore.it</t>
  </si>
  <si>
    <t>info@ilgovernatore.it</t>
  </si>
  <si>
    <t>LA CELLETTA</t>
  </si>
  <si>
    <t>via serra di genga 7</t>
  </si>
  <si>
    <t>www.lacelletta.it</t>
  </si>
  <si>
    <t>info@lacelletta.it</t>
  </si>
  <si>
    <t>MOLINO DEL TRIFOGLIO</t>
  </si>
  <si>
    <t>localita' repuglie 17</t>
  </si>
  <si>
    <t>B&amp;B CASA DOLCE CASA</t>
  </si>
  <si>
    <t>via San Bernardino 55</t>
  </si>
  <si>
    <t>www.casadolcecasaurbino.com</t>
  </si>
  <si>
    <t>casadolcecasaurbino@gmail.com</t>
  </si>
  <si>
    <t>AGRITURISMO CA'  BERTO</t>
  </si>
  <si>
    <t>via ca' picillo 6</t>
  </si>
  <si>
    <t>ca.berto@tiscali.it</t>
  </si>
  <si>
    <t>IL BIROCCIO</t>
  </si>
  <si>
    <t>via Ca' Bernocco 2</t>
  </si>
  <si>
    <t>www.ilbiroccio.it</t>
  </si>
  <si>
    <t>info@ilbiroccio.it</t>
  </si>
  <si>
    <t>B&amp;B CA' MARCHIGIANO</t>
  </si>
  <si>
    <t>via monte avorio 3</t>
  </si>
  <si>
    <t>www.bbcamarchigiano.it</t>
  </si>
  <si>
    <t>info@bbcamarchigiano.it</t>
  </si>
  <si>
    <t>MONTEFELTRO</t>
  </si>
  <si>
    <t>via del forno 1</t>
  </si>
  <si>
    <t>www.bbmontefeltro.it</t>
  </si>
  <si>
    <t>info@bbmontefeltro.it</t>
  </si>
  <si>
    <t>BANCI RITA</t>
  </si>
  <si>
    <t>via nicolo' pellipario 49</t>
  </si>
  <si>
    <t>PAOLUCCI ENZO</t>
  </si>
  <si>
    <t>via Nicolo' Pellipario 8</t>
  </si>
  <si>
    <t>DAMIANI GUIDO</t>
  </si>
  <si>
    <t>circonvallazione Giro dei Debitori 27</t>
  </si>
  <si>
    <t>SCOPA ZEFFIRA</t>
  </si>
  <si>
    <t>via Raffaello 23</t>
  </si>
  <si>
    <t>PAROLO CARLA AURELIA</t>
  </si>
  <si>
    <t>via nicolo' pellipario 31</t>
  </si>
  <si>
    <t>BERNARDINI AUTO SRL</t>
  </si>
  <si>
    <t>via pompilio bruni 2</t>
  </si>
  <si>
    <t>info@bernardiniauto.it</t>
  </si>
  <si>
    <t>GRASSI ERMANNO</t>
  </si>
  <si>
    <t>PINETA</t>
  </si>
  <si>
    <t>via ca' mignone 5</t>
  </si>
  <si>
    <t>www.camping-pineta-urbino.it</t>
  </si>
  <si>
    <t>campeggiopinetaurbino@email.it</t>
  </si>
  <si>
    <t>VILLA MARSI 2.0</t>
  </si>
  <si>
    <t>via Ca' Loreto 1</t>
  </si>
  <si>
    <t>www.lacollinacherespira.com</t>
  </si>
  <si>
    <t>contento@lacollinacherespira.com</t>
  </si>
  <si>
    <t>B&amp;B CA' GIOVANNI COUNTRY RESORT</t>
  </si>
  <si>
    <t>via san lorenzo in solfinelli 1</t>
  </si>
  <si>
    <t>www.cagiovanni.eu</t>
  </si>
  <si>
    <t>cagiovanni@gmail.com</t>
  </si>
  <si>
    <t>COUNTRY HOUSE  "CA' VERNACCIA"</t>
  </si>
  <si>
    <t>via panoramica 10</t>
  </si>
  <si>
    <t>www.locandaurbino.com</t>
  </si>
  <si>
    <t>info@locandaurbino.com</t>
  </si>
  <si>
    <t>RAFFAELLO</t>
  </si>
  <si>
    <t>viale Polidoro Virgili 13</t>
  </si>
  <si>
    <t>www.bbraffaello.com</t>
  </si>
  <si>
    <t>bbraffaello@gmail.com</t>
  </si>
  <si>
    <t>B&amp;B IL CAMPO DEGLI OLIVI</t>
  </si>
  <si>
    <t>via colonna 1</t>
  </si>
  <si>
    <t>B&amp;B FONTESPINO</t>
  </si>
  <si>
    <t>via fontespino 9</t>
  </si>
  <si>
    <t>www.bbfontespino.it</t>
  </si>
  <si>
    <t>restavileuomo@libero.it</t>
  </si>
  <si>
    <t>B&amp;B AQUILONE</t>
  </si>
  <si>
    <t>viale Antonio Gramsci 22</t>
  </si>
  <si>
    <t>www.bbaquilone.com</t>
  </si>
  <si>
    <t>B&amp;B IL GIUGGIOLO</t>
  </si>
  <si>
    <t>via Cal Mazzante 14</t>
  </si>
  <si>
    <t>www.ilgiuggiolo.info</t>
  </si>
  <si>
    <t>info@ilgiuggiolo.info</t>
  </si>
  <si>
    <t>B&amp;B MINIERA - CASA ROSSA</t>
  </si>
  <si>
    <t>egisto@delbianco.de</t>
  </si>
  <si>
    <t>GIRFALCO country house B&amp;B</t>
  </si>
  <si>
    <t>via girfalco 26</t>
  </si>
  <si>
    <t>URBINO RESORT - SANTI GIACOMO E FILIPPO</t>
  </si>
  <si>
    <t>via san giacomo in foglia 9</t>
  </si>
  <si>
    <t>Loc. Pantiere</t>
  </si>
  <si>
    <t>www.tenutasantigiacomoefilippo.it</t>
  </si>
  <si>
    <t>LE CESANE</t>
  </si>
  <si>
    <t>via Ca' Adelia 7</t>
  </si>
  <si>
    <t>www.agriturismolecesane.it</t>
  </si>
  <si>
    <t>frauke.weissang@hotmail.com</t>
  </si>
  <si>
    <t>IL COLCELLO</t>
  </si>
  <si>
    <t>via Palazzo del Piano 10</t>
  </si>
  <si>
    <t>www.ilcolcello-urbino.com</t>
  </si>
  <si>
    <t>info@ilcolcello-urbino.com</t>
  </si>
  <si>
    <t>LA CORTE DELLA MINIERA</t>
  </si>
  <si>
    <t>via della miniera 10</t>
  </si>
  <si>
    <t>www.cortedellaminiera.it</t>
  </si>
  <si>
    <t>info@cortedellaminiera.it</t>
  </si>
  <si>
    <t>COLLEVERDE</t>
  </si>
  <si>
    <t>via bocca trabaria ovest 96</t>
  </si>
  <si>
    <t>www.colleverde-urbino.it</t>
  </si>
  <si>
    <t>info@colleverde-urbino.it</t>
  </si>
  <si>
    <t>MOLINO ALBANI</t>
  </si>
  <si>
    <t>via Montecalende 55</t>
  </si>
  <si>
    <t>v_lem@hotmail.it</t>
  </si>
  <si>
    <t>I COLORI DELLA MELA</t>
  </si>
  <si>
    <t>localita' montecalende 51</t>
  </si>
  <si>
    <t>sweetalegi@tiscali.it</t>
  </si>
  <si>
    <t>POZZO NUOVO</t>
  </si>
  <si>
    <t>via della miniera 6</t>
  </si>
  <si>
    <t>IL BORGO DELLA MINIERA</t>
  </si>
  <si>
    <t>via molino belluzzi 8</t>
  </si>
  <si>
    <t>info@urbinoincoming.it</t>
  </si>
  <si>
    <t>IL POSTO DELLE FATE</t>
  </si>
  <si>
    <t>via duchi del montefeltro 26</t>
  </si>
  <si>
    <t>www.postodellefate.it</t>
  </si>
  <si>
    <t>m.dubaldo@libero.it</t>
  </si>
  <si>
    <t>B&amp;B VILLA CA' BELLARIA</t>
  </si>
  <si>
    <t>VIA CA' I FRATI  5</t>
  </si>
  <si>
    <t>www.cabellaria.it</t>
  </si>
  <si>
    <t>info@cabellaria.it</t>
  </si>
  <si>
    <t>B&amp;B I CANONICI</t>
  </si>
  <si>
    <t>via ca' i canonici 9</t>
  </si>
  <si>
    <t>www.canonici.it</t>
  </si>
  <si>
    <t>info@canonici.it</t>
  </si>
  <si>
    <t>CA'  LAJALA</t>
  </si>
  <si>
    <t>Via S. Eufemia 5</t>
  </si>
  <si>
    <t>www.calajala.com</t>
  </si>
  <si>
    <t>calajala@gmail.com</t>
  </si>
  <si>
    <t>IL GIARDINO DEL MONSIGNORE</t>
  </si>
  <si>
    <t>via piave 7</t>
  </si>
  <si>
    <t>LE CERQUELLE</t>
  </si>
  <si>
    <t>via colonna 23</t>
  </si>
  <si>
    <t>www.lecerquelle.it</t>
  </si>
  <si>
    <t>antoniocipollini@interfree.it</t>
  </si>
  <si>
    <t>B&amp;B L' ALVEAPE</t>
  </si>
  <si>
    <t>via san marino 74</t>
  </si>
  <si>
    <t>alveapis@libero.it</t>
  </si>
  <si>
    <t>AGRITURISMO LA FATTORIA DEI CANTORI</t>
  </si>
  <si>
    <t>via S. Cristoforo 22</t>
  </si>
  <si>
    <t>lafattoriadeicantori@hotmail.it</t>
  </si>
  <si>
    <t>CA' LONDEI</t>
  </si>
  <si>
    <t>endrio.paganelli@gmail.com</t>
  </si>
  <si>
    <t>RESIDENCE CITTA' IDEALE</t>
  </si>
  <si>
    <t>strada provinciale 9 Feltresca 85</t>
  </si>
  <si>
    <t>info@residencecittaideale.it</t>
  </si>
  <si>
    <t>B&amp;B CASA MATILDE</t>
  </si>
  <si>
    <t>Via Bocca Trabaria 128</t>
  </si>
  <si>
    <t>Monte Soffio</t>
  </si>
  <si>
    <t>claudio.ovarelli@gmail.com</t>
  </si>
  <si>
    <t>B&amp;B LA POIANA</t>
  </si>
  <si>
    <t>PIEVE DI GAIFA  32</t>
  </si>
  <si>
    <t>LAVATICCI</t>
  </si>
  <si>
    <t>info@lapoianaurbino.it</t>
  </si>
  <si>
    <t>B&amp;B IL VICOLO</t>
  </si>
  <si>
    <t>VIA DELL'ORSO 21</t>
  </si>
  <si>
    <t>riccardofoglietta@rocketmail.com</t>
  </si>
  <si>
    <t>B&amp;B MONTE DELLE ALLODOLE</t>
  </si>
  <si>
    <t>via Ca' Bergamo 6</t>
  </si>
  <si>
    <t>magi.marisa@libero.it</t>
  </si>
  <si>
    <t>B&amp;B BELLAVISTA</t>
  </si>
  <si>
    <t>via delle Genghe 7</t>
  </si>
  <si>
    <t>Canavaccio</t>
  </si>
  <si>
    <t>pierpaoli.giuseppina@gmail.com</t>
  </si>
  <si>
    <t>B&amp;B LA PIANTATA</t>
  </si>
  <si>
    <t>BATTISTA SFORZA 7</t>
  </si>
  <si>
    <t>RESIDENZA AMBROGI LUXURY B&amp;B</t>
  </si>
  <si>
    <t>Piazzale Roma 1/A</t>
  </si>
  <si>
    <t>www.residenzambrogi.com</t>
  </si>
  <si>
    <t>info@residenzambrogi.com</t>
  </si>
  <si>
    <t>B&amp;B LA TORRETTA</t>
  </si>
  <si>
    <t>Via Veterani 22</t>
  </si>
  <si>
    <t>omar76r@libero.it</t>
  </si>
  <si>
    <t>B&amp;B VILLA PARADISO</t>
  </si>
  <si>
    <t>Via Cardinal Bessarione 2</t>
  </si>
  <si>
    <t>www.bbvillaparadiso.it</t>
  </si>
  <si>
    <t>info@bbvillaparadiso.it</t>
  </si>
  <si>
    <t>CASA DISMA URBINO</t>
  </si>
  <si>
    <t>VIA BOCCA TRABARIA SUD 37</t>
  </si>
  <si>
    <t>brunodeneb@gmail.com</t>
  </si>
  <si>
    <t>COUNTRY HOUSE CA' BRUNELLO di LORENZONI FILIPPO</t>
  </si>
  <si>
    <t>Via Cà Brunello 1</t>
  </si>
  <si>
    <t>cabrunello@libero.it</t>
  </si>
  <si>
    <t>CALMANCINO DELLE SELVE</t>
  </si>
  <si>
    <t>Via Cà Cerione 5</t>
  </si>
  <si>
    <t>calmancinodelleselve@gmail.com</t>
  </si>
  <si>
    <t>LIERA LAURA</t>
  </si>
  <si>
    <t>Via V. Veneto 11</t>
  </si>
  <si>
    <t>VALLEFOGLIA</t>
  </si>
  <si>
    <t>laura.liera@teletu.it</t>
  </si>
  <si>
    <t>VOLPONI GIANNI</t>
  </si>
  <si>
    <t>Via Del Forno 2</t>
  </si>
  <si>
    <t>giorgia7s@libero.it</t>
  </si>
  <si>
    <t>B&amp;B LA FORMICA di URTINI FRANCESCA</t>
  </si>
  <si>
    <t>VIA BOLOGNA 9</t>
  </si>
  <si>
    <t>MONTECCHIO DI VALLEFOGLIA</t>
  </si>
  <si>
    <t>laformicabb@gmail.com</t>
  </si>
  <si>
    <t>IACOMUCCI SILVANO</t>
  </si>
  <si>
    <t>via delle Mura 15</t>
  </si>
  <si>
    <t>Montefabbri</t>
  </si>
  <si>
    <t>silvano.iacomucci@gmail.it</t>
  </si>
  <si>
    <t>B&amp;B BIANCO NUVOLA</t>
  </si>
  <si>
    <t>via Belvedere 37</t>
  </si>
  <si>
    <t>MONTECCHIO</t>
  </si>
  <si>
    <t>www.bianconuvola.com</t>
  </si>
  <si>
    <t>olivi@aol.it</t>
  </si>
  <si>
    <t>B&amp;B DALLA BRUNA</t>
  </si>
  <si>
    <t>via R. Sanzio 1</t>
  </si>
  <si>
    <t>MORCIOLA</t>
  </si>
  <si>
    <t>beb dalla bruna</t>
  </si>
  <si>
    <t>coapautotrasporti@libero.it</t>
  </si>
  <si>
    <t>B&amp;B RAFFAELLO</t>
  </si>
  <si>
    <t>via Papa Giovanni XXIII 48</t>
  </si>
  <si>
    <t>Bottega  di  Colbordolo</t>
  </si>
  <si>
    <t>bb-raffaello.davide@libero.it</t>
  </si>
  <si>
    <t>B&amp;B CAMILLA</t>
  </si>
  <si>
    <t>via s. Michele 2</t>
  </si>
  <si>
    <t>montecchio</t>
  </si>
  <si>
    <t>bb.camilla@virgilio.it</t>
  </si>
  <si>
    <t>BLU ARENA HOTEL</t>
  </si>
  <si>
    <t>via Giacometti (centro Arcobaleno) 2</t>
  </si>
  <si>
    <t>www.bluarenahotel.it</t>
  </si>
  <si>
    <t>info@bluarenahotel.it</t>
  </si>
  <si>
    <t>B&amp;B EL KOT</t>
  </si>
  <si>
    <t>via del Baldo 8</t>
  </si>
  <si>
    <t>loc. Montefabbri</t>
  </si>
  <si>
    <t>www.elkot.it</t>
  </si>
  <si>
    <t>marcolino.66@hotmail.it</t>
  </si>
  <si>
    <t>B&amp;B LA PINETA</t>
  </si>
  <si>
    <t>via Forquini 4</t>
  </si>
  <si>
    <t>loc.Colbordolo</t>
  </si>
  <si>
    <t>www.lapineta-bb.it</t>
  </si>
  <si>
    <t>bbla.pineta@alice.it</t>
  </si>
  <si>
    <t>DUCCIO DUCCI</t>
  </si>
  <si>
    <t>via Canarecchia 39</t>
  </si>
  <si>
    <t>duccioducci@hotmail.com</t>
  </si>
  <si>
    <t>LA CASA DI GIOVANNA</t>
  </si>
  <si>
    <t>Castello di Montefabbri</t>
  </si>
  <si>
    <t>silvano.iacomucci@gmail.com</t>
  </si>
  <si>
    <t>LA FAZENDA</t>
  </si>
  <si>
    <t>via Nazionale Urbinate, Cappone 201</t>
  </si>
  <si>
    <t>loc. Colbordolo</t>
  </si>
  <si>
    <t>www.lanuovafazenda.it</t>
  </si>
  <si>
    <t>claudiofalghera@tiscali.it</t>
  </si>
  <si>
    <t>LOCANDA MONTELIPPO</t>
  </si>
  <si>
    <t>via Canarecchia 31</t>
  </si>
  <si>
    <t>info@montelippo.it</t>
  </si>
  <si>
    <t>www.montelippo.it</t>
  </si>
  <si>
    <t>VILLAGGIO TROPICANA</t>
  </si>
  <si>
    <t>via Nazionale 1</t>
  </si>
  <si>
    <t>COLBORDOLO</t>
  </si>
  <si>
    <t>B&amp;B LA CAPINERA</t>
  </si>
  <si>
    <t>contrada Noci 7</t>
  </si>
  <si>
    <t>AGUGLIANO</t>
  </si>
  <si>
    <t>frazione Castel d'Emilio</t>
  </si>
  <si>
    <t>www.laterradeicastelli.it/dormire/bbla-capinera</t>
  </si>
  <si>
    <t>robertacapinera@hotmail.it</t>
  </si>
  <si>
    <t>B&amp;B LA CILICCHIA</t>
  </si>
  <si>
    <t>c.da Colonna 8</t>
  </si>
  <si>
    <t>www.lacilicchia.it</t>
  </si>
  <si>
    <t>info@lacilicchia.it</t>
  </si>
  <si>
    <t>B&amp;B SOLE E LUNA</t>
  </si>
  <si>
    <t>c.da Colonna 12</t>
  </si>
  <si>
    <t>www.solelunabb.altervista.org/</t>
  </si>
  <si>
    <t>bb_soleluna@yahoo.it</t>
  </si>
  <si>
    <t>AL BELVEDERE</t>
  </si>
  <si>
    <t>piazza Vittorio Emanuele II 3</t>
  </si>
  <si>
    <t>www.hotelalbelvedere.it</t>
  </si>
  <si>
    <t>info@hotelalbelvedere.it</t>
  </si>
  <si>
    <t>COUNTRY HOUSE LA CILICCHIA DI VESSELIZZA CHIARA</t>
  </si>
  <si>
    <t>via Contrada Colonne 8</t>
  </si>
  <si>
    <t>vesselizzachiara@netoip.com</t>
  </si>
  <si>
    <t>MARIA LUISA SGALLA</t>
  </si>
  <si>
    <t>via Ferrucci 8</t>
  </si>
  <si>
    <t>odontosos@yahoo.it</t>
  </si>
  <si>
    <t>BATTISTONI STEFANIA</t>
  </si>
  <si>
    <t>via Flaminia  396</t>
  </si>
  <si>
    <t>stefifausto@vodafone.it</t>
  </si>
  <si>
    <t>B&amp;B CIAO ANCONA</t>
  </si>
  <si>
    <t>via Brodolini 12</t>
  </si>
  <si>
    <t>RICCI FAUSTO</t>
  </si>
  <si>
    <t>via Flaminia 396</t>
  </si>
  <si>
    <t>LA CAPANNINA</t>
  </si>
  <si>
    <t>frazione Poggio 1</t>
  </si>
  <si>
    <t>www.lacapannina-portonovo.com</t>
  </si>
  <si>
    <t>info@lacapanninadiportonovo.it</t>
  </si>
  <si>
    <t>L'ANTIGO GRANARO di CHEREQUEFOSSE BARSACQ HELENE</t>
  </si>
  <si>
    <t>contrada San Luigi 108</t>
  </si>
  <si>
    <t>frazione Gallignano</t>
  </si>
  <si>
    <t>www.camereantigogranaro.com</t>
  </si>
  <si>
    <t>helene.cb@tiscali.it</t>
  </si>
  <si>
    <t>SALATI VIVIANA</t>
  </si>
  <si>
    <t>via Del Castellano 42</t>
  </si>
  <si>
    <t>HOTEL SEEPORT</t>
  </si>
  <si>
    <t>via Rupi di XXIX settembre 12</t>
  </si>
  <si>
    <t>www.seeporthotel.com</t>
  </si>
  <si>
    <t>info@seeporthotel.com</t>
  </si>
  <si>
    <t>B&amp;B GLORIA</t>
  </si>
  <si>
    <t>via Ruggeri  43</t>
  </si>
  <si>
    <t>mauriz65@tiscali.it</t>
  </si>
  <si>
    <t>B&amp;B PUNTO E A CAPO</t>
  </si>
  <si>
    <t>via Maggini 130</t>
  </si>
  <si>
    <t>puntoeacapobb@hotmail.com</t>
  </si>
  <si>
    <t>RESIDENCE ANCONA</t>
  </si>
  <si>
    <t>lungomare Vanvitelli 6</t>
  </si>
  <si>
    <t>www.residenceancona.it</t>
  </si>
  <si>
    <t>palace.ancona@libero.it</t>
  </si>
  <si>
    <t>via De Dominicis 30</t>
  </si>
  <si>
    <t>http://www.ulivibb.it</t>
  </si>
  <si>
    <t>info@ulivibb.it</t>
  </si>
  <si>
    <t>B&amp;B SHABBY CHIC</t>
  </si>
  <si>
    <t>via Sappanico 112</t>
  </si>
  <si>
    <t>robertapiccia@tiscali.it</t>
  </si>
  <si>
    <t>AFFITTACAMERE TORRESI</t>
  </si>
  <si>
    <t>via Galilei 6</t>
  </si>
  <si>
    <t>affittacamere.torresi@gmail.com</t>
  </si>
  <si>
    <t>B&amp;B BELLO COME IL SOLE</t>
  </si>
  <si>
    <t>via Montesicuro 200</t>
  </si>
  <si>
    <t>marina.pietroni@gmail.com</t>
  </si>
  <si>
    <t>B&amp;B LA PIRACANTA</t>
  </si>
  <si>
    <t>VIA TOGLIATTI 110</t>
  </si>
  <si>
    <t>m2val1960@gmail.com</t>
  </si>
  <si>
    <t>FONTE DEL CONERO</t>
  </si>
  <si>
    <t>fraz. Poggio 107/a</t>
  </si>
  <si>
    <t>fontedelconero@yahoo.it</t>
  </si>
  <si>
    <t>RENATA PAOLINI</t>
  </si>
  <si>
    <t>via Montacuto 43</t>
  </si>
  <si>
    <t>paolinirenata@gmail.com</t>
  </si>
  <si>
    <t>DIEGO STAFFOLANI</t>
  </si>
  <si>
    <t>via Montacuto 91/b</t>
  </si>
  <si>
    <t>staffolani.diego@gmail.com</t>
  </si>
  <si>
    <t>B&amp;B VALENTINA</t>
  </si>
  <si>
    <t>VIA APPENNINI 46/D</t>
  </si>
  <si>
    <t>maxgradara@libero.it</t>
  </si>
  <si>
    <t>MIRCO MANCINELLI</t>
  </si>
  <si>
    <t>via Lamaticci 5</t>
  </si>
  <si>
    <t>mircomancinelli@libero.it</t>
  </si>
  <si>
    <t>B&amp;B SPECIAL MARCHE HOLIDAYS</t>
  </si>
  <si>
    <t>via Barilari 21</t>
  </si>
  <si>
    <t>marco.sartini.75@gmail.com</t>
  </si>
  <si>
    <t>STRADA DELLE FONTANELLE  5</t>
  </si>
  <si>
    <t>lefontanelle2015@gmail.com</t>
  </si>
  <si>
    <t>VENTICELLO DEL CONERO</t>
  </si>
  <si>
    <t>VARANO  219</t>
  </si>
  <si>
    <t>ANGELI DI VARANO</t>
  </si>
  <si>
    <t>az.agr.nisi@alice.it</t>
  </si>
  <si>
    <t>B&amp;B LA CIUETTA</t>
  </si>
  <si>
    <t>STRADA VECCHIA DI PIETRALACROCE 46/A</t>
  </si>
  <si>
    <t>andreacaimmi@libero.it</t>
  </si>
  <si>
    <t>HOTEL DELLA VITTORIA</t>
  </si>
  <si>
    <t>via Fabio Filzi 2</t>
  </si>
  <si>
    <t>www.hoteldellavittoria.com</t>
  </si>
  <si>
    <t>info@hoteldellavittoria.com</t>
  </si>
  <si>
    <t>B&amp;B LA PERSIANA</t>
  </si>
  <si>
    <t>VIA SENIGALLIA 14</t>
  </si>
  <si>
    <t>lapersiana2016@gmail.com</t>
  </si>
  <si>
    <t>AFFITTACAMERE SIROLO</t>
  </si>
  <si>
    <t>Via Galilei 6</t>
  </si>
  <si>
    <t>affittacamere.sirolo@gmail.com</t>
  </si>
  <si>
    <t>SIGNORINI SILVIA</t>
  </si>
  <si>
    <t>Via Matteotti 77</t>
  </si>
  <si>
    <t>philosophycasa@legalmail.it</t>
  </si>
  <si>
    <t>AFFITTACAMERE DEL VIAGGIATORE</t>
  </si>
  <si>
    <t>Via Giordano Bruno 4</t>
  </si>
  <si>
    <t>info@affittacameredelviaggiatore.it</t>
  </si>
  <si>
    <t>B&amp;B AMENDOLA</t>
  </si>
  <si>
    <t>Corso Amendola 6</t>
  </si>
  <si>
    <t>amendolabeb@yahoo.com</t>
  </si>
  <si>
    <t>CAMERA CON VISTA</t>
  </si>
  <si>
    <t>VIA CIALDINI 5</t>
  </si>
  <si>
    <t>cameraconvista.ancona@gmail.com</t>
  </si>
  <si>
    <t>CASAMASSIMA FRANCO</t>
  </si>
  <si>
    <t>Via S. Stefano 34</t>
  </si>
  <si>
    <t>LA TANA DEL NANO</t>
  </si>
  <si>
    <t>Via Ragusa 8</t>
  </si>
  <si>
    <t>popi69@libero.it</t>
  </si>
  <si>
    <t>AFFITTACAMERE LA STANZA DI FRANCESCA</t>
  </si>
  <si>
    <t>Via A. Tiraboschi 5/A</t>
  </si>
  <si>
    <t>depalmacasa@gmail.com</t>
  </si>
  <si>
    <t>ALLE PORTE DELLA CITTA'</t>
  </si>
  <si>
    <t>Via Montedago 37</t>
  </si>
  <si>
    <t>carlotta.salvini@alice.it</t>
  </si>
  <si>
    <t>4 PINI</t>
  </si>
  <si>
    <t>Via della Madonnetta 10/A</t>
  </si>
  <si>
    <t>http://www.4pini.it</t>
  </si>
  <si>
    <t>info@4pini.it</t>
  </si>
  <si>
    <t>B&amp;B PONTEMARE</t>
  </si>
  <si>
    <t>Via Bignamini 23</t>
  </si>
  <si>
    <t>COLLEMARINO</t>
  </si>
  <si>
    <t>bbpontemare@gmail.com</t>
  </si>
  <si>
    <t>G. &amp; D. APPARTAMENTO AD USO TURISTICO</t>
  </si>
  <si>
    <t>Via Vittorio Veneto 26</t>
  </si>
  <si>
    <t>miccio2009@libero.it</t>
  </si>
  <si>
    <t>B&amp;B CASTRUM PODII</t>
  </si>
  <si>
    <t>Via Poggio 17</t>
  </si>
  <si>
    <t>POGGIO</t>
  </si>
  <si>
    <t>castrum.podii@yahoo.it</t>
  </si>
  <si>
    <t>RAYO DE SOL</t>
  </si>
  <si>
    <t>Via Pietro Ranieri 22/D</t>
  </si>
  <si>
    <t>guaba.teresa@libero.it</t>
  </si>
  <si>
    <t>CASA DEL DARDA</t>
  </si>
  <si>
    <t>info@darda.it</t>
  </si>
  <si>
    <t>VICI FABRIZIO</t>
  </si>
  <si>
    <t>Via Isonzo 14</t>
  </si>
  <si>
    <t>fabrizio69.fv@gmail.com</t>
  </si>
  <si>
    <t>B&amp;B VISTAZZURRA</t>
  </si>
  <si>
    <t>Via Tronto 59</t>
  </si>
  <si>
    <t>www.vistazzurra.it</t>
  </si>
  <si>
    <t>info@vistazzurra.it</t>
  </si>
  <si>
    <t>AFFITTACAMERE IL GUASCO</t>
  </si>
  <si>
    <t>Via San Pietro 3</t>
  </si>
  <si>
    <t>info@serpilli.com</t>
  </si>
  <si>
    <t>GRAND HOTEL PASSETTO</t>
  </si>
  <si>
    <t>via Paolo Thaon de Revel 1</t>
  </si>
  <si>
    <t>www.hotelpassetto.it</t>
  </si>
  <si>
    <t>info@hotelpassetto.it</t>
  </si>
  <si>
    <t>MILANO</t>
  </si>
  <si>
    <t>via Montebello 1/a</t>
  </si>
  <si>
    <t>info@hotelmilano-hm.it</t>
  </si>
  <si>
    <t>DORICO</t>
  </si>
  <si>
    <t>via Flaminia 8</t>
  </si>
  <si>
    <t>www.albergodorico.com</t>
  </si>
  <si>
    <t>hoteldorico@gmail.com</t>
  </si>
  <si>
    <t>B&amp;B LA CASA DI LICIA di BUGLIONI ANNA PAOLA</t>
  </si>
  <si>
    <t>frazione Montesicuro 198</t>
  </si>
  <si>
    <t>bb@lacasadilicia.it</t>
  </si>
  <si>
    <t>EMILIA</t>
  </si>
  <si>
    <t>PORTONOVO</t>
  </si>
  <si>
    <t>www.hotelemilia.com</t>
  </si>
  <si>
    <t>info@hotelemilia.com</t>
  </si>
  <si>
    <t>INTERNAZIONALE</t>
  </si>
  <si>
    <t>via Portonovo 148</t>
  </si>
  <si>
    <t>Baia di Portonovo</t>
  </si>
  <si>
    <t>www.hotel-internazionale.com</t>
  </si>
  <si>
    <t>info@hotel-internazionale.com</t>
  </si>
  <si>
    <t>FORTUNA</t>
  </si>
  <si>
    <t>piazza Carlo &amp; Nello Rosselli 15</t>
  </si>
  <si>
    <t>www.hotelfortuna.it</t>
  </si>
  <si>
    <t>info@hotelfortuna.it</t>
  </si>
  <si>
    <t>piazza Carlo e Nello Rosselli 9</t>
  </si>
  <si>
    <t>www.albergoitaliaancona.com</t>
  </si>
  <si>
    <t>hotel-italia@libero.it</t>
  </si>
  <si>
    <t>HOTEL DELLA ROSA</t>
  </si>
  <si>
    <t>piazza Carlo e Nello Rosselli 3</t>
  </si>
  <si>
    <t>www.hoteldellarosa.it</t>
  </si>
  <si>
    <t>info@hoteldellarosa.it</t>
  </si>
  <si>
    <t>HOTEL CITY</t>
  </si>
  <si>
    <t>via Giacomo Matteotti 112</t>
  </si>
  <si>
    <t>www.hotelcityancona.it</t>
  </si>
  <si>
    <t>info@hotelcityancona.it</t>
  </si>
  <si>
    <t>NH ANCONA</t>
  </si>
  <si>
    <t>via Rupi di via XXIX Settembre 14</t>
  </si>
  <si>
    <t>www.nh-hotels.it</t>
  </si>
  <si>
    <t>nhancona@nh-hotels.com</t>
  </si>
  <si>
    <t>GINO</t>
  </si>
  <si>
    <t>via Flaminia 4</t>
  </si>
  <si>
    <t>hotel.gino@tiscalinet.it</t>
  </si>
  <si>
    <t>FORTINO NAPOLEONICO</t>
  </si>
  <si>
    <t>frazione Poggio 166</t>
  </si>
  <si>
    <t>baia di Portonovo</t>
  </si>
  <si>
    <t>www.hotelfortino.it</t>
  </si>
  <si>
    <t>info@hotelfortino.it</t>
  </si>
  <si>
    <t>EXCELSIOR LA FONTE</t>
  </si>
  <si>
    <t>frazione Poggio 160</t>
  </si>
  <si>
    <t>www.excelsiorlafonte.it</t>
  </si>
  <si>
    <t>info@excelsiorlafonte.it</t>
  </si>
  <si>
    <t>IL MANDORLO</t>
  </si>
  <si>
    <t>frazione varano 184</t>
  </si>
  <si>
    <t>www.agriturismoilmandorlo.it</t>
  </si>
  <si>
    <t>alfredo.frittelli@alice.it</t>
  </si>
  <si>
    <t>RESIDENCE JUNIOR</t>
  </si>
  <si>
    <t>via Torrioni 5</t>
  </si>
  <si>
    <t>www.residencedegliaranci.com</t>
  </si>
  <si>
    <t>info@residencedegliaranci.com</t>
  </si>
  <si>
    <t>RESIDENCE DEGLI ARANCI</t>
  </si>
  <si>
    <t>via degli Aranci 1</t>
  </si>
  <si>
    <t>RESIDENCE EXECUTIVE</t>
  </si>
  <si>
    <t>piazzale della Liberta' 9</t>
  </si>
  <si>
    <t>www.executive-residence.it</t>
  </si>
  <si>
    <t>info@executive-residence.it</t>
  </si>
  <si>
    <t>PENSIONATO UNIVERSITARIO DON BOSCO</t>
  </si>
  <si>
    <t>corso carlo alberto 77</t>
  </si>
  <si>
    <t>pasquale.orlandi@salesianiadriatica.it</t>
  </si>
  <si>
    <t>OSTELLO PER LA GIOVENTU' ANCONA</t>
  </si>
  <si>
    <t>via Lamaticci 7</t>
  </si>
  <si>
    <t xml:space="preserve"> www.ostelloancona.it</t>
  </si>
  <si>
    <t>ancona@aighostels.com</t>
  </si>
  <si>
    <t>via Colle Ameno 5</t>
  </si>
  <si>
    <t>www.domusstellamaris.it</t>
  </si>
  <si>
    <t>info@domusstellamaris.it</t>
  </si>
  <si>
    <t>CRISTO RE</t>
  </si>
  <si>
    <t>via Isonzo 194/A</t>
  </si>
  <si>
    <t>suorefrancescane.an@libero.it</t>
  </si>
  <si>
    <t>LA CARPINELLA</t>
  </si>
  <si>
    <t>frazione Poggio 158</t>
  </si>
  <si>
    <t>www.lacarpinella.it</t>
  </si>
  <si>
    <t>info@lacarpinella.it; piergi67@yahoo.it</t>
  </si>
  <si>
    <t>SIMONETTI LEONDINA</t>
  </si>
  <si>
    <t>via Guglielmo Marconi 159</t>
  </si>
  <si>
    <t>via Flaminia 258</t>
  </si>
  <si>
    <t>TONTI ELSA</t>
  </si>
  <si>
    <t>corso giovanni amendola 9</t>
  </si>
  <si>
    <t>hondasuhonda@libero.it</t>
  </si>
  <si>
    <t>B&amp;B COLLE LAURO</t>
  </si>
  <si>
    <t>frazione massignano 110</t>
  </si>
  <si>
    <t>www.collelauro.com</t>
  </si>
  <si>
    <t>info@collelauro.com</t>
  </si>
  <si>
    <t>AZIENDA AGRITURISTICA RUSTICO DEL CONERO</t>
  </si>
  <si>
    <t>frazione Varano 199</t>
  </si>
  <si>
    <t>www.rusticodelconero.it</t>
  </si>
  <si>
    <t>info@rusticodelconero.it</t>
  </si>
  <si>
    <t>LA GIUGGIOLA</t>
  </si>
  <si>
    <t>frazione varano 210</t>
  </si>
  <si>
    <t>VARANO</t>
  </si>
  <si>
    <t>www.lagiuggiola.it</t>
  </si>
  <si>
    <t>giuggiola@lagiuggiola.it</t>
  </si>
  <si>
    <t>BENADDUCI E TAGLIARINI</t>
  </si>
  <si>
    <t>frazione poggio 127</t>
  </si>
  <si>
    <t>www.agriturismoconero.it</t>
  </si>
  <si>
    <t>azbeta@tin.it</t>
  </si>
  <si>
    <t>IL CORBEZZOLO</t>
  </si>
  <si>
    <t>frazione Massignano 124</t>
  </si>
  <si>
    <t>MASSIGNANO</t>
  </si>
  <si>
    <t>ilcorbezzolo@alice.it</t>
  </si>
  <si>
    <t>ROSSO CONERO</t>
  </si>
  <si>
    <t>frazione varano 147</t>
  </si>
  <si>
    <t>info@fattorialucesole.it</t>
  </si>
  <si>
    <t>ACCIPICCHIA</t>
  </si>
  <si>
    <t>contrada campana  146</t>
  </si>
  <si>
    <t>collina di PORTONOVO</t>
  </si>
  <si>
    <t>www.cantinapolenta.it</t>
  </si>
  <si>
    <t>info@cantinapolenta.it</t>
  </si>
  <si>
    <t>'OTELLO' di MORENA SCANSANI</t>
  </si>
  <si>
    <t>piazza evangelista torricelli 19 19</t>
  </si>
  <si>
    <t>PALOMBINA NUOVA</t>
  </si>
  <si>
    <t>mauro.bottone@fastwebnet.it</t>
  </si>
  <si>
    <t>stabilimento.otello@gmail.com</t>
  </si>
  <si>
    <t>ROMANO</t>
  </si>
  <si>
    <t>via flaminia 1 1</t>
  </si>
  <si>
    <t>stabilimentoromano@palombinabeach.it</t>
  </si>
  <si>
    <t>TROPICAL</t>
  </si>
  <si>
    <t>Spiaggia di Palombina Nuova An 1 1</t>
  </si>
  <si>
    <t>Ancona</t>
  </si>
  <si>
    <t>tropicalbeach@tiscali.it</t>
  </si>
  <si>
    <t>ALBINA</t>
  </si>
  <si>
    <t>palombina nuova</t>
  </si>
  <si>
    <t>stabilimentoalbina@libero.it</t>
  </si>
  <si>
    <t>DELFINA</t>
  </si>
  <si>
    <t>via Flaminia SNC</t>
  </si>
  <si>
    <t>Palombina nuova</t>
  </si>
  <si>
    <t>ced@elcodata.it</t>
  </si>
  <si>
    <t>Stabilimento da Emilia di Edoardo Rubini</t>
  </si>
  <si>
    <t>frazione poggio 1 1</t>
  </si>
  <si>
    <t>info@ristoranteemilia.it</t>
  </si>
  <si>
    <t>www.ristoranteemilia.it</t>
  </si>
  <si>
    <t>TRATTORIA "DA ANNA"</t>
  </si>
  <si>
    <t>DA GIACCHETTI</t>
  </si>
  <si>
    <t>VIA PORTONOVO 171 171</t>
  </si>
  <si>
    <t>loc. Poggio Portonovo</t>
  </si>
  <si>
    <t>info@stabilimentobalnearedagiacchetti.it</t>
  </si>
  <si>
    <t>STABILIMENTO PLAYA SOLERO</t>
  </si>
  <si>
    <t>gianfranco.cirulli@gmail.com</t>
  </si>
  <si>
    <t>www.palombinabeach.com</t>
  </si>
  <si>
    <t>CORI CARLO</t>
  </si>
  <si>
    <t>VIA PALOMBINA VECCHIA 1</t>
  </si>
  <si>
    <t>FALCONARA MARITTIMA</t>
  </si>
  <si>
    <t>paolo@paolocori.com</t>
  </si>
  <si>
    <t>SPIAGGIABONETTI</t>
  </si>
  <si>
    <t>info@spiaggiabonetti.it</t>
  </si>
  <si>
    <t>spiaggiabonetti.it</t>
  </si>
  <si>
    <t>BATABANO' SNC DI ANGELETTI E BROCCHINI</t>
  </si>
  <si>
    <t>via palombina vecchia 1 1</t>
  </si>
  <si>
    <t>SUMMER DREAM MARCELLI MAURIZIO</t>
  </si>
  <si>
    <t>maurizio9_58@libero.it</t>
  </si>
  <si>
    <t>DA GIOVANNI</t>
  </si>
  <si>
    <t>www.bagnidagiovanni.it</t>
  </si>
  <si>
    <t>OHANA BEACH SNC di MESSICO M. &amp; PETRACCINI S.</t>
  </si>
  <si>
    <t>BANDIERA GIALLA</t>
  </si>
  <si>
    <t>BALEANI PAOLA "LA PLAYA"</t>
  </si>
  <si>
    <t>AQUARIUM</t>
  </si>
  <si>
    <t>massimo_marcellini@libero.it</t>
  </si>
  <si>
    <t>IL VALENTINO</t>
  </si>
  <si>
    <t>spiaggia Passetto</t>
  </si>
  <si>
    <t>info@lalunaalpassetto.it</t>
  </si>
  <si>
    <t>www.lalunaalpassetto.it/index.php/il-valentino/</t>
  </si>
  <si>
    <t>IL MOLO snc</t>
  </si>
  <si>
    <t>PORTONOVO 166 166</t>
  </si>
  <si>
    <t>Portonovo di Ancona</t>
  </si>
  <si>
    <t>info@lmolo.it</t>
  </si>
  <si>
    <t>www.ilmolo.it</t>
  </si>
  <si>
    <t>BAGNINO FRANCO di BORIANI GIANNI</t>
  </si>
  <si>
    <t>francoportonovo@gmail.com</t>
  </si>
  <si>
    <t>ZAZZARINI PAOLO</t>
  </si>
  <si>
    <t>B&amp;B DEGLI ANGELI</t>
  </si>
  <si>
    <t>frazione varano 228</t>
  </si>
  <si>
    <t>www.bbdegliangeli.it</t>
  </si>
  <si>
    <t>info@bbdegliangeli.it</t>
  </si>
  <si>
    <t>B&amp;B IL CENTRO</t>
  </si>
  <si>
    <t>corso Giuseppe Garibaldi 27</t>
  </si>
  <si>
    <t>ilcentro.vetrina-italia.it</t>
  </si>
  <si>
    <t>info@vetrinaitalia.org</t>
  </si>
  <si>
    <t>RESIDENCE SOLE DEL CONERO</t>
  </si>
  <si>
    <t>frazione varano 383</t>
  </si>
  <si>
    <t>www.residencesoledelconero.com</t>
  </si>
  <si>
    <t>info@residencesoledelconero.com</t>
  </si>
  <si>
    <t>B&amp;B STELLE DEL CONERO</t>
  </si>
  <si>
    <t>via Alpi 17</t>
  </si>
  <si>
    <t>www.stelledelconero.it</t>
  </si>
  <si>
    <t>info@stelledelconero.it</t>
  </si>
  <si>
    <t>ALBERGO CANTIANI</t>
  </si>
  <si>
    <t>via Lorenzo Lotto 22</t>
  </si>
  <si>
    <t>albergocantiani@alice.it</t>
  </si>
  <si>
    <t>B&amp;B MONTE MARE di SAURO CORINALDESI</t>
  </si>
  <si>
    <t>frazione poggio 1a</t>
  </si>
  <si>
    <t>emanuele.agostinelli@fastnet.it</t>
  </si>
  <si>
    <t>RESIDENCE VANVITELLI</t>
  </si>
  <si>
    <t>vicolo della serpe 2</t>
  </si>
  <si>
    <t>www.residencevanvitelli.it</t>
  </si>
  <si>
    <t>info@residencevanvitelli.it</t>
  </si>
  <si>
    <t>B&amp;B LA SPIGHETTA</t>
  </si>
  <si>
    <t>frazione Gallignano 177</t>
  </si>
  <si>
    <t>mitiko5@tiscali.it</t>
  </si>
  <si>
    <t>B&amp;B VILLA  NGIOLO'</t>
  </si>
  <si>
    <t>via Marecchia 9</t>
  </si>
  <si>
    <t>www.villangiolo.com</t>
  </si>
  <si>
    <t>info@villangiolo.com</t>
  </si>
  <si>
    <t>L'ISOLA CHE NON C'E'</t>
  </si>
  <si>
    <t>frazione sappanico 146</t>
  </si>
  <si>
    <t>www.ch-lisolachenonce.it</t>
  </si>
  <si>
    <t>info@ch-lisolachenonce.it</t>
  </si>
  <si>
    <t>B&amp;B ARMONIA</t>
  </si>
  <si>
    <t>via Montegrappa 33</t>
  </si>
  <si>
    <t>magister09@libero.it</t>
  </si>
  <si>
    <t>B&amp;B LE DUE TORRI di MORETTI ESTHER MARIANNA</t>
  </si>
  <si>
    <t>frazione aspio 74</t>
  </si>
  <si>
    <t>leduetorri@alice.it</t>
  </si>
  <si>
    <t>IL PARCO E LA LUNA</t>
  </si>
  <si>
    <t>Via Piantate Lunghe 152</t>
  </si>
  <si>
    <t>MONTESICURO</t>
  </si>
  <si>
    <t>www.ilparcoancona.it</t>
  </si>
  <si>
    <t>ilparco@email.it</t>
  </si>
  <si>
    <t>AGRITURISMO LA SORGENTE</t>
  </si>
  <si>
    <t>frazione poggio 114</t>
  </si>
  <si>
    <t>www.lasorgenteagriturismo.com</t>
  </si>
  <si>
    <t>info@lasorgenteagriturismo.com</t>
  </si>
  <si>
    <t>B&amp;B LA TORRE DEL POGGIO</t>
  </si>
  <si>
    <t>frazione poggio 78</t>
  </si>
  <si>
    <t>info@latorredelpoggio.it</t>
  </si>
  <si>
    <t>via Sentino 3</t>
  </si>
  <si>
    <t>loc. Torrette</t>
  </si>
  <si>
    <t>www.hoteleuropa-ancona.it</t>
  </si>
  <si>
    <t>info@hoteleuropa-ancona.it</t>
  </si>
  <si>
    <t>AFFITTACAMERE EURO</t>
  </si>
  <si>
    <t>corso giuseppe mazzini 142</t>
  </si>
  <si>
    <t>affittacamereeuro@hotmail.it</t>
  </si>
  <si>
    <t>B&amp;B BADIALI ORNELLA</t>
  </si>
  <si>
    <t>via alcide de gasperi 8</t>
  </si>
  <si>
    <t>B&amp;B ALMA ANTIGUA</t>
  </si>
  <si>
    <t>via Lamaticci 10</t>
  </si>
  <si>
    <t>ivapino@alice.it</t>
  </si>
  <si>
    <t>CONEROBELLAVISTA di BENADDUCI P. E ROSSETTI C.</t>
  </si>
  <si>
    <t>frazione Poggio 137</t>
  </si>
  <si>
    <t>katia.ross@libero.it</t>
  </si>
  <si>
    <t>B&amp;B CASA ANGELICA</t>
  </si>
  <si>
    <t>frazione aspio 120</t>
  </si>
  <si>
    <t>ASPIO</t>
  </si>
  <si>
    <t>bebcasaangelica@gmail.com</t>
  </si>
  <si>
    <t>CASALCOPPO</t>
  </si>
  <si>
    <t>via Betelico 106</t>
  </si>
  <si>
    <t>www.casalcoppo.com</t>
  </si>
  <si>
    <t xml:space="preserve">info@casalcoppo.com	</t>
  </si>
  <si>
    <t>GRANDE ISTRICE</t>
  </si>
  <si>
    <t>frazione Paterno 191</t>
  </si>
  <si>
    <t>info@latanadellistrice.it</t>
  </si>
  <si>
    <t>PICCOLO ISTRICE</t>
  </si>
  <si>
    <t>FRAZIONE PATERNO 191</t>
  </si>
  <si>
    <t>www.latanadellistrice.it</t>
  </si>
  <si>
    <t>B&amp;B AURORA</t>
  </si>
  <si>
    <t>via Lazzaro Bernabei 3</t>
  </si>
  <si>
    <t>annapaolaorazi@yahoo.it</t>
  </si>
  <si>
    <t>MANCINELLI MAURO</t>
  </si>
  <si>
    <t>via mario torresi 113</t>
  </si>
  <si>
    <t>mancinellimauro@libero.it</t>
  </si>
  <si>
    <t>TRATTORIA PENSIONE CANTIANI di AUGUSTA &amp; C. S.N.C.</t>
  </si>
  <si>
    <t>via Lotto 26</t>
  </si>
  <si>
    <t>B&amp;B TRESTELLE</t>
  </si>
  <si>
    <t>via San Martino 10</t>
  </si>
  <si>
    <t>bebtrestelle@gmail.com</t>
  </si>
  <si>
    <t>AREA DI SOSTA CAMPER - ANCONA</t>
  </si>
  <si>
    <t>ZONA POSATORA</t>
  </si>
  <si>
    <t>www.campeggioclubadriatico.it</t>
  </si>
  <si>
    <t>cca@campeggioclubadriatico.it</t>
  </si>
  <si>
    <t>VILLA PAOLA</t>
  </si>
  <si>
    <t>via Monte Burino 137</t>
  </si>
  <si>
    <t>GALLIGNANO</t>
  </si>
  <si>
    <t>www.villapaola.name</t>
  </si>
  <si>
    <t>genoviff@yahoo.it</t>
  </si>
  <si>
    <t>B&amp;B LA CASA DEL SOLE E DELLA LUNA</t>
  </si>
  <si>
    <t>frazione Montacuto 43/a</t>
  </si>
  <si>
    <t>alessia.carfagna@libero.it</t>
  </si>
  <si>
    <t>POGGIO AGLI ULIVI</t>
  </si>
  <si>
    <t>Frazione Montesicuro 215</t>
  </si>
  <si>
    <t>www.poggioagliulivi.com</t>
  </si>
  <si>
    <t>info@poggioagliulivi.com</t>
  </si>
  <si>
    <t>via Flaminia 1 1</t>
  </si>
  <si>
    <t>dado1984_fg@libero.it</t>
  </si>
  <si>
    <t>davidefratti1984@gmail.com</t>
  </si>
  <si>
    <t>LA CASA IN CAMPAGNA</t>
  </si>
  <si>
    <t>via della ferrovia 93</t>
  </si>
  <si>
    <t>SAPPANICO</t>
  </si>
  <si>
    <t>info@lacasaincampagna.org</t>
  </si>
  <si>
    <t>B&amp;B CAMPO DEL MARE</t>
  </si>
  <si>
    <t>frazione massignano 128</t>
  </si>
  <si>
    <t>www.campodelmare.it</t>
  </si>
  <si>
    <t>info@campodelmare.it</t>
  </si>
  <si>
    <t>B&amp;B GLICINE</t>
  </si>
  <si>
    <t>Frazione Montesicuro 211</t>
  </si>
  <si>
    <t>www.glicineancona.it</t>
  </si>
  <si>
    <t>glicine.ancona@virgilio.it</t>
  </si>
  <si>
    <t>LA CASA DI PALLINA</t>
  </si>
  <si>
    <t>largo Giovanni Bovio 7</t>
  </si>
  <si>
    <t>www.lacasadipallina.com</t>
  </si>
  <si>
    <t>paola.crescini@gmail.com</t>
  </si>
  <si>
    <t>ANKON HOTEL</t>
  </si>
  <si>
    <t>via Loreto 13/A</t>
  </si>
  <si>
    <t>www.ankonhotel.com</t>
  </si>
  <si>
    <t>info@ankonhotel.com</t>
  </si>
  <si>
    <t>SUNSET BEACH</t>
  </si>
  <si>
    <t>www.sunset-beach.it</t>
  </si>
  <si>
    <t>B&amp;B IL GIARDINO DI ANNA</t>
  </si>
  <si>
    <t>via tronto 1</t>
  </si>
  <si>
    <t>n.cesaroni@tin.it</t>
  </si>
  <si>
    <t>CHALET 4 FONTANE BEACH</t>
  </si>
  <si>
    <t>via Flaminia 364 spiaggia Palombina Nuova 364</t>
  </si>
  <si>
    <t>spiaggia Palombina Nuova</t>
  </si>
  <si>
    <t>tbstartup@gmail.com</t>
  </si>
  <si>
    <t>COPPOLA GIANCARLO &amp; FIGLI</t>
  </si>
  <si>
    <t>frazione Massignano 68</t>
  </si>
  <si>
    <t>www.agriturismoconero.com</t>
  </si>
  <si>
    <t>coppolagiamaglipaola@yahoo.it</t>
  </si>
  <si>
    <t>B&amp;B VILLA FIORECONERO</t>
  </si>
  <si>
    <t>strada del castellano 42</t>
  </si>
  <si>
    <t>www.villafioreconero.it</t>
  </si>
  <si>
    <t>info@villafioreconero.it</t>
  </si>
  <si>
    <t>FIORI DEL CONERO</t>
  </si>
  <si>
    <t>Via della Ferrovia  28/a</t>
  </si>
  <si>
    <t>www.fioridelconero.it</t>
  </si>
  <si>
    <t>fioridelconero@gmail.com</t>
  </si>
  <si>
    <t>L'ANTIGO GRANARO</t>
  </si>
  <si>
    <t>B&amp;B ANCONA</t>
  </si>
  <si>
    <t>via Cardeto 3</t>
  </si>
  <si>
    <t>www.anconabb.it</t>
  </si>
  <si>
    <t>info@anconabb.it</t>
  </si>
  <si>
    <t>B&amp;B IL VERDE PINO</t>
  </si>
  <si>
    <t>via Chienti 24</t>
  </si>
  <si>
    <t>loc.Torrette</t>
  </si>
  <si>
    <t>ilverdepino@yahoo.it</t>
  </si>
  <si>
    <t>www.ilverdepino.it</t>
  </si>
  <si>
    <t>ANNA MARIA PERGOLESI</t>
  </si>
  <si>
    <t>via Monte Zoia 91/b</t>
  </si>
  <si>
    <t>frazione Poggio 78/a</t>
  </si>
  <si>
    <t>www.latorredelpoggio.it</t>
  </si>
  <si>
    <t>lefontanelle@latorredelpoggio.it</t>
  </si>
  <si>
    <t>B&amp;B IL BOSCO DEGLI ALLORI</t>
  </si>
  <si>
    <t>via Montacuto 85</t>
  </si>
  <si>
    <t>annalisapassarini@gmail.com</t>
  </si>
  <si>
    <t>B&amp;B IL GRECALE</t>
  </si>
  <si>
    <t>via Archibugi 3</t>
  </si>
  <si>
    <t>www.ilgrecaleancona.it</t>
  </si>
  <si>
    <t>info@ilgrecaleancona.it;</t>
  </si>
  <si>
    <t>B&amp;B SCATTOMATTO</t>
  </si>
  <si>
    <t>via Zuccarini 7</t>
  </si>
  <si>
    <t>www.bedandbreakfastscattomatto.com</t>
  </si>
  <si>
    <t>scattomattoinfo@gmail.com</t>
  </si>
  <si>
    <t>IL PORTICCIOLO</t>
  </si>
  <si>
    <t>spiaggia Palombina Nuova 7</t>
  </si>
  <si>
    <t>capogrossi.g@pec.confartigianato.it</t>
  </si>
  <si>
    <t>B&amp;B GRIGRA'</t>
  </si>
  <si>
    <t>via Trento  5</t>
  </si>
  <si>
    <t>morris662009@libero.it</t>
  </si>
  <si>
    <t>BORGOPARVO</t>
  </si>
  <si>
    <t xml:space="preserve"> Betelico 103</t>
  </si>
  <si>
    <t>frazione Massignano</t>
  </si>
  <si>
    <t>www.borgoparvo.com</t>
  </si>
  <si>
    <t>margherita.muzzi@tiscali.it; borgoparvo_srl@pec.it</t>
  </si>
  <si>
    <t>LA ROCCA VERDE</t>
  </si>
  <si>
    <t>via Piantate Lunghe 76</t>
  </si>
  <si>
    <t>loc.Candia</t>
  </si>
  <si>
    <t>www.laroccaverde.it</t>
  </si>
  <si>
    <t>info@laroccaverde.it</t>
  </si>
  <si>
    <t>CONTRADA VALLE LUNGA</t>
  </si>
  <si>
    <t>fraz. Sappanico 159</t>
  </si>
  <si>
    <t>Sappanico di Ancona</t>
  </si>
  <si>
    <t>www.agrivallelunga.it</t>
  </si>
  <si>
    <t>info@agrivallelunga.it</t>
  </si>
  <si>
    <t>B&amp;B IL SOLE</t>
  </si>
  <si>
    <t>via Giordano Bruno 4</t>
  </si>
  <si>
    <t>serena.cartechini@libero.it</t>
  </si>
  <si>
    <t>LE TORRI</t>
  </si>
  <si>
    <t>via Saffi 12</t>
  </si>
  <si>
    <t>letorriaffittacamere@libero.it</t>
  </si>
  <si>
    <t>B&amp;B LA CAMPAGNA DEL CONERO</t>
  </si>
  <si>
    <t>loc. Massignano</t>
  </si>
  <si>
    <t>mauri.biagi.vale@alice.it</t>
  </si>
  <si>
    <t>B&amp;B CRISTINA</t>
  </si>
  <si>
    <t>via Vallemiano 9</t>
  </si>
  <si>
    <t>cristina.cognini@gmail.com</t>
  </si>
  <si>
    <t>MARCONI KATIA</t>
  </si>
  <si>
    <t>via del Carmine 53</t>
  </si>
  <si>
    <t>carlo.cap@alice.it</t>
  </si>
  <si>
    <t>B&amp;B TORRE DI PORTONOVO</t>
  </si>
  <si>
    <t>torrediportonovo@gmail.com</t>
  </si>
  <si>
    <t>AFFITTACAMERE TORRETTE DI ANCONA</t>
  </si>
  <si>
    <t>via Conca 14</t>
  </si>
  <si>
    <t>Torrette di Ancona</t>
  </si>
  <si>
    <t>giannicesarone@gmail.com</t>
  </si>
  <si>
    <t>B&amp;B DA MARIA</t>
  </si>
  <si>
    <t>piazza Ugo Bassi  45</t>
  </si>
  <si>
    <t>bnbdamaria@gmail.com</t>
  </si>
  <si>
    <t>EGO HOTEL</t>
  </si>
  <si>
    <t>via Flaminia 220</t>
  </si>
  <si>
    <t>www.egohotelancona.it</t>
  </si>
  <si>
    <t>info@egohotelancona.it</t>
  </si>
  <si>
    <t>CAMPEGGIO LA TORRE</t>
  </si>
  <si>
    <t>Portonovo</t>
  </si>
  <si>
    <t>info@baiadiportonovo.it</t>
  </si>
  <si>
    <t>via della Ferrovia  25</t>
  </si>
  <si>
    <t>luigigiorgino@virgilio.it</t>
  </si>
  <si>
    <t>B&amp;B I TRE GELSI</t>
  </si>
  <si>
    <t>strada Vecchia Pietralacroce 30</t>
  </si>
  <si>
    <t>www.itregelsi.com</t>
  </si>
  <si>
    <t>itregelsi.bb@gmail.com</t>
  </si>
  <si>
    <t>B&amp;B ARTS AND MUSIC</t>
  </si>
  <si>
    <t>corso Garibaldi, 110 110</t>
  </si>
  <si>
    <t>centro</t>
  </si>
  <si>
    <t>www.bbancona.com</t>
  </si>
  <si>
    <t>chicco_1986@hotmail.it</t>
  </si>
  <si>
    <t>B&amp;B VILLA ANY</t>
  </si>
  <si>
    <t>via delle Ville 12/b</t>
  </si>
  <si>
    <t>Palombina Nuova</t>
  </si>
  <si>
    <t>ispettore.marchetti@gmail.com</t>
  </si>
  <si>
    <t>B&amp;B L'ASSIOLO</t>
  </si>
  <si>
    <t>strada del Castellano 71/d</t>
  </si>
  <si>
    <t>assiolobedandbreakfast@gmail.com</t>
  </si>
  <si>
    <t>CAKAO BEACH</t>
  </si>
  <si>
    <t>Palombina nuova 23</t>
  </si>
  <si>
    <t>cakaobeachclub@gmail.com</t>
  </si>
  <si>
    <t>ALUIGI GIUSI</t>
  </si>
  <si>
    <t>via Frediani 22</t>
  </si>
  <si>
    <t>studiolegalealuigi@libero.it</t>
  </si>
  <si>
    <t>MOTOR MOTEL</t>
  </si>
  <si>
    <t>Asse Nord Sud 1</t>
  </si>
  <si>
    <t>loc.Colleverde presso Stazione di Servizio Q8</t>
  </si>
  <si>
    <t>adolfopedroso@gmail.com</t>
  </si>
  <si>
    <t>B&amp;B I TRINCI</t>
  </si>
  <si>
    <t>via Montecavallo 358</t>
  </si>
  <si>
    <t>frazione Varano</t>
  </si>
  <si>
    <t>conerotrinci@gmail.com</t>
  </si>
  <si>
    <t>augustotrinci17@gmail.com</t>
  </si>
  <si>
    <t>HOTEL CITY DIPENDENZA</t>
  </si>
  <si>
    <t>via Matteotti 175</t>
  </si>
  <si>
    <t>B&amp;B ROSE DI PANE - ANCONA CENTRO</t>
  </si>
  <si>
    <t>via C. Battisti 18</t>
  </si>
  <si>
    <t>www.rosedipane.it</t>
  </si>
  <si>
    <t>paola.lenci@txm.it</t>
  </si>
  <si>
    <t>APPARTAMENTO USO TURISTICO dI ROSSETTI C. e BENADDUCCI P.</t>
  </si>
  <si>
    <t>POGGIO DEL CONERO</t>
  </si>
  <si>
    <t>fraz. Poggio 112</t>
  </si>
  <si>
    <t>Poggio di Ancona</t>
  </si>
  <si>
    <t>www.poggiodelconero.com</t>
  </si>
  <si>
    <t>info@poggiodelconero.com</t>
  </si>
  <si>
    <t>A 3 PASSI</t>
  </si>
  <si>
    <t>via del Carmine 51</t>
  </si>
  <si>
    <t>www.a3passi.com</t>
  </si>
  <si>
    <t>a3passi@aziendadelcarmine.it</t>
  </si>
  <si>
    <t>B&amp;B VILLA COLLE</t>
  </si>
  <si>
    <t>via del Castellano 38</t>
  </si>
  <si>
    <t>laura.ugga@libero.it</t>
  </si>
  <si>
    <t>fraz. Castiglioni 80</t>
  </si>
  <si>
    <t>ARCEVIA</t>
  </si>
  <si>
    <t>CASTIGLIONI</t>
  </si>
  <si>
    <t>http://www.bblefontanelle.eu</t>
  </si>
  <si>
    <t>p.r.sonnia@gmail.com</t>
  </si>
  <si>
    <t>CASETTA PACIFICA DELLE VIOLE</t>
  </si>
  <si>
    <t>fraz. Castiglioni - via Martiri della Libertà 7</t>
  </si>
  <si>
    <t>aria50antiquariato@email.it</t>
  </si>
  <si>
    <t>LA CORTE DEL GUSTO</t>
  </si>
  <si>
    <t>fraz. Santo Stefano 68</t>
  </si>
  <si>
    <t>SANTO STEFANO</t>
  </si>
  <si>
    <t>www.lacortedelgusto.com</t>
  </si>
  <si>
    <t>info@lacortedelgusto.com</t>
  </si>
  <si>
    <t>CASA MIRABELLA</t>
  </si>
  <si>
    <t>fraz. San Giovanni Battista  242</t>
  </si>
  <si>
    <t>SAN GIOVANNI BATTISTA</t>
  </si>
  <si>
    <t>mariamirabella@gmx.de</t>
  </si>
  <si>
    <t>BOSIMANO</t>
  </si>
  <si>
    <t>fraz. Prosano - loc. Bosimano 60</t>
  </si>
  <si>
    <t>PROSANO</t>
  </si>
  <si>
    <t>www.agri-bosimano.com</t>
  </si>
  <si>
    <t>cenlui@libero.it</t>
  </si>
  <si>
    <t>DA FRABO'</t>
  </si>
  <si>
    <t>fraz. San Ginesio  23/A</t>
  </si>
  <si>
    <t>SAN GINESIO</t>
  </si>
  <si>
    <t>federicofraboni@libero.it</t>
  </si>
  <si>
    <t>STAZIONE DI POSTA</t>
  </si>
  <si>
    <t>fraz. Magnadorsa 114</t>
  </si>
  <si>
    <t>MAGNADORSA</t>
  </si>
  <si>
    <t>stazionediposta@gmail.com</t>
  </si>
  <si>
    <t>BORGO BELFIORE</t>
  </si>
  <si>
    <t>fraz. Sant'Apollinare 70</t>
  </si>
  <si>
    <t>CASALE VENEZIA</t>
  </si>
  <si>
    <t>fraz. Nidastore 126</t>
  </si>
  <si>
    <t>NIDASTORE</t>
  </si>
  <si>
    <t>www.casalevenezia.com</t>
  </si>
  <si>
    <t>info@casalevenezia.com</t>
  </si>
  <si>
    <t>A CASA DI ROMOLO</t>
  </si>
  <si>
    <t>via Ramazzani 144</t>
  </si>
  <si>
    <t>acasadiromolo@gmail.com</t>
  </si>
  <si>
    <t>CASALE RIPALTA</t>
  </si>
  <si>
    <t>fraz. Ripalta 63</t>
  </si>
  <si>
    <t>RIPALTA</t>
  </si>
  <si>
    <t>info@casaleripalta.it</t>
  </si>
  <si>
    <t>VILLAGGI TURISTICI</t>
  </si>
  <si>
    <t>LE BETULLE</t>
  </si>
  <si>
    <t>fraz. Avacelli 260</t>
  </si>
  <si>
    <t>AVACELLI</t>
  </si>
  <si>
    <t>www.agrituristlebetulle.com</t>
  </si>
  <si>
    <t>info@agrituristlebetulle.com</t>
  </si>
  <si>
    <t>BOCCA DI LUPO</t>
  </si>
  <si>
    <t>fraz. Loretello 54</t>
  </si>
  <si>
    <t>LORETELLO</t>
  </si>
  <si>
    <t>http://www.boccadilupo.nl</t>
  </si>
  <si>
    <t>italie@boccadilupo.nl</t>
  </si>
  <si>
    <t>IL BELVEDERE</t>
  </si>
  <si>
    <t>fraz. Piticchio 124</t>
  </si>
  <si>
    <t>PITICCHIO</t>
  </si>
  <si>
    <t>www.ilcastellocountryhouse.it</t>
  </si>
  <si>
    <t>info@ilcastellocountryhouse.it</t>
  </si>
  <si>
    <t>www.belfiore-italia.com</t>
  </si>
  <si>
    <t>info@belfiore-italia.com</t>
  </si>
  <si>
    <t>ROSA NEL POZZO</t>
  </si>
  <si>
    <t>fraz. San Pietro in Musio 43</t>
  </si>
  <si>
    <t>SAN PIETRO IN MUSIO</t>
  </si>
  <si>
    <t>www.rosanelpozzo.com</t>
  </si>
  <si>
    <t>info@rosanelpozzo.com</t>
  </si>
  <si>
    <t>MONTEFIORE</t>
  </si>
  <si>
    <t>fraz. Nidastore 85</t>
  </si>
  <si>
    <t>www.agriturismomontefiore.com</t>
  </si>
  <si>
    <t>mg.politi@tiscali.it</t>
  </si>
  <si>
    <t>AREA ATTREZZATA SOSTA CAMPER - COMUNE DI ARCEVIA</t>
  </si>
  <si>
    <t>ANTICO BORGO</t>
  </si>
  <si>
    <t>fraz. Castiglioni 86</t>
  </si>
  <si>
    <t>www.antico-borgo.it</t>
  </si>
  <si>
    <t>info@antico-borgo.it</t>
  </si>
  <si>
    <t>BORGO BONAVENTURA</t>
  </si>
  <si>
    <t>fraz. Prosano - loc. Bosimano 57</t>
  </si>
  <si>
    <t>www.borgobonaventura.it</t>
  </si>
  <si>
    <t>info@borgobonaventura.it</t>
  </si>
  <si>
    <t>IL PENTOLONE IN COMPAGNIA</t>
  </si>
  <si>
    <t>fraz. Avacelli 26</t>
  </si>
  <si>
    <t>www.pentoloneincompagnia.it</t>
  </si>
  <si>
    <t>pentolone@live.it</t>
  </si>
  <si>
    <t>ACQUASALATA</t>
  </si>
  <si>
    <t>fraz. Montale 116</t>
  </si>
  <si>
    <t>MONTALE</t>
  </si>
  <si>
    <t>www.agriturismoacquasalata.it</t>
  </si>
  <si>
    <t>a.acquasalata@libero.it</t>
  </si>
  <si>
    <t>BORGO TRANQUILLO</t>
  </si>
  <si>
    <t>fraz. Costa 132</t>
  </si>
  <si>
    <t>COSTA</t>
  </si>
  <si>
    <t>www.borgotranquillo.com</t>
  </si>
  <si>
    <t>info@borgotranquillo.com</t>
  </si>
  <si>
    <t>SENSAZIONE</t>
  </si>
  <si>
    <t>fraz. Caudino 54</t>
  </si>
  <si>
    <t>CAUDINO</t>
  </si>
  <si>
    <t>www.sensazione.info</t>
  </si>
  <si>
    <t>sensa@sensazione.info</t>
  </si>
  <si>
    <t>ELIO LATINI</t>
  </si>
  <si>
    <t>fraz. Castiglioni 31</t>
  </si>
  <si>
    <t>latale@libero.it</t>
  </si>
  <si>
    <t>fraz. Avacelli 38</t>
  </si>
  <si>
    <t>fraz. Nidastore 11</t>
  </si>
  <si>
    <t>www.nidastore.jimdo.com</t>
  </si>
  <si>
    <t>s.rocchetti@libero.it</t>
  </si>
  <si>
    <t>LE CONELLE</t>
  </si>
  <si>
    <t>fraz. San Ginesio 96</t>
  </si>
  <si>
    <t>www.conelle.it</t>
  </si>
  <si>
    <t>valerio.baciani@tin.it</t>
  </si>
  <si>
    <t>AL COLLE</t>
  </si>
  <si>
    <t>fraz. Colle Aprico 82</t>
  </si>
  <si>
    <t>COLLE APRICO</t>
  </si>
  <si>
    <t>al.colle@email.it</t>
  </si>
  <si>
    <t>IL PARADISO DEL RE</t>
  </si>
  <si>
    <t>fraz. San Pietro in Musio 6</t>
  </si>
  <si>
    <t>www.ilparadisodelre.it</t>
  </si>
  <si>
    <t>angelo@ilparadisodelre.it</t>
  </si>
  <si>
    <t>VILLA SAN GIOVANNI</t>
  </si>
  <si>
    <t>fraz. San Giovanni Battista - via San Martino 4</t>
  </si>
  <si>
    <t>www.ferienwohnung-marken-arcevia.de</t>
  </si>
  <si>
    <t>villa.sangiovanni@googlemail.com</t>
  </si>
  <si>
    <t>MOLINO VECCHIO</t>
  </si>
  <si>
    <t>fraz. Castiglioni 70</t>
  </si>
  <si>
    <t>www.castiglionidiarcevia.it/molino</t>
  </si>
  <si>
    <t>kurt.luks@gmail.com</t>
  </si>
  <si>
    <t>SAN SETTIMIO RISERVA PRIVATA</t>
  </si>
  <si>
    <t>fraz. Palazzo 274</t>
  </si>
  <si>
    <t>PALAZZO</t>
  </si>
  <si>
    <t>www.sansettimio.it</t>
  </si>
  <si>
    <t>info@sansettimio.it</t>
  </si>
  <si>
    <t>LA CANTINA DI BACCO</t>
  </si>
  <si>
    <t>fraz. Ripalta 90</t>
  </si>
  <si>
    <t>www.lacantinadibacco.it</t>
  </si>
  <si>
    <t>lacantinadibacco@tin.it</t>
  </si>
  <si>
    <t>PICCOLO RANCH</t>
  </si>
  <si>
    <t>fraz. San Pietro in Musio 48/A</t>
  </si>
  <si>
    <t>www.piccoloranch.com</t>
  </si>
  <si>
    <t>piccoloranch@puntomedia.it</t>
  </si>
  <si>
    <t>PARK HOTEL ARCEVIA</t>
  </si>
  <si>
    <t>via Roma 5</t>
  </si>
  <si>
    <t>www.parkhotelarcevia.it</t>
  </si>
  <si>
    <t>info@parkhotelarcevia.it</t>
  </si>
  <si>
    <t>HOTEL ALLE TERRAZZE</t>
  </si>
  <si>
    <t>via Tito Rocchi 24</t>
  </si>
  <si>
    <t>htalleterrazze@tiscali.it</t>
  </si>
  <si>
    <t>IL BOSCHETTO</t>
  </si>
  <si>
    <t>fraz. San Giovanni Battista 157/E</t>
  </si>
  <si>
    <t>www.agriturismoilboschetto.com</t>
  </si>
  <si>
    <t>info@agriturismoilboschetto.com</t>
  </si>
  <si>
    <t>IL RUSTICO</t>
  </si>
  <si>
    <t>fraz. Sant'Apollinare  91</t>
  </si>
  <si>
    <t>www.agriturismoilrustico.it</t>
  </si>
  <si>
    <t>info@agriturismoilrustico.it</t>
  </si>
  <si>
    <t>fraz. Costa 82</t>
  </si>
  <si>
    <t>www.agriturismo-ilgirasole.it</t>
  </si>
  <si>
    <t>info@agriturismo-ilgirasole.it</t>
  </si>
  <si>
    <t>ESTER JOHANNES HENDRIK - VIA LORETELLO 40</t>
  </si>
  <si>
    <t>Via della Fonte 40</t>
  </si>
  <si>
    <t>hans.ester49@gmail.com</t>
  </si>
  <si>
    <t>LA CASA DI ZIA SESTA</t>
  </si>
  <si>
    <t>Via Angelo Rocca 52</t>
  </si>
  <si>
    <t>giocri03@gmail.com</t>
  </si>
  <si>
    <t>VIRIDITAS</t>
  </si>
  <si>
    <t>Via Loretello 45</t>
  </si>
  <si>
    <t>marinop27@libero.it</t>
  </si>
  <si>
    <t>ROBERT ENRICO PELLEGRINI</t>
  </si>
  <si>
    <t>fraz. Avacelli 240</t>
  </si>
  <si>
    <t>LORENZETTI ANTONELLA</t>
  </si>
  <si>
    <t>Via Moscatelli 20</t>
  </si>
  <si>
    <t>KUHNE SORG HELGA CARMEN</t>
  </si>
  <si>
    <t>Fraz. Loretello  5b, 58</t>
  </si>
  <si>
    <t>ESTER JOHANNES HENDRIK - VIA LORETELLO 38</t>
  </si>
  <si>
    <t>Della Fonte 38</t>
  </si>
  <si>
    <t>VISIT ARCEVIA</t>
  </si>
  <si>
    <t>Corso Mazzini 49</t>
  </si>
  <si>
    <t>www.visitarcevia.com</t>
  </si>
  <si>
    <t>info@visitarcevia.com</t>
  </si>
  <si>
    <t>STEPHANY ROBERT KEITH</t>
  </si>
  <si>
    <t>Via Fugiano 256</t>
  </si>
  <si>
    <t>AVACELLI DI ARCEVIA</t>
  </si>
  <si>
    <t>SLUIJS STEEN MARGARETHA</t>
  </si>
  <si>
    <t>Frazione San Pietro 36</t>
  </si>
  <si>
    <t>VISTA MONTESECCO</t>
  </si>
  <si>
    <t>fraz. San Pietro in Musio 34</t>
  </si>
  <si>
    <t>LOVANIO BELARDINELLI</t>
  </si>
  <si>
    <t>fraz. Loretello 21</t>
  </si>
  <si>
    <t>lovanio.belardinelli@unicredit.eu</t>
  </si>
  <si>
    <t>IL LECCIO</t>
  </si>
  <si>
    <t>fraz. Colle Aprico 29</t>
  </si>
  <si>
    <t>chiby77@hotmail.it</t>
  </si>
  <si>
    <t>LOCANDA CASA VALMA</t>
  </si>
  <si>
    <t>fraz. Costa 123</t>
  </si>
  <si>
    <t>www.locandacasavalma.com</t>
  </si>
  <si>
    <t>locandacasavalma@gmail.com</t>
  </si>
  <si>
    <t>FRANCESCO PIERAGOSTINI</t>
  </si>
  <si>
    <t>fraz. Montale 11</t>
  </si>
  <si>
    <t>sistoepaola@alice.it</t>
  </si>
  <si>
    <t>ELEONORA MASSACCESI</t>
  </si>
  <si>
    <t>Vicolo dei Macelli 6</t>
  </si>
  <si>
    <t>CASA VENTURA</t>
  </si>
  <si>
    <t>fraz. San Giovanni Battista - via San Martino 74</t>
  </si>
  <si>
    <t>vntsrg@gmail.com</t>
  </si>
  <si>
    <t>CASA SAN MARTINO</t>
  </si>
  <si>
    <t>erhard.schemel@ub-schemel.de</t>
  </si>
  <si>
    <t>IL CAPUCCIO</t>
  </si>
  <si>
    <t>fraz. Nidastore 66</t>
  </si>
  <si>
    <t>info@ilcapuccio.it ; lgelettronica@tiscali.it</t>
  </si>
  <si>
    <t>LE VARANGOLE</t>
  </si>
  <si>
    <t>fraz. Caudino 50</t>
  </si>
  <si>
    <t>www.casavacanzalevarangole.it</t>
  </si>
  <si>
    <t>casavacanzalevarangole@gmail.com</t>
  </si>
  <si>
    <t>CASA MC QUEENS DI ERCOLE MORONI</t>
  </si>
  <si>
    <t>via Gavigliano 11</t>
  </si>
  <si>
    <t>BELVEDERE OSTRENSE</t>
  </si>
  <si>
    <t>www.casaercolemoroni.com</t>
  </si>
  <si>
    <t>info@ercolemoroni.com</t>
  </si>
  <si>
    <t>B&amp;B AL RIFUGIO DiVINO DI LANDI LUCIANO</t>
  </si>
  <si>
    <t>via Gavigliano 16</t>
  </si>
  <si>
    <t>www.aziendalandi.it</t>
  </si>
  <si>
    <t>aziendalandi@aziendalandi.it</t>
  </si>
  <si>
    <t>MARCHE B&amp;B</t>
  </si>
  <si>
    <t>via Orti 18</t>
  </si>
  <si>
    <t>http://www.marche-beb.it/</t>
  </si>
  <si>
    <t>defa@email.it</t>
  </si>
  <si>
    <t>B&amp;B CASA CORNELIA</t>
  </si>
  <si>
    <t>p.za San Pietro 4</t>
  </si>
  <si>
    <t>casacornelia@virgilio.it</t>
  </si>
  <si>
    <t>B&amp;B CASA MATILDA</t>
  </si>
  <si>
    <t>via Garibaldi 26</t>
  </si>
  <si>
    <t>elena.rossetti85@libero.it</t>
  </si>
  <si>
    <t>AGRITURISMO TENUTA BELVEDERE</t>
  </si>
  <si>
    <t>via Ronco  2</t>
  </si>
  <si>
    <t>www.tenutabelvedere.eu</t>
  </si>
  <si>
    <t>p.romina@centrooceano.it</t>
  </si>
  <si>
    <t>B&amp;B 5 ALBERI VACANZE</t>
  </si>
  <si>
    <t>via Gualdo 7</t>
  </si>
  <si>
    <t>www.5alberi.com</t>
  </si>
  <si>
    <t>info@5alberi.com</t>
  </si>
  <si>
    <t>5 ALBERI</t>
  </si>
  <si>
    <t>LA PERLA</t>
  </si>
  <si>
    <t>via Direttissima del Conero 1 - 3</t>
  </si>
  <si>
    <t>CAMERANO</t>
  </si>
  <si>
    <t>http://www.perlahotelancona.it</t>
  </si>
  <si>
    <t>info@perlahotelancona.it</t>
  </si>
  <si>
    <t>PALAZZO RUSCHIONI</t>
  </si>
  <si>
    <t>via San Francesco 22</t>
  </si>
  <si>
    <t>www.palazzoruschioni.it</t>
  </si>
  <si>
    <t>info@palazzoruschioni.it</t>
  </si>
  <si>
    <t>IL SASSONE</t>
  </si>
  <si>
    <t>via Inferno 11</t>
  </si>
  <si>
    <t>www.countryhouseilsassone.it</t>
  </si>
  <si>
    <t>info@countryhouseilsassone.it</t>
  </si>
  <si>
    <t>B&amp;B 19</t>
  </si>
  <si>
    <t>via Colle Lauro 19/A</t>
  </si>
  <si>
    <t>info@bb19.it</t>
  </si>
  <si>
    <t>B&amp;B PACI SANDRO</t>
  </si>
  <si>
    <t>via del galletto 12</t>
  </si>
  <si>
    <t>paci.sandro@alice.it</t>
  </si>
  <si>
    <t>DA NAZZARE'</t>
  </si>
  <si>
    <t>via Aspio Terme 39</t>
  </si>
  <si>
    <t>info@hotelnazzare.com</t>
  </si>
  <si>
    <t>TRE QUERCE</t>
  </si>
  <si>
    <t>via papa giovanni xxiii 44</t>
  </si>
  <si>
    <t>www.hotel3querce.com</t>
  </si>
  <si>
    <t>direzione@hotel3querce.com</t>
  </si>
  <si>
    <t>HOTEL CONCORDE</t>
  </si>
  <si>
    <t>via aspio terme 191</t>
  </si>
  <si>
    <t>www.albergoconcorde.it</t>
  </si>
  <si>
    <t>info@albergoconcorde.it</t>
  </si>
  <si>
    <t>ALBERGO STROLOGO</t>
  </si>
  <si>
    <t>via Guasto 89</t>
  </si>
  <si>
    <t>trattoriastrologo@alice.it</t>
  </si>
  <si>
    <t>L'OLIVO</t>
  </si>
  <si>
    <t>via loretana 277</t>
  </si>
  <si>
    <t>www.locandailgirasole.it</t>
  </si>
  <si>
    <t>info@locandailgirasole.it</t>
  </si>
  <si>
    <t>SANTINI PAOLO APP.TO 1</t>
  </si>
  <si>
    <t>Via Loretana 46</t>
  </si>
  <si>
    <t>SANTINI PAOLO APP.TO 2</t>
  </si>
  <si>
    <t>Via Loretana  46</t>
  </si>
  <si>
    <t>VILLA GENS CAMURIA</t>
  </si>
  <si>
    <t>Via Direttissima del Conero 7</t>
  </si>
  <si>
    <t>www.villagenscamuria.it</t>
  </si>
  <si>
    <t>info@villagenscamuria.it</t>
  </si>
  <si>
    <t>IL GIARDINO DI MARGHERITA</t>
  </si>
  <si>
    <t>Via Zingari 7</t>
  </si>
  <si>
    <t>ilgiardinodimargherita@gmail.com</t>
  </si>
  <si>
    <t>B&amp;B VILLA ALBA</t>
  </si>
  <si>
    <t>Via Montagnolo  5</t>
  </si>
  <si>
    <t>cristianaliuti@gmail.com; info@bnbvillalba.it</t>
  </si>
  <si>
    <t>FUORI DI PORTA</t>
  </si>
  <si>
    <t>Via Loretana 93</t>
  </si>
  <si>
    <t>jerryalce@gmail.com</t>
  </si>
  <si>
    <t>SUMI COTTAGE BED AND BREAKFAST</t>
  </si>
  <si>
    <t>via Giacomo Matteotti 25</t>
  </si>
  <si>
    <t>CAMERATA PICENA</t>
  </si>
  <si>
    <t>www.sumicottage.it</t>
  </si>
  <si>
    <t>michael.woodbridge@libero.it</t>
  </si>
  <si>
    <t>AFFITTACAMERE VITALI ALDESINA</t>
  </si>
  <si>
    <t>via san giuseppe 31</t>
  </si>
  <si>
    <t>ristorantelepiane@alice.it</t>
  </si>
  <si>
    <t>LOCANDA DELLE SALINE</t>
  </si>
  <si>
    <t>via saline 9</t>
  </si>
  <si>
    <t>www.agriturismolesaline.it</t>
  </si>
  <si>
    <t>locandadellesaline@libero.it</t>
  </si>
  <si>
    <t>IMMOBILIARE LE PIANE SNC</t>
  </si>
  <si>
    <t>via san giuseppe 58</t>
  </si>
  <si>
    <t>AREA SOSTA CAMPER - CASTELBELLINO</t>
  </si>
  <si>
    <t>CASTELBELLINO</t>
  </si>
  <si>
    <t>LA COLLINA DELLE STREGHE DI BECCACECI LORENA</t>
  </si>
  <si>
    <t>via San Giorgio 2</t>
  </si>
  <si>
    <t>loc. Pianello Vallesina</t>
  </si>
  <si>
    <t>www.lacollinadellestreghe.com</t>
  </si>
  <si>
    <t>pierfrancoluigi@virgilio.it</t>
  </si>
  <si>
    <t>LA VECCHIA FONTE</t>
  </si>
  <si>
    <t>c.da Fonte Penata 7</t>
  </si>
  <si>
    <t>info@lavecchiafonte.it</t>
  </si>
  <si>
    <t>CASA GHIBELLINA</t>
  </si>
  <si>
    <t>via Costa 2</t>
  </si>
  <si>
    <t>cecilig@yahoo.com</t>
  </si>
  <si>
    <t>B&amp;B LE FORNACI</t>
  </si>
  <si>
    <t>via G.Puccini 12</t>
  </si>
  <si>
    <t>CASTELFIDARDO</t>
  </si>
  <si>
    <t>berna.prosperi@gmail.com</t>
  </si>
  <si>
    <t>B&amp;B MONTESSORI</t>
  </si>
  <si>
    <t>via Montessori 5</t>
  </si>
  <si>
    <t>alessio.cupido@hotmail.it</t>
  </si>
  <si>
    <t>B&amp;B SUNFLOWER</t>
  </si>
  <si>
    <t>via Montecamillone 1</t>
  </si>
  <si>
    <t>B&amp;B GILI</t>
  </si>
  <si>
    <t>VIA PIERO GOBETTI 17</t>
  </si>
  <si>
    <t>http://www.gilibedbreakfast.com/</t>
  </si>
  <si>
    <t>bb.gili2015@gmail.com</t>
  </si>
  <si>
    <t>LA TABERNA</t>
  </si>
  <si>
    <t>via Giolitti 23</t>
  </si>
  <si>
    <t>www.latabernabraceria.it</t>
  </si>
  <si>
    <t>info@latabernabraceria.it</t>
  </si>
  <si>
    <t>SENTIERO DELLE FIABE</t>
  </si>
  <si>
    <t>via F. Baracca 8</t>
  </si>
  <si>
    <t>www.cordusio.org</t>
  </si>
  <si>
    <t>sentierodellefiabe@hotmail.it</t>
  </si>
  <si>
    <t>RELAIS CHAMBRE</t>
  </si>
  <si>
    <t>Piazzetta Garibaldi 32</t>
  </si>
  <si>
    <t>www.relaischambre.com</t>
  </si>
  <si>
    <t>info@relaischambre.com</t>
  </si>
  <si>
    <t>IL RIFUGIO DI APHRODITE</t>
  </si>
  <si>
    <t>Via G. Puccini 17</t>
  </si>
  <si>
    <t>diana.iura@alice.it</t>
  </si>
  <si>
    <t>LOCANDA DEL MUSONE</t>
  </si>
  <si>
    <t>via ernesto che guevara 56</t>
  </si>
  <si>
    <t>www.lalocandadelmusone.it</t>
  </si>
  <si>
    <t>informazioni@lalocandadelmusone.it</t>
  </si>
  <si>
    <t>I CUGINI</t>
  </si>
  <si>
    <t>via don luigi sturzo 1</t>
  </si>
  <si>
    <t>www.hotelicugini.it</t>
  </si>
  <si>
    <t>ristoranteicugini@tin.it</t>
  </si>
  <si>
    <t>via xxiv Maggio 5</t>
  </si>
  <si>
    <t>info@hotellaginestra.com</t>
  </si>
  <si>
    <t>LA SELVA</t>
  </si>
  <si>
    <t>via adriatica 36</t>
  </si>
  <si>
    <t>hotellaselva@libero.it</t>
  </si>
  <si>
    <t>AREA DI SOSTA CAMPER - CASTELFIDARDO</t>
  </si>
  <si>
    <t>via Lumumba 7</t>
  </si>
  <si>
    <t>B&amp;B IL NIDO DI PAT</t>
  </si>
  <si>
    <t>via A. Ponchielli 1/A</t>
  </si>
  <si>
    <t>www.ilnidodipat.it</t>
  </si>
  <si>
    <t>ilnidodipat@tiscali.it</t>
  </si>
  <si>
    <t>LATTE E CAFFE'</t>
  </si>
  <si>
    <t>via Dominici 31</t>
  </si>
  <si>
    <t>info@latteecaffe.it</t>
  </si>
  <si>
    <t>KLASS HOTEL</t>
  </si>
  <si>
    <t>via Adriatica 22</t>
  </si>
  <si>
    <t>www.klasshotel.it</t>
  </si>
  <si>
    <t>info@klasshotel.it</t>
  </si>
  <si>
    <t>B&amp;B LA FUCHSIA</t>
  </si>
  <si>
    <t>via a. L.Corvalan 7</t>
  </si>
  <si>
    <t>www.lafuchsia.it</t>
  </si>
  <si>
    <t>info@lafuchsia.it</t>
  </si>
  <si>
    <t>B&amp;B LA FINESTRA SUL CONERO</t>
  </si>
  <si>
    <t>via Giovanni XIII 14</t>
  </si>
  <si>
    <t>S. AGOSTINO</t>
  </si>
  <si>
    <t>www.lafinestrasulconero.it</t>
  </si>
  <si>
    <t>info@lafinestrasulconero.it</t>
  </si>
  <si>
    <t>B&amp;B VILLA POTICCIO</t>
  </si>
  <si>
    <t>villa Poticcio 23</t>
  </si>
  <si>
    <t>loc. Acquaviva</t>
  </si>
  <si>
    <t>www.villapoticcio.it</t>
  </si>
  <si>
    <t>giampaolo.giaccaglia@libero.it</t>
  </si>
  <si>
    <t>B&amp;B IL COVO DEI PICCIONI</t>
  </si>
  <si>
    <t>via Mazzini 21</t>
  </si>
  <si>
    <t>ilcovodeipiccioni@live.it</t>
  </si>
  <si>
    <t>CASA VERDECONERO</t>
  </si>
  <si>
    <t>via Sicilia  22</t>
  </si>
  <si>
    <t>bugariclaudio@tin.it</t>
  </si>
  <si>
    <t>B&amp;B VILLA INCANTO</t>
  </si>
  <si>
    <t>via Dante Alighieri 118</t>
  </si>
  <si>
    <t>rserenelli@villaincanto.eu</t>
  </si>
  <si>
    <t>AMARANTO'S</t>
  </si>
  <si>
    <t>via Adriatica  28</t>
  </si>
  <si>
    <t>s.s.16 km 318,60</t>
  </si>
  <si>
    <t>ristorantealbergoamarantos@gmail.com</t>
  </si>
  <si>
    <t>HOTEL PARCO</t>
  </si>
  <si>
    <t>via G. Donizetti 2</t>
  </si>
  <si>
    <t>www.hotelparco.net</t>
  </si>
  <si>
    <t>info@hotelparco.net</t>
  </si>
  <si>
    <t>RUSTICO DEL BOZZO</t>
  </si>
  <si>
    <t>contrada bozzo 30</t>
  </si>
  <si>
    <t>CASTELLEONE DI SUASA</t>
  </si>
  <si>
    <t>info@rusticodelbozzo.com</t>
  </si>
  <si>
    <t>BELLUCCI</t>
  </si>
  <si>
    <t>corso Guglielmo Marconi 7</t>
  </si>
  <si>
    <t>www.ristorantebellucci.it</t>
  </si>
  <si>
    <t>umbertobell@libero.it</t>
  </si>
  <si>
    <t>AZIENDA AGRICOLA MANFREDI STEFANIA</t>
  </si>
  <si>
    <t>contrada Case Nuove 61</t>
  </si>
  <si>
    <t>ggasparoni@libero.it</t>
  </si>
  <si>
    <t>HOSTARIA DELLA POSTA</t>
  </si>
  <si>
    <t>via Carrozze Vaccili 6</t>
  </si>
  <si>
    <t>CASTELPLANIO</t>
  </si>
  <si>
    <t>www.hostariadellaposta.it</t>
  </si>
  <si>
    <t>info@hostariadellaposta.it</t>
  </si>
  <si>
    <t>S. ANNA</t>
  </si>
  <si>
    <t>via sant'anna 10</t>
  </si>
  <si>
    <t>www.campingagrituristsantanna.com</t>
  </si>
  <si>
    <t>tranqui@pasadena.it</t>
  </si>
  <si>
    <t>MONTE DESERTO</t>
  </si>
  <si>
    <t>via monticelli 15</t>
  </si>
  <si>
    <t>www.montedeserto.it</t>
  </si>
  <si>
    <t>chiedi@montedeserto.it</t>
  </si>
  <si>
    <t>B&amp;B IN CASA D'ARTE</t>
  </si>
  <si>
    <t>via sabatucci 23</t>
  </si>
  <si>
    <t>www.incasadarte.it</t>
  </si>
  <si>
    <t>info@incasadarte.it</t>
  </si>
  <si>
    <t>B&amp;B IN CASA D'ARTE - RESIDENZA STORICA</t>
  </si>
  <si>
    <t>piazza della liberta' 6</t>
  </si>
  <si>
    <t>AGRITURISMO LE PIAGGE</t>
  </si>
  <si>
    <t>via piagge novali 22</t>
  </si>
  <si>
    <t>www.lepiaggeagriturismo.it</t>
  </si>
  <si>
    <t>info@lepiaggeagriturismo.it</t>
  </si>
  <si>
    <t>VILLA STAFFIERI</t>
  </si>
  <si>
    <t>via Caciampa 6</t>
  </si>
  <si>
    <t>villastaffieri@btinternet.com</t>
  </si>
  <si>
    <t>B&amp;B ANNA RITA</t>
  </si>
  <si>
    <t>VIA 2 GIUGNO 21</t>
  </si>
  <si>
    <t>POZZETTO DI CASTELPLANIO</t>
  </si>
  <si>
    <t>ivomicucci@libero.it</t>
  </si>
  <si>
    <t>B&amp;B SAN LORENZO</t>
  </si>
  <si>
    <t>VICOLO SAN LORENZO 16</t>
  </si>
  <si>
    <t>CERRETO D'ESI</t>
  </si>
  <si>
    <t>www.sanlorenzobb.it</t>
  </si>
  <si>
    <t>p.stroppa@pecgeometrian.it</t>
  </si>
  <si>
    <t>VILLA INCROCCA</t>
  </si>
  <si>
    <t>Via Incrocca 2</t>
  </si>
  <si>
    <t>robystation@gmail.com</t>
  </si>
  <si>
    <t>B&amp;B LE MAGNOLIE</t>
  </si>
  <si>
    <t>via Verdi 20</t>
  </si>
  <si>
    <t>info.beblemagnolie@gmail.com</t>
  </si>
  <si>
    <t>IL SENTIERO DEGLI AILANTI</t>
  </si>
  <si>
    <t>via Rustichelle 8</t>
  </si>
  <si>
    <t>CERRETO D' ESI</t>
  </si>
  <si>
    <t>www.ilsentierodegliailanti.it</t>
  </si>
  <si>
    <t>info@ilsentierodegliailanti.it</t>
  </si>
  <si>
    <t>MADONNA DEL VECCHIO MORO</t>
  </si>
  <si>
    <t>via Nazario Sauro 1</t>
  </si>
  <si>
    <t>re.baldoni@tiscali.it</t>
  </si>
  <si>
    <t>DOMUS</t>
  </si>
  <si>
    <t>via dante 20</t>
  </si>
  <si>
    <t>www.hoteldomus.com</t>
  </si>
  <si>
    <t>info@hoteldomus.com</t>
  </si>
  <si>
    <t>LUMINARI</t>
  </si>
  <si>
    <t>corso Giacomo Matteotti 14</t>
  </si>
  <si>
    <t>CHIARAVALLE</t>
  </si>
  <si>
    <t>www.albergoluminari.it</t>
  </si>
  <si>
    <t>info@albergoluminari.it</t>
  </si>
  <si>
    <t>AFFITTACAMERE LA LOCOMOTIVA DI PAOLA PETRUCCI</t>
  </si>
  <si>
    <t>via Don Minzoni 31</t>
  </si>
  <si>
    <t>www.affittacamerelalocomotiva.it</t>
  </si>
  <si>
    <t>lalocomotiva01@tiscali.it</t>
  </si>
  <si>
    <t>B&amp;B MARCHE TOURISM</t>
  </si>
  <si>
    <t>via Don Minzoni (piano 4/5) 31</t>
  </si>
  <si>
    <t>IL CASALE DEL GUFO</t>
  </si>
  <si>
    <t>via Alberici 6</t>
  </si>
  <si>
    <t>www.casaledelgufo.it</t>
  </si>
  <si>
    <t>info@casaledelgufo.it</t>
  </si>
  <si>
    <t>LA LOCOMOTIVA CAFE' DI P. PETRUCCI srl UNIPERSONALE</t>
  </si>
  <si>
    <t>CANTINA LANGELINA</t>
  </si>
  <si>
    <t>viadelle Ville 53</t>
  </si>
  <si>
    <t>CORINALDO</t>
  </si>
  <si>
    <t>www.cantinalangelina.com</t>
  </si>
  <si>
    <t>info@cantinalangelina.it</t>
  </si>
  <si>
    <t>CASALE DEL VECCHIO MORO</t>
  </si>
  <si>
    <t>strada dei Rossi 17</t>
  </si>
  <si>
    <t>frazione Madonna del Piano</t>
  </si>
  <si>
    <t>manuela.lenci@virgilio.it - martinaregni@yahoo.it</t>
  </si>
  <si>
    <t>RICOLANDO</t>
  </si>
  <si>
    <t>via Nevola 66</t>
  </si>
  <si>
    <t>info@ricolando.it</t>
  </si>
  <si>
    <t>B&amp;B PALAZZO BOSCARETO</t>
  </si>
  <si>
    <t>Via N. Boscareto 4</t>
  </si>
  <si>
    <t>www.palazzoboscareto.com</t>
  </si>
  <si>
    <t>info@palazzoboscareto.com</t>
  </si>
  <si>
    <t>B&amp;B IL TRAMONTO</t>
  </si>
  <si>
    <t>via Per Montalboddo 54</t>
  </si>
  <si>
    <t>www.colverde.com</t>
  </si>
  <si>
    <t>massimo.perticaroli@hotmail.it</t>
  </si>
  <si>
    <t>CASA DI VENTUROLI</t>
  </si>
  <si>
    <t>strada dei Venturoli 6</t>
  </si>
  <si>
    <t>NADIA CHIAPPA</t>
  </si>
  <si>
    <t>via Borgo di Sotto 3</t>
  </si>
  <si>
    <t>LENCI LORENZA</t>
  </si>
  <si>
    <t>viale degli Eroi 33</t>
  </si>
  <si>
    <t>manuela.lenci@virgilio.it</t>
  </si>
  <si>
    <t>ROSSI TOMMASO</t>
  </si>
  <si>
    <t>via del Corso 31 31</t>
  </si>
  <si>
    <t>tommasoros@tiscalinet.it</t>
  </si>
  <si>
    <t>AGRITURISMO ASHRAM JOYTINAT</t>
  </si>
  <si>
    <t>via Ripa 24</t>
  </si>
  <si>
    <t>ashram@joytinat.it</t>
  </si>
  <si>
    <t>IL SETTIMO BORGO DI VOETMAN</t>
  </si>
  <si>
    <t>Viale Degli Eroi 78</t>
  </si>
  <si>
    <t>www.ilsettimoborgo.it</t>
  </si>
  <si>
    <t>info@ilsettimoborgo.it</t>
  </si>
  <si>
    <t>AGRITURISMO ALLA VECCHIA CASCINA</t>
  </si>
  <si>
    <t>via lepri 10</t>
  </si>
  <si>
    <t>www.agriturismocorinaldo.it</t>
  </si>
  <si>
    <t>info@agriturismocorinaldo.it</t>
  </si>
  <si>
    <t>CASALANTICO</t>
  </si>
  <si>
    <t>strada conagrande 8</t>
  </si>
  <si>
    <t>www.casalantico.it</t>
  </si>
  <si>
    <t>info@casalantico.it</t>
  </si>
  <si>
    <t>B&amp;B SPENSIERANDO</t>
  </si>
  <si>
    <t>via sant' isidoro 40</t>
  </si>
  <si>
    <t>ivan.garbatini@alice.it</t>
  </si>
  <si>
    <t>B&amp;B DA ROBY</t>
  </si>
  <si>
    <t>via claudio ridolfi 10</t>
  </si>
  <si>
    <t>luciagiov@tin.it</t>
  </si>
  <si>
    <t>B&amp;B IL SETTIMO BORGO</t>
  </si>
  <si>
    <t>viale degli eroi 78</t>
  </si>
  <si>
    <t>AREA DI SOSTA CAMPER - CORINALDO</t>
  </si>
  <si>
    <t>VIA PECCIAMEGLIO SNC</t>
  </si>
  <si>
    <t>B&amp;B CORINALDO HOLIDAY</t>
  </si>
  <si>
    <t>strada dei sartini 10</t>
  </si>
  <si>
    <t>www.corinaldoholiday.it</t>
  </si>
  <si>
    <t>info@corinaldoholiday.it</t>
  </si>
  <si>
    <t>B&amp;B CASA DEL FONTE</t>
  </si>
  <si>
    <t>strada fonte di vincareto 10</t>
  </si>
  <si>
    <t>www.casadelfonte.it</t>
  </si>
  <si>
    <t>info@casadelfonte.it</t>
  </si>
  <si>
    <t>B&amp;B TORRE SAN LORENZETTO</t>
  </si>
  <si>
    <t>via del montale 113</t>
  </si>
  <si>
    <t>vitro@libero.it</t>
  </si>
  <si>
    <t>B&amp;B CASA ADAGIO</t>
  </si>
  <si>
    <t>Strada Fosso di Ripe 16</t>
  </si>
  <si>
    <t>www.casa-adagio.de</t>
  </si>
  <si>
    <t>info@casa-adagio.de</t>
  </si>
  <si>
    <t>ATTIVITA' RICETTIVA RURALE - LEONDINA COUNTRY HOUSE</t>
  </si>
  <si>
    <t>via san bartolo 76</t>
  </si>
  <si>
    <t>www.leondinacountryhouse.it</t>
  </si>
  <si>
    <t>info@leondinacountryhouse.it</t>
  </si>
  <si>
    <t>COLVERDE</t>
  </si>
  <si>
    <t>via per Montalboddo 52</t>
  </si>
  <si>
    <t>info@colverde.com</t>
  </si>
  <si>
    <t>IL VILLINO CAMPAGNOLO</t>
  </si>
  <si>
    <t>INCANCELLATA</t>
  </si>
  <si>
    <t>AL CASOLARE</t>
  </si>
  <si>
    <t>via Corinaldese 6</t>
  </si>
  <si>
    <t>www.alcasolare.it</t>
  </si>
  <si>
    <t>info@alcasolare.it</t>
  </si>
  <si>
    <t>B&amp;B  ADRIANA</t>
  </si>
  <si>
    <t>vicolo del quattrocento 2</t>
  </si>
  <si>
    <t>www.bbadriana-corinaldo.com</t>
  </si>
  <si>
    <t>adrianacoccioni@tiscali.it</t>
  </si>
  <si>
    <t>CASA DA BIANCA</t>
  </si>
  <si>
    <t>Via Costa San Giovanni 11</t>
  </si>
  <si>
    <t>elemov@libero.it</t>
  </si>
  <si>
    <t>DA MARA</t>
  </si>
  <si>
    <t>Via Don Minzoni 1</t>
  </si>
  <si>
    <t>HOTEL RISTORANTE I TIGLI</t>
  </si>
  <si>
    <t>via del teatro 31</t>
  </si>
  <si>
    <t>www.corinaldoalbergodiffuso.it</t>
  </si>
  <si>
    <t>cantinalangelina@libero.it</t>
  </si>
  <si>
    <t>ALOISI SERENA</t>
  </si>
  <si>
    <t>via Santa Maria Goretti  6</t>
  </si>
  <si>
    <t>serealo77@gmail.com</t>
  </si>
  <si>
    <t>IL GIGLIO</t>
  </si>
  <si>
    <t>via del corso 8</t>
  </si>
  <si>
    <t>www.hotelgigliocorinaldo.com</t>
  </si>
  <si>
    <t>info@corinaldoalbergodiffuso.it</t>
  </si>
  <si>
    <t>FILIPPO CAPOTONDI</t>
  </si>
  <si>
    <t>via Ridolfi 12</t>
  </si>
  <si>
    <t>millola75@gmail.com</t>
  </si>
  <si>
    <t>Via Don G. Minzoni 1</t>
  </si>
  <si>
    <t>http://bebdamara.it/</t>
  </si>
  <si>
    <t>marisa.berti46@gmail.com</t>
  </si>
  <si>
    <t>B&amp;B AL VECCHIO CIPRESSO</t>
  </si>
  <si>
    <t>Via Corinaldese 32</t>
  </si>
  <si>
    <t>nelloros.jimdo.com</t>
  </si>
  <si>
    <t>lalaurina80@libero.it</t>
  </si>
  <si>
    <t>APPARTAMENTO ROBERT BUNNENS</t>
  </si>
  <si>
    <t>Strada Palazzo Bracci 11</t>
  </si>
  <si>
    <t>bunnens@hotmail.com</t>
  </si>
  <si>
    <t>MORNING GLORY</t>
  </si>
  <si>
    <t>Via G. Annibaldi 15</t>
  </si>
  <si>
    <t>CUPRAMONTANA</t>
  </si>
  <si>
    <t>morning@email.it</t>
  </si>
  <si>
    <t>LE CASCE</t>
  </si>
  <si>
    <t>BOVIO  36</t>
  </si>
  <si>
    <t>www.lecasce.it</t>
  </si>
  <si>
    <t>erry60@hotmail.com</t>
  </si>
  <si>
    <t>AL VICOLETTO</t>
  </si>
  <si>
    <t>M.CAPPONI 17</t>
  </si>
  <si>
    <t>aritarinaldi@live.com</t>
  </si>
  <si>
    <t>B&amp;B LE MACINE DA PIERO'</t>
  </si>
  <si>
    <t>via interno Cupro 9/b</t>
  </si>
  <si>
    <t>fiorentini.48@virgilio.it</t>
  </si>
  <si>
    <t>ANTERA</t>
  </si>
  <si>
    <t>Via Valle 36</t>
  </si>
  <si>
    <t>teresacatani@libero.it</t>
  </si>
  <si>
    <t>BOCK BRITTA</t>
  </si>
  <si>
    <t>Via San Marco di Sotto 20</t>
  </si>
  <si>
    <t>britabock@gmx.de</t>
  </si>
  <si>
    <t>CASA MANCIANO</t>
  </si>
  <si>
    <t>Via Manciano 38</t>
  </si>
  <si>
    <t>info@casa-manciano.de</t>
  </si>
  <si>
    <t>DE DOMENICO GRAZIELLA</t>
  </si>
  <si>
    <t>Via S. Bartolomeo 14</t>
  </si>
  <si>
    <t>gdedomenico@live.com</t>
  </si>
  <si>
    <t>VILLA NUNZIA</t>
  </si>
  <si>
    <t>Via Palazzi 19</t>
  </si>
  <si>
    <t>nunzia.poesia@alice.it</t>
  </si>
  <si>
    <t>DI NISIO FRANCESCA</t>
  </si>
  <si>
    <t>dinisiofrancesca@libero.it</t>
  </si>
  <si>
    <t>LE MANDRIOLE</t>
  </si>
  <si>
    <t>via Mandriole 12</t>
  </si>
  <si>
    <t>www.lemandriole.it</t>
  </si>
  <si>
    <t>info@lemandriole.it</t>
  </si>
  <si>
    <t>LA DISTESA</t>
  </si>
  <si>
    <t>Via Romita 28</t>
  </si>
  <si>
    <t>www.ladistesa.it</t>
  </si>
  <si>
    <t>distesa@libero.it</t>
  </si>
  <si>
    <t>B&amp;B LA GIRANDOLA</t>
  </si>
  <si>
    <t>via Piana 66</t>
  </si>
  <si>
    <t>www.lagirandola.eu</t>
  </si>
  <si>
    <t>info@lagirandola.eu</t>
  </si>
  <si>
    <t>OSTELLO DELLA GIOVENTU' PARCO COLLE ELISA AMATORI</t>
  </si>
  <si>
    <t>Via Elisa Amatori 2</t>
  </si>
  <si>
    <t>info@caffeimperialejesi.it</t>
  </si>
  <si>
    <t>B&amp;B MULINO BARCHIO di PATRICK HOULIHAN</t>
  </si>
  <si>
    <t>via Barchio 3</t>
  </si>
  <si>
    <t>www.barchio.it</t>
  </si>
  <si>
    <t>info@barchio.it</t>
  </si>
  <si>
    <t>B&amp;B MULINO BARCHIO di ENZO FAZIO</t>
  </si>
  <si>
    <t>B&amp;B CANTINONE</t>
  </si>
  <si>
    <t>via Esinante 6</t>
  </si>
  <si>
    <t>www.cantinone.eu</t>
  </si>
  <si>
    <t>info@cantinone.eu</t>
  </si>
  <si>
    <t>B&amp;B LA NICCHIA</t>
  </si>
  <si>
    <t>via roma 91</t>
  </si>
  <si>
    <t>cherubini.simone@alice.it</t>
  </si>
  <si>
    <t>ROSE DI FRATTA</t>
  </si>
  <si>
    <t>viale della liberta' 1</t>
  </si>
  <si>
    <t>www.rosedifratta.it</t>
  </si>
  <si>
    <t>rosedifratta@gmail.com</t>
  </si>
  <si>
    <t>I TRE PAESI</t>
  </si>
  <si>
    <t>via Romita 16</t>
  </si>
  <si>
    <t>www.trepaesi.eu</t>
  </si>
  <si>
    <t>info@trepaesi.com</t>
  </si>
  <si>
    <t>B&amp;B LA MADONNINA</t>
  </si>
  <si>
    <t>via Santa Maria 1</t>
  </si>
  <si>
    <t>bb.lamadonnina@alice.it</t>
  </si>
  <si>
    <t>B&amp;B PODERE IL LECCIO</t>
  </si>
  <si>
    <t>via San Marco di Sotto 16</t>
  </si>
  <si>
    <t>www.podereilleccio.it</t>
  </si>
  <si>
    <t>podereilleccio@gmail.com; mauriziofico@gmail.com</t>
  </si>
  <si>
    <t>B&amp;B CASCINALE LA MIMOSA</t>
  </si>
  <si>
    <t>via Spescia 14</t>
  </si>
  <si>
    <t>www.cascinalelamimosa.it</t>
  </si>
  <si>
    <t>green@cascinalelamimosa.it</t>
  </si>
  <si>
    <t>AREA DI SOSTA CAMPER - CUPRA MONTANA</t>
  </si>
  <si>
    <t>parcocollelisa@gmail.com</t>
  </si>
  <si>
    <t>B&amp;B IL BACO</t>
  </si>
  <si>
    <t>piazza iv novembre 104</t>
  </si>
  <si>
    <t>www.ilbaco.net</t>
  </si>
  <si>
    <t>info@ilbaco.net; francaustralia@tiscali.it</t>
  </si>
  <si>
    <t>CASA CANTALUPO</t>
  </si>
  <si>
    <t>via Cantalupo 9</t>
  </si>
  <si>
    <t>www.casa-cantalupo.com</t>
  </si>
  <si>
    <t>casacantalupo@aol.com</t>
  </si>
  <si>
    <t>B&amp;B LO SFIZIO</t>
  </si>
  <si>
    <t>vicolo Leoni 3</t>
  </si>
  <si>
    <t>www.bblosfizio.it</t>
  </si>
  <si>
    <t>lory.lagoccia@libero.it</t>
  </si>
  <si>
    <t>B&amp;B CASA AURORA</t>
  </si>
  <si>
    <t>via Pezzole 9</t>
  </si>
  <si>
    <t>http://www.casa-aurora.it</t>
  </si>
  <si>
    <t>info@casa-aurora.it</t>
  </si>
  <si>
    <t>www.casa-aurora.it</t>
  </si>
  <si>
    <t>LA LUCCIOLA 2 DI CORNILS MAIKE</t>
  </si>
  <si>
    <t>via Pietrone 12</t>
  </si>
  <si>
    <t>info@lalucciola.de</t>
  </si>
  <si>
    <t>VIA LEOPARDI 82</t>
  </si>
  <si>
    <t>via Leopardi 82</t>
  </si>
  <si>
    <t>http://vialeopardi82.weebly.com/index.html</t>
  </si>
  <si>
    <t>demin.daniela@libero.it</t>
  </si>
  <si>
    <t>B&amp;B LA VALIGIA</t>
  </si>
  <si>
    <t>via Piana 43</t>
  </si>
  <si>
    <t>https://sites.google.com/site/beblavaligia/</t>
  </si>
  <si>
    <t>bedandbreakfastlavaligia@gmail.com</t>
  </si>
  <si>
    <t>LA LUCCIOLA 1 DI CORNILS BOY VOLQUART PETER</t>
  </si>
  <si>
    <t>via Pietrone  12</t>
  </si>
  <si>
    <t>www.lalucciola.de</t>
  </si>
  <si>
    <t>CASA PIETRONE di MARIO DELLA SCHIAVA</t>
  </si>
  <si>
    <t>via Pietrone  2</t>
  </si>
  <si>
    <t>Cupramontana</t>
  </si>
  <si>
    <t>www.casapietrone.it</t>
  </si>
  <si>
    <t>mariodschiava@gmail.com</t>
  </si>
  <si>
    <t>B&amp;B LEC E LAC</t>
  </si>
  <si>
    <t>via Manciano 7</t>
  </si>
  <si>
    <t>www.lecelac.com</t>
  </si>
  <si>
    <t>luisapellicioli@gmail.com</t>
  </si>
  <si>
    <t>LA MANCIANELLA</t>
  </si>
  <si>
    <t>Via Manciano 14/16</t>
  </si>
  <si>
    <t>www.lamancianella.it</t>
  </si>
  <si>
    <t>info@lamancianella.it</t>
  </si>
  <si>
    <t>B&amp;B GLI ELFI</t>
  </si>
  <si>
    <t>via Paganello 15</t>
  </si>
  <si>
    <t>silvia.zannini@tin.it; elficupramontana@gmail.com</t>
  </si>
  <si>
    <t>CASA RIPA</t>
  </si>
  <si>
    <t>via Ripa 9</t>
  </si>
  <si>
    <t>www.casaripa.com</t>
  </si>
  <si>
    <t>casaripa@gmail.com</t>
  </si>
  <si>
    <t>L'AMORINO</t>
  </si>
  <si>
    <t>via IV novembre 26</t>
  </si>
  <si>
    <t>eva.derrer@bluewin.ch</t>
  </si>
  <si>
    <t>B&amp;B AROMANTICA</t>
  </si>
  <si>
    <t>via Paganello 4</t>
  </si>
  <si>
    <t>contrada Paganello</t>
  </si>
  <si>
    <t>www.aromantica.net</t>
  </si>
  <si>
    <t>info@aromantica.net</t>
  </si>
  <si>
    <t>B&amp;B IL SORBO</t>
  </si>
  <si>
    <t>via Collamato 54</t>
  </si>
  <si>
    <t>FABRIANO</t>
  </si>
  <si>
    <t>www.ilsorbo.altervista.org</t>
  </si>
  <si>
    <t>adorno.trab@virgilio.it</t>
  </si>
  <si>
    <t>B&amp;B LA CASA DEI PAPI</t>
  </si>
  <si>
    <t>fraz. Collamato 15</t>
  </si>
  <si>
    <t>borgo San Giustino</t>
  </si>
  <si>
    <t>info@casadeipapi.it</t>
  </si>
  <si>
    <t>LA VITA E' BELLA</t>
  </si>
  <si>
    <t>Collegiglioni</t>
  </si>
  <si>
    <t>osteriafricando@libero.it</t>
  </si>
  <si>
    <t>via Cuna della Chiesa 7</t>
  </si>
  <si>
    <t>rolando.grimaccia@gmail.com</t>
  </si>
  <si>
    <t>AZIENDA AGRICOLA ATTIDIUM DI CARTONI ALICE</t>
  </si>
  <si>
    <t>località Attiggio 61</t>
  </si>
  <si>
    <t>attidium@hotmail.it</t>
  </si>
  <si>
    <t>LE QUADRELLE</t>
  </si>
  <si>
    <t>frazione Rocchetta 51</t>
  </si>
  <si>
    <t>frazione Rocchetta</t>
  </si>
  <si>
    <t>presidenza@castelvecchio.org</t>
  </si>
  <si>
    <t>www.castelvecchio.org</t>
  </si>
  <si>
    <t>B&amp;B PORTA DEL PIANO</t>
  </si>
  <si>
    <t>viale G. Miliani 3</t>
  </si>
  <si>
    <t>www.bbportadelpiano.it</t>
  </si>
  <si>
    <t>r.mearelli@gmail.com</t>
  </si>
  <si>
    <t>B&amp;B L'ARMONIA</t>
  </si>
  <si>
    <t>via Serraloggia 186</t>
  </si>
  <si>
    <t>mauriziobuselli19@gmail.com</t>
  </si>
  <si>
    <t>LA CASA DI CAMPAGNA</t>
  </si>
  <si>
    <t>frazione Bassano 32</t>
  </si>
  <si>
    <t>FRAZIONE BASSANO</t>
  </si>
  <si>
    <t>www.lacasadicampagnafabriano.it</t>
  </si>
  <si>
    <t>info@lacasadicampagnafabriano.it</t>
  </si>
  <si>
    <t>ANTICA DIMORA</t>
  </si>
  <si>
    <t>frazione San Donato 159/e</t>
  </si>
  <si>
    <t>euro.cesaroni@libero.it</t>
  </si>
  <si>
    <t>TENUTA SAN CASSIANO</t>
  </si>
  <si>
    <t>LOCALITA' SAN CASSIANO 35</t>
  </si>
  <si>
    <t>SAN CASSIANO</t>
  </si>
  <si>
    <t>www.tenutasancassiano.it</t>
  </si>
  <si>
    <t>info@tenutasancassiano.it</t>
  </si>
  <si>
    <t>VILLA CENSI MANCIA</t>
  </si>
  <si>
    <t>via Gaspare Spontini 2</t>
  </si>
  <si>
    <t>ALBACINA</t>
  </si>
  <si>
    <t>www.villacensimancia.it</t>
  </si>
  <si>
    <t>info@villacensimancia.it</t>
  </si>
  <si>
    <t>AIA D'ALTO</t>
  </si>
  <si>
    <t>FRAZIONE MELANO 38/a</t>
  </si>
  <si>
    <t>www.aiadalto.it</t>
  </si>
  <si>
    <t>info@aiadalto.it</t>
  </si>
  <si>
    <t>B&amp;B NUOVA LOGGIA</t>
  </si>
  <si>
    <t>via Serraloggia 151</t>
  </si>
  <si>
    <t>www.bblelogge.it</t>
  </si>
  <si>
    <t>nuovaloggia@gmail.com</t>
  </si>
  <si>
    <t>B&amp;B IL BOSCO DI VALARGUE</t>
  </si>
  <si>
    <t>frazione campodiegoli 71</t>
  </si>
  <si>
    <t>B&amp;B LA TANA DELLA TIGRE</t>
  </si>
  <si>
    <t>frazione coccore 10</t>
  </si>
  <si>
    <t>www.latanadellatigre.com</t>
  </si>
  <si>
    <t>np.tigre@email.it</t>
  </si>
  <si>
    <t>AREA SOSTA CAMPER - FABRIANO</t>
  </si>
  <si>
    <t>ZONA IMPIANTI SPORTIVI</t>
  </si>
  <si>
    <t>AREA SOSTA CAMPER - POGGIO SAN ROMUALDO</t>
  </si>
  <si>
    <t>LOC. POGGIO SAN ROMUALDO</t>
  </si>
  <si>
    <t>IL MOSAICO DEL PENSIERO</t>
  </si>
  <si>
    <t>via San Mariano 51</t>
  </si>
  <si>
    <t>B&amp;B LA CASINA DEL VICOLO DI SOTTO</t>
  </si>
  <si>
    <t>frazione castelletta 11/Z</t>
  </si>
  <si>
    <t>www.lacasinadelvicolodisotto.it</t>
  </si>
  <si>
    <t>info@lacasinadelvicolodisotto.it</t>
  </si>
  <si>
    <t>AGRITURISMO CASTELVECCHIO</t>
  </si>
  <si>
    <t>via castelvecchio 48</t>
  </si>
  <si>
    <t>www.agriturismocastelvecchio.it</t>
  </si>
  <si>
    <t>info@agriturismocastelvecchio.it</t>
  </si>
  <si>
    <t>AGRITURISMO STROPPA ELEONORA</t>
  </si>
  <si>
    <t>la pieve moscano 59</t>
  </si>
  <si>
    <t>elestroppa84@hotmail.it</t>
  </si>
  <si>
    <t>AGRITURISMO COLLE SERRONE</t>
  </si>
  <si>
    <t>frazione precicchie 19</t>
  </si>
  <si>
    <t>www.agriturismocolleserrone.it</t>
  </si>
  <si>
    <t>info@agriturismocolleserrone.it</t>
  </si>
  <si>
    <t>AGRITURISMO IL VECCHIO GELSO</t>
  </si>
  <si>
    <t>Frazione Melano 102</t>
  </si>
  <si>
    <t>www.ilgelsoagriturismo.com</t>
  </si>
  <si>
    <t>info@ilgelsoagriturismo.com</t>
  </si>
  <si>
    <t>B&amp;B FONTEFRESCA</t>
  </si>
  <si>
    <t>frazione moscano vallemontagnana 111</t>
  </si>
  <si>
    <t>www.fontefresca.com</t>
  </si>
  <si>
    <t>info@fontefresca.com</t>
  </si>
  <si>
    <t>AGRITURISMO STROPPA VALENTINA</t>
  </si>
  <si>
    <t>via fonte vecchia  10</t>
  </si>
  <si>
    <t>collamato</t>
  </si>
  <si>
    <t>fontevecchia2@libero.it</t>
  </si>
  <si>
    <t>AFFITTACAMERE LATINI LUCIA</t>
  </si>
  <si>
    <t>localita' civita 43</t>
  </si>
  <si>
    <t>www.villagioiacivita.it</t>
  </si>
  <si>
    <t>info@villagioiacivita.it</t>
  </si>
  <si>
    <t>AGRITURISMO SAN ROMUALDO</t>
  </si>
  <si>
    <t>frazione Poggio San Romualdo 1</t>
  </si>
  <si>
    <t>www.valdicastro.it</t>
  </si>
  <si>
    <t>info@valdicastro.it</t>
  </si>
  <si>
    <t>AGRITURISMO FIORDALISO</t>
  </si>
  <si>
    <t>localita' Civita 39</t>
  </si>
  <si>
    <t>agri.fiordaliso@libero.it</t>
  </si>
  <si>
    <t>AZIENDA AGRARIA ROCCHETTA</t>
  </si>
  <si>
    <t>frazione rocchetta 23</t>
  </si>
  <si>
    <t>fabio.raggi@alice.it</t>
  </si>
  <si>
    <t>B&amp;B MAGGIOCIONDOLO</t>
  </si>
  <si>
    <t>Frazione Rocchetta 58</t>
  </si>
  <si>
    <t>www.maggiociondolo.com</t>
  </si>
  <si>
    <t>bebmaggiociondolo@libero.it</t>
  </si>
  <si>
    <t>LOCANDA TAVERNA DA IVO</t>
  </si>
  <si>
    <t>via vittorio veneto 14</t>
  </si>
  <si>
    <t>tavernadaivo@tiscali.it</t>
  </si>
  <si>
    <t>ANTICA LOGGIA</t>
  </si>
  <si>
    <t>via Serraloggia 188</t>
  </si>
  <si>
    <t>MASTRO MARINO</t>
  </si>
  <si>
    <t>Piazzale XX Settembre 33</t>
  </si>
  <si>
    <t>info@hotelmastromarino.it</t>
  </si>
  <si>
    <t>AGRITURISMO SASCIA</t>
  </si>
  <si>
    <t>via Lamberto Corsi 150</t>
  </si>
  <si>
    <t>ABBAZIA DI SAN BIAGIO IL CAPRILE</t>
  </si>
  <si>
    <t>frazione Campodonico 91/b</t>
  </si>
  <si>
    <t>www.sanbiagioincaprile.it</t>
  </si>
  <si>
    <t>hostellosanbiagio@libero.it</t>
  </si>
  <si>
    <t>LOCANDA DEL GRILLO</t>
  </si>
  <si>
    <t>frazione rocchetta 72</t>
  </si>
  <si>
    <t>www.marchesedelgrillo.com</t>
  </si>
  <si>
    <t>info@marchesedelgrillo.com</t>
  </si>
  <si>
    <t>Camere VILLA DEI TIGLI Ristorante</t>
  </si>
  <si>
    <t>Località Piaggia d'Olmo 54</t>
  </si>
  <si>
    <t>www.villadeitigli.net</t>
  </si>
  <si>
    <t>info@villadeitigli.net</t>
  </si>
  <si>
    <t>DEL CENTRO STORICO</t>
  </si>
  <si>
    <t>via filippo corridoni 24</t>
  </si>
  <si>
    <t>affittacamerecentrostorico@legalmail.it</t>
  </si>
  <si>
    <t>camere VILLA DEI TIGLI ristorante</t>
  </si>
  <si>
    <t>Frazione Melano, 102 102</t>
  </si>
  <si>
    <t>SAN LORENZO</t>
  </si>
  <si>
    <t>frazione san michele 91</t>
  </si>
  <si>
    <t>www.agriturismosanlorenzo.net</t>
  </si>
  <si>
    <t>info@agriturismosanlorenzo.net</t>
  </si>
  <si>
    <t>FATTORIA LA GINESTRA</t>
  </si>
  <si>
    <t>via serraloggia 203</t>
  </si>
  <si>
    <t>anto.marcaccini@libero.it</t>
  </si>
  <si>
    <t>AGRITURISMO IL FAGGIO</t>
  </si>
  <si>
    <t>frazione serradica 137</t>
  </si>
  <si>
    <t>www.agriturismoilfaggio.it</t>
  </si>
  <si>
    <t>info@agriturismoilfaggio.it</t>
  </si>
  <si>
    <t>AGRITURISMO "GOCCE DI CAMARZANO"</t>
  </si>
  <si>
    <t>frazione MOSCANO   70</t>
  </si>
  <si>
    <t>www.goccedicamarzano.it</t>
  </si>
  <si>
    <t>goccedicamarzano@libero.it</t>
  </si>
  <si>
    <t>VILLA MARCHESE DEL GRILLO</t>
  </si>
  <si>
    <t>frazione rocchetta 73</t>
  </si>
  <si>
    <t>BORGO ANTICO</t>
  </si>
  <si>
    <t>loc.Borgo Tufico 32</t>
  </si>
  <si>
    <t>loc.Borgo Tufico</t>
  </si>
  <si>
    <t>www.hotelborgoanticofabriano.com</t>
  </si>
  <si>
    <t>info@hotelborgoanticofabriano.com</t>
  </si>
  <si>
    <t>GENTILE DA FABRIANO</t>
  </si>
  <si>
    <t>VIA DI VITTORIO 13B</t>
  </si>
  <si>
    <t>www.hotelgentile.it</t>
  </si>
  <si>
    <t>info@hotelgentile.it</t>
  </si>
  <si>
    <t>HOTEL 2000</t>
  </si>
  <si>
    <t>via aurelio zonghi 1</t>
  </si>
  <si>
    <t>www.2000hotel.it</t>
  </si>
  <si>
    <t>info@2000hotel.it</t>
  </si>
  <si>
    <t>JANUS HOTEL FABRIANO</t>
  </si>
  <si>
    <t>P.le Giacomo Matteotti 45</t>
  </si>
  <si>
    <t>www.janussocietacooperativa.it</t>
  </si>
  <si>
    <t>info@janussocietacooperativa.it</t>
  </si>
  <si>
    <t>NORMA</t>
  </si>
  <si>
    <t>frazione poggio san romualdo 1</t>
  </si>
  <si>
    <t>www.albergonorma.it</t>
  </si>
  <si>
    <t>info@albergonorma.it</t>
  </si>
  <si>
    <t>HOTEL RISTORANTE PINETA</t>
  </si>
  <si>
    <t>località Campodonico di Fabriano 102</t>
  </si>
  <si>
    <t>Fabriano</t>
  </si>
  <si>
    <t>www.pinetahotel.com</t>
  </si>
  <si>
    <t>info@pinetahotel.com</t>
  </si>
  <si>
    <t>B&amp;B VETRALLA</t>
  </si>
  <si>
    <t>Via Cortina San Venanzo 13</t>
  </si>
  <si>
    <t>www.bbvetralla.it</t>
  </si>
  <si>
    <t>info@bbvetralla.it</t>
  </si>
  <si>
    <t>RESIDENZA LA CERAMICA</t>
  </si>
  <si>
    <t>via della ceramica 10</t>
  </si>
  <si>
    <t>www.residenzalaceramica.com</t>
  </si>
  <si>
    <t>info@residenzalaceramica.com</t>
  </si>
  <si>
    <t>HOTEL LE MUSE</t>
  </si>
  <si>
    <t>via Cavour 106</t>
  </si>
  <si>
    <t>info@hotellemusefabriano.it</t>
  </si>
  <si>
    <t>B&amp;B IL RIFUGIO DEL PITTORE</t>
  </si>
  <si>
    <t>via Cavallotti 6</t>
  </si>
  <si>
    <t>2° vicolo via Cavallotti</t>
  </si>
  <si>
    <t>info@ilrifugiodelpittore.it</t>
  </si>
  <si>
    <t>IL GRANAIO DI COLLE VICHINANO</t>
  </si>
  <si>
    <t>loc. Paterno, colle Cataldo</t>
  </si>
  <si>
    <t>www.homerentitaly.com</t>
  </si>
  <si>
    <t>info@homerentitaly.it</t>
  </si>
  <si>
    <t>via Serraloggia 184</t>
  </si>
  <si>
    <t>massaf.cfm@libero.it</t>
  </si>
  <si>
    <t>ANGELONI STEFANIA</t>
  </si>
  <si>
    <t>frazione Varano 13/a</t>
  </si>
  <si>
    <t>villacolle@libero.it</t>
  </si>
  <si>
    <t>CROCETTI SANDRA</t>
  </si>
  <si>
    <t>Fraz. COCCORE  2/A</t>
  </si>
  <si>
    <t>scrocetti0206@gmail.com</t>
  </si>
  <si>
    <t>B&amp;B DI GABRIELE ARGIGNANO</t>
  </si>
  <si>
    <t>ARGIGNANO  4L</t>
  </si>
  <si>
    <t>tinti.gabriele@yahoo.it</t>
  </si>
  <si>
    <t>LA CASTELLAIA RESORT</t>
  </si>
  <si>
    <t>FRAZ.MOSCANO  62</t>
  </si>
  <si>
    <t>janus@pec.it</t>
  </si>
  <si>
    <t>LA DIMORA DEL CAPITANO</t>
  </si>
  <si>
    <t>fogliardi 24</t>
  </si>
  <si>
    <t>kristinareds88@yahoo.it</t>
  </si>
  <si>
    <t>LOCALITA' SAN CASSIANO 38</t>
  </si>
  <si>
    <t>LA PALOMBAIA</t>
  </si>
  <si>
    <t>FRAZIONE PATERNO  51</t>
  </si>
  <si>
    <t>lapalombaia@postecert.it</t>
  </si>
  <si>
    <t>B&amp;B FABERIUS</t>
  </si>
  <si>
    <t>Via Ramelli 104</t>
  </si>
  <si>
    <t>faberiusfabriano@gmail.com</t>
  </si>
  <si>
    <t>RESIDENZA CASTELLETTA</t>
  </si>
  <si>
    <t>Località Castelletta 108/A</t>
  </si>
  <si>
    <t>CASTELLETTA</t>
  </si>
  <si>
    <t>info@ilchirottero.it</t>
  </si>
  <si>
    <t>LA PORTELLA di RICCARDI PAOLA</t>
  </si>
  <si>
    <t>Via Damiano Chiesa 16</t>
  </si>
  <si>
    <t>info@beblaportella.it</t>
  </si>
  <si>
    <t>B&amp;B DEL PODESTA'</t>
  </si>
  <si>
    <t>Corso della Repubblica 33</t>
  </si>
  <si>
    <t>info@bbdelpodesta.it</t>
  </si>
  <si>
    <t>C'ERA UNA VOLTA</t>
  </si>
  <si>
    <t>Viale Serafini 75</t>
  </si>
  <si>
    <t>ceraunavolta.fabriano@gmail.com</t>
  </si>
  <si>
    <t>B&amp;B IL CONVENTINO 44</t>
  </si>
  <si>
    <t>Via Conventino 56</t>
  </si>
  <si>
    <t>www.bbilconventino44.it</t>
  </si>
  <si>
    <t>m.borsini@alice.it</t>
  </si>
  <si>
    <t>BARCAGLIONE  15</t>
  </si>
  <si>
    <t>francagabrielloni@hotmail.com</t>
  </si>
  <si>
    <t>B&amp;B CIPRIANI MARCO</t>
  </si>
  <si>
    <t>via I.Nievo 8</t>
  </si>
  <si>
    <t>Falconara Marittima</t>
  </si>
  <si>
    <t>www.airbnb.it</t>
  </si>
  <si>
    <t>flyout@tiscali.it</t>
  </si>
  <si>
    <t>DA VINCI</t>
  </si>
  <si>
    <t>via Andrea Costa 19</t>
  </si>
  <si>
    <t>info@residenzaleonardo.com</t>
  </si>
  <si>
    <t>HOTEL TOURING</t>
  </si>
  <si>
    <t>via degli Spagnoli 18</t>
  </si>
  <si>
    <t>www.touringhotel.it</t>
  </si>
  <si>
    <t>info@touringhotel.it</t>
  </si>
  <si>
    <t>TENDA VERDE</t>
  </si>
  <si>
    <t>via lorenzo cesanelli 4</t>
  </si>
  <si>
    <t>www.hoteltendaverde.it</t>
  </si>
  <si>
    <t>verdeconero@libero.it - info@hoteltendaverde.it</t>
  </si>
  <si>
    <t>TRENTO-TRIESTE</t>
  </si>
  <si>
    <t>via Marsala 22</t>
  </si>
  <si>
    <t>albergotrentotrieste@gmail.com</t>
  </si>
  <si>
    <t>MOSCATELLI PAOLO</t>
  </si>
  <si>
    <t>via Antonio Fratti 17</t>
  </si>
  <si>
    <t>IMMOBILIARE SAN VITO</t>
  </si>
  <si>
    <t>via palombina vecchia 18</t>
  </si>
  <si>
    <t>gardoni.rolando@tiscali.it</t>
  </si>
  <si>
    <t>IL CAPRICCIO di SAPONE ANNA MARIA</t>
  </si>
  <si>
    <t>SS Adriatica 21</t>
  </si>
  <si>
    <t>ristorante.capriccio@libero.it</t>
  </si>
  <si>
    <t>ROCCA MARE</t>
  </si>
  <si>
    <t>via Adriatica snc</t>
  </si>
  <si>
    <t>www.campingroccamare.it</t>
  </si>
  <si>
    <t>info@campingroccamare.it</t>
  </si>
  <si>
    <t>SOLARIA BEACH VILLAGE - BAGNI 22 E 23</t>
  </si>
  <si>
    <t>Sottopasso Via Goito snc snc</t>
  </si>
  <si>
    <t>info@solariabeachvillage.it</t>
  </si>
  <si>
    <t>www.solariabeachvillage.it</t>
  </si>
  <si>
    <t>B&amp;B RESIDENZA LEONARDO</t>
  </si>
  <si>
    <t>www.residenzaleonardo.com</t>
  </si>
  <si>
    <t>LA ROCCA di PRENNA FRANCO</t>
  </si>
  <si>
    <t>via clementina 15</t>
  </si>
  <si>
    <t>larocca.prenna@gmail.com</t>
  </si>
  <si>
    <t>ABBRONZATISSIMA</t>
  </si>
  <si>
    <t>BAGNI LA SALUTE</t>
  </si>
  <si>
    <t>via della stazione 1 1</t>
  </si>
  <si>
    <t>PICCHIO BEACH - BAGNI N° 7/8</t>
  </si>
  <si>
    <t>www.picchiobeach.it</t>
  </si>
  <si>
    <t>picchiobeach@gmail.com</t>
  </si>
  <si>
    <t>NEW TROPICAL</t>
  </si>
  <si>
    <t>BAGNI DANY</t>
  </si>
  <si>
    <t>LA VELA</t>
  </si>
  <si>
    <t>zannini.aea@tin.it</t>
  </si>
  <si>
    <t>MARCELLO &amp; WALTER S.N.C</t>
  </si>
  <si>
    <t>via Nino Bixio  18/a</t>
  </si>
  <si>
    <t>valtercremonesi90@gmail.com</t>
  </si>
  <si>
    <t>www.bagnimarcelloevalter.it</t>
  </si>
  <si>
    <t>RAFFYCLA</t>
  </si>
  <si>
    <t>via spagnoli 1 1</t>
  </si>
  <si>
    <t>WIND SURF</t>
  </si>
  <si>
    <t>BAGNI VITTORIA</t>
  </si>
  <si>
    <t>NERO DI SEPPIA-ALMOSI SOC.COOP.</t>
  </si>
  <si>
    <t>nerodiseppia.an@gmail.com</t>
  </si>
  <si>
    <t>KOCO BEACH</t>
  </si>
  <si>
    <t>kocobeach14@libero.it</t>
  </si>
  <si>
    <t>LE PALME</t>
  </si>
  <si>
    <t>stabilimento.lepalme@alice.it</t>
  </si>
  <si>
    <t>BAGNI FANESI</t>
  </si>
  <si>
    <t>vicolo fornace 1 1</t>
  </si>
  <si>
    <t>MIRCO ED ALE</t>
  </si>
  <si>
    <t>via dei mille 1 1</t>
  </si>
  <si>
    <t>LIDO LA BUSSOLA</t>
  </si>
  <si>
    <t>Spiaggia Zona Disco snc snc</t>
  </si>
  <si>
    <t>LE RAGAZZE</t>
  </si>
  <si>
    <t>via flaminia 551 551</t>
  </si>
  <si>
    <t>leragazze16@libero.it</t>
  </si>
  <si>
    <t>GIEMME BAR' S Bagni 18</t>
  </si>
  <si>
    <t>via flaminia SNC SNC</t>
  </si>
  <si>
    <t>info@giemmebar.it</t>
  </si>
  <si>
    <t>www.giemmebar.it</t>
  </si>
  <si>
    <t>AZZURRA</t>
  </si>
  <si>
    <t>via goito 1 1</t>
  </si>
  <si>
    <t>LIDO AZZURRO</t>
  </si>
  <si>
    <t>d.farano@gmail.com</t>
  </si>
  <si>
    <t>BAGNI GABBIANO</t>
  </si>
  <si>
    <t>M.Spadoni@gruppoapi.com</t>
  </si>
  <si>
    <t>BLU</t>
  </si>
  <si>
    <t>casaliluca@alice.it</t>
  </si>
  <si>
    <t>BAGNI SUBWAY</t>
  </si>
  <si>
    <t>via caprera 1 1</t>
  </si>
  <si>
    <t>nicolasbaldoni@yahoo.it</t>
  </si>
  <si>
    <t>APPARTAMENTO USO TURISTICO LAURA CARRERA</t>
  </si>
  <si>
    <t>piazza leonida bissolati 1</t>
  </si>
  <si>
    <t>beagio@yahoo.it</t>
  </si>
  <si>
    <t>B&amp;B IL TESORO DI MARIO</t>
  </si>
  <si>
    <t>via Tesoro 9</t>
  </si>
  <si>
    <t>www.iltesorodimario.it</t>
  </si>
  <si>
    <t>info@iltesorodimario.it</t>
  </si>
  <si>
    <t>B&amp;B IL CASTELLO</t>
  </si>
  <si>
    <t>via Castello di Barcaglione  14</t>
  </si>
  <si>
    <t>loc. Barcaglione</t>
  </si>
  <si>
    <t>ilcastellodibarcaglione@gmail.com</t>
  </si>
  <si>
    <t>BALCONE DEL GOLFO</t>
  </si>
  <si>
    <t>via Cameranesi 39</t>
  </si>
  <si>
    <t>www.balconedelgolfo.it</t>
  </si>
  <si>
    <t>info@balconedelgolfo.it</t>
  </si>
  <si>
    <t>SIESTA</t>
  </si>
  <si>
    <t>via Trieste 1 1</t>
  </si>
  <si>
    <t>s.sensini@libero.it</t>
  </si>
  <si>
    <t>GRAZIOSO APPARTAMENTO</t>
  </si>
  <si>
    <t>via Leopardi 1/a</t>
  </si>
  <si>
    <t>graziosoappartamento@hotmail.com</t>
  </si>
  <si>
    <t>B&amp;B LA DIMORA</t>
  </si>
  <si>
    <t>via Tommasi 11</t>
  </si>
  <si>
    <t>loc.Castelferretti</t>
  </si>
  <si>
    <t>em.menga@alice.it</t>
  </si>
  <si>
    <t>APPARTAMENTO USO TURISTICO LAURA CARRERA 2</t>
  </si>
  <si>
    <t>via Bissolati 1</t>
  </si>
  <si>
    <t>Castelferretti</t>
  </si>
  <si>
    <t>GAMBELLI - VIA TASSO</t>
  </si>
  <si>
    <t>via Tasso 1</t>
  </si>
  <si>
    <t>obms@libero.it</t>
  </si>
  <si>
    <t>GAMBELLI - VIA ALFIERI</t>
  </si>
  <si>
    <t>via Alfieri 16</t>
  </si>
  <si>
    <t>B&amp;B VI-TA</t>
  </si>
  <si>
    <t>via Consorzio 43</t>
  </si>
  <si>
    <t>vi-ta@libero.it</t>
  </si>
  <si>
    <t>B&amp;B TUTTO ENTRO 300 MT</t>
  </si>
  <si>
    <t>via G. Leopardi 64</t>
  </si>
  <si>
    <t>fernandocerioni@libero.it</t>
  </si>
  <si>
    <t>AFFITTACAMERE F.LLI ROSSI</t>
  </si>
  <si>
    <t>via dell'Industria  85</t>
  </si>
  <si>
    <t>FILOTTRANO</t>
  </si>
  <si>
    <t>filottrano</t>
  </si>
  <si>
    <t>simonerossi1977@libero.it</t>
  </si>
  <si>
    <t>B&amp;B PRINCIPERTO</t>
  </si>
  <si>
    <t>via San Biagio  110</t>
  </si>
  <si>
    <t>robertocantori@libero.it</t>
  </si>
  <si>
    <t>AGRITURISMO LA ROVERELLA</t>
  </si>
  <si>
    <t>VIA SAN PIETRO 37</t>
  </si>
  <si>
    <t>www.laroverella.it</t>
  </si>
  <si>
    <t>info@laroverella.it</t>
  </si>
  <si>
    <t>B&amp;B I TRE PULCINI</t>
  </si>
  <si>
    <t>via marinuccia alta 4</t>
  </si>
  <si>
    <t>www.itrepulcini.it</t>
  </si>
  <si>
    <t>info@itrepulcini.it</t>
  </si>
  <si>
    <t>AGRITURISMO VILLA CENTOFINESTRE</t>
  </si>
  <si>
    <t>via Centofinestre 8</t>
  </si>
  <si>
    <t>www.villacentofinestre.com</t>
  </si>
  <si>
    <t>info@villacentofinestre.com</t>
  </si>
  <si>
    <t>HOTEL SETTE COLLI</t>
  </si>
  <si>
    <t>via gemme 1</t>
  </si>
  <si>
    <t>settecolli.it</t>
  </si>
  <si>
    <t>hotel@settecolli.it</t>
  </si>
  <si>
    <t>B&amp;B VILLA NICOLE</t>
  </si>
  <si>
    <t>Via San Biagio 1</t>
  </si>
  <si>
    <t>Via San Biagio</t>
  </si>
  <si>
    <t>www.villanicole.net</t>
  </si>
  <si>
    <t>info@villanicole.net</t>
  </si>
  <si>
    <t>B&amp;B LA VECCHIA SCUOLA</t>
  </si>
  <si>
    <t>VIA CESARINA 20</t>
  </si>
  <si>
    <t>rentrooms.cesarina@gmail.com</t>
  </si>
  <si>
    <t>IL CASALE DORATO</t>
  </si>
  <si>
    <t>Via Rovigliano 10</t>
  </si>
  <si>
    <t>pamadochen@gmail.com</t>
  </si>
  <si>
    <t>COUNTRY HOUSE LAMADDALENA</t>
  </si>
  <si>
    <t>Via Storaco 3</t>
  </si>
  <si>
    <t>www.agriturismolamaddalena.com</t>
  </si>
  <si>
    <t>info@agriturismolamaddalena.com</t>
  </si>
  <si>
    <t>AGRITURISMO I BARONCI</t>
  </si>
  <si>
    <t>loc. I Baronci 2</t>
  </si>
  <si>
    <t>GENGA</t>
  </si>
  <si>
    <t>fraz. S. Donnino</t>
  </si>
  <si>
    <t>CASA VACANZE GAROFOLI</t>
  </si>
  <si>
    <t>via Meleto 16</t>
  </si>
  <si>
    <t>www.casavacazegarofoli.it</t>
  </si>
  <si>
    <t>amm.battestini@tiscali.it</t>
  </si>
  <si>
    <t>B&amp;B IL POSTO DELLE FARFALLE</t>
  </si>
  <si>
    <t>FRAZ. COLLALTO 6</t>
  </si>
  <si>
    <t>alida.cipriani@gmail.com</t>
  </si>
  <si>
    <t>MAGRINI DELLA GENGA</t>
  </si>
  <si>
    <t>localita' Bivio Pandolfi 6</t>
  </si>
  <si>
    <t>www.albergomagrini.it</t>
  </si>
  <si>
    <t>info@albergomagrini.it</t>
  </si>
  <si>
    <t>HOTEL RISTORANTE LE GROTTE</t>
  </si>
  <si>
    <t>loc. Pontebovesecco 14</t>
  </si>
  <si>
    <t>loc. Pontebovesecco</t>
  </si>
  <si>
    <t>www.hotellegrotte.it</t>
  </si>
  <si>
    <t>info@hotellegrotte.it</t>
  </si>
  <si>
    <t>MONS. GIORGIO TERRUZZI</t>
  </si>
  <si>
    <t>frazione Foce 4</t>
  </si>
  <si>
    <t>AGRITURISMO IL MELO</t>
  </si>
  <si>
    <t>frazione meleto 8</t>
  </si>
  <si>
    <t>B&amp;B IL REVELLONE</t>
  </si>
  <si>
    <t>frazione falcioni 47</t>
  </si>
  <si>
    <t>www.revellone.it</t>
  </si>
  <si>
    <t>info@revellone.it</t>
  </si>
  <si>
    <t>IL PARCO</t>
  </si>
  <si>
    <t>via Guglielmo Marconi 6</t>
  </si>
  <si>
    <t>ristilparco@alice.it</t>
  </si>
  <si>
    <t>AREA DI SOSTA CAMPER - LA CUNA</t>
  </si>
  <si>
    <t>AIRONE COUNTRY HOUSE</t>
  </si>
  <si>
    <t>frazione Pianello 6</t>
  </si>
  <si>
    <t>www.aironebb.it</t>
  </si>
  <si>
    <t>info@aironebb.it</t>
  </si>
  <si>
    <t>GHIANDA</t>
  </si>
  <si>
    <t>via Borgo delle Rondini 11</t>
  </si>
  <si>
    <t>frazione Trinquelli</t>
  </si>
  <si>
    <t>angela.meetings@gmail.com</t>
  </si>
  <si>
    <t>CAMOMILLA</t>
  </si>
  <si>
    <t>HOTEL RISTORANTE TERME SAN VITTORE</t>
  </si>
  <si>
    <t>frazione San Vittore 8</t>
  </si>
  <si>
    <t>www.hoteltermesanvittore.com</t>
  </si>
  <si>
    <t>hoteltermesanvittore@gmail.com</t>
  </si>
  <si>
    <t>COLETTA LAURA</t>
  </si>
  <si>
    <t>fraz. Serrabernacchia 5</t>
  </si>
  <si>
    <t>frazione Serrabernacchia</t>
  </si>
  <si>
    <t>lauraco72@hotmail.com</t>
  </si>
  <si>
    <t>B&amp;B LA COLOMBAIA</t>
  </si>
  <si>
    <t>via Serrabernacchia 1</t>
  </si>
  <si>
    <t>Serrabernacchia</t>
  </si>
  <si>
    <t>www.lacolombaia.eu</t>
  </si>
  <si>
    <t>info@lacolombaia.eu</t>
  </si>
  <si>
    <t>LE FINESTRE SUL CENTRO</t>
  </si>
  <si>
    <t>corso Giacomo Matteotti 18</t>
  </si>
  <si>
    <t>JESI</t>
  </si>
  <si>
    <t>www.lefinestresulcentro.it</t>
  </si>
  <si>
    <t>lefinestresulcentro@gmail.com</t>
  </si>
  <si>
    <t>IL MANIERO</t>
  </si>
  <si>
    <t>via Bagnatora 25</t>
  </si>
  <si>
    <t>www.agriturismoilmaniero.it</t>
  </si>
  <si>
    <t>info@agriturismoilmaniero.it</t>
  </si>
  <si>
    <t>A CASA DI PAOLA</t>
  </si>
  <si>
    <t>viale Giovanni XXIII 6</t>
  </si>
  <si>
    <t>www.casapaola.it</t>
  </si>
  <si>
    <t>info@casapaola.it</t>
  </si>
  <si>
    <t>SOTTO IL BORGO</t>
  </si>
  <si>
    <t>via Rinaldi 4</t>
  </si>
  <si>
    <t>www.sottoilborgo.it</t>
  </si>
  <si>
    <t>info@sottoilborgo.it</t>
  </si>
  <si>
    <t>AL PERGOLESI</t>
  </si>
  <si>
    <t>via Mura Orientali 8</t>
  </si>
  <si>
    <t>www.alpergolesi.it</t>
  </si>
  <si>
    <t>alpergolesi@gmail.com</t>
  </si>
  <si>
    <t>BED AND BREAKFAST LE CONCE</t>
  </si>
  <si>
    <t>via delle Conce  9</t>
  </si>
  <si>
    <t>Jesi</t>
  </si>
  <si>
    <t>www.bebleconce.it</t>
  </si>
  <si>
    <t>info@bebleconce.it</t>
  </si>
  <si>
    <t>HOTEL MARIANI</t>
  </si>
  <si>
    <t>via dell' Orfanotrofio 10</t>
  </si>
  <si>
    <t>www.hotelmariani.com</t>
  </si>
  <si>
    <t>direzione@hotelmariani.com</t>
  </si>
  <si>
    <t>CASA MATILDA</t>
  </si>
  <si>
    <t>via Luigi Mancini 10</t>
  </si>
  <si>
    <t>casamatildajesi@hotmail.it</t>
  </si>
  <si>
    <t>COLLE DI GANGALIA</t>
  </si>
  <si>
    <t>via Castelrosino 44</t>
  </si>
  <si>
    <t>fmoroncini@libero.it</t>
  </si>
  <si>
    <t>incentro</t>
  </si>
  <si>
    <t>via Mura Orientali 20/a</t>
  </si>
  <si>
    <t>www.incentrojesi.it</t>
  </si>
  <si>
    <t>info@incentrojesi.it</t>
  </si>
  <si>
    <t>COLAZIONE IN GIARDINO</t>
  </si>
  <si>
    <t>via San Pietro Martire 10</t>
  </si>
  <si>
    <t>www.colazioneingiardino.it</t>
  </si>
  <si>
    <t>info@colazioneingiardino.it</t>
  </si>
  <si>
    <t>LA LUNA DAL BORGO</t>
  </si>
  <si>
    <t>www.lunadalborgo.it</t>
  </si>
  <si>
    <t>info@lunadalborgo.it</t>
  </si>
  <si>
    <t>B&amp;B ROCCA BELLA</t>
  </si>
  <si>
    <t>via Roccabella 15</t>
  </si>
  <si>
    <t>www.roccabella.eu</t>
  </si>
  <si>
    <t>info@bedandbreakfast-roccabella.it</t>
  </si>
  <si>
    <t>SANTA LUCIA</t>
  </si>
  <si>
    <t>via acquaticcio 14</t>
  </si>
  <si>
    <t>DIPENDENZA HOTEL FEDERICO II</t>
  </si>
  <si>
    <t>via ancona 92/bis</t>
  </si>
  <si>
    <t>www.hotelfederico2.it</t>
  </si>
  <si>
    <t>info@hotelfederico2.it</t>
  </si>
  <si>
    <t>B&amp;B CASACORNO</t>
  </si>
  <si>
    <t>via venetica 6</t>
  </si>
  <si>
    <t>www.casacorno.it</t>
  </si>
  <si>
    <t>info@casacorno.it</t>
  </si>
  <si>
    <t>B&amp;B VICINO... L'ARCO</t>
  </si>
  <si>
    <t>corso Matteotti 89</t>
  </si>
  <si>
    <t>www.vicinolarco.altervista.org</t>
  </si>
  <si>
    <t>vicinolarco@yahoo.it</t>
  </si>
  <si>
    <t>RIPABIANCA</t>
  </si>
  <si>
    <t>via ripa bianca 7</t>
  </si>
  <si>
    <t>www.ripabianca.com</t>
  </si>
  <si>
    <t>info@ripabianca.com</t>
  </si>
  <si>
    <t>NOTTI SULLE MURA</t>
  </si>
  <si>
    <t>via degli Spaldi 16</t>
  </si>
  <si>
    <t>www.nottisullemura.it</t>
  </si>
  <si>
    <t>info@nottisullemura.it</t>
  </si>
  <si>
    <t>B&amp;B AESIS - LA DOLCE COLLINA</t>
  </si>
  <si>
    <t>via Maccarata 2</t>
  </si>
  <si>
    <t>www.marchenet.it/ladolcecollina</t>
  </si>
  <si>
    <t>luigpaol@mercurio.it</t>
  </si>
  <si>
    <t>ALBERGO ITALIA</t>
  </si>
  <si>
    <t>viale Trieste 28</t>
  </si>
  <si>
    <t>HOTEL DEI NANI</t>
  </si>
  <si>
    <t>viale del Lavoro 34</t>
  </si>
  <si>
    <t>www.hoteldeinani.it</t>
  </si>
  <si>
    <t>info@hoteldeinani.it</t>
  </si>
  <si>
    <t>via Ancona 92/bis</t>
  </si>
  <si>
    <t>VERZIERE</t>
  </si>
  <si>
    <t>via del Verziere 67/bis</t>
  </si>
  <si>
    <t>www.verzierebb.com</t>
  </si>
  <si>
    <t>info@verzierebb.com</t>
  </si>
  <si>
    <t>LE CASETTE</t>
  </si>
  <si>
    <t>via G. Mazzini 27</t>
  </si>
  <si>
    <t>backstagejesi@gmail.com</t>
  </si>
  <si>
    <t>LA FATTORIA DI OTELLO</t>
  </si>
  <si>
    <t>via della Figuretta 8</t>
  </si>
  <si>
    <t>annetta.pat@libero.it</t>
  </si>
  <si>
    <t>LA COCCINELLA</t>
  </si>
  <si>
    <t>via Spina 17</t>
  </si>
  <si>
    <t>www.lacoccinellajesi.com</t>
  </si>
  <si>
    <t>bblacoccinellajesi@gmail.com</t>
  </si>
  <si>
    <t>PORTA MAZZINI</t>
  </si>
  <si>
    <t>via Castelfidardo 2</t>
  </si>
  <si>
    <t>www.portamazzini.it</t>
  </si>
  <si>
    <t>portamazzini2015@libero.it</t>
  </si>
  <si>
    <t>AFFITTACAMERE LUCONI</t>
  </si>
  <si>
    <t>VIA PANTIERE 1</t>
  </si>
  <si>
    <t>info@affittacamereluconi.it</t>
  </si>
  <si>
    <t>NOTE DI JESI</t>
  </si>
  <si>
    <t>RINALDI 6</t>
  </si>
  <si>
    <t>c.ferretti9@gmail.com</t>
  </si>
  <si>
    <t>Le MaRaClà</t>
  </si>
  <si>
    <t>via Gangalia Bassa 8</t>
  </si>
  <si>
    <t>gangalia</t>
  </si>
  <si>
    <t>www.lemaracla.it</t>
  </si>
  <si>
    <t>info@lemaracla.it</t>
  </si>
  <si>
    <t>CORTE CLEMENTINA</t>
  </si>
  <si>
    <t>Via Clementina 18</t>
  </si>
  <si>
    <t>loretta.sordoni@gmail.com</t>
  </si>
  <si>
    <t>LA SAETTA</t>
  </si>
  <si>
    <t>Via G. Garibaldi 73</t>
  </si>
  <si>
    <t>vbuari@mail.ru</t>
  </si>
  <si>
    <t>MAISON 022</t>
  </si>
  <si>
    <t>VIA COPPETELLA 14</t>
  </si>
  <si>
    <t>booking@maison022.it</t>
  </si>
  <si>
    <t>A DUE PASSI DAL CIELO</t>
  </si>
  <si>
    <t>VIALE DELLA VITTORIA 72</t>
  </si>
  <si>
    <t>aduepassidalcielo@tim.it</t>
  </si>
  <si>
    <t>LA PINTA</t>
  </si>
  <si>
    <t>Via Raffaello Sanzio 33</t>
  </si>
  <si>
    <t>bblapinta@gmail.com</t>
  </si>
  <si>
    <t>AFFITTACAMERE PEPITO IN CITTA'</t>
  </si>
  <si>
    <t>Via G. Mazzini 2</t>
  </si>
  <si>
    <t>willyvigna@gmail.com</t>
  </si>
  <si>
    <t>GLI ALBERETTI</t>
  </si>
  <si>
    <t>Via Piane 49/A</t>
  </si>
  <si>
    <t>LORETO</t>
  </si>
  <si>
    <t>marcobruge@tiscali.it</t>
  </si>
  <si>
    <t>A CASA DI NONNA DI CROIA MAURO</t>
  </si>
  <si>
    <t>VIA ABRUZZO 7</t>
  </si>
  <si>
    <t>maurocroia@alice.it</t>
  </si>
  <si>
    <t>GIULIO FIORI</t>
  </si>
  <si>
    <t>via Pergolesi 6</t>
  </si>
  <si>
    <t>info@giuliofiori.it</t>
  </si>
  <si>
    <t>B&amp;B HOLY HOUSE</t>
  </si>
  <si>
    <t>via Verdi 21</t>
  </si>
  <si>
    <t>www.holyhouse.it</t>
  </si>
  <si>
    <t>info@holyhouse.it</t>
  </si>
  <si>
    <t>B&amp;B A DUE PASSI</t>
  </si>
  <si>
    <t>via Asdrubali 42</t>
  </si>
  <si>
    <t>www.aduepassi.loreto.it</t>
  </si>
  <si>
    <t>info@aduepassiloreto.it</t>
  </si>
  <si>
    <t>B&amp;B LAVANDA</t>
  </si>
  <si>
    <t>c.so Boccalini 30</t>
  </si>
  <si>
    <t>www.lavandabb.it</t>
  </si>
  <si>
    <t>raffaellagervasoni@icloud.it</t>
  </si>
  <si>
    <t>CENTRO ACCOGLIENZA GIOVANNI PAOLO II</t>
  </si>
  <si>
    <t>via Montorso 3</t>
  </si>
  <si>
    <t>www.giovaniloreto.it</t>
  </si>
  <si>
    <t>info@giovaniloreto.it</t>
  </si>
  <si>
    <t>PENSIONE PIEMONTE</t>
  </si>
  <si>
    <t>viale Asdrubali 70</t>
  </si>
  <si>
    <t>www.pensionepiemonte.it</t>
  </si>
  <si>
    <t>info@pensionepiemonte.it</t>
  </si>
  <si>
    <t>CERESA'</t>
  </si>
  <si>
    <t>via Leonessa snc</t>
  </si>
  <si>
    <t>info@bebceresa.it</t>
  </si>
  <si>
    <t>via Montorso 57/a</t>
  </si>
  <si>
    <t>www.agora-bb.it</t>
  </si>
  <si>
    <t>infoagorabb@gmail.com</t>
  </si>
  <si>
    <t>GREEN HOUSE PICCHIO</t>
  </si>
  <si>
    <t>BARCA 44</t>
  </si>
  <si>
    <t>B&amp;B ISA</t>
  </si>
  <si>
    <t>MONTORSETTO 13</t>
  </si>
  <si>
    <t>http://www.bedandbreakfastisa.it/</t>
  </si>
  <si>
    <t>info@bedandbreakfastisa.it</t>
  </si>
  <si>
    <t>c.so Boccalini 60</t>
  </si>
  <si>
    <t>www.loretohotel.it</t>
  </si>
  <si>
    <t>hotelloreto@libero.it</t>
  </si>
  <si>
    <t>HOTEL SAN GABRIELE</t>
  </si>
  <si>
    <t>via guglielmo marconi 22</t>
  </si>
  <si>
    <t>hotel.sangabriele@libero.it</t>
  </si>
  <si>
    <t>HOTEL PELLEGRINO E PACE</t>
  </si>
  <si>
    <t>PIAZZA DELLA MADONNA 51/52</t>
  </si>
  <si>
    <t>www.pellegrinoepace.com</t>
  </si>
  <si>
    <t>info@pellegrinoepace.com</t>
  </si>
  <si>
    <t>LA VECCHIA FATTORIA</t>
  </si>
  <si>
    <t>via A.Manzoni 19</t>
  </si>
  <si>
    <t>www.vecchiafattorialoreto.it</t>
  </si>
  <si>
    <t>lavecchiafattoriasrl@virgilio.it</t>
  </si>
  <si>
    <t>LA COLLINA</t>
  </si>
  <si>
    <t>VIA SAN GIROLAMO  26</t>
  </si>
  <si>
    <t>hotelrist.lacollina@libero.it</t>
  </si>
  <si>
    <t>HOTEL GIARDINETTO</t>
  </si>
  <si>
    <t>corso Traiano Boccalini 10</t>
  </si>
  <si>
    <t>www.hotelgiardinetto.it</t>
  </si>
  <si>
    <t>booking@hotelgiardinetto.it</t>
  </si>
  <si>
    <t>DELFINO AZZURRO</t>
  </si>
  <si>
    <t>piazza Giovanni XXIII 15</t>
  </si>
  <si>
    <t>www.hoteldelfinoazzurro.it</t>
  </si>
  <si>
    <t>delfazz@libero.it</t>
  </si>
  <si>
    <t>HOTEL CENTRALE DI PAOLO E CINZIA DI FRONTINI PAOLO</t>
  </si>
  <si>
    <t>via Giannuario Solari 5</t>
  </si>
  <si>
    <t>www.hotelcentraleloreto.it</t>
  </si>
  <si>
    <t>info@hotelcentraleloreto.it</t>
  </si>
  <si>
    <t>ALBERGO MADONNA DI LORETO - CASA DEL CLERO</t>
  </si>
  <si>
    <t>via francesco asdrubali 104</t>
  </si>
  <si>
    <t>www.santuarioloreto.it</t>
  </si>
  <si>
    <t>madonnadiloreto@delegazioneloreto.it</t>
  </si>
  <si>
    <t>SAN FRANCESCO HOTEL</t>
  </si>
  <si>
    <t>VIA SAN FRANCESCO 15</t>
  </si>
  <si>
    <t>www.loretosanfrancescohotel.it</t>
  </si>
  <si>
    <t>info@loretosanfrancescohotel.it</t>
  </si>
  <si>
    <t>VIA GROTTE 10</t>
  </si>
  <si>
    <t>ALBERGO GIOVANNI XXIII</t>
  </si>
  <si>
    <t>piazza Carlo Sertori 6</t>
  </si>
  <si>
    <t>m.alfieri95@gmail.com</t>
  </si>
  <si>
    <t>CASA DI ALBENGA CONG. ORSOLINE DI GESU'</t>
  </si>
  <si>
    <t>via montereale vecchio 96</t>
  </si>
  <si>
    <t>orsoline.loreto@libero.it</t>
  </si>
  <si>
    <t>VILLA SCALABRINI LORETO - VILLA PIO XII</t>
  </si>
  <si>
    <t>via Guglielmo Marconi 94</t>
  </si>
  <si>
    <t>www.casascalabrini.it</t>
  </si>
  <si>
    <t>segreteria.loreto@scalabrini.net</t>
  </si>
  <si>
    <t>CASA FAMIGLIA DI NAZARETH</t>
  </si>
  <si>
    <t>via Montorsetto 7</t>
  </si>
  <si>
    <t>MONTORSO</t>
  </si>
  <si>
    <t>www.casafamigliadinazareth.it</t>
  </si>
  <si>
    <t>segreteria@famigliadinazareth.it</t>
  </si>
  <si>
    <t>CASA ACCOGLIENZA MALATI E PELLEGRINI</t>
  </si>
  <si>
    <t>piazza della madonna 1</t>
  </si>
  <si>
    <t>casaaccoglienza@delegazioneloreto.it</t>
  </si>
  <si>
    <t>CASA ACCOGLIENZA PER PELLEGRINI</t>
  </si>
  <si>
    <t>via Donato Bramante 121</t>
  </si>
  <si>
    <t>www.villaredemptorismater.it</t>
  </si>
  <si>
    <t>villaredmater@gmail.com</t>
  </si>
  <si>
    <t>CASA ACCOGLIENZA SAN GIUSEPPE</t>
  </si>
  <si>
    <t>via San Francesco 44</t>
  </si>
  <si>
    <t>www.casaaccoglienzasangiuseppe.it</t>
  </si>
  <si>
    <t>acc.sangiuseppe@libero.it</t>
  </si>
  <si>
    <t>COLLEMARE SNC VILLA AL CONERO</t>
  </si>
  <si>
    <t>CASA DI ACCOGLIENZA DOMUS PACIS</t>
  </si>
  <si>
    <t>via guglielmo marconi 2</t>
  </si>
  <si>
    <t>AGRITURISMO CASE AL SOLE</t>
  </si>
  <si>
    <t>via Sciamannata 1</t>
  </si>
  <si>
    <t>www.casealsole.net</t>
  </si>
  <si>
    <t>info@casealsole.net</t>
  </si>
  <si>
    <t>AFFITTACAMERE SIMONETTI</t>
  </si>
  <si>
    <t>piazza francesco basili 4</t>
  </si>
  <si>
    <t>www.dormialoreto.it</t>
  </si>
  <si>
    <t>contact@affittacameresimonetti.it</t>
  </si>
  <si>
    <t>CASA ACCOGLIENZA SACRA FAMIGLIA DI NAZARETH</t>
  </si>
  <si>
    <t>via cesare maccari 7</t>
  </si>
  <si>
    <t>c.sfn@tiscali.it</t>
  </si>
  <si>
    <t>B&amp;B CHIARALUCE ELENA</t>
  </si>
  <si>
    <t>via trieste 20 20</t>
  </si>
  <si>
    <t>elenachiara34@gmail.com</t>
  </si>
  <si>
    <t>ISTITUTO SALESIANO MADONNA DI LORETO</t>
  </si>
  <si>
    <t>via San Giovanni Bosco Burbera 7</t>
  </si>
  <si>
    <t>loreto-economosdb@donbosco.it</t>
  </si>
  <si>
    <t>Via Cesare Maccari 33/A</t>
  </si>
  <si>
    <t>info@prolocoloreto.com</t>
  </si>
  <si>
    <t>B&amp;B PROFUMODIPANE</t>
  </si>
  <si>
    <t>via Buffolareccia 13</t>
  </si>
  <si>
    <t>bbprofumodipane@gmail.com</t>
  </si>
  <si>
    <t>B&amp;B LA LOCANDA DEL PICCHIO</t>
  </si>
  <si>
    <t>via Rossini 9</t>
  </si>
  <si>
    <t>www.locandadelpicchio.it</t>
  </si>
  <si>
    <t>info@locandadelpicchio.it</t>
  </si>
  <si>
    <t>TERRA DEI FIORETTI</t>
  </si>
  <si>
    <t>via Aldo Moro 46</t>
  </si>
  <si>
    <t>alessandroangelisanti@alice.it</t>
  </si>
  <si>
    <t>ANTICA MAISON</t>
  </si>
  <si>
    <t>via F.Asdrubali 24</t>
  </si>
  <si>
    <t>info@anticamaison.net</t>
  </si>
  <si>
    <t>B&amp;B MARIABELLA DI CATRARO FRANCESCO</t>
  </si>
  <si>
    <t>Via Alessandro Manzoni, 28 28</t>
  </si>
  <si>
    <t>Villa Musone</t>
  </si>
  <si>
    <t>http://bedandbreakfastmariabella.weebly.com</t>
  </si>
  <si>
    <t>bebmariabella@lbero.it</t>
  </si>
  <si>
    <t>B&amp;B I TRE BASSOTTI</t>
  </si>
  <si>
    <t>via Bramante 1</t>
  </si>
  <si>
    <t>info@itrebassotti.it</t>
  </si>
  <si>
    <t>B&amp;B CASALE PAPA di RENZETTI COSTANZA</t>
  </si>
  <si>
    <t>via Banderuola snc</t>
  </si>
  <si>
    <t>casalepapa@gmail.com</t>
  </si>
  <si>
    <t>VILLA TETLAMEYA E ZI' NENE</t>
  </si>
  <si>
    <t>via Villa Costantina 187</t>
  </si>
  <si>
    <t>www.ristorantezinene.it</t>
  </si>
  <si>
    <t>ristorantezinene@gmail.com</t>
  </si>
  <si>
    <t>B&amp;B CELESTE LORETO CONERO</t>
  </si>
  <si>
    <t>piazza Leon Dehon 20</t>
  </si>
  <si>
    <t>loc.Villa Musone</t>
  </si>
  <si>
    <t>celesteloretoconero@libero.it</t>
  </si>
  <si>
    <t>B&amp;B VISTA SUL CONERO</t>
  </si>
  <si>
    <t>via Montorso 21</t>
  </si>
  <si>
    <t>www.vistasulconero.it</t>
  </si>
  <si>
    <t>info@vistasulconero.it</t>
  </si>
  <si>
    <t>B&amp;B A PORTATA DI MARE</t>
  </si>
  <si>
    <t>piazzale Crocefisso 10</t>
  </si>
  <si>
    <t>www.bed-and-breakfast-loreto.it</t>
  </si>
  <si>
    <t>aportatadimare@gmail.com</t>
  </si>
  <si>
    <t>B&amp;B LA COLLINA DEL CUORE</t>
  </si>
  <si>
    <t>via Generale U. Nobile 2</t>
  </si>
  <si>
    <t>www.lacollinanelcuore.com</t>
  </si>
  <si>
    <t>info@lacollinanelcuore.com</t>
  </si>
  <si>
    <t>ANGOLO DIVINO</t>
  </si>
  <si>
    <t>via Asdrubali  20</t>
  </si>
  <si>
    <t>www.angolo-divino.it</t>
  </si>
  <si>
    <t>info@angolo-divino.it</t>
  </si>
  <si>
    <t>CASA DI ACCOGLIENZA SAN SERAFINO</t>
  </si>
  <si>
    <t>via Asdrubali 102</t>
  </si>
  <si>
    <t>http://www.casaperferieloreto.it</t>
  </si>
  <si>
    <t>info@aler.com</t>
  </si>
  <si>
    <t>GIOVANNI PAPA</t>
  </si>
  <si>
    <t>IL VILLINO</t>
  </si>
  <si>
    <t>info@studiocommercialemarchianiematteucci.191.it</t>
  </si>
  <si>
    <t>B&amp;B IL MARE IN MEZZO</t>
  </si>
  <si>
    <t>via Montorso  87</t>
  </si>
  <si>
    <t>www.ilmareinmezzo.com</t>
  </si>
  <si>
    <t>info@ilmareinmezzo.com</t>
  </si>
  <si>
    <t>via Santa Liberata 41</t>
  </si>
  <si>
    <t>MAIOLATI SPONTINI</t>
  </si>
  <si>
    <t>www.lacollinadegliolivi.eu</t>
  </si>
  <si>
    <t>info@lacollinadegliolivi.eu</t>
  </si>
  <si>
    <t>B&amp;B LA NICCHIA DI MERCATO</t>
  </si>
  <si>
    <t>via Gaspare Spontini 7</t>
  </si>
  <si>
    <t>www.beb.lanicchiadimercato.com/</t>
  </si>
  <si>
    <t>lanicchiadimercato@gmail.com</t>
  </si>
  <si>
    <t>B&amp;B IL QUADRIFOGLIO LA SIESTA</t>
  </si>
  <si>
    <t>via Risorgimento 167</t>
  </si>
  <si>
    <t>marco.pigliapoco@confartigianato.an.it</t>
  </si>
  <si>
    <t>info@lasiestamoie.it</t>
  </si>
  <si>
    <t>B&amp;B LA MOJA</t>
  </si>
  <si>
    <t>via Trieste 15</t>
  </si>
  <si>
    <t>carlinoferri@libero.it</t>
  </si>
  <si>
    <t>L'ULIVO</t>
  </si>
  <si>
    <t>via tufi 14</t>
  </si>
  <si>
    <t>www.agriturismolulivo.com</t>
  </si>
  <si>
    <t>info@agriturismolulivo.com</t>
  </si>
  <si>
    <t>AL VECCHIO ROTONE</t>
  </si>
  <si>
    <t>via della Chiusa 3</t>
  </si>
  <si>
    <t>www.alvecchiorotone.it</t>
  </si>
  <si>
    <t>info@alvecchiorotone.it</t>
  </si>
  <si>
    <t>IL MELOGRANO</t>
  </si>
  <si>
    <t>via vallati 21</t>
  </si>
  <si>
    <t>www.ilmelograno.de</t>
  </si>
  <si>
    <t>information@ilmelograno.de</t>
  </si>
  <si>
    <t>LA NICCHIA ECOLOGICA</t>
  </si>
  <si>
    <t>via roncone 11</t>
  </si>
  <si>
    <t>www.lanicchiaecologica.it</t>
  </si>
  <si>
    <t>la_nicchia_ecologica@libero.it</t>
  </si>
  <si>
    <t>SPONTINI</t>
  </si>
  <si>
    <t>via Gaspare Spontini 33</t>
  </si>
  <si>
    <t>CASA PAOLO VI</t>
  </si>
  <si>
    <t>via dei Castelli 7</t>
  </si>
  <si>
    <t>HOTEL LA TORRE</t>
  </si>
  <si>
    <t>via montecarottese 4</t>
  </si>
  <si>
    <t>www.hotelristorantelatorre.com</t>
  </si>
  <si>
    <t>info@hotelristorantelatorre.com</t>
  </si>
  <si>
    <t>LIDIA</t>
  </si>
  <si>
    <t>via Giacomo Matteotti 7</t>
  </si>
  <si>
    <t>MERGO</t>
  </si>
  <si>
    <t>www.hotellidia.it</t>
  </si>
  <si>
    <t>info@hotellidia.it</t>
  </si>
  <si>
    <t>IL TIGLIO</t>
  </si>
  <si>
    <t>via Fontisa 2</t>
  </si>
  <si>
    <t>www.countryhouseiltiglio.it</t>
  </si>
  <si>
    <t>info@countryhouseiltiglio.it</t>
  </si>
  <si>
    <t>B&amp;B CASA FONTANA</t>
  </si>
  <si>
    <t>via panocchia 6</t>
  </si>
  <si>
    <t>www.casafontana.com</t>
  </si>
  <si>
    <t>info@casafontana.com</t>
  </si>
  <si>
    <t>VILLA FEDERICA AGRITURISMO</t>
  </si>
  <si>
    <t>via la villa 9</t>
  </si>
  <si>
    <t>www.agriturismovillafederica.it</t>
  </si>
  <si>
    <t>f.zappia@agriturismovillafederica.it</t>
  </si>
  <si>
    <t>COLLE DELLE STELLE</t>
  </si>
  <si>
    <t>via panocchia 12</t>
  </si>
  <si>
    <t>www.colledellestelle.it</t>
  </si>
  <si>
    <t>info@colledellestelle.it</t>
  </si>
  <si>
    <t>AREA DI SOSTA PER CAMPER</t>
  </si>
  <si>
    <t>VIA COLLI 1</t>
  </si>
  <si>
    <t>www.comune.mergo.an.it</t>
  </si>
  <si>
    <t>poliziamunicipale@comune.mergo.an.it</t>
  </si>
  <si>
    <t>AGOSTI  PIERFRANCESCO</t>
  </si>
  <si>
    <t>via colli 9</t>
  </si>
  <si>
    <t>B&amp;B CASA DEI COLLI</t>
  </si>
  <si>
    <t>Via Panocchia 18</t>
  </si>
  <si>
    <t>www.casadeicolli.com</t>
  </si>
  <si>
    <t>info@casadeicolli.com</t>
  </si>
  <si>
    <t>CASA NOCI</t>
  </si>
  <si>
    <t>via Giovanni XIII 10</t>
  </si>
  <si>
    <t>alt.51@gmx.de</t>
  </si>
  <si>
    <t>ALEXANDRA HOFMEISTER</t>
  </si>
  <si>
    <t>via Castellaro 18</t>
  </si>
  <si>
    <t>babsi.hofmeister@web.de</t>
  </si>
  <si>
    <t>B&amp;B VALLEVERDE</t>
  </si>
  <si>
    <t>via Santa Maria delle Stelle 2</t>
  </si>
  <si>
    <t>www.lavalleverde.com</t>
  </si>
  <si>
    <t>info@lavalleverde.com</t>
  </si>
  <si>
    <t>B&amp;B SANTA MARCIANA</t>
  </si>
  <si>
    <t>via Castellaro  13/a</t>
  </si>
  <si>
    <t>B&amp;B A CASA DI LAURA</t>
  </si>
  <si>
    <t>via Castellaro 5</t>
  </si>
  <si>
    <t>bbacasadilaura@gmail.com</t>
  </si>
  <si>
    <t>IL CASOLARE DELLE STELLE</t>
  </si>
  <si>
    <t>via Santa Maria delle stelle 8</t>
  </si>
  <si>
    <t>mergo</t>
  </si>
  <si>
    <t>nicholasinter@alice.it</t>
  </si>
  <si>
    <t>via Cassolo 6</t>
  </si>
  <si>
    <t>MONSANO</t>
  </si>
  <si>
    <t>http://www.pinetahotel.net</t>
  </si>
  <si>
    <t>info@pinetahotel.net</t>
  </si>
  <si>
    <t>LE MUSE DI PARASECOLI CRISTIANO</t>
  </si>
  <si>
    <t>viale marconi 5</t>
  </si>
  <si>
    <t>bblemuse@alice.it</t>
  </si>
  <si>
    <t>PICCOLO EDEN</t>
  </si>
  <si>
    <t>via marche 50</t>
  </si>
  <si>
    <t>piccolo.eden.country.house@gmail.com</t>
  </si>
  <si>
    <t>ALBERGO 2000</t>
  </si>
  <si>
    <t>via veneto 1</t>
  </si>
  <si>
    <t>www.albergo2000.it</t>
  </si>
  <si>
    <t>info@albergo2000.it</t>
  </si>
  <si>
    <t>LE STANZE DI ROSA</t>
  </si>
  <si>
    <t>via Lombardia 42</t>
  </si>
  <si>
    <t>claudiacocciarini@outlook.it</t>
  </si>
  <si>
    <t>REILLYS B&amp;B</t>
  </si>
  <si>
    <t>via Nicolo 14</t>
  </si>
  <si>
    <t>MONTECAROTTO</t>
  </si>
  <si>
    <t>reillysinitaly@yahoo.ie</t>
  </si>
  <si>
    <t>LOCANDA SAN FRANCESCO COUNTRY HOUSE di ANNA BETTARELLI</t>
  </si>
  <si>
    <t>Contrada Sabbionare 1</t>
  </si>
  <si>
    <t>www.locandasanfrancesco.eu</t>
  </si>
  <si>
    <t>locandasanfrancesco@gmx.com; alepacheco@hotmail.it</t>
  </si>
  <si>
    <t>IL SICOMORO</t>
  </si>
  <si>
    <t>Via XXX Luglio 4</t>
  </si>
  <si>
    <t>r.chiappetti@alice.it</t>
  </si>
  <si>
    <t>AGRITURISMO PARVA DOMUS</t>
  </si>
  <si>
    <t>borgo Fornaci 13</t>
  </si>
  <si>
    <t>www.agriturismoparvadomus.it</t>
  </si>
  <si>
    <t>info@agriturismoparvadomus.it</t>
  </si>
  <si>
    <t>AGRITURISMO CADABO' s.s.a.</t>
  </si>
  <si>
    <t>contrada sant' angelo 4</t>
  </si>
  <si>
    <t>www.cadabo.com</t>
  </si>
  <si>
    <t>info@cadabo.com</t>
  </si>
  <si>
    <t>AZIENDA AGRITURISTICA CANAPINA</t>
  </si>
  <si>
    <t>Contrada Bagnolo 2</t>
  </si>
  <si>
    <t>www.agriturismocanapina.it</t>
  </si>
  <si>
    <t>info@agriturismocanapina.it</t>
  </si>
  <si>
    <t>BACUCCO</t>
  </si>
  <si>
    <t>contrada Bacucco 11</t>
  </si>
  <si>
    <t>www.bacucco.com</t>
  </si>
  <si>
    <t>info@bacucco.com</t>
  </si>
  <si>
    <t>PIAGGE DEL SOLE</t>
  </si>
  <si>
    <t>contrada costa 4</t>
  </si>
  <si>
    <t>www.piaggedelsole.it</t>
  </si>
  <si>
    <t>info@piaggedelsole.it</t>
  </si>
  <si>
    <t>LOCANDA NEMOROSA</t>
  </si>
  <si>
    <t>www.locandanemorosa.it</t>
  </si>
  <si>
    <t>info@locandanemorosa.it</t>
  </si>
  <si>
    <t>B&amp;B PARVA DOMUS</t>
  </si>
  <si>
    <t>sobborgo Fornaci 15</t>
  </si>
  <si>
    <t>B&amp;B JESA</t>
  </si>
  <si>
    <t>via XX Settembre 60</t>
  </si>
  <si>
    <t>bbjesa.oneminutesite.it</t>
  </si>
  <si>
    <t>bbjesa@libero.it</t>
  </si>
  <si>
    <t>AGRITURISMO BIO VERDE ARMONIA</t>
  </si>
  <si>
    <t>via Gualdo  16/a</t>
  </si>
  <si>
    <t>MONTEMARCIANO</t>
  </si>
  <si>
    <t>vono.ricci@libero.it</t>
  </si>
  <si>
    <t>BREZZA</t>
  </si>
  <si>
    <t>via Portonovo 3</t>
  </si>
  <si>
    <t>brezzadamare@hotmail.com</t>
  </si>
  <si>
    <t>LA NOCICCHIA</t>
  </si>
  <si>
    <t>via Nocicchia 6</t>
  </si>
  <si>
    <t>lanocicchia@gmail.com</t>
  </si>
  <si>
    <t>AGRITURISMO LA PALOMBARA</t>
  </si>
  <si>
    <t>via Palombara 2</t>
  </si>
  <si>
    <t>B&amp;B VIA MARINA 56</t>
  </si>
  <si>
    <t>via Marina 56</t>
  </si>
  <si>
    <t>www.viamarina56.it</t>
  </si>
  <si>
    <t>info@viamarina56.it; enzortu@gmail.com</t>
  </si>
  <si>
    <t>B&amp;B FONTEBELLA</t>
  </si>
  <si>
    <t>via Fontebella 17/b</t>
  </si>
  <si>
    <t>bbfontebella@libero.it</t>
  </si>
  <si>
    <t>B&amp;B BREZZA DA MARE</t>
  </si>
  <si>
    <t>marina di Montemarciano</t>
  </si>
  <si>
    <t>www.brezzadamare.com</t>
  </si>
  <si>
    <t>LA CASA SULL' ALBERO</t>
  </si>
  <si>
    <t>via Marina Alta 4</t>
  </si>
  <si>
    <t>www.agriturismomarcheok.it</t>
  </si>
  <si>
    <t>distilleria.bio@gmail.com</t>
  </si>
  <si>
    <t>via Marina 36</t>
  </si>
  <si>
    <t>B&amp;B IL SENTIERO</t>
  </si>
  <si>
    <t>via media 11</t>
  </si>
  <si>
    <t>paolo571957@libero.it</t>
  </si>
  <si>
    <t>WAIKIKI</t>
  </si>
  <si>
    <t>LUNGOMARE  1/A 1/A</t>
  </si>
  <si>
    <t>MARINA DI MONTEMARCIANO</t>
  </si>
  <si>
    <t>easyhelp@email.it</t>
  </si>
  <si>
    <t>via marina 116 116/A</t>
  </si>
  <si>
    <t>LA CABANA DI PELLEGRINI IVAN</t>
  </si>
  <si>
    <t>Lungomare 142 142</t>
  </si>
  <si>
    <t>MADAME</t>
  </si>
  <si>
    <t>VIA LUNGOMARE 61/D 61/D</t>
  </si>
  <si>
    <t>IL BERTOLDO DI MILLETTI &amp; DI MATTIA SAS</t>
  </si>
  <si>
    <t>Via Lungomare 127/A</t>
  </si>
  <si>
    <t>BAGNI BANANAS</t>
  </si>
  <si>
    <t>via Lungomare  139</t>
  </si>
  <si>
    <t>paolod.d@virgilio.it</t>
  </si>
  <si>
    <t>IL LANTERNINO</t>
  </si>
  <si>
    <t>via ronco 5</t>
  </si>
  <si>
    <t>www.illanternino.it</t>
  </si>
  <si>
    <t>info@illanternino.net</t>
  </si>
  <si>
    <t>BAGNI PAOLO</t>
  </si>
  <si>
    <t>BAGNI HEIDI</t>
  </si>
  <si>
    <t>Via Lungomare 69/D</t>
  </si>
  <si>
    <t>mengucci.marco@alice.it</t>
  </si>
  <si>
    <t>NAOMI</t>
  </si>
  <si>
    <t>via lungomare 1 1</t>
  </si>
  <si>
    <t>FRONTEMARE</t>
  </si>
  <si>
    <t>Via Lungomare 13/A</t>
  </si>
  <si>
    <t>BAGNI MIRELLA</t>
  </si>
  <si>
    <t>Lungomare 80/a</t>
  </si>
  <si>
    <t>www.albertoberardi.com</t>
  </si>
  <si>
    <t>ristorante@albertoberardi.com</t>
  </si>
  <si>
    <t>LA PLAYA</t>
  </si>
  <si>
    <t>LUNGOMARE 26/A 26/A</t>
  </si>
  <si>
    <t>LA MARINELLA</t>
  </si>
  <si>
    <t>piazza Ferdinando Magellano 2</t>
  </si>
  <si>
    <t>www.lamarinella.it</t>
  </si>
  <si>
    <t>info@lamarinella.it</t>
  </si>
  <si>
    <t>FATA</t>
  </si>
  <si>
    <t>strada provinciale Croce Buzzo 19/A</t>
  </si>
  <si>
    <t>eosedit@hotmail.com</t>
  </si>
  <si>
    <t>AFFITTACAMERE LE MAGNOLIE</t>
  </si>
  <si>
    <t>Via Ussita 12</t>
  </si>
  <si>
    <t>supercristian79@gmail.com</t>
  </si>
  <si>
    <t>RISTORANTE DELLE ROSE</t>
  </si>
  <si>
    <t>via delle Querce 1</t>
  </si>
  <si>
    <t>info@ristorantedellerose.it</t>
  </si>
  <si>
    <t>CASA PER FERIE COLLE SERENO</t>
  </si>
  <si>
    <t>via IV novembre 78</t>
  </si>
  <si>
    <t>www.casaperferiecollesereno.it</t>
  </si>
  <si>
    <t>villacollesereno@libero.it</t>
  </si>
  <si>
    <t>B&amp;B VERDE ARMONIA</t>
  </si>
  <si>
    <t>via Gualdo 16/a</t>
  </si>
  <si>
    <t>B&amp;B A CASA DI CIUCIU'</t>
  </si>
  <si>
    <t>via Santa Veneranda 3</t>
  </si>
  <si>
    <t>www.acasadiciuciu.com</t>
  </si>
  <si>
    <t>acasadiciuciu@gmail.com</t>
  </si>
  <si>
    <t>EDEN PARK HOTEL</t>
  </si>
  <si>
    <t>via Piave 2</t>
  </si>
  <si>
    <t>info@edenpark-hotel.it</t>
  </si>
  <si>
    <t>NOVELLO GUIDO</t>
  </si>
  <si>
    <t>via Lungomare 65</t>
  </si>
  <si>
    <t>B&amp;B PICCOLO BORGO</t>
  </si>
  <si>
    <t>via San Pietro 17</t>
  </si>
  <si>
    <t>dorianadegliemili@gmail.com</t>
  </si>
  <si>
    <t>B&amp;B LA COLLINETTA di BRUSCHINI VITTORIA</t>
  </si>
  <si>
    <t>via ponte magno 5</t>
  </si>
  <si>
    <t>MONTE ROBERTO</t>
  </si>
  <si>
    <t>www.lacollinetta.eu</t>
  </si>
  <si>
    <t>info@lacollinetta.eu; la-collinetta@hotmail.com</t>
  </si>
  <si>
    <t>POGGIO MONTALI</t>
  </si>
  <si>
    <t>via Fontestate 6</t>
  </si>
  <si>
    <t>www.poggiomontali.it</t>
  </si>
  <si>
    <t>aziendaagricola@poggiomontali.it</t>
  </si>
  <si>
    <t>AGRITURISMO OLIODIVINO</t>
  </si>
  <si>
    <t>via Ponte Magno 7</t>
  </si>
  <si>
    <t>www.agriturismomarche.net</t>
  </si>
  <si>
    <t>oliodivino@live.it</t>
  </si>
  <si>
    <t>LE TERRE DI MALUK</t>
  </si>
  <si>
    <t>via Piana di Cardinale 37</t>
  </si>
  <si>
    <t>MONTE SAN VITO</t>
  </si>
  <si>
    <t>loc.Cozze di Monte San Vito</t>
  </si>
  <si>
    <t>www.leterredimaluk.it</t>
  </si>
  <si>
    <t>info@leterredimaluk.it</t>
  </si>
  <si>
    <t>LA CASA SULL'ALBERO</t>
  </si>
  <si>
    <t>via Fonte delle Cannelle 2</t>
  </si>
  <si>
    <t>MALVIANO RESORT</t>
  </si>
  <si>
    <t>via malviano b 5</t>
  </si>
  <si>
    <t>www.malviano.com</t>
  </si>
  <si>
    <t>info@malviano.com</t>
  </si>
  <si>
    <t>GLI ULIVI DEL MONTE</t>
  </si>
  <si>
    <t>via moruco c 2</t>
  </si>
  <si>
    <t>www.gliulividelmonte.it</t>
  </si>
  <si>
    <t>info@gliulividelmonte.it</t>
  </si>
  <si>
    <t>POGGIO ANTICO</t>
  </si>
  <si>
    <t>via Malviano b 1</t>
  </si>
  <si>
    <t>www.poggio-antico.com</t>
  </si>
  <si>
    <t>info@muchele.com</t>
  </si>
  <si>
    <t>VIADELCAMPO di  SERRANI SILVIA</t>
  </si>
  <si>
    <t>viale Martiri della Resistenza 66</t>
  </si>
  <si>
    <t>www.viadelcampo.info</t>
  </si>
  <si>
    <t>silviaserrani@virgilio.it</t>
  </si>
  <si>
    <t>B&amp;B DA DANY</t>
  </si>
  <si>
    <t>bbdadany@libero.it</t>
  </si>
  <si>
    <t>via del Mare 4-6</t>
  </si>
  <si>
    <t>MORRO D'ALBA</t>
  </si>
  <si>
    <t>moniapacenti73@gmail.com</t>
  </si>
  <si>
    <t>SARO' CASOLARE</t>
  </si>
  <si>
    <t>via Sant'Amico 64</t>
  </si>
  <si>
    <t>www.lacrimasaro.it</t>
  </si>
  <si>
    <t>lacrimasaro@lacrimasaro.it</t>
  </si>
  <si>
    <t>ALBERGO SHANTI HOUSE DAL MAGO</t>
  </si>
  <si>
    <t>fosso Roberti 1</t>
  </si>
  <si>
    <t>MORRO D' ALBA</t>
  </si>
  <si>
    <t>www.shantihousedalmago.com</t>
  </si>
  <si>
    <t>info@shantihousedalmago.com</t>
  </si>
  <si>
    <t>VIGNA S. AMICO COUNTRY HOUSE</t>
  </si>
  <si>
    <t>via s. amico 70</t>
  </si>
  <si>
    <t>www.vignasantamico.it</t>
  </si>
  <si>
    <t>info@vignasantamico.it</t>
  </si>
  <si>
    <t>IL GRANAIO DEI PRETINI</t>
  </si>
  <si>
    <t>via S.Amico 71</t>
  </si>
  <si>
    <t>ilgranaio.piera@libero.it</t>
  </si>
  <si>
    <t>SOLE BELLO RESIDENCE DI CAMPONI ENRICO</t>
  </si>
  <si>
    <t>via del Mare 64</t>
  </si>
  <si>
    <t>www.solebelloitaly.com</t>
  </si>
  <si>
    <t>enricocathy@solebelloitaly.com</t>
  </si>
  <si>
    <t>LA GEMMA DI SANT'ELENA</t>
  </si>
  <si>
    <t>contrada Fosso Roberti 4</t>
  </si>
  <si>
    <t>info@villasantelena.com</t>
  </si>
  <si>
    <t>LA VITA NUOVA srl</t>
  </si>
  <si>
    <t>via Sant'Amico 52</t>
  </si>
  <si>
    <t>peter.vigenon@lavitanuova.it</t>
  </si>
  <si>
    <t>B&amp;B CASA DEL GELSO</t>
  </si>
  <si>
    <t>via Sanguineti 18</t>
  </si>
  <si>
    <t>fabiotruck@alice.it</t>
  </si>
  <si>
    <t>B&amp;B SAN FELICE</t>
  </si>
  <si>
    <t>via Sanguineti 24</t>
  </si>
  <si>
    <t>gillian.arger@gmail.com</t>
  </si>
  <si>
    <t>LE CIVETTE</t>
  </si>
  <si>
    <t>via Morganti 59</t>
  </si>
  <si>
    <t>www.casavacanzalecivette.it</t>
  </si>
  <si>
    <t>info@casavacanzalecivette.it</t>
  </si>
  <si>
    <t>B&amp;B VENTO DEL MARE</t>
  </si>
  <si>
    <t>via Amalfi  63</t>
  </si>
  <si>
    <t>NUMANA</t>
  </si>
  <si>
    <t>Marcelli</t>
  </si>
  <si>
    <t>www.ventodelmare.it</t>
  </si>
  <si>
    <t>info@ventodelmare.it</t>
  </si>
  <si>
    <t>B&amp;B SABBATINI ISOLINA</t>
  </si>
  <si>
    <t>via Capri 4</t>
  </si>
  <si>
    <t>MARCELLI</t>
  </si>
  <si>
    <t>info@ristorantemariolino.it</t>
  </si>
  <si>
    <t>B&amp;B VIVERE IL MARE</t>
  </si>
  <si>
    <t>via Flaminia  162</t>
  </si>
  <si>
    <t>www.bbvivereilmare.it</t>
  </si>
  <si>
    <t>info@bbvivereilmare.it</t>
  </si>
  <si>
    <t>AGRITURISMO HORNOS</t>
  </si>
  <si>
    <t>Via Marina Seconda 16</t>
  </si>
  <si>
    <t>www.agriturismohornos.it</t>
  </si>
  <si>
    <t>info@agriturismohornos.it</t>
  </si>
  <si>
    <t>AFFITTACAMERE BELLELLI ALBERTO</t>
  </si>
  <si>
    <t>via Cristoforo Colombo 6</t>
  </si>
  <si>
    <t>alberto.bellelli@libero.it</t>
  </si>
  <si>
    <t>HOTEL BELLAVISTA</t>
  </si>
  <si>
    <t>Via Cristoforo Colombo 5</t>
  </si>
  <si>
    <t>www.bellavistahotel.org</t>
  </si>
  <si>
    <t>informazioni@bellavistahotel.org</t>
  </si>
  <si>
    <t>HOTEL GALASSI</t>
  </si>
  <si>
    <t>Via Rimini 11</t>
  </si>
  <si>
    <t>www.hotelgalassi.it</t>
  </si>
  <si>
    <t>info@hotelgalassi.it</t>
  </si>
  <si>
    <t>HOTEL K2</t>
  </si>
  <si>
    <t>via Ischia 31</t>
  </si>
  <si>
    <t>www.hotelk2.com</t>
  </si>
  <si>
    <t>info@hotelk2.com</t>
  </si>
  <si>
    <t>HOTEL SORRISO</t>
  </si>
  <si>
    <t>Via Flaminia 109</t>
  </si>
  <si>
    <t>www.hotelsorrisonumana.it</t>
  </si>
  <si>
    <t>info@hotelsorrisonumana.it</t>
  </si>
  <si>
    <t>HOTEL SCOGLIERA</t>
  </si>
  <si>
    <t>via del Golfo 21</t>
  </si>
  <si>
    <t>www.hotelscogliera.com</t>
  </si>
  <si>
    <t>info@hotelscogliera.it</t>
  </si>
  <si>
    <t>HOTEL NUMANA PALACE</t>
  </si>
  <si>
    <t>Via Litoranea 10</t>
  </si>
  <si>
    <t>www.hotelnumanapalace.com</t>
  </si>
  <si>
    <t>hotelnumanapalace@fastnet.it</t>
  </si>
  <si>
    <t>HOTEL MARCELLI</t>
  </si>
  <si>
    <t>via Litoranea 65</t>
  </si>
  <si>
    <t>info@hotelmarcelli.it</t>
  </si>
  <si>
    <t>HOTEL KON TIKI</t>
  </si>
  <si>
    <t>Via Ischia 17</t>
  </si>
  <si>
    <t>www.hotelkontiki.it</t>
  </si>
  <si>
    <t>info@hotelkontiki.it</t>
  </si>
  <si>
    <t>B&amp;B IN RIVA AL MARE</t>
  </si>
  <si>
    <t>Via Litoranea  191</t>
  </si>
  <si>
    <t>liduinovolatili@libero.it</t>
  </si>
  <si>
    <t>RESIDENCE IL CONERO 2</t>
  </si>
  <si>
    <t>via del Conero 29</t>
  </si>
  <si>
    <t>www.hotelresidenceilconero.it</t>
  </si>
  <si>
    <t>info@hotelresidenceilconero.it</t>
  </si>
  <si>
    <t>ADAMO ED EVA RESORT</t>
  </si>
  <si>
    <t>via Costa Verde  snc</t>
  </si>
  <si>
    <t>www.adamoedevanumana.it</t>
  </si>
  <si>
    <t>info@adamoedevanumana.it</t>
  </si>
  <si>
    <t>B&amp;B LE AZALEE</t>
  </si>
  <si>
    <t>via delle Azalee 10</t>
  </si>
  <si>
    <t>www.le-azalee.it</t>
  </si>
  <si>
    <t>info@le-azalee.it</t>
  </si>
  <si>
    <t>ALBERGO CANTARINI</t>
  </si>
  <si>
    <t>via Litoranea 90</t>
  </si>
  <si>
    <t>www.albergocantarini.com</t>
  </si>
  <si>
    <t>albergocantarini@gmail.com</t>
  </si>
  <si>
    <t>RESIDENCE GIGLI</t>
  </si>
  <si>
    <t>via Ischia 40</t>
  </si>
  <si>
    <t>info@giglihotels.com</t>
  </si>
  <si>
    <t>via Litoranea 131 131</t>
  </si>
  <si>
    <t>alessandro.nobis85@yahoo.it</t>
  </si>
  <si>
    <t>CRYSTAL 37</t>
  </si>
  <si>
    <t>via Litoranea 207</t>
  </si>
  <si>
    <t>balneare.crystal37@yahoo.it</t>
  </si>
  <si>
    <t>BAIA DEL CONERO</t>
  </si>
  <si>
    <t>via Rimini 6</t>
  </si>
  <si>
    <t>info@baiadelconero.it</t>
  </si>
  <si>
    <t>B&amp;B DA RITA</t>
  </si>
  <si>
    <t>via Amalfi  69</t>
  </si>
  <si>
    <t>www.laperladelconerobb.it</t>
  </si>
  <si>
    <t>info@laperladelconerobb.it</t>
  </si>
  <si>
    <t>B&amp;B LA PERLA DEL CONERO</t>
  </si>
  <si>
    <t>via Amalfi  71</t>
  </si>
  <si>
    <t>B&amp;B I COLORI DEL CONERO</t>
  </si>
  <si>
    <t>via Colle Piceno 42</t>
  </si>
  <si>
    <t>www.icoloridelconero.it</t>
  </si>
  <si>
    <t>info@icoloridelconero.it</t>
  </si>
  <si>
    <t>RESIDENCE LE ALI DEL CONERO</t>
  </si>
  <si>
    <t>via Ischia 36</t>
  </si>
  <si>
    <t>loc. Marcelli di Numana</t>
  </si>
  <si>
    <t>www.lealidelconero.com</t>
  </si>
  <si>
    <t>info@lealidelconero.com</t>
  </si>
  <si>
    <t>AMARE NUMANA</t>
  </si>
  <si>
    <t>via Colle Piceno 3</t>
  </si>
  <si>
    <t>Numana - Riviera del Conero</t>
  </si>
  <si>
    <t>www.amarenumana.it</t>
  </si>
  <si>
    <t>info@amarenumana.it</t>
  </si>
  <si>
    <t>B&amp;B DORMO AL MARE</t>
  </si>
  <si>
    <t>via Capri 5</t>
  </si>
  <si>
    <t>www.dormoalmare.com</t>
  </si>
  <si>
    <t>eleonora@dormoalmare.com</t>
  </si>
  <si>
    <t>B&amp;B VERDE SUL MARE</t>
  </si>
  <si>
    <t>via Poggio del Sole 69</t>
  </si>
  <si>
    <t>www.verdesulmare.it</t>
  </si>
  <si>
    <t>info@verdesulmare.it</t>
  </si>
  <si>
    <t>TEMPOCASA</t>
  </si>
  <si>
    <t>via Roma 17</t>
  </si>
  <si>
    <t>www.tempocasa.it</t>
  </si>
  <si>
    <t>numana@tempocasa.it</t>
  </si>
  <si>
    <t>B&amp;B DA BIANCHINA</t>
  </si>
  <si>
    <t>via Leopardi 12</t>
  </si>
  <si>
    <t>dabianchina@libero.it</t>
  </si>
  <si>
    <t>LES PARASOLS</t>
  </si>
  <si>
    <t>via Litoranea 23 23</t>
  </si>
  <si>
    <t>superroberto67@hotmail.com</t>
  </si>
  <si>
    <t>COUNTRY HOUSE LA MARTINA</t>
  </si>
  <si>
    <t>via Marina II 8</t>
  </si>
  <si>
    <t>AFFITTACAMERE MORELLI</t>
  </si>
  <si>
    <t>via Flaminia 5</t>
  </si>
  <si>
    <t>Www.morellicamerenumana.it</t>
  </si>
  <si>
    <t>Info@morellicamerenumana.it</t>
  </si>
  <si>
    <t>HOTEL ALEXANDER</t>
  </si>
  <si>
    <t>via Litoranea 232</t>
  </si>
  <si>
    <t>www.ha-alexander.it</t>
  </si>
  <si>
    <t>info@ha-alexander.it</t>
  </si>
  <si>
    <t>CONERO MARE VERDE 2</t>
  </si>
  <si>
    <t>via Mare Verde 85</t>
  </si>
  <si>
    <t>info@coneromareverde.it; frapi72@me.com</t>
  </si>
  <si>
    <t>MERI CANTORI</t>
  </si>
  <si>
    <t>via Colle Piceno 24</t>
  </si>
  <si>
    <t>antonello.baldini@gmail.com</t>
  </si>
  <si>
    <t>MARCHETTI GIULIA</t>
  </si>
  <si>
    <t>via Milano 8</t>
  </si>
  <si>
    <t>LA TORRE CAMERE</t>
  </si>
  <si>
    <t>via della Torre 42</t>
  </si>
  <si>
    <t>latorrecamere.com</t>
  </si>
  <si>
    <t>alessandrabaldoni@hotmail.it</t>
  </si>
  <si>
    <t>B&amp;B ARBUATTI ANTONIO</t>
  </si>
  <si>
    <t>Via Ischia 62</t>
  </si>
  <si>
    <t>B&amp;B A DUE PASSI DAL MARE</t>
  </si>
  <si>
    <t>via Colle Piceno 6</t>
  </si>
  <si>
    <t>www.aduepassidalmare.info</t>
  </si>
  <si>
    <t>info@aduepassidalmare.info</t>
  </si>
  <si>
    <t>HOTEL CENTRO VACANZE DE ANGELIS</t>
  </si>
  <si>
    <t>via Castelfidardo 1</t>
  </si>
  <si>
    <t>www.villaggiocentrovacanzedeangelis.it</t>
  </si>
  <si>
    <t>info@villaggiocentrovacanzedeangelis.it</t>
  </si>
  <si>
    <t>CASA MONTIRONI</t>
  </si>
  <si>
    <t>via Costa Verde 4</t>
  </si>
  <si>
    <t>www.casamontironi.it</t>
  </si>
  <si>
    <t>info@casamontironi.it</t>
  </si>
  <si>
    <t>AFFITTACAMERE LA PIAZZETTA</t>
  </si>
  <si>
    <t>via Venezia 29</t>
  </si>
  <si>
    <t>LA PICCOLA SPIAGGIA</t>
  </si>
  <si>
    <t>via Litoranea  191</t>
  </si>
  <si>
    <t>CONERO MARE VERDE 1</t>
  </si>
  <si>
    <t>info@coneromareverde.it</t>
  </si>
  <si>
    <t>APARTHOTEL IL CONERO 2</t>
  </si>
  <si>
    <t>CONERO B&amp;B</t>
  </si>
  <si>
    <t>via Amalfi 73</t>
  </si>
  <si>
    <t>www.conerobb.it</t>
  </si>
  <si>
    <t>conerobb@gmail.com</t>
  </si>
  <si>
    <t>AFFITTACAMERE ACQUA SALATA</t>
  </si>
  <si>
    <t>via augusto elia 1</t>
  </si>
  <si>
    <t>www.affittacamerenumana.it</t>
  </si>
  <si>
    <t>info@affittacamerenumana.it</t>
  </si>
  <si>
    <t>AFFITTACAMERE VELIA MARE ELITE</t>
  </si>
  <si>
    <t>via della Sirena 3</t>
  </si>
  <si>
    <t>www.veliamarenumana.it</t>
  </si>
  <si>
    <t>veliamarecamere@libero.it</t>
  </si>
  <si>
    <t>AFFITTACAMERE  LA PIAZZETTA 2</t>
  </si>
  <si>
    <t>Piazzale delle tremiti  5</t>
  </si>
  <si>
    <t>info@camerenumana.it</t>
  </si>
  <si>
    <t>CASA VACANZE GIULIA</t>
  </si>
  <si>
    <t>via castelfidardo 31</t>
  </si>
  <si>
    <t>www.ilcasaledigiulia.it</t>
  </si>
  <si>
    <t>info@casavacanzegiulia.it</t>
  </si>
  <si>
    <t>30 NODI</t>
  </si>
  <si>
    <t>via del golfo  25</t>
  </si>
  <si>
    <t>alexpanocchi@hotmail.com</t>
  </si>
  <si>
    <t>HOTEL GIARDINO DIPENDENZA</t>
  </si>
  <si>
    <t>www.hotelgiardino.com</t>
  </si>
  <si>
    <t>info@hotelgiardino.com</t>
  </si>
  <si>
    <t>AFFITTACAMERE ANGELA'S ROOM</t>
  </si>
  <si>
    <t>via Milano 4</t>
  </si>
  <si>
    <t>www.numanarooms.com</t>
  </si>
  <si>
    <t>info@numanarooms.com</t>
  </si>
  <si>
    <t>LE FIABE</t>
  </si>
  <si>
    <t>via Lauretana 19</t>
  </si>
  <si>
    <t>www.giglihotels.com</t>
  </si>
  <si>
    <t>lefiabe@giglihotels.com</t>
  </si>
  <si>
    <t>IL GIGLIO DEL CONERO 1</t>
  </si>
  <si>
    <t>info@gigliodelconero.it</t>
  </si>
  <si>
    <t>IL GIGLIO DEL CONERO 2</t>
  </si>
  <si>
    <t>MONTALBANO 27</t>
  </si>
  <si>
    <t>LA CITTA' IDEALE</t>
  </si>
  <si>
    <t>loc. Marcelli</t>
  </si>
  <si>
    <t>B&amp;B ROBERTA</t>
  </si>
  <si>
    <t>via Litoranea 76</t>
  </si>
  <si>
    <t>www.bebroberta.com</t>
  </si>
  <si>
    <t>b.end.b.roberta@gmail.com</t>
  </si>
  <si>
    <t>CASACONERO.IT</t>
  </si>
  <si>
    <t>via Litoranea 167</t>
  </si>
  <si>
    <t>www.casaconero.it</t>
  </si>
  <si>
    <t>info@casaconero.it</t>
  </si>
  <si>
    <t>B&amp;B POGGIO DEL SOLE</t>
  </si>
  <si>
    <t>via Poggio del Sole 42/44</t>
  </si>
  <si>
    <t>info@poggiodelsole.it</t>
  </si>
  <si>
    <t>B&amp;B LE MARGHERITE di MARIELLA SVERGOLA</t>
  </si>
  <si>
    <t>via Circonvallazione Conero 31</t>
  </si>
  <si>
    <t>info@lemargheritenumana.com</t>
  </si>
  <si>
    <t>CAMPING RIVIERA VILLAGE</t>
  </si>
  <si>
    <t>via Montalbano 20</t>
  </si>
  <si>
    <t>www.campingriviera.it</t>
  </si>
  <si>
    <t>info@campingriviera.it</t>
  </si>
  <si>
    <t>AFFITTACAMERE I VICOLI</t>
  </si>
  <si>
    <t>via roma 120</t>
  </si>
  <si>
    <t>www.ivicoli.it</t>
  </si>
  <si>
    <t>info@ivicoli.it</t>
  </si>
  <si>
    <t>AGRITURISMO CASA ROSSI</t>
  </si>
  <si>
    <t>via marina seconda 2</t>
  </si>
  <si>
    <t>agriturismocasarossi@gmail.com</t>
  </si>
  <si>
    <t>RESIDENCE LE PALME</t>
  </si>
  <si>
    <t>Via Ischia  68/72A</t>
  </si>
  <si>
    <t>www.residencelepalme.com</t>
  </si>
  <si>
    <t>info@residencelepalme.com</t>
  </si>
  <si>
    <t>VILA BAHIA</t>
  </si>
  <si>
    <t>via Recanati 28</t>
  </si>
  <si>
    <t>www.vilabahia.it</t>
  </si>
  <si>
    <t>info@vilabahia.it</t>
  </si>
  <si>
    <t>I GABBIANI</t>
  </si>
  <si>
    <t>via Sorrento 32</t>
  </si>
  <si>
    <t>L'AGAVE</t>
  </si>
  <si>
    <t>via Ascoli Piceno 6</t>
  </si>
  <si>
    <t>info@appartamenti-vacanze-mare-agave.com</t>
  </si>
  <si>
    <t>OASI MARE</t>
  </si>
  <si>
    <t>via recanati 11</t>
  </si>
  <si>
    <t>www.oasimare.com</t>
  </si>
  <si>
    <t>oasimare@alice.it</t>
  </si>
  <si>
    <t>B&amp;B ISABELLA</t>
  </si>
  <si>
    <t>via litoranea 187</t>
  </si>
  <si>
    <t>www.bebisa.it</t>
  </si>
  <si>
    <t>beb05isa@virgilio.it</t>
  </si>
  <si>
    <t>CORALLO SUMMER VILLAGE</t>
  </si>
  <si>
    <t>via Litoranea 1 1</t>
  </si>
  <si>
    <t>info@corallovillage.it</t>
  </si>
  <si>
    <t>www.corallovillage.it</t>
  </si>
  <si>
    <t>CENTRO VACANZE ON THE BEACH</t>
  </si>
  <si>
    <t>via litoranea 211 211</t>
  </si>
  <si>
    <t>info@centrovacanzeonthebeach.it</t>
  </si>
  <si>
    <t>www.centrovacanzeonthebeach.it</t>
  </si>
  <si>
    <t>DAL PESCATORE</t>
  </si>
  <si>
    <t>via litoranea 215 215</t>
  </si>
  <si>
    <t>dalpescatoresrl@gmail.com</t>
  </si>
  <si>
    <t>via litoranea 65 65</t>
  </si>
  <si>
    <t>TAUNUS</t>
  </si>
  <si>
    <t>via litoranea 1 19</t>
  </si>
  <si>
    <t>CAVALLUCCIO DI MARE</t>
  </si>
  <si>
    <t>via Litoranea  9</t>
  </si>
  <si>
    <t>silau@libero.it</t>
  </si>
  <si>
    <t>via litoranea 21 21</t>
  </si>
  <si>
    <t>www.laperlaristorante.it</t>
  </si>
  <si>
    <t>info@laperlaristornte.it</t>
  </si>
  <si>
    <t>via litoranea 10 10</t>
  </si>
  <si>
    <t>www.HOTELNUMANAPALACE.COM</t>
  </si>
  <si>
    <t>IL LIBECCIO</t>
  </si>
  <si>
    <t>via litoranea 213 213</t>
  </si>
  <si>
    <t>ORLANDO</t>
  </si>
  <si>
    <t>via litoranea 205 205</t>
  </si>
  <si>
    <t>micuccimedardo2008@libero.it</t>
  </si>
  <si>
    <t>via del golfo  26</t>
  </si>
  <si>
    <t>LA SPIAGGIOLA</t>
  </si>
  <si>
    <t>laspiaggiola@tin.it</t>
  </si>
  <si>
    <t>via litoranea 209 209</t>
  </si>
  <si>
    <t>DA MARINO</t>
  </si>
  <si>
    <t>via Litoranea 3 3</t>
  </si>
  <si>
    <t>stabilimentodamarino@live.it</t>
  </si>
  <si>
    <t>www.stabilimentodamarino.it</t>
  </si>
  <si>
    <t>IL CUCALE</t>
  </si>
  <si>
    <t>via litoranea 103 103</t>
  </si>
  <si>
    <t>LA LANTERNA</t>
  </si>
  <si>
    <t>piazza miramare 7 7</t>
  </si>
  <si>
    <t>mauromarce@alice.it</t>
  </si>
  <si>
    <t>BELLARIVA</t>
  </si>
  <si>
    <t>via litoranea 11 11</t>
  </si>
  <si>
    <t>numana</t>
  </si>
  <si>
    <t>romina@hotelgiardino.com</t>
  </si>
  <si>
    <t>ARCOBALENO N 36</t>
  </si>
  <si>
    <t>via litoranea snc snc</t>
  </si>
  <si>
    <t>EDEN GIGLI</t>
  </si>
  <si>
    <t>via angiolo morelli 11 11</t>
  </si>
  <si>
    <t>amministrazione@giglihotels.com</t>
  </si>
  <si>
    <t>LA ROTONDA GIGLI</t>
  </si>
  <si>
    <t>Via Capri,29 1 1</t>
  </si>
  <si>
    <t>rotondagigli@giglihotels.com</t>
  </si>
  <si>
    <t>BALNEARE EUROPA N 28</t>
  </si>
  <si>
    <t>via litoranea 149</t>
  </si>
  <si>
    <t>bagni_europa@libero.it</t>
  </si>
  <si>
    <t>BAGNI AMEDEO N 23</t>
  </si>
  <si>
    <t>via litoranea 1 1</t>
  </si>
  <si>
    <t>gianlucalucesoli@alice.it</t>
  </si>
  <si>
    <t>I TAMERICI</t>
  </si>
  <si>
    <t>via Litoranea 209 209</t>
  </si>
  <si>
    <t>CONERO AZZURRO</t>
  </si>
  <si>
    <t>www.coneroazzurro.it</t>
  </si>
  <si>
    <t>info@coneroazzurro.it</t>
  </si>
  <si>
    <t>FIOR DI MARE</t>
  </si>
  <si>
    <t>Via Cristoforo Colombo 14</t>
  </si>
  <si>
    <t>Numana</t>
  </si>
  <si>
    <t>ltiffi@alice.it</t>
  </si>
  <si>
    <t>FLORIDA 16</t>
  </si>
  <si>
    <t>via litoranea 13 13</t>
  </si>
  <si>
    <t>luipaoconero@hotmail.it</t>
  </si>
  <si>
    <t>LA BUSSOLA</t>
  </si>
  <si>
    <t>info@residencemarcelli.it</t>
  </si>
  <si>
    <t>via litoranea 202 202</t>
  </si>
  <si>
    <t>LIDO AZZURRO N 11</t>
  </si>
  <si>
    <t>via litoranea 3/A 3/A</t>
  </si>
  <si>
    <t>LA CONCHIGLIA</t>
  </si>
  <si>
    <t>via Litoranea 7 7</t>
  </si>
  <si>
    <t>SCOGLIERA</t>
  </si>
  <si>
    <t>NUMANA BLU</t>
  </si>
  <si>
    <t>via litoranea 227 227</t>
  </si>
  <si>
    <t>info@numanablubalneare.it</t>
  </si>
  <si>
    <t>www.numanablubalneare.it</t>
  </si>
  <si>
    <t>IURA FAUSTO</t>
  </si>
  <si>
    <t>via rimini 14</t>
  </si>
  <si>
    <t>KON TIKI</t>
  </si>
  <si>
    <t>DAMA BLU</t>
  </si>
  <si>
    <t>via Litoranea 209/a</t>
  </si>
  <si>
    <t>LIDO di LEVANTE</t>
  </si>
  <si>
    <t>LA SIRENETTA</t>
  </si>
  <si>
    <t>via litoranea 17 17</t>
  </si>
  <si>
    <t>CRAZY BEACH</t>
  </si>
  <si>
    <t>stefano_orlandini@alice.it</t>
  </si>
  <si>
    <t>MARISOL</t>
  </si>
  <si>
    <t>L'APPRODO</t>
  </si>
  <si>
    <t>via litoranea 201 201</t>
  </si>
  <si>
    <t>DONATELLA</t>
  </si>
  <si>
    <t>donatellazz61@gmail com</t>
  </si>
  <si>
    <t>STELLA MARINA</t>
  </si>
  <si>
    <t>via del Golfo 27 27</t>
  </si>
  <si>
    <t>info@bagnistellamarina.it</t>
  </si>
  <si>
    <t>www.bagnistellamarina.it</t>
  </si>
  <si>
    <t>VERDE GIADA</t>
  </si>
  <si>
    <t>via litoranea 46</t>
  </si>
  <si>
    <t>rosalba.compagnucci@libero.it</t>
  </si>
  <si>
    <t>DAMABLU</t>
  </si>
  <si>
    <t>via litoranea 220</t>
  </si>
  <si>
    <t>www.damablu.it</t>
  </si>
  <si>
    <t>info@damablu.it</t>
  </si>
  <si>
    <t>HOTEL GIARDINO Suite&amp;Wellness</t>
  </si>
  <si>
    <t>via Circonvallazione Conero 19</t>
  </si>
  <si>
    <t>HOTEL BABY GIGLI MEUBLE'</t>
  </si>
  <si>
    <t>via Litoranea 1</t>
  </si>
  <si>
    <t>babygigli@giglihotels.com</t>
  </si>
  <si>
    <t>HOTEL ALESSANDRA</t>
  </si>
  <si>
    <t>via Risorgimento 11</t>
  </si>
  <si>
    <t>www.hotelalessandra.it</t>
  </si>
  <si>
    <t>info@hotelalessandra.it</t>
  </si>
  <si>
    <t>TERESA A MARE</t>
  </si>
  <si>
    <t>via del golfo 26</t>
  </si>
  <si>
    <t>www.hotelteresamare.com</t>
  </si>
  <si>
    <t>info@hotelteresamare.com</t>
  </si>
  <si>
    <t>HOTEL EDEN GIGLI</t>
  </si>
  <si>
    <t>viale Angiolo Morelli 11</t>
  </si>
  <si>
    <t>HOTEL VILLA SIRENA</t>
  </si>
  <si>
    <t>via del Golfo 24</t>
  </si>
  <si>
    <t>info@villasirena.it</t>
  </si>
  <si>
    <t>MEUBLE' LA SPIAGGIOLA</t>
  </si>
  <si>
    <t>via cristoforo colombo  12</t>
  </si>
  <si>
    <t>www.laspiaggiola.it</t>
  </si>
  <si>
    <t>info@laspiaggiola.it</t>
  </si>
  <si>
    <t>HOTEL MIMOSA</t>
  </si>
  <si>
    <t>via Ischia 115</t>
  </si>
  <si>
    <t>hotelmimosamarcelli@gmail.com</t>
  </si>
  <si>
    <t>LE GRANGE</t>
  </si>
  <si>
    <t>via Marina Seconda 1</t>
  </si>
  <si>
    <t>gioacchini.cristina@libero.it</t>
  </si>
  <si>
    <t>RISTORANTE MARIOLINO</t>
  </si>
  <si>
    <t>via Capri 17</t>
  </si>
  <si>
    <t>info@ristorantemariolino.it; santo8177@tiscali.it</t>
  </si>
  <si>
    <t>AFFITTACAMERE VILLA PUCCI  DI PUCCI URSULA</t>
  </si>
  <si>
    <t>via Cristoforo Colombo 4</t>
  </si>
  <si>
    <t>www.villapucci.it</t>
  </si>
  <si>
    <t>info@villapucci.it</t>
  </si>
  <si>
    <t>VELIA MARE (BACCHELLI BIANCA MARIA)</t>
  </si>
  <si>
    <t>via Roma 13</t>
  </si>
  <si>
    <t>via Flaminia 92</t>
  </si>
  <si>
    <t>VILLA MIRELLA</t>
  </si>
  <si>
    <t>via litoranea 192</t>
  </si>
  <si>
    <t>LA BOUGANVILLEA</t>
  </si>
  <si>
    <t>via risorgimento 39</t>
  </si>
  <si>
    <t>affittacamerebuganvillea@gmail.com</t>
  </si>
  <si>
    <t>B&amp;B NUBICUCULIA</t>
  </si>
  <si>
    <t>via dei pini 20</t>
  </si>
  <si>
    <t>nubicuculiabeb@hotmail.com</t>
  </si>
  <si>
    <t>RESIDENCE SAINT TROPEZ</t>
  </si>
  <si>
    <t>via Litoranea 132</t>
  </si>
  <si>
    <t>www.agenziaimmobiliarearbuatti.com</t>
  </si>
  <si>
    <t>antoine.arbuatti@tiscali.it</t>
  </si>
  <si>
    <t>MARCELLI MIRANDA</t>
  </si>
  <si>
    <t>via Amalfi 13</t>
  </si>
  <si>
    <t>cicconi.romina@alice.it</t>
  </si>
  <si>
    <t>RESIDENCE MARCELLI</t>
  </si>
  <si>
    <t>DAMA S.A.S DI AGAZZANI MARCO &amp; C.</t>
  </si>
  <si>
    <t>via Litoranea 356</t>
  </si>
  <si>
    <t>via Litoranea 92</t>
  </si>
  <si>
    <t>www.agenziacasavacanze.it</t>
  </si>
  <si>
    <t>info@agenziacasavacanze.it</t>
  </si>
  <si>
    <t>IMMOBILIARE TURISTICA BRANCHINI</t>
  </si>
  <si>
    <t>via Litoranea 37</t>
  </si>
  <si>
    <t>www.immobiliarebranchini.it</t>
  </si>
  <si>
    <t>info@immobiliarebranchini.it</t>
  </si>
  <si>
    <t>RESIDENCE LA GINESTRA</t>
  </si>
  <si>
    <t>via castelfidardo 49</t>
  </si>
  <si>
    <t>www.residencenumana.com</t>
  </si>
  <si>
    <t>info@residencenumana.com</t>
  </si>
  <si>
    <t>LE STAGIONI DEL CONERO (STURBA CRISTIANA)</t>
  </si>
  <si>
    <t>via Flaminia 96</t>
  </si>
  <si>
    <t>www.stagionidelconero.it</t>
  </si>
  <si>
    <t>info@stagionidelconero.it</t>
  </si>
  <si>
    <t>IL CONERO MARE DI PINCINI CARLA</t>
  </si>
  <si>
    <t>info@ilconero-mare.it</t>
  </si>
  <si>
    <t>RESIDENCE LIDO AZZURRO (EMANUELA TORRESI)</t>
  </si>
  <si>
    <t>via Costa Verde 2</t>
  </si>
  <si>
    <t>Marcelli di Numana</t>
  </si>
  <si>
    <t>info@lidoazzurronumana.it</t>
  </si>
  <si>
    <t>ADRIATICA</t>
  </si>
  <si>
    <t>via del Porto 42</t>
  </si>
  <si>
    <t>www.affitticonero.com</t>
  </si>
  <si>
    <t>immobiliareadriatica@tiscali.it</t>
  </si>
  <si>
    <t>AGENZIA IMMOBILIARE MAIOLINI</t>
  </si>
  <si>
    <t>via Litoranea 179</t>
  </si>
  <si>
    <t>www.maiolini.it</t>
  </si>
  <si>
    <t>agenzia@maiolini.it</t>
  </si>
  <si>
    <t>CLUB CENTRO VACANZE</t>
  </si>
  <si>
    <t>via Castelfidardo 80</t>
  </si>
  <si>
    <t>CAMPEGGIO NUMANA BLU</t>
  </si>
  <si>
    <t>via Costaverde 37</t>
  </si>
  <si>
    <t>MARCELLI DI NUMANA</t>
  </si>
  <si>
    <t>www.numanablu.it</t>
  </si>
  <si>
    <t>info@numanablu.it</t>
  </si>
  <si>
    <t>CALETTA DEL CONERO</t>
  </si>
  <si>
    <t>via Litoranea 116</t>
  </si>
  <si>
    <t>http://calettadelconero.it</t>
  </si>
  <si>
    <t>info@calettadelconero.it</t>
  </si>
  <si>
    <t>EUGENIO FIORANELLI</t>
  </si>
  <si>
    <t>via litoranea 5 5/7</t>
  </si>
  <si>
    <t>fioranellieugenio@pec.it</t>
  </si>
  <si>
    <t>B&amp;B SAPORE DI SALE</t>
  </si>
  <si>
    <t>via Pesaro 1</t>
  </si>
  <si>
    <t>bedbreakfastsaporedisale@hotmail.com</t>
  </si>
  <si>
    <t>TAUNUS VACANZE</t>
  </si>
  <si>
    <t>Via delle Acacie 101</t>
  </si>
  <si>
    <t>vacanze@taunus.it</t>
  </si>
  <si>
    <t>CASE AFFARI S.r.l.</t>
  </si>
  <si>
    <t>via Litoranea / via Pesaro 173/67</t>
  </si>
  <si>
    <t>info@caseaffarigroup.it</t>
  </si>
  <si>
    <t>LA BATTIGIA</t>
  </si>
  <si>
    <t>via Litoranea 84</t>
  </si>
  <si>
    <t>PAOLA FRONTINI</t>
  </si>
  <si>
    <t>via dei Tigli 7</t>
  </si>
  <si>
    <t>info@ergoart.it</t>
  </si>
  <si>
    <t>BIAGIOLI BRUNO</t>
  </si>
  <si>
    <t>via Milano 10</t>
  </si>
  <si>
    <t>simonebiagioli@hotmail.it</t>
  </si>
  <si>
    <t>BACCHELLI FIORELLA</t>
  </si>
  <si>
    <t>via IV Novembre 26</t>
  </si>
  <si>
    <t>info@operaarte.it</t>
  </si>
  <si>
    <t>RIVA CRISTINA</t>
  </si>
  <si>
    <t>via Sorrento 41</t>
  </si>
  <si>
    <t>cristina.riva.gemc@alice.it</t>
  </si>
  <si>
    <t>FUED IMMOBILIARE SRL APP.TI NUMANA</t>
  </si>
  <si>
    <t>via Ascoli Piceno 33</t>
  </si>
  <si>
    <t>info@fuedimmobiliare.it</t>
  </si>
  <si>
    <t>CONERO SUITES</t>
  </si>
  <si>
    <t>via Mare Verde anc</t>
  </si>
  <si>
    <t>www.conerosuites.it</t>
  </si>
  <si>
    <t>info@conerosuites.it</t>
  </si>
  <si>
    <t>LUCESOLE MAILA</t>
  </si>
  <si>
    <t>Via Castelfidardo 19</t>
  </si>
  <si>
    <t>lucesole@hotmail.com</t>
  </si>
  <si>
    <t>VIVERE NUMANA</t>
  </si>
  <si>
    <t>Via Roma 1</t>
  </si>
  <si>
    <t>valerio_balestrieri@yahoo.ti</t>
  </si>
  <si>
    <t>PIERANTONI ROBERTO</t>
  </si>
  <si>
    <t>Via Macerata 40</t>
  </si>
  <si>
    <t>roberto.pierantoni@gmail.com</t>
  </si>
  <si>
    <t>Via Giacomo Matteotti 24</t>
  </si>
  <si>
    <t>bontempi@taunus.it</t>
  </si>
  <si>
    <t>B&amp;B SARAMARE</t>
  </si>
  <si>
    <t>VIA LORETO 37</t>
  </si>
  <si>
    <t>saraalcantarini@yahoo.it</t>
  </si>
  <si>
    <t>AFFITTACAMERE DA SABRI</t>
  </si>
  <si>
    <t>VIA RISORGIMENTO 77</t>
  </si>
  <si>
    <t>sabrinazo@hotmail.com</t>
  </si>
  <si>
    <t>APPARTAMENTO BABINI MARCELLO</t>
  </si>
  <si>
    <t>SVARCHI BASSI  32</t>
  </si>
  <si>
    <t>marcello.babini@libero.it</t>
  </si>
  <si>
    <t>IL CONERO DI SARA</t>
  </si>
  <si>
    <t>LITORANEA  89</t>
  </si>
  <si>
    <t>www.appartamenticonerosara.com</t>
  </si>
  <si>
    <t>ilconerodisara@gmail.com</t>
  </si>
  <si>
    <t>VILLA DEA AFFITTACAMERE</t>
  </si>
  <si>
    <t>VIA C. COLOMBO, 6</t>
  </si>
  <si>
    <t>AFFITTACAMERE RESIDENCE LE PALME</t>
  </si>
  <si>
    <t>Via Amalfi SNC</t>
  </si>
  <si>
    <t>B&amp;B LA CALLETTA 37</t>
  </si>
  <si>
    <t>Via Venezia  37</t>
  </si>
  <si>
    <t>iceberg59@libero.it</t>
  </si>
  <si>
    <t>CONERO INFINITO 1</t>
  </si>
  <si>
    <t>Viale Mareverde SNC</t>
  </si>
  <si>
    <t>info@coneroinfinito.it</t>
  </si>
  <si>
    <t>RAGNI GIUSEPPE</t>
  </si>
  <si>
    <t>Via del Porto 42</t>
  </si>
  <si>
    <t>gragni@ragnisirolo.it</t>
  </si>
  <si>
    <t>CASA SORESINA</t>
  </si>
  <si>
    <t>Via Torre 6/B</t>
  </si>
  <si>
    <t>OFFAGNA</t>
  </si>
  <si>
    <t>www.casasoresina.com</t>
  </si>
  <si>
    <t>cri64gigli@gmail.com</t>
  </si>
  <si>
    <t>B&amp;B VILLA MALACARI</t>
  </si>
  <si>
    <t>VIA E. MALACARI 6</t>
  </si>
  <si>
    <t>villamalacari@malacari.it</t>
  </si>
  <si>
    <t>B&amp;B GYM &amp; TENNIS IL FALCO</t>
  </si>
  <si>
    <t>via Pago sn</t>
  </si>
  <si>
    <t>marco.tamberi@profilomagazine.it</t>
  </si>
  <si>
    <t>L'ARCOBALENO</t>
  </si>
  <si>
    <t>via torre 10</t>
  </si>
  <si>
    <t>www.agriturismo-arcobaleno.org</t>
  </si>
  <si>
    <t>agriturismoarcobaleno@gmail.com</t>
  </si>
  <si>
    <t>B&amp;B LOLA</t>
  </si>
  <si>
    <t>via massa 7</t>
  </si>
  <si>
    <t>info@bblola.it</t>
  </si>
  <si>
    <t>CASALE IL GALLO BIANCO DI MAZZONI MASSIMILIANO &amp; C.</t>
  </si>
  <si>
    <t>via Aspio 2</t>
  </si>
  <si>
    <t>www.casaleilgallobianco.it</t>
  </si>
  <si>
    <t>info@casaleilgallobianco.it</t>
  </si>
  <si>
    <t>LE VERGARE</t>
  </si>
  <si>
    <t>via Traversa Massa 3</t>
  </si>
  <si>
    <t>www.agriturismolevergare.com</t>
  </si>
  <si>
    <t>agriturismolevergare@alice.it</t>
  </si>
  <si>
    <t>via Molino 1</t>
  </si>
  <si>
    <t>www.lacasettaoffagna.ea23.com</t>
  </si>
  <si>
    <t>lacasetta.bedandbreakfast@gmail.com</t>
  </si>
  <si>
    <t>IL RISTORO DEL VIANDANTE</t>
  </si>
  <si>
    <t>via dei Bastioni 12</t>
  </si>
  <si>
    <t>danilo@cecconisrl.it; direzione@albergoconcorde.it</t>
  </si>
  <si>
    <t>B&amp;B LA COLLINA DORATA</t>
  </si>
  <si>
    <t>via Torre 26</t>
  </si>
  <si>
    <t>Offagna</t>
  </si>
  <si>
    <t>www.lacollinadorata.it</t>
  </si>
  <si>
    <t>lacollinadorata@gmail.com</t>
  </si>
  <si>
    <t>AZIENDA AGRICOLA MARCONI KATIA</t>
  </si>
  <si>
    <t>via Liscia 8</t>
  </si>
  <si>
    <t>B&amp;B IL PUNTO MAGICO</t>
  </si>
  <si>
    <t>via Pago 7</t>
  </si>
  <si>
    <t>www.ilpuntomagico.it</t>
  </si>
  <si>
    <t>info@ilpuntomagico.it</t>
  </si>
  <si>
    <t>B&amp;B TEMPLARI NELLE MARCHE</t>
  </si>
  <si>
    <t>via della Commenda 2</t>
  </si>
  <si>
    <t>OSIMO</t>
  </si>
  <si>
    <t>Casenuove</t>
  </si>
  <si>
    <t>www.templarinellemarche.it</t>
  </si>
  <si>
    <t>collesanfilippo@gmail.com</t>
  </si>
  <si>
    <t>B&amp;B PAOLO VITALI DE BONDA</t>
  </si>
  <si>
    <t>piazza Gramsci 1</t>
  </si>
  <si>
    <t>studiolegalevitali@hotmail.it</t>
  </si>
  <si>
    <t>B&amp;B I CILIEGI</t>
  </si>
  <si>
    <t>via Molino Mensa 103</t>
  </si>
  <si>
    <t>www.iciliegi.com</t>
  </si>
  <si>
    <t>info@iciliegi.com</t>
  </si>
  <si>
    <t>B&amp;B LE STANZE DI CARLOTTA</t>
  </si>
  <si>
    <t>via Molino Guarnieri 35</t>
  </si>
  <si>
    <t>www.lestanzedicarlotta.it</t>
  </si>
  <si>
    <t>info@lestanzedicarlotta.it</t>
  </si>
  <si>
    <t>info@parko.it</t>
  </si>
  <si>
    <t>VILLA CORALIA</t>
  </si>
  <si>
    <t>via Abbadia 22</t>
  </si>
  <si>
    <t>info@villacoralia.it</t>
  </si>
  <si>
    <t>B&amp;B TACHE</t>
  </si>
  <si>
    <t>via Montegallo 27</t>
  </si>
  <si>
    <t>montegallo.tache@gmail.com</t>
  </si>
  <si>
    <t>B&amp;B VILLA CORALIA</t>
  </si>
  <si>
    <t>via Abbadia 26</t>
  </si>
  <si>
    <t>B&amp;B ABBADIA 14</t>
  </si>
  <si>
    <t>via Abbadia 14</t>
  </si>
  <si>
    <t>www.abbadia14.it</t>
  </si>
  <si>
    <t>bnbabbadia14@gmail.com</t>
  </si>
  <si>
    <t>B&amp;B ANTICO POMERIO</t>
  </si>
  <si>
    <t>via Matteotti 18</t>
  </si>
  <si>
    <t>www.bb-anticopomerio.it</t>
  </si>
  <si>
    <t>info@bb-anticopomerio.it</t>
  </si>
  <si>
    <t>G HOTEL</t>
  </si>
  <si>
    <t>via sbrozzola 26</t>
  </si>
  <si>
    <t>www.ghotelancona.it</t>
  </si>
  <si>
    <t>info@ghotelancona.it</t>
  </si>
  <si>
    <t>B&amp;B SAN VALENTINO</t>
  </si>
  <si>
    <t>via SanValentino 50</t>
  </si>
  <si>
    <t>www.bbsanvalentino.it</t>
  </si>
  <si>
    <t>info@bbsanvalentino.it; l.frampolli@gmail.com</t>
  </si>
  <si>
    <t>AFFITTACAMERE PAVONI</t>
  </si>
  <si>
    <t>via ancona 66</t>
  </si>
  <si>
    <t>marcopav@email.com</t>
  </si>
  <si>
    <t>B&amp;B NOTTEDI di FRANCESCO PIRANI</t>
  </si>
  <si>
    <t>via Molino Guarnieri 27</t>
  </si>
  <si>
    <t>www.bbnottedi.it</t>
  </si>
  <si>
    <t>anna@bbnottedi.it</t>
  </si>
  <si>
    <t>VILLA BELVEDERE DEGLI ULIVI DI CAPRIONI CARLO</t>
  </si>
  <si>
    <t>via corticelli 9</t>
  </si>
  <si>
    <t>www.villaosimo.com</t>
  </si>
  <si>
    <t>info@villaosimo.com</t>
  </si>
  <si>
    <t>BED &amp; BREAKFAST POGGIO CAROLINA</t>
  </si>
  <si>
    <t>via Flaminia Prima 11</t>
  </si>
  <si>
    <t>www.poggiocarolina.it</t>
  </si>
  <si>
    <t>info@poggiocarolina.it</t>
  </si>
  <si>
    <t>B&amp;B VILLA MARIA</t>
  </si>
  <si>
    <t>via Don Ciavattini 4</t>
  </si>
  <si>
    <t>www.villamariaosimo.it</t>
  </si>
  <si>
    <t>info@villamariaosimo.it</t>
  </si>
  <si>
    <t>LA NATURA DEL MONTE</t>
  </si>
  <si>
    <t>via chiaravallese 85</t>
  </si>
  <si>
    <t>www.lanaturadelmonte.it</t>
  </si>
  <si>
    <t>info@lanaturadelmonte.it</t>
  </si>
  <si>
    <t>via chiaravallese 154</t>
  </si>
  <si>
    <t>www.aironecountryhouse.it</t>
  </si>
  <si>
    <t>info@aironecountryhouse.it</t>
  </si>
  <si>
    <t>B&amp;B CAPITANELLI STEFANO</t>
  </si>
  <si>
    <t>via don ciavattini 2</t>
  </si>
  <si>
    <t>cs101@tiscali.it</t>
  </si>
  <si>
    <t>via Trento 17</t>
  </si>
  <si>
    <t>www.ilborgodiosimo.it</t>
  </si>
  <si>
    <t>agenziadorimarco@yahoo.it</t>
  </si>
  <si>
    <t>B&amp;B CASA DELLA LUCE DORATA</t>
  </si>
  <si>
    <t>via fosso 39</t>
  </si>
  <si>
    <t>info@casadellalucedorata.it</t>
  </si>
  <si>
    <t>B&amp;B CAMPODISOLE</t>
  </si>
  <si>
    <t>via san paterniano 8</t>
  </si>
  <si>
    <t>www.bbcampodisole.it</t>
  </si>
  <si>
    <t>info@bbcampodisole.it</t>
  </si>
  <si>
    <t>B&amp;B DOREMI</t>
  </si>
  <si>
    <t>Via Fontanelle Passatempo 24</t>
  </si>
  <si>
    <t>PASSATEMPO</t>
  </si>
  <si>
    <t>info@doremi-osimo.com</t>
  </si>
  <si>
    <t>LE BUCOLICHE</t>
  </si>
  <si>
    <t>Località Santo Stefano</t>
  </si>
  <si>
    <t>www.lebucoliche.it</t>
  </si>
  <si>
    <t>info@lebucoliche.it</t>
  </si>
  <si>
    <t>B&amp;B CASA DEI PINI DI AGOSTINELLI GIUSEPPINA</t>
  </si>
  <si>
    <t>via Montecerno 6</t>
  </si>
  <si>
    <t>loc.SANTO STEFANO</t>
  </si>
  <si>
    <t>www.casadeipini.eu</t>
  </si>
  <si>
    <t>info@casadeipini.eu</t>
  </si>
  <si>
    <t>LA COMMENDA</t>
  </si>
  <si>
    <t>via della Commenda 1</t>
  </si>
  <si>
    <t>www.lacommenda.net</t>
  </si>
  <si>
    <t>info@lacommenda.net</t>
  </si>
  <si>
    <t>B&amp;B LOGGIA DEI MERCANTI</t>
  </si>
  <si>
    <t>via e. soderini 8</t>
  </si>
  <si>
    <t>www.allevamentologgiadeimercanti.com</t>
  </si>
  <si>
    <t>info@allevamentologgiadeimercanti.it</t>
  </si>
  <si>
    <t>AGRITURISMO AZZURRO</t>
  </si>
  <si>
    <t>via san valentino 61</t>
  </si>
  <si>
    <t>www.agriturismoazzurro.it</t>
  </si>
  <si>
    <t>info@agriturismoazzurro.it</t>
  </si>
  <si>
    <t>SAN GIUSEPPE DA COPERTINO</t>
  </si>
  <si>
    <t>piazza Gallo 10</t>
  </si>
  <si>
    <t>www.sangiuseppedacopertino.net</t>
  </si>
  <si>
    <t>cognigni.sergio@yahoo.it</t>
  </si>
  <si>
    <t>CRISTOFORO COLOMBO</t>
  </si>
  <si>
    <t>via Adriatica 310</t>
  </si>
  <si>
    <t>www.cristoforo-colombo.com</t>
  </si>
  <si>
    <t>info@cristoforo-colombo.com</t>
  </si>
  <si>
    <t>LA FONTE</t>
  </si>
  <si>
    <t>Via Fonte Magna 33</t>
  </si>
  <si>
    <t>www.hotellafonte.it</t>
  </si>
  <si>
    <t>info@hotellafonte.it</t>
  </si>
  <si>
    <t>PALACE DEL CONERO</t>
  </si>
  <si>
    <t>via grandi 6</t>
  </si>
  <si>
    <t>www.hpconero.it</t>
  </si>
  <si>
    <t>info@hpconero.it</t>
  </si>
  <si>
    <t>via 2 Giugno 12</t>
  </si>
  <si>
    <t>Osimo</t>
  </si>
  <si>
    <t>bedilgelsomino@gmail.com</t>
  </si>
  <si>
    <t>B&amp;B MONTEGALLO</t>
  </si>
  <si>
    <t>VIA MONTEGALLO 11</t>
  </si>
  <si>
    <t>www.bbmontegallo.com</t>
  </si>
  <si>
    <t>bbmontegallo@gmail.com</t>
  </si>
  <si>
    <t>CASALE SAN FILIPPO</t>
  </si>
  <si>
    <t>via Mucciolina 17</t>
  </si>
  <si>
    <t>casalesanfilippo@hotmail.com</t>
  </si>
  <si>
    <t>LA CASA STORTA</t>
  </si>
  <si>
    <t>Via Guasino 5</t>
  </si>
  <si>
    <t>www.bblacasastorta.it</t>
  </si>
  <si>
    <t>bblacasastorta@gmail.com</t>
  </si>
  <si>
    <t>ATTICO LUCE</t>
  </si>
  <si>
    <t>Vicolo Nicolò Romani 3</t>
  </si>
  <si>
    <t>www.bbatticoluce.it</t>
  </si>
  <si>
    <t>a.badialetti@gmail.com</t>
  </si>
  <si>
    <t>BELLAFIORA AFFITTACAMERE DI TONTI CINZIA</t>
  </si>
  <si>
    <t>Bellafiora 18</t>
  </si>
  <si>
    <t>www.bellafiora.it</t>
  </si>
  <si>
    <t>info@bellafiora.it</t>
  </si>
  <si>
    <t>ALLA BIGATTIERA</t>
  </si>
  <si>
    <t>Via Montefanese 161</t>
  </si>
  <si>
    <t>allabigattiera@gmail.com</t>
  </si>
  <si>
    <t>B&amp;B LA FORESTERIA</t>
  </si>
  <si>
    <t>Via Coppa 8</t>
  </si>
  <si>
    <t>info@mediaservicesrl.info;</t>
  </si>
  <si>
    <t>ANTISTRESS AFFITTACAMERE</t>
  </si>
  <si>
    <t>VIA SAN GIOVANNI 20</t>
  </si>
  <si>
    <t>www.antystress.it</t>
  </si>
  <si>
    <t>fcantori@libero.it</t>
  </si>
  <si>
    <t>LA CANTINELLA</t>
  </si>
  <si>
    <t>via g. amendola 1</t>
  </si>
  <si>
    <t>OSTRA</t>
  </si>
  <si>
    <t>www.lacantinella.net</t>
  </si>
  <si>
    <t>info@lacantinella.net</t>
  </si>
  <si>
    <t>LA CASA DI LENU'</t>
  </si>
  <si>
    <t>Via G. Matteotti 1</t>
  </si>
  <si>
    <t>eleonoragiovanetti@gmail.com</t>
  </si>
  <si>
    <t>BARTOLONI GIANNINA</t>
  </si>
  <si>
    <t>Via San Gregorio 60</t>
  </si>
  <si>
    <t>silvia.r@consulservice.info</t>
  </si>
  <si>
    <t>B&amp;B GEBAUER PETRA</t>
  </si>
  <si>
    <t>SANTO STEFANO  1</t>
  </si>
  <si>
    <t>petragebauer@libero.it</t>
  </si>
  <si>
    <t>VILLA OLESIA</t>
  </si>
  <si>
    <t>via Solindio 3</t>
  </si>
  <si>
    <t>www.villaolesia.it</t>
  </si>
  <si>
    <t>info@villaolesia.it</t>
  </si>
  <si>
    <t>B&amp;B LE DIVE</t>
  </si>
  <si>
    <t>via G. Pascoli 8</t>
  </si>
  <si>
    <t>bbledive@hotmail.com</t>
  </si>
  <si>
    <t>SOTTO LA QUERCIA</t>
  </si>
  <si>
    <t>Via Territoriale  19</t>
  </si>
  <si>
    <t>www.sottolaquercia.eu</t>
  </si>
  <si>
    <t>info@sottolaquercia.eu</t>
  </si>
  <si>
    <t>L PRE</t>
  </si>
  <si>
    <t>via Giacomo Matteotti 45</t>
  </si>
  <si>
    <t>www.lpre.it</t>
  </si>
  <si>
    <t>info@lpre.it</t>
  </si>
  <si>
    <t>AGRITURISMO PARADISO</t>
  </si>
  <si>
    <t>via del Paradiso 10</t>
  </si>
  <si>
    <t>LA RAGOLA</t>
  </si>
  <si>
    <t>via San Bonaventura 8</t>
  </si>
  <si>
    <t>www.ragola.it</t>
  </si>
  <si>
    <t>info@ragola.it</t>
  </si>
  <si>
    <t>B&amp;B MAMMAMARIA</t>
  </si>
  <si>
    <t>via del paradiso 9</t>
  </si>
  <si>
    <t>papetti@interfree.it</t>
  </si>
  <si>
    <t>AGRITURISMO POZZOSANTO</t>
  </si>
  <si>
    <t>VIA DEL POZZOSANTO 11</t>
  </si>
  <si>
    <t>www.agriturismopozzosanto.it</t>
  </si>
  <si>
    <t>info@agriturismopozzosanto.it</t>
  </si>
  <si>
    <t>B&amp;B CASA LINA</t>
  </si>
  <si>
    <t>via Monnea 9</t>
  </si>
  <si>
    <t>www.casalina.ea29.com</t>
  </si>
  <si>
    <t>casa-lina@libero.it</t>
  </si>
  <si>
    <t>B&amp;B CASAMORI</t>
  </si>
  <si>
    <t>via Gramsci 52</t>
  </si>
  <si>
    <t>roberto.amori@tin.it</t>
  </si>
  <si>
    <t>B&amp;B LE 2 FARFALLE</t>
  </si>
  <si>
    <t>via Montemarciano 45</t>
  </si>
  <si>
    <t>rosella.marinelli@alice.it</t>
  </si>
  <si>
    <t>CASA dei CARLI</t>
  </si>
  <si>
    <t>via Matteotti 1</t>
  </si>
  <si>
    <t>cristina.carbini@gmail.com</t>
  </si>
  <si>
    <t>LOCANDA AL CIRCOLO IPPICO</t>
  </si>
  <si>
    <t>via Jesi 19</t>
  </si>
  <si>
    <t>locandacircoloippicosas@legalmail.it</t>
  </si>
  <si>
    <t>B&amp;B DRUPAROSA</t>
  </si>
  <si>
    <t>via Vaccarilese 17</t>
  </si>
  <si>
    <t>frazione Vaccarile</t>
  </si>
  <si>
    <t>www.druparosa.it</t>
  </si>
  <si>
    <t>druparosa@gmail.com</t>
  </si>
  <si>
    <t>B&amp;B IL CASALE DEL SOLE</t>
  </si>
  <si>
    <t>via Jesi 21</t>
  </si>
  <si>
    <t>ilcasaledelsole@virgilio.it</t>
  </si>
  <si>
    <t>IL PETTIROSSO</t>
  </si>
  <si>
    <t>Via San Bonaventura 12</t>
  </si>
  <si>
    <t>San Bonaventura</t>
  </si>
  <si>
    <t>www.pettirosso.eu</t>
  </si>
  <si>
    <t>galemar24@gmail.com</t>
  </si>
  <si>
    <t>B&amp;B OSTRA CHE BELLO</t>
  </si>
  <si>
    <t>via Ringhiera 10</t>
  </si>
  <si>
    <t>www.ostrachebello.com</t>
  </si>
  <si>
    <t>info@ostrachebello.com</t>
  </si>
  <si>
    <t>B&amp;B IL LECCINO</t>
  </si>
  <si>
    <t>via Santa Croce 26</t>
  </si>
  <si>
    <t>OSTRA VETERE</t>
  </si>
  <si>
    <t>www.illeccino.it</t>
  </si>
  <si>
    <t>irenepancotti@libero.it;</t>
  </si>
  <si>
    <t>CASA D'AMBRA BED &amp; BREAKFAST</t>
  </si>
  <si>
    <t>contrada Pescara 10</t>
  </si>
  <si>
    <t>giancarlo@casadambra.org</t>
  </si>
  <si>
    <t>FALLERONI TONINO</t>
  </si>
  <si>
    <t>contrada Pioli 6</t>
  </si>
  <si>
    <t>info@osteriaispiazzi.com</t>
  </si>
  <si>
    <t>DOMUS MARIAE</t>
  </si>
  <si>
    <t>contrada nevola 2</t>
  </si>
  <si>
    <t>www.domusmariae.info</t>
  </si>
  <si>
    <t>info@domusmariae.info</t>
  </si>
  <si>
    <t>AGRITURISMO FATTORIA BRIGNONI</t>
  </si>
  <si>
    <t>contrada brancasecca 25</t>
  </si>
  <si>
    <t>www.fattoriabrignoni.com</t>
  </si>
  <si>
    <t>info@fattoriabrignoni.com</t>
  </si>
  <si>
    <t>BED &amp; BREAKFAST GAIA</t>
  </si>
  <si>
    <t>via Gambacane 7</t>
  </si>
  <si>
    <t>catiarastelli@gmail.com</t>
  </si>
  <si>
    <t>IL SENTIERO</t>
  </si>
  <si>
    <t>contrada Cona 45</t>
  </si>
  <si>
    <t>info@il-sentiero.info</t>
  </si>
  <si>
    <t>LE MURACCE</t>
  </si>
  <si>
    <t>contrada molino 7</t>
  </si>
  <si>
    <t>www.agriturismolemurace.it</t>
  </si>
  <si>
    <t>lemuracce@libero.it</t>
  </si>
  <si>
    <t>B&amp;B AGLI ULIVI DI MASCIO</t>
  </si>
  <si>
    <t>via Metola 5</t>
  </si>
  <si>
    <t>luca.gregorini@virgilio.it</t>
  </si>
  <si>
    <t>CASAVOSTRASUITES</t>
  </si>
  <si>
    <t>CONTRADA SANTA ELISABETTA  5</t>
  </si>
  <si>
    <t>CONTRADA SANTA ELISABETTA</t>
  </si>
  <si>
    <t>alessiocianseren@me.com</t>
  </si>
  <si>
    <t>COSTA DEL MOLINO</t>
  </si>
  <si>
    <t>coste del Molino 1/A</t>
  </si>
  <si>
    <t>POGGIO SAN MARCELLO</t>
  </si>
  <si>
    <t>sistemfe@tin.it</t>
  </si>
  <si>
    <t>B&amp;B LA CASETTA DEL VECCHIO MOLINO</t>
  </si>
  <si>
    <t>via Costa del Molino 18</t>
  </si>
  <si>
    <t>www.casettadelvecchiomolino.com</t>
  </si>
  <si>
    <t>gloria.squadroni@virgilio.it</t>
  </si>
  <si>
    <t>B&amp;B TERRA MOSSA</t>
  </si>
  <si>
    <t>via Santa Maria del Monte  8</t>
  </si>
  <si>
    <t>www.bbterramossa.it</t>
  </si>
  <si>
    <t>info@bbterramossa.it</t>
  </si>
  <si>
    <t>B&amp;B TIMEOUT</t>
  </si>
  <si>
    <t>via della Baviera 21</t>
  </si>
  <si>
    <t>POLVERIGI</t>
  </si>
  <si>
    <t>www.bbpolverigi.it</t>
  </si>
  <si>
    <t>info@bb-timeout.it</t>
  </si>
  <si>
    <t>B&amp;B LIOLA'</t>
  </si>
  <si>
    <t>via Bagno 27</t>
  </si>
  <si>
    <t>www.liolabb.com</t>
  </si>
  <si>
    <t>info@liolabb.com</t>
  </si>
  <si>
    <t>B&amp;B CASALE LE RADICI</t>
  </si>
  <si>
    <t>via San Vincenzo  7</t>
  </si>
  <si>
    <t>www.casaleleradici.com</t>
  </si>
  <si>
    <t>info@casaleleradici.com</t>
  </si>
  <si>
    <t>BED &amp; BREAKFAST IL DUCA</t>
  </si>
  <si>
    <t>via Acquasalata 13</t>
  </si>
  <si>
    <t>www.ilduca.eu</t>
  </si>
  <si>
    <t>b.b.ilduca@gmail.com</t>
  </si>
  <si>
    <t>AGRITURISMO LA QUIETE</t>
  </si>
  <si>
    <t>via mazzangrugno 24</t>
  </si>
  <si>
    <t>www.agriturismolaquiete.net</t>
  </si>
  <si>
    <t>info@agriturismolaquiete.net</t>
  </si>
  <si>
    <t>HOTEL DURANTI</t>
  </si>
  <si>
    <t>via San Giovanni 10</t>
  </si>
  <si>
    <t>hotelduranti.it</t>
  </si>
  <si>
    <t>duranti.daniela@alice.it</t>
  </si>
  <si>
    <t>B&amp;B LA CASINA DI GINA</t>
  </si>
  <si>
    <t>VIA MULINO DI SAN FILIPPO 11</t>
  </si>
  <si>
    <t>RUSTICO</t>
  </si>
  <si>
    <t>bassotti2010@hotmail.com</t>
  </si>
  <si>
    <t>LACRIMARTE</t>
  </si>
  <si>
    <t>Via Roncolina 12</t>
  </si>
  <si>
    <t>riccardomoroder@gmail.com; lacrimarte@gmail.com</t>
  </si>
  <si>
    <t>AL MASSIMO COUNTRY HOUSE</t>
  </si>
  <si>
    <t>Contrada Santa Maria 23</t>
  </si>
  <si>
    <t>ROSORA</t>
  </si>
  <si>
    <t>almassimo@email.it</t>
  </si>
  <si>
    <t>IL CASALE DEL BACO</t>
  </si>
  <si>
    <t>contrada Santa Maria 23</t>
  </si>
  <si>
    <t>www.casaledelbaco.it</t>
  </si>
  <si>
    <t>info@casaledelbaco.it</t>
  </si>
  <si>
    <t>CROCE DEL MORO</t>
  </si>
  <si>
    <t>via contrada Tassanare 5</t>
  </si>
  <si>
    <t>www.crocedelmoro.it</t>
  </si>
  <si>
    <t>info@crocedelmoro.it</t>
  </si>
  <si>
    <t>LE COLLINE</t>
  </si>
  <si>
    <t>via Fondiglie 68</t>
  </si>
  <si>
    <t>www.agriturismolecolline.eu</t>
  </si>
  <si>
    <t>info@agriturismolecolline.eu</t>
  </si>
  <si>
    <t>AZIENDA AGRITURISTICA LA SORGENTE</t>
  </si>
  <si>
    <t>via Fondiglie 24</t>
  </si>
  <si>
    <t>PRATELLI SEI</t>
  </si>
  <si>
    <t>contrada Pratelli 6</t>
  </si>
  <si>
    <t>www.pratellisei.com</t>
  </si>
  <si>
    <t>info@pratellisei.com</t>
  </si>
  <si>
    <t>B&amp;B di GALEASSI FRANCO</t>
  </si>
  <si>
    <t>via Giovan Battista Pergolesi 29</t>
  </si>
  <si>
    <t>franco.galeassi@gmail.com</t>
  </si>
  <si>
    <t>VITTORIA IL GRADITEMPO</t>
  </si>
  <si>
    <t>contrada Pratelli 57</t>
  </si>
  <si>
    <t>www.vittoria-ilgraditempo.it</t>
  </si>
  <si>
    <t>info@vittoria-ilgraditempo.it</t>
  </si>
  <si>
    <t>AREA DI SOSTA CAMPER - ROSORA</t>
  </si>
  <si>
    <t>B&amp;B CASA DI CAMPAGNA</t>
  </si>
  <si>
    <t>via Santa Maria  1/a</t>
  </si>
  <si>
    <t>roberta.morbidelli@libero.it</t>
  </si>
  <si>
    <t>B&amp;B CASA DELLE NOCI</t>
  </si>
  <si>
    <t>c.da Santa Maria 9</t>
  </si>
  <si>
    <t>Rosora . c.da  Santa Maria</t>
  </si>
  <si>
    <t>www.casadellenoci.it</t>
  </si>
  <si>
    <t>casa.noci@gmail.com</t>
  </si>
  <si>
    <t>B&amp;B ALL'OMBRA DEGLI ULIVI</t>
  </si>
  <si>
    <t>via dell' Unione 17</t>
  </si>
  <si>
    <t>SAN MARCELLO</t>
  </si>
  <si>
    <t>ombraulivimarche@gmail.com</t>
  </si>
  <si>
    <t>B&amp;B L'ANTICO</t>
  </si>
  <si>
    <t>via Montelatiere 78</t>
  </si>
  <si>
    <t>laura.f_1989@hotmail.it</t>
  </si>
  <si>
    <t>TENUTA SAN MARCELLO</t>
  </si>
  <si>
    <t>via Melano 30</t>
  </si>
  <si>
    <t>www.tenutasanmarcello.net</t>
  </si>
  <si>
    <t>info@tenutasanmarcello.net</t>
  </si>
  <si>
    <t>I CILIEGI DEL CHECCO</t>
  </si>
  <si>
    <t>via Serra 71</t>
  </si>
  <si>
    <t>www.iciliegidelchecco.com</t>
  </si>
  <si>
    <t>iciliegidelchecco@virgilio.it</t>
  </si>
  <si>
    <t>MOROBELLO</t>
  </si>
  <si>
    <t>via Serra 27</t>
  </si>
  <si>
    <t>www.morobello.it</t>
  </si>
  <si>
    <t>info@morobello.it</t>
  </si>
  <si>
    <t>GOODAIR JULIE KAREN</t>
  </si>
  <si>
    <t>Via Serra 60</t>
  </si>
  <si>
    <t>jkg.trecipressi@gmail.com</t>
  </si>
  <si>
    <t>FILODIVINO</t>
  </si>
  <si>
    <t>Via Serra 46</t>
  </si>
  <si>
    <t>www.filodivino.it</t>
  </si>
  <si>
    <t>info@filodivino.it</t>
  </si>
  <si>
    <t>B&amp;B IL VECCHIO NESPOLO</t>
  </si>
  <si>
    <t>via Serra 106</t>
  </si>
  <si>
    <t>www.ilvecchionespolo.it</t>
  </si>
  <si>
    <t>Info@ilvecchionespolo.it</t>
  </si>
  <si>
    <t>ROOMS DI MATTEO AFFITTACAMERE</t>
  </si>
  <si>
    <t>Via Castellaro 14</t>
  </si>
  <si>
    <t>SAN PAOLO DI JESI</t>
  </si>
  <si>
    <t>LA TERRAZZA</t>
  </si>
  <si>
    <t>Via Roma 18</t>
  </si>
  <si>
    <t>SANTA MARIA NUOVA</t>
  </si>
  <si>
    <t>MONTECCHIESI LUCIANO VIA GRAMSCI 12</t>
  </si>
  <si>
    <t>Via Gramsci 12</t>
  </si>
  <si>
    <t>montecchiesiluciano@yahoo.it</t>
  </si>
  <si>
    <t>MONTECCHIESI LUCIANO VIA GRAMSCI 10/B</t>
  </si>
  <si>
    <t>Via Gramsci 10/B</t>
  </si>
  <si>
    <t>IL GIARDINO DELLE ROSE</t>
  </si>
  <si>
    <t>Via Scarpara Alta  1/A</t>
  </si>
  <si>
    <t>www.giardinodellerose.eu</t>
  </si>
  <si>
    <t>gnitrati@studionitrati.it</t>
  </si>
  <si>
    <t>I DUCHI PELLEGRINI</t>
  </si>
  <si>
    <t>via scarpara alta 16/a</t>
  </si>
  <si>
    <t>iduchipellegrini@libero.it</t>
  </si>
  <si>
    <t>COUNTRY HOTEL SASSOFERRATO</t>
  </si>
  <si>
    <t>località Piano 114/g</t>
  </si>
  <si>
    <t>SASSOFERRATO</t>
  </si>
  <si>
    <t>loc. Piano Frassineta</t>
  </si>
  <si>
    <t>www.countryhotelsassoferrato.191.it</t>
  </si>
  <si>
    <t>info@countryhotelsassoferrato.191.it</t>
  </si>
  <si>
    <t>APPENNINO</t>
  </si>
  <si>
    <t>piazza gramsci 31</t>
  </si>
  <si>
    <t>COLMERU'</t>
  </si>
  <si>
    <t>localita' Colmeroni 6</t>
  </si>
  <si>
    <t>vecchi1958@alice.it</t>
  </si>
  <si>
    <t>B&amp;B CAPPELLINI PALMIRO</t>
  </si>
  <si>
    <t>frazione Cabernardi 31</t>
  </si>
  <si>
    <t>OSTELLO IL VOLTO SANTO</t>
  </si>
  <si>
    <t>frazione Coldellanoce 8</t>
  </si>
  <si>
    <t>www.cadnet.marche.it/coldellanoce</t>
  </si>
  <si>
    <t>RAFFAELLO RESIDENCE</t>
  </si>
  <si>
    <t>via G. Leopardi 34</t>
  </si>
  <si>
    <t>www.raffaelloresidence.it</t>
  </si>
  <si>
    <t>info@raffaelloresidence.it</t>
  </si>
  <si>
    <t>LILLIPUT</t>
  </si>
  <si>
    <t>via La Pace 17</t>
  </si>
  <si>
    <t>info@officinatonialdo.com</t>
  </si>
  <si>
    <t>AZIENDA AGRITURISTICA LE PERELLE</t>
  </si>
  <si>
    <t>loc. Perelle 10</t>
  </si>
  <si>
    <t>PERELLE</t>
  </si>
  <si>
    <t>www.leperelle.com</t>
  </si>
  <si>
    <t>leperelle@gmail.com</t>
  </si>
  <si>
    <t>COLONIA MONTELAGO</t>
  </si>
  <si>
    <t>frazione Montelago 69</t>
  </si>
  <si>
    <t>IL GORGHETTO</t>
  </si>
  <si>
    <t>localita' Molino di Castagna 8</t>
  </si>
  <si>
    <t>www.ilgorghetto.it</t>
  </si>
  <si>
    <t>info@ilgorghetto.it</t>
  </si>
  <si>
    <t>CASA VACANZE IL TARTUFO di STROO BENJAMIN</t>
  </si>
  <si>
    <t>loc. Bosco Rotondo 3</t>
  </si>
  <si>
    <t>localita' Bosco</t>
  </si>
  <si>
    <t>casatartufo@gmail.com</t>
  </si>
  <si>
    <t>ALBERGO DELLA STREGA</t>
  </si>
  <si>
    <t>loc.Valdomo 9</t>
  </si>
  <si>
    <t>LOCALITA' VALDOMO</t>
  </si>
  <si>
    <t>www.albergodellastrega.it</t>
  </si>
  <si>
    <t>info@albergodellastrega.it</t>
  </si>
  <si>
    <t>COUNTRY RESIDENCE</t>
  </si>
  <si>
    <t>localita' Piano 134/I</t>
  </si>
  <si>
    <t>FEDERICO I</t>
  </si>
  <si>
    <t>largo San Cristoforo 2</t>
  </si>
  <si>
    <t>info@countryhousefederico.it</t>
  </si>
  <si>
    <t>CRISTINA B&amp;B</t>
  </si>
  <si>
    <t>www.bb-cristina.it</t>
  </si>
  <si>
    <t>info@bb-cristina.it</t>
  </si>
  <si>
    <t>VILLA DI MONTEROSSO</t>
  </si>
  <si>
    <t>loc.Villa 1</t>
  </si>
  <si>
    <t>loc.Villa</t>
  </si>
  <si>
    <t>info@villadimonterosso.it</t>
  </si>
  <si>
    <t>studio.mazen@libero.it</t>
  </si>
  <si>
    <t>ANTICO MURO</t>
  </si>
  <si>
    <t>via Sentinate 3</t>
  </si>
  <si>
    <t>Parco Archeologico di Sentinum</t>
  </si>
  <si>
    <t>www.agriturismoanticomuro.it</t>
  </si>
  <si>
    <t>agriturismoanticomuro@gmail.com</t>
  </si>
  <si>
    <t>MASS-HANS VALDIFIORI di CIPRIANI</t>
  </si>
  <si>
    <t>Via Torre di Murazzano snc</t>
  </si>
  <si>
    <t>TORRE DI MURAZZANO</t>
  </si>
  <si>
    <t>info@valdifiori.nl</t>
  </si>
  <si>
    <t>PALAZZO BENTIVOGLIO</t>
  </si>
  <si>
    <t>via Bentivoglio 14</t>
  </si>
  <si>
    <t>http://palazzobentivoglio.blogspot.it</t>
  </si>
  <si>
    <t>palazzobentivoglio@gmail.com</t>
  </si>
  <si>
    <t>VICOLO SANTA CHIARA</t>
  </si>
  <si>
    <t>vicolo Santa Chiara 1</t>
  </si>
  <si>
    <t>info@vicolosantachiara.it</t>
  </si>
  <si>
    <t>CASA TARTUFO</t>
  </si>
  <si>
    <t>loc. Bosco Rotondo 3/a</t>
  </si>
  <si>
    <t>www.vakantieinitalie.com</t>
  </si>
  <si>
    <t>AZIENDA AGRITURISTICA IL CASTELLARO</t>
  </si>
  <si>
    <t>località Colle di Murazzano 8</t>
  </si>
  <si>
    <t>località Colle di Murazzano</t>
  </si>
  <si>
    <t>www.agriturismoilcastellaro.it</t>
  </si>
  <si>
    <t>paris.castellaro@gmail.com</t>
  </si>
  <si>
    <t>B&amp;B VOLTI DI PIETRA</t>
  </si>
  <si>
    <t>località Monte 1</t>
  </si>
  <si>
    <t>località Monte</t>
  </si>
  <si>
    <t>http://www.voltidipietra.com</t>
  </si>
  <si>
    <t>info@voltidipietra.com</t>
  </si>
  <si>
    <t>BIDUCCI AZIENDA AGRICOLA</t>
  </si>
  <si>
    <t>Via Cerqueto 1</t>
  </si>
  <si>
    <t>biducci@libero.it</t>
  </si>
  <si>
    <t>AFFITTACAMERE PETTINELLI</t>
  </si>
  <si>
    <t>Via Merolli 10</t>
  </si>
  <si>
    <t>IL SOGNO DI TINO</t>
  </si>
  <si>
    <t>Via Croce  18</t>
  </si>
  <si>
    <t>CABERNARDI</t>
  </si>
  <si>
    <t>sole.cav@virgilio.it</t>
  </si>
  <si>
    <t>Via Sassetello 6</t>
  </si>
  <si>
    <t>SASSETELLO</t>
  </si>
  <si>
    <t>iltiglio2015@gmail.com</t>
  </si>
  <si>
    <t>COLDEMAGNA</t>
  </si>
  <si>
    <t>via Coldemagna 31</t>
  </si>
  <si>
    <t>coldemagna@gmail.com</t>
  </si>
  <si>
    <t>HOTEL NUOVO DIANA</t>
  </si>
  <si>
    <t>lungomare Leonardo da Vinci 81</t>
  </si>
  <si>
    <t>SENIGALLIA</t>
  </si>
  <si>
    <t>hotelnuovodiana@adriatic-sea.com</t>
  </si>
  <si>
    <t>AGRITURISMO I CILIEGI</t>
  </si>
  <si>
    <t>via del Casale 3</t>
  </si>
  <si>
    <t>Montignano</t>
  </si>
  <si>
    <t>www.agriturismoiciliegi.it</t>
  </si>
  <si>
    <t>tiziana-c@libero.it</t>
  </si>
  <si>
    <t>L'ARCA DI SABRINA</t>
  </si>
  <si>
    <t>strada del Cavallo  79</t>
  </si>
  <si>
    <t>Portone</t>
  </si>
  <si>
    <t>larcadisabrina@sicurezzapostale.it</t>
  </si>
  <si>
    <t>HOTEL CRISTALLO</t>
  </si>
  <si>
    <t>lungomare alighieri 2</t>
  </si>
  <si>
    <t>info@mastruccizoppini.it</t>
  </si>
  <si>
    <t>B&amp;B LA RANA</t>
  </si>
  <si>
    <t>via Camposanto Vecchio 53</t>
  </si>
  <si>
    <t>marcosignoriluigi@alice.it</t>
  </si>
  <si>
    <t>HOTEL RISTORANTE PIZZERIA CHIAR DI LUNA</t>
  </si>
  <si>
    <t>via A.Panzini 19</t>
  </si>
  <si>
    <t>http://ginnoxp.wix.com/chiardiluna</t>
  </si>
  <si>
    <t>solesoridente@gmail.com</t>
  </si>
  <si>
    <t>B&amp;B ROSELLA</t>
  </si>
  <si>
    <t>via Vespucci 5/c</t>
  </si>
  <si>
    <t>fede.brt@libero.it</t>
  </si>
  <si>
    <t>HOTEL VILLA DEL MARE</t>
  </si>
  <si>
    <t>via sardegna 4</t>
  </si>
  <si>
    <t>www.villadelmare.it</t>
  </si>
  <si>
    <t>hotel@villadelmare.it</t>
  </si>
  <si>
    <t>MENCUCCI CARLO</t>
  </si>
  <si>
    <t>Via Ugo Bassi  15/a</t>
  </si>
  <si>
    <t>carlo.mencucci@teletu.it</t>
  </si>
  <si>
    <t>RESIDENCE SENBHOTEL 1</t>
  </si>
  <si>
    <t>viale Bonopera 32</t>
  </si>
  <si>
    <t>www.senbhotel.it</t>
  </si>
  <si>
    <t>info@senbhotel.it</t>
  </si>
  <si>
    <t>RESIDENCE SENBHOTEL 2</t>
  </si>
  <si>
    <t>via Bonopera 32</t>
  </si>
  <si>
    <t>B&amp;B VISTA MARE</t>
  </si>
  <si>
    <t>VIA VILLANOVA 2/B</t>
  </si>
  <si>
    <t>MONTIGNANO</t>
  </si>
  <si>
    <t>sylvanacatalani@gmail.com</t>
  </si>
  <si>
    <t>B&amp;B SOTTO LE LOGGE</t>
  </si>
  <si>
    <t>via Portici Ercolani 53</t>
  </si>
  <si>
    <t>kimmiky@tiscali.it</t>
  </si>
  <si>
    <t>LANTERNA BLU</t>
  </si>
  <si>
    <t>s.s. Adriatica 132</t>
  </si>
  <si>
    <t>www.affittacamerelanternablu.it</t>
  </si>
  <si>
    <t>marco.quattrini@alice.it</t>
  </si>
  <si>
    <t>B&amp;B CORRADO RAFFAELE</t>
  </si>
  <si>
    <t>VIA F.LLI BANDIERA 28</t>
  </si>
  <si>
    <t>consorzio.costruttori@legalmail.it</t>
  </si>
  <si>
    <t>IL GALLO SENONE RESORT</t>
  </si>
  <si>
    <t>strada del Crocifisso 171</t>
  </si>
  <si>
    <t>www.ilgallosenone.it</t>
  </si>
  <si>
    <t>info@ilgallosenone.it</t>
  </si>
  <si>
    <t>BEATRICE</t>
  </si>
  <si>
    <t>via San Gaudenzio 1</t>
  </si>
  <si>
    <t>lanuovabraceria@libero.it</t>
  </si>
  <si>
    <t>B&amp;B LA CASA DEL VIAGGIATORE</t>
  </si>
  <si>
    <t>via Quintino Sella 19</t>
  </si>
  <si>
    <t>www.casadelviaggiatoresenigallia.it</t>
  </si>
  <si>
    <t>info@casadelviaggiatoresenigallia.it</t>
  </si>
  <si>
    <t>VILLA SABRA</t>
  </si>
  <si>
    <t>via Puglie 4</t>
  </si>
  <si>
    <t>sabrahotel@yahoo.com</t>
  </si>
  <si>
    <t>MAGI MARIA APP.TO VIA ARIOSTO</t>
  </si>
  <si>
    <t>Via Ariosto 2</t>
  </si>
  <si>
    <t>livi55@libero.it</t>
  </si>
  <si>
    <t>MAGI MARIA APP.TO VIA FOGAZZARO</t>
  </si>
  <si>
    <t>Via Fogazzaro 3</t>
  </si>
  <si>
    <t>PIANELLI SUSI MARIA</t>
  </si>
  <si>
    <t>Via R. Sanzio  223</t>
  </si>
  <si>
    <t>susy.pianelli@libero.it</t>
  </si>
  <si>
    <t>MAZZARINI DANILO</t>
  </si>
  <si>
    <t>Via Raffaello Sanzio 203/2E</t>
  </si>
  <si>
    <t>danilomazzarini@alice.it</t>
  </si>
  <si>
    <t>LULICANDA</t>
  </si>
  <si>
    <t>Via Scornabecco 82</t>
  </si>
  <si>
    <t>SCAPEZZANO</t>
  </si>
  <si>
    <t>lulicanda@gmail.com</t>
  </si>
  <si>
    <t>MORI GIANCARLO APP.TO MAMELI 113</t>
  </si>
  <si>
    <t>Lungomare Mameli 113</t>
  </si>
  <si>
    <t>carlobelli2013@gmail.com</t>
  </si>
  <si>
    <t>MORI GIANCARLO APP.TO MAMELI 112 (1)</t>
  </si>
  <si>
    <t>Lungomare Mameli 112</t>
  </si>
  <si>
    <t>MORI GIANCARLO APP.TO MAMELI 112 (2)</t>
  </si>
  <si>
    <t>CASAGRANDE ALBANO CARLA</t>
  </si>
  <si>
    <t>Lungomare Mameli 251/A</t>
  </si>
  <si>
    <t>affittiestivi@belenchia.com</t>
  </si>
  <si>
    <t>CONSOLI ANNA RITA</t>
  </si>
  <si>
    <t>Lungomare Mameli 265</t>
  </si>
  <si>
    <t>info@dimoraimmobiliare.it</t>
  </si>
  <si>
    <t>ALFONSI STEFANIA</t>
  </si>
  <si>
    <t>Via Ariosto 5</t>
  </si>
  <si>
    <t>fiorettileonardo@libero.it</t>
  </si>
  <si>
    <t>MAURO MANCINI</t>
  </si>
  <si>
    <t>Via B. Buozzi 10</t>
  </si>
  <si>
    <t>mauro_mancini@hotmail.it</t>
  </si>
  <si>
    <t>CONTARDI GIOVANNI</t>
  </si>
  <si>
    <t>Via Istria 4</t>
  </si>
  <si>
    <t>g.contardi@pcprocessingcenter.191.it</t>
  </si>
  <si>
    <t>SPADINI ALICE APP.TO PIANO SECONDO</t>
  </si>
  <si>
    <t>Lungomare Italia 80</t>
  </si>
  <si>
    <t>83alicespadini@libero.it</t>
  </si>
  <si>
    <t>SPADINI ALICE APP.TO PIANO TERRA</t>
  </si>
  <si>
    <t>Lungomare Italia 78</t>
  </si>
  <si>
    <t>BARTOLINI EGIDIO</t>
  </si>
  <si>
    <t>Strada della Marina-Scapezzano 266/C</t>
  </si>
  <si>
    <t>bartolini.egidio@gmail.com</t>
  </si>
  <si>
    <t>PIERGENTILI EMANUELA</t>
  </si>
  <si>
    <t>Via Podesti 133</t>
  </si>
  <si>
    <t>emanuela.piergentili@interno.it</t>
  </si>
  <si>
    <t>BALDUCCI CRISTINA</t>
  </si>
  <si>
    <t>Via Renato Ciucci 13</t>
  </si>
  <si>
    <t>cristina.balducci@hotmail.it</t>
  </si>
  <si>
    <t>BIGELLI GIANCARLO</t>
  </si>
  <si>
    <t>Via Mameli 1</t>
  </si>
  <si>
    <t>bigelli.giancarlo@pec.it</t>
  </si>
  <si>
    <t>ANDRIANI ANNA</t>
  </si>
  <si>
    <t>Via Istria 1</t>
  </si>
  <si>
    <t>BACCHIOCCHI CARLO</t>
  </si>
  <si>
    <t>Via S. Giovanni  5</t>
  </si>
  <si>
    <t>annamaria.bocconi@gmail.it</t>
  </si>
  <si>
    <t>SIMONETTI LUCIANA</t>
  </si>
  <si>
    <t>Via Spontini 48</t>
  </si>
  <si>
    <t>Via Spontini, 48</t>
  </si>
  <si>
    <t>ERRICO VINCENZO</t>
  </si>
  <si>
    <t>Via Sardegna 1</t>
  </si>
  <si>
    <t>titti@cedsbarbati.it</t>
  </si>
  <si>
    <t>SANTOLINI STEFANIA</t>
  </si>
  <si>
    <t>Via Zara 6</t>
  </si>
  <si>
    <t>PORFIDO LUIGI</t>
  </si>
  <si>
    <t>Lungomare Mameli  265</t>
  </si>
  <si>
    <t>BILEI MARIA TERESA</t>
  </si>
  <si>
    <t>Lungomare Alighieri 28</t>
  </si>
  <si>
    <t>BURATTINI NAZZARENO</t>
  </si>
  <si>
    <t>Lungomare Mameli 93</t>
  </si>
  <si>
    <t>MATTOLI MARIA</t>
  </si>
  <si>
    <t>Via Puglie  7</t>
  </si>
  <si>
    <t>BEVILACQUA ALESSANDRA</t>
  </si>
  <si>
    <t>Viale Bonopera 34</t>
  </si>
  <si>
    <t>LA VIOLA</t>
  </si>
  <si>
    <t>Piazzale Cairoli 2</t>
  </si>
  <si>
    <t>bologninifabrizio@libero.it</t>
  </si>
  <si>
    <t>BALDINI GIOVANNI APP.TO PIANO PRIMO</t>
  </si>
  <si>
    <t>Via Podesti 226</t>
  </si>
  <si>
    <t>SIMONETTI LORELLA</t>
  </si>
  <si>
    <t>Via delle Genziane 14</t>
  </si>
  <si>
    <t>affittestivi@belenchia.com</t>
  </si>
  <si>
    <t>GASPERINI DONATELLA</t>
  </si>
  <si>
    <t>Via Puccini 4</t>
  </si>
  <si>
    <t>PIERALISI GIANNA</t>
  </si>
  <si>
    <t>Via Lungomare Alighieri  28</t>
  </si>
  <si>
    <t>MARMUGI MAURO</t>
  </si>
  <si>
    <t>Via Mameli 242/B</t>
  </si>
  <si>
    <t>RIPESI ROLANDO</t>
  </si>
  <si>
    <t>Lungomare Italia 123</t>
  </si>
  <si>
    <t>MARZOCCA</t>
  </si>
  <si>
    <t>rolandoripesi@libero.it</t>
  </si>
  <si>
    <t>MANFREDI VIVIANA</t>
  </si>
  <si>
    <t>Via Mondolfo 22</t>
  </si>
  <si>
    <t>RIPESI ANGELA</t>
  </si>
  <si>
    <t>angela@eos-web.it</t>
  </si>
  <si>
    <t>MAZZANTI GIANFRANCO</t>
  </si>
  <si>
    <t>Via Bari  1/A</t>
  </si>
  <si>
    <t>MECOCCI ANDREA</t>
  </si>
  <si>
    <t>Via Terza Strada 47/A</t>
  </si>
  <si>
    <t>IL NIDO SUL TETTO DI MARCHETTI ANNA</t>
  </si>
  <si>
    <t>Via R. Sanzio 353/A</t>
  </si>
  <si>
    <t>annamarchetti56@libero.it</t>
  </si>
  <si>
    <t>SIMONCELLI PAOLA</t>
  </si>
  <si>
    <t>Via Feltrini 15</t>
  </si>
  <si>
    <t>vangelina@alice.it</t>
  </si>
  <si>
    <t>CASABIANCA PAOLA</t>
  </si>
  <si>
    <t>Via Montegrappa 16</t>
  </si>
  <si>
    <t>paola.gasperini@confartigianatoimprese.net</t>
  </si>
  <si>
    <t>MAZZANTI ELENA APP.TO VIA BASILICATA</t>
  </si>
  <si>
    <t>Via Rieti  50</t>
  </si>
  <si>
    <t>CONTINI MIRCO</t>
  </si>
  <si>
    <t>Via Basilicata 3/C</t>
  </si>
  <si>
    <t>MAZZANTI ELENA APP.TO VIA RIETI</t>
  </si>
  <si>
    <t>Via Rieti 50</t>
  </si>
  <si>
    <t>QUADRINI LORENZA PAOLA</t>
  </si>
  <si>
    <t>Via Bologna  2/B</t>
  </si>
  <si>
    <t>BENELLI ANDREA</t>
  </si>
  <si>
    <t>Via Tagliamento 7</t>
  </si>
  <si>
    <t>affitiestivi@belenchia.com</t>
  </si>
  <si>
    <t>MARCHEGIANI PAOLO</t>
  </si>
  <si>
    <t>Lungomare Italia 30/A</t>
  </si>
  <si>
    <t>SILVESTRINI LIVIANA APP.TO VIALE SORRENTO</t>
  </si>
  <si>
    <t>Viale Sorrento 23/A</t>
  </si>
  <si>
    <t>SILVESTRINI LIVIANA APP.TO VIA DEGLI ULIVI</t>
  </si>
  <si>
    <t>Via degli Ulivi 77</t>
  </si>
  <si>
    <t>MARCANTONI ALBERTO</t>
  </si>
  <si>
    <t>RICCARDI SANDRO</t>
  </si>
  <si>
    <t>Via Raffaello Sanzio 186</t>
  </si>
  <si>
    <t>sandro.riccardi@alice.it</t>
  </si>
  <si>
    <t>TOMASSONI GIULIANA</t>
  </si>
  <si>
    <t>Umberto Giordano 31</t>
  </si>
  <si>
    <t>senigallia@pec.confartigianato.it</t>
  </si>
  <si>
    <t>BALDINI GIOVANNI APP.TO PIANO TERRA</t>
  </si>
  <si>
    <t>Podesti 226</t>
  </si>
  <si>
    <t>comeacasa@sicurezzapostale.it</t>
  </si>
  <si>
    <t>MORUZZI SARA (APP. N. 53)</t>
  </si>
  <si>
    <t>Via Pergolesi 53</t>
  </si>
  <si>
    <t>sguzzo60@gmail.com</t>
  </si>
  <si>
    <t>MORUZZI SARA (APP. N. 51)</t>
  </si>
  <si>
    <t>Via Pergolesi  51</t>
  </si>
  <si>
    <t>MORUZZI SARA (APP. N. 45)</t>
  </si>
  <si>
    <t>Via Pergolesi 45</t>
  </si>
  <si>
    <t>B&amp;B LE GRAZIE</t>
  </si>
  <si>
    <t>Strada comunale Grazie 14/C</t>
  </si>
  <si>
    <t>ZACCARO ROBERTO</t>
  </si>
  <si>
    <t>Via R. Sanzio 10/1</t>
  </si>
  <si>
    <t>savino.zaccaro@ingpec.eu</t>
  </si>
  <si>
    <t>CAPPELLETTI ELSA</t>
  </si>
  <si>
    <t>Lungomare Alighieri 14</t>
  </si>
  <si>
    <t>SAGRATI ALBERTO APP.TO VIA PIERELLI</t>
  </si>
  <si>
    <t>Via Pierelli 41</t>
  </si>
  <si>
    <t>SCHIAROLI VALENTINA</t>
  </si>
  <si>
    <t>Via Prima Strada  35</t>
  </si>
  <si>
    <t>CESANO</t>
  </si>
  <si>
    <t>orietta_59@libero.it</t>
  </si>
  <si>
    <t>FOSCI ANTONIO</t>
  </si>
  <si>
    <t>Viale dei gerani 11</t>
  </si>
  <si>
    <t>SAGRATI ENZA</t>
  </si>
  <si>
    <t>affittiestivi@senigallia.it</t>
  </si>
  <si>
    <t>CIARROCCHI ANNA RITA</t>
  </si>
  <si>
    <t>Piazza Cameranesi 2</t>
  </si>
  <si>
    <t>annaritaciarrocchi@yahoo.it</t>
  </si>
  <si>
    <t>PRINCIPI LEONARDO</t>
  </si>
  <si>
    <t>Via Gramsci 29</t>
  </si>
  <si>
    <t>MICCI LAMBERTO</t>
  </si>
  <si>
    <t>Via Strada terza 34/C</t>
  </si>
  <si>
    <t>lamberto_micci@libero.it</t>
  </si>
  <si>
    <t>GRAMACCIONI GIANFRANCO</t>
  </si>
  <si>
    <t>Via Mercantini 15</t>
  </si>
  <si>
    <t>GALLI GIANCARLO</t>
  </si>
  <si>
    <t>Piazza Giordano Bruno 14</t>
  </si>
  <si>
    <t>unotredigalli@gmail.com</t>
  </si>
  <si>
    <t>PANCOTTI LUCA</t>
  </si>
  <si>
    <t>Via Solferino 14</t>
  </si>
  <si>
    <t>avv.lucapancotti@trianieassociati.it</t>
  </si>
  <si>
    <t>ZACCARO SAVINO 125/B</t>
  </si>
  <si>
    <t>Via R. Sanzio 125/B</t>
  </si>
  <si>
    <t>ing.savinozaccaro@gmail.com</t>
  </si>
  <si>
    <t>ZACCARO SAVINO 125/C</t>
  </si>
  <si>
    <t>Via R. Sanzio 125/C</t>
  </si>
  <si>
    <t>PIAZZOLLA ADRIANA</t>
  </si>
  <si>
    <t>Via Vivaldi 4</t>
  </si>
  <si>
    <t>MAIOLATESI GIAMPAOLO</t>
  </si>
  <si>
    <t>Via Pierelli 33</t>
  </si>
  <si>
    <t>MORGANTI VALTER</t>
  </si>
  <si>
    <t>Lungomare Mameli 9</t>
  </si>
  <si>
    <t>valter.morganti@tin.it</t>
  </si>
  <si>
    <t>MORONI GIANCARLO</t>
  </si>
  <si>
    <t>Via Fratti-Scapezzano 30</t>
  </si>
  <si>
    <t>moroni.tataio@libero.it</t>
  </si>
  <si>
    <t>GORI LAURA</t>
  </si>
  <si>
    <t>Lungomare Mameli 240</t>
  </si>
  <si>
    <t>SIMONCIONI ROSSANA APP.TO 27</t>
  </si>
  <si>
    <t>Via Gioberti 27</t>
  </si>
  <si>
    <t>maxcecchini@libero.it</t>
  </si>
  <si>
    <t>SIMONCIONI ROSSANA APP.TO 25</t>
  </si>
  <si>
    <t>Via Gioberti 25</t>
  </si>
  <si>
    <t>MANIZZA MARCO</t>
  </si>
  <si>
    <t>Via Trieste 16</t>
  </si>
  <si>
    <t>SANTINI PAOLO</t>
  </si>
  <si>
    <t>Via Mameli 229/A</t>
  </si>
  <si>
    <t>paolo.santini@cisl.it</t>
  </si>
  <si>
    <t>CURSI QUINTO</t>
  </si>
  <si>
    <t>Lungomare Mameli 118/B</t>
  </si>
  <si>
    <t>quinto.cursi@email.it</t>
  </si>
  <si>
    <t>MANIERI PRIMO</t>
  </si>
  <si>
    <t>Via VI strada Cesano 11</t>
  </si>
  <si>
    <t>elegant@tin.it</t>
  </si>
  <si>
    <t>SCARPONE NICOLA</t>
  </si>
  <si>
    <t>Via Verdi 103/D</t>
  </si>
  <si>
    <t>nicolamarev@libero.it</t>
  </si>
  <si>
    <t>GALIMBERTI ILARIA</t>
  </si>
  <si>
    <t>Via Pierelli  1A</t>
  </si>
  <si>
    <t>ilariagal@hotmail.it</t>
  </si>
  <si>
    <t>BRUN MARIA</t>
  </si>
  <si>
    <t>Via Podesti 71</t>
  </si>
  <si>
    <t>BRUSCHI LEONELLO</t>
  </si>
  <si>
    <t>Via Gioberti 17/B</t>
  </si>
  <si>
    <t>bruschileonello@sicurezzapostale.it</t>
  </si>
  <si>
    <t>CATANI STEFANO</t>
  </si>
  <si>
    <t>AZZARONI LILIANA</t>
  </si>
  <si>
    <t>Via Volta 29</t>
  </si>
  <si>
    <t>CINGOLANI MIRELLA</t>
  </si>
  <si>
    <t>Lungomare Italia 8/A</t>
  </si>
  <si>
    <t>susysartini@gmail.com</t>
  </si>
  <si>
    <t>AMBROGI CLAUDIO</t>
  </si>
  <si>
    <t>Piazzale Libertà 12</t>
  </si>
  <si>
    <t>ROBERTI LUCIO</t>
  </si>
  <si>
    <t>ROBERTI LUCA</t>
  </si>
  <si>
    <t>ANGELINI GIULIANA</t>
  </si>
  <si>
    <t>Via Puglie 1</t>
  </si>
  <si>
    <t>CIUNCI RENATO PASQUALE</t>
  </si>
  <si>
    <t>Lungomare da Vinci 63</t>
  </si>
  <si>
    <t>PRINCIPI EMILIANO</t>
  </si>
  <si>
    <t>Piazza Andrea Doria 2</t>
  </si>
  <si>
    <t>MANCINI MAURO</t>
  </si>
  <si>
    <t>Lungomare D. Alighieri 22/B</t>
  </si>
  <si>
    <t>A CASA DI NONNA LINDA</t>
  </si>
  <si>
    <t>Via Gherardi 54</t>
  </si>
  <si>
    <t>info@acasadinonnalinda.it</t>
  </si>
  <si>
    <t>VICI MAURO</t>
  </si>
  <si>
    <t>Via Tommaseo 12</t>
  </si>
  <si>
    <t>vicimauro9@gmail.com</t>
  </si>
  <si>
    <t>CASA MARGHERITA</t>
  </si>
  <si>
    <t>AMENDOLA  25</t>
  </si>
  <si>
    <t>catipernini@gmail.com</t>
  </si>
  <si>
    <t>VILLA PINA</t>
  </si>
  <si>
    <t>VIA PODESTI 158</t>
  </si>
  <si>
    <t>www.villapina.it</t>
  </si>
  <si>
    <t>TRECENTOLIVI</t>
  </si>
  <si>
    <t>STRADA TORRE CAMPETTO  105</t>
  </si>
  <si>
    <t>niki31@inwind.it;</t>
  </si>
  <si>
    <t>HOTEL ROYAL</t>
  </si>
  <si>
    <t>lungomare alighieri 146</t>
  </si>
  <si>
    <t>www.hotelroyalsenigallia.it</t>
  </si>
  <si>
    <t>info@hotelroyalsenigallia.it</t>
  </si>
  <si>
    <t>CASAGRANDE GIGLIOLA</t>
  </si>
  <si>
    <t>VIA RAFFAELLO SANZIO 399</t>
  </si>
  <si>
    <t>fulvia.fratesi@gmail.com</t>
  </si>
  <si>
    <t>RUZZICONI MARIA PAOLA</t>
  </si>
  <si>
    <t>LUNGOMARE MAMELI - TERZO PIANO 265</t>
  </si>
  <si>
    <t>CIONI ISABELLA MARGHERITA</t>
  </si>
  <si>
    <t>VIA RIETI 11</t>
  </si>
  <si>
    <t>SARTINI PINO</t>
  </si>
  <si>
    <t>LUNGOMARE ITALIA 44</t>
  </si>
  <si>
    <t>sara.sartini@libero.it</t>
  </si>
  <si>
    <t>MAZZAOLA ANGELO</t>
  </si>
  <si>
    <t>VIA L'AQUILA  9</t>
  </si>
  <si>
    <t>FAVI UMBERTO</t>
  </si>
  <si>
    <t>VIA PIERELLI 29</t>
  </si>
  <si>
    <t>MARCHETTI ALESSANDRA</t>
  </si>
  <si>
    <t>LUNGOMARE LEONARDO DA VINCI 21/a</t>
  </si>
  <si>
    <t>senigallia@confcommerciomarchecentrali.it</t>
  </si>
  <si>
    <t>PIERANTONI GABRIELLA</t>
  </si>
  <si>
    <t>VIA PUGLIE 7</t>
  </si>
  <si>
    <t>DE ANGELIS ROSALBA</t>
  </si>
  <si>
    <t>Via Mondolfo 32</t>
  </si>
  <si>
    <t>ILARI SERENELLA</t>
  </si>
  <si>
    <t>LUNGOMARE DANTE ALIGHIERI 14</t>
  </si>
  <si>
    <t>SAGRATI ALBERTO APP.TO VIA PUGLIE</t>
  </si>
  <si>
    <t>BELLAGAMBA RITA</t>
  </si>
  <si>
    <t>VIA R. CIUCCI 8</t>
  </si>
  <si>
    <t>rita.bellagamba@gmail.com</t>
  </si>
  <si>
    <t>BENIGNI MICHELA</t>
  </si>
  <si>
    <t>VIA LUNGOMARE MAMELI 242/b</t>
  </si>
  <si>
    <t>essepic@sicurezzapostale.it</t>
  </si>
  <si>
    <t>CONCETTONI LUCIA</t>
  </si>
  <si>
    <t>PIAZZALE DELLA LIBERTA'  4/B</t>
  </si>
  <si>
    <t>SBROZZI EMILIO</t>
  </si>
  <si>
    <t>LUNGOMARE ALIGHIERI 14</t>
  </si>
  <si>
    <t>CALVINO BROZZESI</t>
  </si>
  <si>
    <t>Lungomare G. Marconi 25</t>
  </si>
  <si>
    <t>calvinobrozzesi@tin.it</t>
  </si>
  <si>
    <t>B&amp;B CENTRO STORICO</t>
  </si>
  <si>
    <t>Via Mastai Ferretti 54</t>
  </si>
  <si>
    <t>pcicetti@libero.it</t>
  </si>
  <si>
    <t>HOTEL MASTAI</t>
  </si>
  <si>
    <t>via Abbagnano 12</t>
  </si>
  <si>
    <t>www.hotelmastaisenigallia.it</t>
  </si>
  <si>
    <t>info@hotelmastai.it</t>
  </si>
  <si>
    <t>APPARTAMENTI LUNGOMARE ITALIA</t>
  </si>
  <si>
    <t>lungomare Italia 3/b</t>
  </si>
  <si>
    <t>info@villaggiocampingblu.com</t>
  </si>
  <si>
    <t>APPARTAMENTI LUNGOMARE ALIGHIERI</t>
  </si>
  <si>
    <t>lungomare Alighieri 14/a</t>
  </si>
  <si>
    <t>OSTELLO LE DUNE</t>
  </si>
  <si>
    <t>lungomare Leonardo da Vinci 6</t>
  </si>
  <si>
    <t>www.uisp.it/senigallia</t>
  </si>
  <si>
    <t>senigallia@uisp.it</t>
  </si>
  <si>
    <t>B&amp;B TRA LA ROCCA E IL MARE</t>
  </si>
  <si>
    <t>via Bonopera 1</t>
  </si>
  <si>
    <t>carottip@gmail.com</t>
  </si>
  <si>
    <t>lungomare leonardo da vinci 8</t>
  </si>
  <si>
    <t>www.campingdomus.it</t>
  </si>
  <si>
    <t>campingdomus@gmail.com</t>
  </si>
  <si>
    <t>DA ADAMO OSTERIA  E LOCANDA</t>
  </si>
  <si>
    <t>strada comunale Grazie 8</t>
  </si>
  <si>
    <t>osteriadadamo@icloud.com</t>
  </si>
  <si>
    <t>VILLA SAVIGNANO</t>
  </si>
  <si>
    <t>strada di Savignano 253</t>
  </si>
  <si>
    <t>grottino</t>
  </si>
  <si>
    <t>www.agriturismovillasavignano.it</t>
  </si>
  <si>
    <t>borisbart@alice.it</t>
  </si>
  <si>
    <t>B&amp;B IL PAPAVERO</t>
  </si>
  <si>
    <t>strada provinciale Arceviese 98</t>
  </si>
  <si>
    <t>claudia.b@lemarche.it</t>
  </si>
  <si>
    <t>B&amp;B CASATORRICELLI</t>
  </si>
  <si>
    <t>via Torricelli 11/a</t>
  </si>
  <si>
    <t>info@casatorricelli.it</t>
  </si>
  <si>
    <t>B&amp;B FONTE ANTICA</t>
  </si>
  <si>
    <t>strada dei Cappuccini 11</t>
  </si>
  <si>
    <t>Scapezzano</t>
  </si>
  <si>
    <t>marilenamoroni@libero.it</t>
  </si>
  <si>
    <t>B&amp;B VIA DELLA MARINA 3</t>
  </si>
  <si>
    <t>strada della Marina 3</t>
  </si>
  <si>
    <t>vmontesi@yahoo.com</t>
  </si>
  <si>
    <t>IL CAMPETTO</t>
  </si>
  <si>
    <t>strada Torre Campetto  130</t>
  </si>
  <si>
    <t>info@bertigroup.it</t>
  </si>
  <si>
    <t>THE NELLO'S HOLIDAY HOUSES</t>
  </si>
  <si>
    <t>via Lungomare 95</t>
  </si>
  <si>
    <t>stpellegrini_daniele@tiscali.it</t>
  </si>
  <si>
    <t>TENENTI ROSANNA</t>
  </si>
  <si>
    <t>via Lungomare da Vinci 95</t>
  </si>
  <si>
    <t>B&amp;B LA PARISIENNE</t>
  </si>
  <si>
    <t>G. Fiorini 13</t>
  </si>
  <si>
    <t>www.bblaparisienne.it</t>
  </si>
  <si>
    <t>luciano.girolimetti@tiscali.it</t>
  </si>
  <si>
    <t>B&amp;B AL VIVERE VERDE</t>
  </si>
  <si>
    <t>via Bramante  9/c</t>
  </si>
  <si>
    <t>alvivereverde@virgilio.it</t>
  </si>
  <si>
    <t>B&amp;B LA ROSA DI SABBIA</t>
  </si>
  <si>
    <t>lungomare Marconi 30</t>
  </si>
  <si>
    <t>RESIDENCE AMERICA</t>
  </si>
  <si>
    <t>lungomare Alighieri 84</t>
  </si>
  <si>
    <t>studio.verdini@libero.it</t>
  </si>
  <si>
    <t>B&amp;B VILLA GIULIA</t>
  </si>
  <si>
    <t>strada com.le Filetto 1</t>
  </si>
  <si>
    <t>villagiuliasenigallia@gmail.com</t>
  </si>
  <si>
    <t>HOTEL TRIESTE DIPENDENZA 1</t>
  </si>
  <si>
    <t>via Trieste 25</t>
  </si>
  <si>
    <t>www.hotelpensionetrieste.com</t>
  </si>
  <si>
    <t>info@hotelpensionetrieste.com</t>
  </si>
  <si>
    <t>HOTEL TRIESTE DIPENDENZA 2</t>
  </si>
  <si>
    <t>via Trieste 29</t>
  </si>
  <si>
    <t>HOTEL TRIESTE DIPENDENZA 3</t>
  </si>
  <si>
    <t>via Trieste 32</t>
  </si>
  <si>
    <t>via Mazzini 38</t>
  </si>
  <si>
    <t>loc. Montignano</t>
  </si>
  <si>
    <t>www.nonnarina.altervista.org</t>
  </si>
  <si>
    <t>buccisabrina@virgilio.it</t>
  </si>
  <si>
    <t>AVANA</t>
  </si>
  <si>
    <t>via Perugia 5</t>
  </si>
  <si>
    <t>info@residenceavana.it</t>
  </si>
  <si>
    <t>via Strada Terza 28</t>
  </si>
  <si>
    <t>ginmaur1@tin.it</t>
  </si>
  <si>
    <t>HOTEL VILLA SORRISO</t>
  </si>
  <si>
    <t>lungomare Alighieri 98</t>
  </si>
  <si>
    <t>hotelvillasorriso.altervista.org</t>
  </si>
  <si>
    <t>hotelvillasorrisosenigallia@gmail.com</t>
  </si>
  <si>
    <t>B&amp;B LA PENNICA</t>
  </si>
  <si>
    <t>strada Berardinelli Scapezzano 294</t>
  </si>
  <si>
    <t>info@lapennica.it</t>
  </si>
  <si>
    <t>B&amp;B A MARE di PALADINI PATRIZIA</t>
  </si>
  <si>
    <t>lungomare italia 8</t>
  </si>
  <si>
    <t>amarebedandbreakfast.wordpress.com</t>
  </si>
  <si>
    <t>bbamare@gmail.com</t>
  </si>
  <si>
    <t>B&amp;B ANTICO GELSO</t>
  </si>
  <si>
    <t>strada della Donnella 116</t>
  </si>
  <si>
    <t>info@bbanticogelso.it</t>
  </si>
  <si>
    <t>B&amp;B FLAT</t>
  </si>
  <si>
    <t>via marche 83</t>
  </si>
  <si>
    <t>CASA ONDA</t>
  </si>
  <si>
    <t>via Cannella 26</t>
  </si>
  <si>
    <t>loc. Scapezzano</t>
  </si>
  <si>
    <t>http://www.casaonda.com</t>
  </si>
  <si>
    <t>info@casaonda.com</t>
  </si>
  <si>
    <t>B&amp;B A CASA DI SARA</t>
  </si>
  <si>
    <t>frazione san silvestro strada intercomunale 146</t>
  </si>
  <si>
    <t>www.acasadisara.com</t>
  </si>
  <si>
    <t>acasadisara@libero.it</t>
  </si>
  <si>
    <t>TAVERNA DEI GUELFI</t>
  </si>
  <si>
    <t>strada provinciale corinaldese 57</t>
  </si>
  <si>
    <t>info@tavernadeiguelfi.com</t>
  </si>
  <si>
    <t>B&amp;B UNA ROTONDA SUL MARE</t>
  </si>
  <si>
    <t>lungomare Marconi 16</t>
  </si>
  <si>
    <t>marinella.marchetti3@gmail.com</t>
  </si>
  <si>
    <t>via Francesco Podesti 234</t>
  </si>
  <si>
    <t>B&amp;B A CASA DI MAURO</t>
  </si>
  <si>
    <t>strada Querciabella 179</t>
  </si>
  <si>
    <t>Vallone</t>
  </si>
  <si>
    <t>maurowiller@alice.it</t>
  </si>
  <si>
    <t>B&amp;B IL GELSO</t>
  </si>
  <si>
    <t>strada Fabbrici Ville 60</t>
  </si>
  <si>
    <t>info@gelsoincollina.it</t>
  </si>
  <si>
    <t>IL VECCHIO SCORNABECCO</t>
  </si>
  <si>
    <t>strada Scornabecco 85</t>
  </si>
  <si>
    <t>www.ilvecchioscornabecco.com</t>
  </si>
  <si>
    <t>info@ilvecchioscornabecco.com</t>
  </si>
  <si>
    <t>DOMUS MARINA</t>
  </si>
  <si>
    <t>lungomare Italia 84</t>
  </si>
  <si>
    <t>www.domusmacerata.it</t>
  </si>
  <si>
    <t>sangiuliano@domusmacerata.it</t>
  </si>
  <si>
    <t>COUNTRY HOUSE SANT'ANGELO</t>
  </si>
  <si>
    <t>strada Costa dei Fabbri 221</t>
  </si>
  <si>
    <t>SANT'ANGELO</t>
  </si>
  <si>
    <t>www.countryhousesantangelo.it</t>
  </si>
  <si>
    <t>pamelabacolini@libero.it</t>
  </si>
  <si>
    <t>B&amp;B LA CERCUA</t>
  </si>
  <si>
    <t>CANNELLA</t>
  </si>
  <si>
    <t>www.lacercua.com</t>
  </si>
  <si>
    <t>info@lacercua.com</t>
  </si>
  <si>
    <t>LA TAMERICE</t>
  </si>
  <si>
    <t>strada Torre Campetto 114</t>
  </si>
  <si>
    <t>FRAZIONE MONTIGNANO</t>
  </si>
  <si>
    <t>www.agriturismolatamerice.it</t>
  </si>
  <si>
    <t>agriturismo.latamerice@gmail.com</t>
  </si>
  <si>
    <t>B&amp;B LO SCORNABECCO</t>
  </si>
  <si>
    <t>via Antonio Fratti 18</t>
  </si>
  <si>
    <t>www.loscornabecco.it</t>
  </si>
  <si>
    <t>loscornabecco@alice.it</t>
  </si>
  <si>
    <t>VILLAGGIO CAMPING BLU</t>
  </si>
  <si>
    <t>www.villaggiocampingblu.com</t>
  </si>
  <si>
    <t>LA NAVE</t>
  </si>
  <si>
    <t>lungomare leonardo da vinci n 13 13</t>
  </si>
  <si>
    <t>www.residencelanave.it</t>
  </si>
  <si>
    <t>info@residencelanave.it</t>
  </si>
  <si>
    <t>LUNAZZURRA</t>
  </si>
  <si>
    <t>via A. Caro 31</t>
  </si>
  <si>
    <t>https://sites.google.com/site/bblunazzurrasenigallia/</t>
  </si>
  <si>
    <t>lunazzurra.b.b@gmail.com</t>
  </si>
  <si>
    <t>LA QUERCIA DEL SAGGIO</t>
  </si>
  <si>
    <t>strada comunale morro d' alba 5</t>
  </si>
  <si>
    <t>www.laquerciadelsaggio.it</t>
  </si>
  <si>
    <t>laquerciadelsaggio@gmail.com</t>
  </si>
  <si>
    <t>B&amp;B RAGGIO DI LUNA</t>
  </si>
  <si>
    <t>localita' Casini Soccorso 29</t>
  </si>
  <si>
    <t>www.ilraggiodiluna.it</t>
  </si>
  <si>
    <t>bbraggiodiluna@alice.it</t>
  </si>
  <si>
    <t>B&amp;B MISTRETTA ROSSANA</t>
  </si>
  <si>
    <t>frazione san silvestro strada squartagallo 131</t>
  </si>
  <si>
    <t>rossanamistretta@hotmail.it</t>
  </si>
  <si>
    <t>CAGGIARI</t>
  </si>
  <si>
    <t>lungomare Alighieri 130</t>
  </si>
  <si>
    <t>www.hotelcaggiari.it</t>
  </si>
  <si>
    <t>info@hotelcaggiari.it</t>
  </si>
  <si>
    <t>CENTRO LE DUNE</t>
  </si>
  <si>
    <t>lungomare leonardo da vinci 6</t>
  </si>
  <si>
    <t>DEI GALLI</t>
  </si>
  <si>
    <t>lungomare mameli 226</t>
  </si>
  <si>
    <t>www.hoteldeigalli.it</t>
  </si>
  <si>
    <t>info@hoteldeigalli.it</t>
  </si>
  <si>
    <t>HAMBURG</t>
  </si>
  <si>
    <t>via Rieti 104</t>
  </si>
  <si>
    <t>www.hotelhamburg.it</t>
  </si>
  <si>
    <t>hotelhamburg@libero.it</t>
  </si>
  <si>
    <t>BICE</t>
  </si>
  <si>
    <t>viale Giacomo Leopardi 105</t>
  </si>
  <si>
    <t>www.albergobice.it</t>
  </si>
  <si>
    <t>info@albergobice.it</t>
  </si>
  <si>
    <t>GIULIETTA</t>
  </si>
  <si>
    <t>via rieti 56</t>
  </si>
  <si>
    <t>www.hotelgiulietta.it</t>
  </si>
  <si>
    <t>info@hotelgiulietta.it</t>
  </si>
  <si>
    <t>GABBIANO</t>
  </si>
  <si>
    <t>lungomare Leonardo da Vinci 91</t>
  </si>
  <si>
    <t>www.gabbiano-senigallia.com</t>
  </si>
  <si>
    <t>hotelgabbiano@gmail.com</t>
  </si>
  <si>
    <t>HOTEL SABRA</t>
  </si>
  <si>
    <t>www.hotelsabra.it</t>
  </si>
  <si>
    <t>info@hotelsabra.it</t>
  </si>
  <si>
    <t>via la Spezia 1</t>
  </si>
  <si>
    <t>www.hotelazzurrasenigallia.it</t>
  </si>
  <si>
    <t>info@hotelazzurrasenigallia.com</t>
  </si>
  <si>
    <t>SENBHOTEL</t>
  </si>
  <si>
    <t>viale Pietro Bonopera 32</t>
  </si>
  <si>
    <t>DUCHI DELLA ROVERE</t>
  </si>
  <si>
    <t>via Filippo Corridoni 3</t>
  </si>
  <si>
    <t>www.hotelduchidellarovere.it</t>
  </si>
  <si>
    <t>info@hotelduchidellarovere.it</t>
  </si>
  <si>
    <t>DEL SOLE</t>
  </si>
  <si>
    <t>lungomare Alighieri 118</t>
  </si>
  <si>
    <t>wallypower1182009@hotmail.it</t>
  </si>
  <si>
    <t>HOTEL RITZ</t>
  </si>
  <si>
    <t>lungomare Alighieri 142</t>
  </si>
  <si>
    <t>www.hritz.it</t>
  </si>
  <si>
    <t>info@hritz.it</t>
  </si>
  <si>
    <t>GRAND HOTEL EXCELSIOR</t>
  </si>
  <si>
    <t>lungomare Alighieri 150</t>
  </si>
  <si>
    <t>www.ghe.it</t>
  </si>
  <si>
    <t>info@ghe.it</t>
  </si>
  <si>
    <t>CITY</t>
  </si>
  <si>
    <t>lungomare alighieri 14</t>
  </si>
  <si>
    <t>www.cityhotel.it</t>
  </si>
  <si>
    <t>info@cityhotel.it</t>
  </si>
  <si>
    <t>UNIVERSAL</t>
  </si>
  <si>
    <t>lungomare mameli 47</t>
  </si>
  <si>
    <t>www.hoteluniversal.it</t>
  </si>
  <si>
    <t>info@hoteluniversal.it</t>
  </si>
  <si>
    <t>ELEONORA</t>
  </si>
  <si>
    <t>lungomare Marconi 2</t>
  </si>
  <si>
    <t>www.albergoeleonora.191.it</t>
  </si>
  <si>
    <t>eleonora.carbonari@libero.it;</t>
  </si>
  <si>
    <t>Lungomare Alighieri 126</t>
  </si>
  <si>
    <t>www.ilcontinental.com</t>
  </si>
  <si>
    <t>info@ilcontinental.com</t>
  </si>
  <si>
    <t>SAYONARA</t>
  </si>
  <si>
    <t>lungomare MAMELI 114</t>
  </si>
  <si>
    <t>www.hotelsayonarasenigallia.it</t>
  </si>
  <si>
    <t>info@hotelsayonarasenigallia.it</t>
  </si>
  <si>
    <t>TROCADERO</t>
  </si>
  <si>
    <t>via Carlo Goldoni 46</t>
  </si>
  <si>
    <t>corradopianelli@gmail.com</t>
  </si>
  <si>
    <t>RITA</t>
  </si>
  <si>
    <t>lungomare mameli  138</t>
  </si>
  <si>
    <t>www.raggiazzurro.it</t>
  </si>
  <si>
    <t>prenotazioni@raggiazzurro.it</t>
  </si>
  <si>
    <t>SIMONA</t>
  </si>
  <si>
    <t>via Pisa 4</t>
  </si>
  <si>
    <t>www.albergosimona.it</t>
  </si>
  <si>
    <t>info@albergosimona.it</t>
  </si>
  <si>
    <t>PRIMAVERA</t>
  </si>
  <si>
    <t>lungomare Mameli 136</t>
  </si>
  <si>
    <t>www.albergoprimaverasenigallia.it</t>
  </si>
  <si>
    <t>info@albergoprimaverasenigallia.it</t>
  </si>
  <si>
    <t>MORETTI</t>
  </si>
  <si>
    <t>via raffaello sanzio 82</t>
  </si>
  <si>
    <t>www.hotelmoretti.com</t>
  </si>
  <si>
    <t>info@hotelmoretti.com</t>
  </si>
  <si>
    <t>HOTEL VIENNA</t>
  </si>
  <si>
    <t>via rieti 41</t>
  </si>
  <si>
    <t>www.vienna-hotel.it</t>
  </si>
  <si>
    <t>info@vienna-hotel.it</t>
  </si>
  <si>
    <t>HOTEL TRIESTE</t>
  </si>
  <si>
    <t>via Trieste 27</t>
  </si>
  <si>
    <t>DELFINO</t>
  </si>
  <si>
    <t>lungomare mameli 43</t>
  </si>
  <si>
    <t>www.hoteldelfino.net</t>
  </si>
  <si>
    <t>info@hoteldelfino.net</t>
  </si>
  <si>
    <t>ALBERGO ELENA</t>
  </si>
  <si>
    <t>via Carlo Goldoni 22</t>
  </si>
  <si>
    <t>www.hotelelena.net</t>
  </si>
  <si>
    <t>info@hotelelena.net</t>
  </si>
  <si>
    <t>EUROPA</t>
  </si>
  <si>
    <t>lungomare alighieri 11</t>
  </si>
  <si>
    <t>www.hoteleuropa-an.it</t>
  </si>
  <si>
    <t>info@hoteleuropa-an.it</t>
  </si>
  <si>
    <t>lungomare Mameli 66</t>
  </si>
  <si>
    <t>www.hcorallo.it</t>
  </si>
  <si>
    <t>info@hcorallo.it</t>
  </si>
  <si>
    <t>CRISTINA</t>
  </si>
  <si>
    <t>via Rieti 10</t>
  </si>
  <si>
    <t>www.hotelcristina.net</t>
  </si>
  <si>
    <t>info@hotelcristina.net</t>
  </si>
  <si>
    <t>lungomare marconi 35</t>
  </si>
  <si>
    <t>www.h-delaville.it</t>
  </si>
  <si>
    <t>info@h-delaville.it</t>
  </si>
  <si>
    <t>PENSIONE LICIA</t>
  </si>
  <si>
    <t>lungomare leonardo da vinci 50</t>
  </si>
  <si>
    <t>www.pensionelicia.it</t>
  </si>
  <si>
    <t>pensione-licia@libero.it</t>
  </si>
  <si>
    <t>HOTEL SOUVENIR</t>
  </si>
  <si>
    <t>lungomare leonardo da vinci 21</t>
  </si>
  <si>
    <t>www.hotelsouvenir.it</t>
  </si>
  <si>
    <t>info@hotelsouvenir.it</t>
  </si>
  <si>
    <t>lungomare Alighieri 124</t>
  </si>
  <si>
    <t>www.hmajestic.com</t>
  </si>
  <si>
    <t>info@hmajestic.com</t>
  </si>
  <si>
    <t>RAGGIO DI LUNA</t>
  </si>
  <si>
    <t>lungomare leonardo da vinci 60</t>
  </si>
  <si>
    <t>lungomare Leonardo Da Vinci 46bis</t>
  </si>
  <si>
    <t>www.campingholiday.net</t>
  </si>
  <si>
    <t>info@campingholiday.net</t>
  </si>
  <si>
    <t>SPIAGGIA DI VELLUTO</t>
  </si>
  <si>
    <t>www.campingspiaggiadivelluto.it</t>
  </si>
  <si>
    <t>info@campingspiaggiadivelluto.it</t>
  </si>
  <si>
    <t>SUMMERLAND</t>
  </si>
  <si>
    <t>via francesco podesti 236</t>
  </si>
  <si>
    <t>www.campingsummerland.it</t>
  </si>
  <si>
    <t>info@campingsummerland.it</t>
  </si>
  <si>
    <t>ONDA BLU</t>
  </si>
  <si>
    <t>lungomare leonardo da vinci 75</t>
  </si>
  <si>
    <t>baruccarenato@gmail.com</t>
  </si>
  <si>
    <t>PLAYA</t>
  </si>
  <si>
    <t>lungomare leonardo da vinci 72</t>
  </si>
  <si>
    <t>SMERALDO</t>
  </si>
  <si>
    <t>lungomare Leonardo da Vinci 44/f</t>
  </si>
  <si>
    <t>campingsmeraldo1@hotmail.it</t>
  </si>
  <si>
    <t>RESIDENCE MARE VERDE (FERRO GIOVANNI FRANCESCO &amp; C. S.A.S)</t>
  </si>
  <si>
    <t>via umberto giordano 44</t>
  </si>
  <si>
    <t>www.mareverde.it</t>
  </si>
  <si>
    <t>info@mareverde.it - mareverde@netpec.net</t>
  </si>
  <si>
    <t>APPARTAMENTI REGNI</t>
  </si>
  <si>
    <t>via Francesco Podesti 149</t>
  </si>
  <si>
    <t>www.residenceregni.it</t>
  </si>
  <si>
    <t>fabregni@tin.it</t>
  </si>
  <si>
    <t>GREEN CAMPING</t>
  </si>
  <si>
    <t>strada Alderana 8</t>
  </si>
  <si>
    <t>www.greencamping.it</t>
  </si>
  <si>
    <t>info@greencamping.it</t>
  </si>
  <si>
    <t>CORTINA</t>
  </si>
  <si>
    <t>lungomare Italia 1</t>
  </si>
  <si>
    <t>www.campingcortina.com www.campingcortina.net</t>
  </si>
  <si>
    <t>camping.cortina@libero.it</t>
  </si>
  <si>
    <t>CAMPING ADRIATICO</t>
  </si>
  <si>
    <t>Strada Statale Adriatica Sud 264/B</t>
  </si>
  <si>
    <t>Marzocca</t>
  </si>
  <si>
    <t>www.campeggioadriatico.com</t>
  </si>
  <si>
    <t>info@campeggioadriatico.com</t>
  </si>
  <si>
    <t>VILLAGGIO TURISTICO BENVIVERE</t>
  </si>
  <si>
    <t>lungomare Leonardo da Vinci 54 bis</t>
  </si>
  <si>
    <t>www.benvivere.com</t>
  </si>
  <si>
    <t>benvivere@libero.it</t>
  </si>
  <si>
    <t>MARE VERDE</t>
  </si>
  <si>
    <t>lungomare Leonardo da Vinci 95</t>
  </si>
  <si>
    <t>lungomare leonardo da vinci 54</t>
  </si>
  <si>
    <t>www.campingliana.it</t>
  </si>
  <si>
    <t>info@campingliana.it</t>
  </si>
  <si>
    <t>PANCOTTI ALESSANDRO</t>
  </si>
  <si>
    <t>strada san michele molinello 1</t>
  </si>
  <si>
    <t>a.pancotti@alice.it</t>
  </si>
  <si>
    <t>IL RIFUGIO</t>
  </si>
  <si>
    <t>strada provinciale sant'angelo 210/A</t>
  </si>
  <si>
    <t>www.agriturismoilrifugio.com</t>
  </si>
  <si>
    <t>info@agriturismoilrifugio.com</t>
  </si>
  <si>
    <t>ROMA</t>
  </si>
  <si>
    <t>lungomare leonardo da vinci 20</t>
  </si>
  <si>
    <t>www.hotelroma.net</t>
  </si>
  <si>
    <t>info@hotelroma.net</t>
  </si>
  <si>
    <t>lungomare alighieri 34</t>
  </si>
  <si>
    <t>www.hotelsenigallia.net</t>
  </si>
  <si>
    <t>info@hotelsenigallia.net</t>
  </si>
  <si>
    <t>lungomare alighieri 78</t>
  </si>
  <si>
    <t>www.hotelsirena.com</t>
  </si>
  <si>
    <t>info@hotelsirena.com</t>
  </si>
  <si>
    <t>TRITONE</t>
  </si>
  <si>
    <t>lungomare Leonardo da Vinci 18</t>
  </si>
  <si>
    <t>www.hoteltritone.net</t>
  </si>
  <si>
    <t>info@hoteltritone.net</t>
  </si>
  <si>
    <t>HOLLYWOOD</t>
  </si>
  <si>
    <t>lungomare alighieri 62</t>
  </si>
  <si>
    <t>www.hotel-hollywood.it</t>
  </si>
  <si>
    <t>info@hotel-hollywood.it</t>
  </si>
  <si>
    <t>HOTEL LORI</t>
  </si>
  <si>
    <t>lungomare Italia 28</t>
  </si>
  <si>
    <t>www.hotellori.com</t>
  </si>
  <si>
    <t>hotellori@gmail.com</t>
  </si>
  <si>
    <t>via Umberto Giordano 20</t>
  </si>
  <si>
    <t>www.hotellequerce.com</t>
  </si>
  <si>
    <t>info@hotellequerce.com</t>
  </si>
  <si>
    <t>piazzale Nino Bixio 35</t>
  </si>
  <si>
    <t>www.lavelasenigallia.it</t>
  </si>
  <si>
    <t>info@lavelasenigallia.it</t>
  </si>
  <si>
    <t>lungomare Alighieri 90</t>
  </si>
  <si>
    <t>www.hotelbalticsenigallia.it</t>
  </si>
  <si>
    <t>info@hotelbalticsenigallia.it</t>
  </si>
  <si>
    <t>HOTEL BEL SIT</t>
  </si>
  <si>
    <t>via dei cappuccini  15</t>
  </si>
  <si>
    <t>www.belsit.net</t>
  </si>
  <si>
    <t>info@belsit.net</t>
  </si>
  <si>
    <t>BOLOGNA</t>
  </si>
  <si>
    <t>lungomare mameli 57</t>
  </si>
  <si>
    <t>www.hbologna.net</t>
  </si>
  <si>
    <t>info@hbologna.net</t>
  </si>
  <si>
    <t>AMBASCIATORI</t>
  </si>
  <si>
    <t>lungomare Leonardo da Vinci 92</t>
  </si>
  <si>
    <t>www.ambasciatorisenigallia.it</t>
  </si>
  <si>
    <t>info@ambasciatorisenigallia.it</t>
  </si>
  <si>
    <t>www.atlantic-hotel.it</t>
  </si>
  <si>
    <t>info@atlantic-hotel.it</t>
  </si>
  <si>
    <t>HOTEL BEAURIVAGE</t>
  </si>
  <si>
    <t>lungomare Marconi 28</t>
  </si>
  <si>
    <t>www.hotelbeaurivagesenigallia.com</t>
  </si>
  <si>
    <t>info@hotelbeaurivagesenigallia.com</t>
  </si>
  <si>
    <t>lungomare Leonardo da Vinci 22</t>
  </si>
  <si>
    <t>www.hotel-perla.net</t>
  </si>
  <si>
    <t>hotelperla2003@libero.it</t>
  </si>
  <si>
    <t>Lungomare Dante Alighieri 108</t>
  </si>
  <si>
    <t>www.hotelitalia-senigallia.it</t>
  </si>
  <si>
    <t>hotelitalia.senigallia@gmail.com</t>
  </si>
  <si>
    <t>lungomare mameli 44</t>
  </si>
  <si>
    <t>www.hotelinternationalsenigallia.com</t>
  </si>
  <si>
    <t>info@hotelinternationalsenigallia.com</t>
  </si>
  <si>
    <t>lungomare mameli 50</t>
  </si>
  <si>
    <t>www.hotel-mareblu.it</t>
  </si>
  <si>
    <t>info@hotel-mareblu.it</t>
  </si>
  <si>
    <t>ARGENTINA</t>
  </si>
  <si>
    <t>lungomare Alighieri 82</t>
  </si>
  <si>
    <t>www.hargentina.com</t>
  </si>
  <si>
    <t>info@hargentina.com</t>
  </si>
  <si>
    <t>lungomare leonardo da vinci 1</t>
  </si>
  <si>
    <t>www.hotelolympiasenigallia.it</t>
  </si>
  <si>
    <t>info@hotelolympiasenigallia.it</t>
  </si>
  <si>
    <t>MASSI</t>
  </si>
  <si>
    <t>piazzale Rosa Morandi 10</t>
  </si>
  <si>
    <t>www.italiaabc.it</t>
  </si>
  <si>
    <t>hotelmassi@virgilio.it</t>
  </si>
  <si>
    <t>lungomare leonardo da vinci 19</t>
  </si>
  <si>
    <t>www.hotelnettuno.org</t>
  </si>
  <si>
    <t>info@hotelnettuno.org</t>
  </si>
  <si>
    <t>LUCIA</t>
  </si>
  <si>
    <t>lungomare leonardo da vinci 91</t>
  </si>
  <si>
    <t>www.albergolucia.net</t>
  </si>
  <si>
    <t>info@albergolucia.net</t>
  </si>
  <si>
    <t>FIORELLA</t>
  </si>
  <si>
    <t>VIA PUGLIA 12</t>
  </si>
  <si>
    <t>www.hotel-fiorella.it</t>
  </si>
  <si>
    <t>info@hotel-fiorella.it</t>
  </si>
  <si>
    <t>CARAIBI</t>
  </si>
  <si>
    <t>Prima Strada 23</t>
  </si>
  <si>
    <t>www.caraibihotel.it</t>
  </si>
  <si>
    <t>info@caraibihotel.it</t>
  </si>
  <si>
    <t>REGINA</t>
  </si>
  <si>
    <t>lungomare Alighieri 5</t>
  </si>
  <si>
    <t>www.albergoregina.it</t>
  </si>
  <si>
    <t>info@albergoregina.it</t>
  </si>
  <si>
    <t>lungomare italia 67</t>
  </si>
  <si>
    <t>www.hotelrexsenigallia.it</t>
  </si>
  <si>
    <t>info@hotelrexsenigallia.it</t>
  </si>
  <si>
    <t>FARO</t>
  </si>
  <si>
    <t>lungomare mameli 110</t>
  </si>
  <si>
    <t>www.hotel-faro.it</t>
  </si>
  <si>
    <t>mily80@libero.it</t>
  </si>
  <si>
    <t>lungomare leonardo da vinci 11</t>
  </si>
  <si>
    <t>www.hotelmetropolsenigallia.it  e  com</t>
  </si>
  <si>
    <t>info@hotelmetropolsenigallia.it</t>
  </si>
  <si>
    <t>ANCORE</t>
  </si>
  <si>
    <t>lungomare Mameli 243</t>
  </si>
  <si>
    <t>www.hotelancore.it</t>
  </si>
  <si>
    <t>info@hotelancore.it</t>
  </si>
  <si>
    <t>CONCHIGLIA</t>
  </si>
  <si>
    <t>via rieti 132</t>
  </si>
  <si>
    <t>www.hconchiglia.com</t>
  </si>
  <si>
    <t>info@hconchiglia.com</t>
  </si>
  <si>
    <t>VENEZIA</t>
  </si>
  <si>
    <t>via rieti 68</t>
  </si>
  <si>
    <t>www.hotelveneziasenigallia.com</t>
  </si>
  <si>
    <t>hotel.venezia@libero.it</t>
  </si>
  <si>
    <t>HOTEL PARADISO</t>
  </si>
  <si>
    <t>via Abruzzi 7</t>
  </si>
  <si>
    <t>www.hotelparadisosenigallia.it</t>
  </si>
  <si>
    <t>info@hotelparadisosenigallia.it</t>
  </si>
  <si>
    <t>TURISTICA</t>
  </si>
  <si>
    <t>via rieti 14</t>
  </si>
  <si>
    <t>www.hotelturistica.it</t>
  </si>
  <si>
    <t>hotelturistica@libero.it</t>
  </si>
  <si>
    <t>LOCANDA STRADA DELLA MARINA</t>
  </si>
  <si>
    <t>strada della marina 265</t>
  </si>
  <si>
    <t>astro.gest_@libero.it</t>
  </si>
  <si>
    <t>ANTICA ARMONIA</t>
  </si>
  <si>
    <t>strada del soccorso 17</t>
  </si>
  <si>
    <t>www.anticarmonia.it</t>
  </si>
  <si>
    <t>anticaarmonia@libero.it</t>
  </si>
  <si>
    <t>FINIS AFRICAE</t>
  </si>
  <si>
    <t>strada provinciale sant' angelo 155</t>
  </si>
  <si>
    <t>www.finisafricae.com</t>
  </si>
  <si>
    <t>info@finisafricae.info</t>
  </si>
  <si>
    <t>ALBERGO BICE DEPENDANCE</t>
  </si>
  <si>
    <t>viale giacomo leopardi 105</t>
  </si>
  <si>
    <t>AGRITURISMO LA MARAZZANA</t>
  </si>
  <si>
    <t>strada provinciale corinaldese 105</t>
  </si>
  <si>
    <t>www.lamarazzana.it</t>
  </si>
  <si>
    <t>info@lamarazzana.it</t>
  </si>
  <si>
    <t>BAGNI BLU BEACH N° 126</t>
  </si>
  <si>
    <t>lungomare leonardo da vinci 126 126</t>
  </si>
  <si>
    <t>MICHI.C73@LIBERO.IT</t>
  </si>
  <si>
    <t>BAGNI HOTEL GABBIANO N° 140</t>
  </si>
  <si>
    <t>lungomare leonardo da vinci 91 91</t>
  </si>
  <si>
    <t>BAGNI CLIPPER N° 147</t>
  </si>
  <si>
    <t>lungomare italia 1 1</t>
  </si>
  <si>
    <t>BAGNI N.130</t>
  </si>
  <si>
    <t>lungomare leonardo da vinci 130 130</t>
  </si>
  <si>
    <t>BAGNI LUCIA N.139</t>
  </si>
  <si>
    <t>BAGNI N.107 STELLA MARINA</t>
  </si>
  <si>
    <t>lungomare leonardo da vinci 107 107</t>
  </si>
  <si>
    <t>BAGNI BANO N.114</t>
  </si>
  <si>
    <t>lungomare leonardo da vinci 114 114</t>
  </si>
  <si>
    <t>rirogemma@gmail.it</t>
  </si>
  <si>
    <t>TERRAZZA MARCONI</t>
  </si>
  <si>
    <t>lungomare Marconi 37</t>
  </si>
  <si>
    <t>www.terrazzamarconi.it</t>
  </si>
  <si>
    <t>info@terrazzamarconi.it</t>
  </si>
  <si>
    <t>B&amp;B QUERCIABELLA</t>
  </si>
  <si>
    <t>strada querciabella 185</t>
  </si>
  <si>
    <t>www.bbquerciabella.it</t>
  </si>
  <si>
    <t>querciabella@hotmail.it</t>
  </si>
  <si>
    <t>COUNTRY HOUSE LA MADONNINA</t>
  </si>
  <si>
    <t>frazione filetto via cavallo montirone 211</t>
  </si>
  <si>
    <t>www.countryhouselamadonnina.it</t>
  </si>
  <si>
    <t>info@countryhouselamadonnina.it</t>
  </si>
  <si>
    <t>B&amp;B CASA FUORI CASA</t>
  </si>
  <si>
    <t>via G.Vico 7</t>
  </si>
  <si>
    <t>www.casafuoricasa.it</t>
  </si>
  <si>
    <t>info@casafuoricasa.it</t>
  </si>
  <si>
    <t>localita' casini soccorso 7</t>
  </si>
  <si>
    <t>www.acasamiavacanze.it</t>
  </si>
  <si>
    <t>a.casamia@virgilio.it</t>
  </si>
  <si>
    <t>B&amp;B "IL GRANO E LE STELLE" RELAIS</t>
  </si>
  <si>
    <t>strada fabbrici ville 92</t>
  </si>
  <si>
    <t>www.ilgranoelestelle.com</t>
  </si>
  <si>
    <t>ilgranoelestelle@gmail.com</t>
  </si>
  <si>
    <t>AGRITURISMO OASI  BIO VERDE MARINA</t>
  </si>
  <si>
    <t>strada del Ferriero 247</t>
  </si>
  <si>
    <t>www.oasibioverdemarina.it</t>
  </si>
  <si>
    <t>oasibioverdemarina@libero.it</t>
  </si>
  <si>
    <t>BAGNI ELENA N° 45</t>
  </si>
  <si>
    <t>lungomare marconi 1 1</t>
  </si>
  <si>
    <t>BAGNI CINQUANTUNO N° 20</t>
  </si>
  <si>
    <t>lungomare mameli 1 1</t>
  </si>
  <si>
    <t>BAGNI N° 64 - APAPAYA</t>
  </si>
  <si>
    <t>lungomare alighieri 64 64</t>
  </si>
  <si>
    <t>BAGNI N° 77</t>
  </si>
  <si>
    <t>lungomare alighieri 77 77</t>
  </si>
  <si>
    <t>filippo.borioni@hotmail.it</t>
  </si>
  <si>
    <t>SPRITZ BEACH</t>
  </si>
  <si>
    <t>elisa21@alice.it</t>
  </si>
  <si>
    <t>STELLA MARINA N 65</t>
  </si>
  <si>
    <t>lungomare alighieri 65 65</t>
  </si>
  <si>
    <t>BAGNI BORA BORA N° 42</t>
  </si>
  <si>
    <t>HOTEL HOLLYWOOD - BAGNI N° 76</t>
  </si>
  <si>
    <t>lungomare alighieri 76 76</t>
  </si>
  <si>
    <t>BAGNI SIRENA N° 78</t>
  </si>
  <si>
    <t>lungomare alighieri 78 78</t>
  </si>
  <si>
    <t>BAGNI ATLANTIC N° 157</t>
  </si>
  <si>
    <t>BAGNI ONDA VERDE N° 13</t>
  </si>
  <si>
    <t>SENIGALLIA BEACH BAGNI N° 63</t>
  </si>
  <si>
    <t>lungomare alighieri 63 63</t>
  </si>
  <si>
    <t>BAGNI ARCOBALENO N 52</t>
  </si>
  <si>
    <t>piazzale della liberta' 1 1</t>
  </si>
  <si>
    <t>BAGNI ROBERTO N° 44</t>
  </si>
  <si>
    <t>BAGNI MARTA N° 55</t>
  </si>
  <si>
    <t>lungomare alighieri 55 55</t>
  </si>
  <si>
    <t>BAGNI N° 4 MILLE BOLLE BLU</t>
  </si>
  <si>
    <t>lungomare mameli 4 4</t>
  </si>
  <si>
    <t>BAGNI N° 5</t>
  </si>
  <si>
    <t>BAGNI CLUB TRE C N° 30</t>
  </si>
  <si>
    <t>lungomare mameli 30 30</t>
  </si>
  <si>
    <t>super3c@libero.it</t>
  </si>
  <si>
    <t>BAGNI MAFALDA N° 56</t>
  </si>
  <si>
    <t>lungomare alighieri 56 56</t>
  </si>
  <si>
    <t>BAGNI BLASCO N° 132</t>
  </si>
  <si>
    <t>lungomare leonardo da vinci 132 132</t>
  </si>
  <si>
    <t>bagniblasco@bagniblasco.it</t>
  </si>
  <si>
    <t>www.bagniblasco.it</t>
  </si>
  <si>
    <t>BAGNI CARLINI N° 51</t>
  </si>
  <si>
    <t>lungomare marconi 51 51</t>
  </si>
  <si>
    <t>BAGNI PAOLA N° 58 - UN POSTO AL SOLE</t>
  </si>
  <si>
    <t>lungomare alighieri 58 58</t>
  </si>
  <si>
    <t>BAGNI GIULIANA N° 12</t>
  </si>
  <si>
    <t>BAGNI MARE MIO N° 50</t>
  </si>
  <si>
    <t>BAGNI BILLY N° 54</t>
  </si>
  <si>
    <t>lungomare alighieri 54 54</t>
  </si>
  <si>
    <t>BAGNI LE PALME N° 61</t>
  </si>
  <si>
    <t>lungomare alighieri 61 61</t>
  </si>
  <si>
    <t>BAGNI PAOLA &amp; ROBERTO N° 138</t>
  </si>
  <si>
    <t>lungomare leonardo da vinci 138 138</t>
  </si>
  <si>
    <t>leonnam@libero.it</t>
  </si>
  <si>
    <t>BAGNI MARA N° 80/81</t>
  </si>
  <si>
    <t>lungomare alighieri 80 80</t>
  </si>
  <si>
    <t>IL PICCOLO LIDO - BAGNI N° 68</t>
  </si>
  <si>
    <t>BAGNI VITTORIA N 105/106</t>
  </si>
  <si>
    <t>bagnivittoria105@gmail.com</t>
  </si>
  <si>
    <t>BAGNI ONDA BLU N° 74</t>
  </si>
  <si>
    <t>lungomare alighieri 74 74</t>
  </si>
  <si>
    <t>VERDE MARE</t>
  </si>
  <si>
    <t>via delle Vigne 273</t>
  </si>
  <si>
    <t>frazione Scapezzano</t>
  </si>
  <si>
    <t>verdemarech@tiscali.it</t>
  </si>
  <si>
    <t>TOMMI  38</t>
  </si>
  <si>
    <t>lungomare mameli 38 38</t>
  </si>
  <si>
    <t>info@bagnitommi.it</t>
  </si>
  <si>
    <t>www.bagnitommi.it</t>
  </si>
  <si>
    <t>CRAZY BEACH - CIACCI MAURO - BAGNI N° 131</t>
  </si>
  <si>
    <t>lungomare leonardo da vinci 1 1</t>
  </si>
  <si>
    <t>BAGNI N° 118</t>
  </si>
  <si>
    <t>BAGNI LUCARELLI ULIANO N 135/136</t>
  </si>
  <si>
    <t>ALBERGO DEL SOLE - BAGNI N° 90</t>
  </si>
  <si>
    <t>lungomare alighieri 100 100</t>
  </si>
  <si>
    <t>BAGNI HOTEL CARAIBI N 3</t>
  </si>
  <si>
    <t>I Strada 23  3</t>
  </si>
  <si>
    <t>IL PICCOLO LIDO - BAGNI N° 67</t>
  </si>
  <si>
    <t>lungomare alighieri 67 67</t>
  </si>
  <si>
    <t>BAGNI BIKINI BEACH N° 39</t>
  </si>
  <si>
    <t>BAGNI MIAMI BEACH N° 100</t>
  </si>
  <si>
    <t>lungomare leonardo da vinci 2 2</t>
  </si>
  <si>
    <t>BAGNI 102 N° 85</t>
  </si>
  <si>
    <t>lungomare alighieri 85 85</t>
  </si>
  <si>
    <t>BAGNI IRMA N° 75</t>
  </si>
  <si>
    <t>lungomare alighieri 75 75</t>
  </si>
  <si>
    <t>BAGNI SOLE BLU N° 60</t>
  </si>
  <si>
    <t>lungomare alighieri 7 7</t>
  </si>
  <si>
    <t>massimo@bagnisoleblu.it</t>
  </si>
  <si>
    <t>www.bagnisoleblu.it</t>
  </si>
  <si>
    <t>BAGNI DELFINO N° 2</t>
  </si>
  <si>
    <t>via strada prima 7 7</t>
  </si>
  <si>
    <t>BAGNI MARIA N° 94</t>
  </si>
  <si>
    <t>lungomare alighieri 94 94</t>
  </si>
  <si>
    <t>BAGNI CIRO N° 19</t>
  </si>
  <si>
    <t>EUROBEACH - BAGNI N° 162</t>
  </si>
  <si>
    <t>info@hotelrex.tv</t>
  </si>
  <si>
    <t>BAGNI N 116</t>
  </si>
  <si>
    <t>lungomare leonardo da vinci 21 21</t>
  </si>
  <si>
    <t>BAGNI 124 DI MANIZZA MICHELE</t>
  </si>
  <si>
    <t>lungomare leonardo da vinci 124 124</t>
  </si>
  <si>
    <t>maniz@libero.it</t>
  </si>
  <si>
    <t>info@spiaggiasenigallia.it</t>
  </si>
  <si>
    <t>BAGNI VIRGILIO &amp; MARCO N° 46</t>
  </si>
  <si>
    <t>BAGNI BORA BORA N° 43</t>
  </si>
  <si>
    <t>BAGNI SANDRA N° 32</t>
  </si>
  <si>
    <t>info@bagnisandra.it</t>
  </si>
  <si>
    <t xml:space="preserve"> www.bagnisandra.it</t>
  </si>
  <si>
    <t>BAGNI NELLA N° 57</t>
  </si>
  <si>
    <t>lungomare alighieri 57 57</t>
  </si>
  <si>
    <t>bagninella57@libero.it</t>
  </si>
  <si>
    <t>NORD MARINE BAGNI N° 16</t>
  </si>
  <si>
    <t>BAGNI GRAND HOTEL EXCELSIOR N° 97</t>
  </si>
  <si>
    <t>lungomare alighieri 97 97</t>
  </si>
  <si>
    <t>ghexcelsior@tin.it</t>
  </si>
  <si>
    <t>HOTEL ELENA - BAGNI N° 18</t>
  </si>
  <si>
    <t>lungomare mameli 18 18</t>
  </si>
  <si>
    <t>HOTEL RITZ - BAGNI N° 95</t>
  </si>
  <si>
    <t>HOTEL MAJESTIC DI URBANI GRAZIA - BAGNI N° 91</t>
  </si>
  <si>
    <t>lungomare alighieri 124 124</t>
  </si>
  <si>
    <t>BAGNI N° 141</t>
  </si>
  <si>
    <t>lungomare leonardo da vinci 92 92</t>
  </si>
  <si>
    <t>LA COLLINA DEL LAGO</t>
  </si>
  <si>
    <t>frazione montignano via della draga 9</t>
  </si>
  <si>
    <t>EUROBEACH - ALBONETTI SILVANA - BAGNI N° 161</t>
  </si>
  <si>
    <t>BAGNI DA CLAUDIO N° 137</t>
  </si>
  <si>
    <t>BAGNI N° 159</t>
  </si>
  <si>
    <t>BAGNI ARMANDO N° 98</t>
  </si>
  <si>
    <t>lungomare alighieri 98 98</t>
  </si>
  <si>
    <t>sssteambro@hotmail.it</t>
  </si>
  <si>
    <t>BAGNI MARIO N° 121</t>
  </si>
  <si>
    <t>BAGNI HOTEL INTERNATIONAL N° 34</t>
  </si>
  <si>
    <t>LIDO BAGNI N° 82</t>
  </si>
  <si>
    <t>lungomare alighieri 82 82</t>
  </si>
  <si>
    <t>robyangletti@libero.it</t>
  </si>
  <si>
    <t>BAGNI ALBERGO REGINA</t>
  </si>
  <si>
    <t>lungomare alighieri 20 20</t>
  </si>
  <si>
    <t>HAWAII BEACH - BAGNI N° 29 BIS</t>
  </si>
  <si>
    <t>BAGNI FIRMINA N° 84</t>
  </si>
  <si>
    <t>lungomare Alighieri 84 84</t>
  </si>
  <si>
    <t>BAGNI HOTEL UNIVERSAL N 33</t>
  </si>
  <si>
    <t>SOLEADO - BAGNI N 146</t>
  </si>
  <si>
    <t>BAGNI DINO N 96</t>
  </si>
  <si>
    <t>lungomare alighieri 96 96</t>
  </si>
  <si>
    <t>BAGNI ARMANDO (SOLO RIMESSAGGIO)</t>
  </si>
  <si>
    <t>lungomare alighieri 15 15</t>
  </si>
  <si>
    <t>BAGNI RENATO N° 133</t>
  </si>
  <si>
    <t>g.barucca@uniupn.it</t>
  </si>
  <si>
    <t>GIALLO SOLE S.A.S di MANCINI SIMONE &amp; C. - BAGNI N° 40</t>
  </si>
  <si>
    <t>infobagnigiallosole@tiscali.it</t>
  </si>
  <si>
    <t>BAGNI VIRGILIO N 83</t>
  </si>
  <si>
    <t>lungomare alighieri 83 83</t>
  </si>
  <si>
    <t>BAGNI NELLA N° 49</t>
  </si>
  <si>
    <t>BAGNI MARACAIBO N° 128</t>
  </si>
  <si>
    <t>BAGNI ANDREA N° 24</t>
  </si>
  <si>
    <t>TERESA BAGNI N° 142</t>
  </si>
  <si>
    <t>lungomare leonardo da vinci  95</t>
  </si>
  <si>
    <t>BAGNI MARIA N° 21</t>
  </si>
  <si>
    <t>BAGNI CRISTINA N° 70/71</t>
  </si>
  <si>
    <t>lungomare alighieri 70 70</t>
  </si>
  <si>
    <t>BAGNI BRUNA N° 69</t>
  </si>
  <si>
    <t>lungomare alighieri 69 69</t>
  </si>
  <si>
    <t>BAGNI ROBY N° 26</t>
  </si>
  <si>
    <t>robcur@libero.it</t>
  </si>
  <si>
    <t>BAGNI PAT N° 89</t>
  </si>
  <si>
    <t>lungomare alighieri 89 89</t>
  </si>
  <si>
    <t>BAGNI ANDREA N° 37</t>
  </si>
  <si>
    <t>BAGNI HOTEL BOLOGNA N° 29</t>
  </si>
  <si>
    <t>lungomare mameli 57 57</t>
  </si>
  <si>
    <t>BAGNI N° 93</t>
  </si>
  <si>
    <t>lungomare alighieri  93</t>
  </si>
  <si>
    <t>BAGNI ITALO N° 92</t>
  </si>
  <si>
    <t>lungomare alighieri 92 92</t>
  </si>
  <si>
    <t>BAGNI N° 17 - BAIA DEL FARO</t>
  </si>
  <si>
    <t>info@baiadelfaro.it</t>
  </si>
  <si>
    <t>www.baiadelfaro.it</t>
  </si>
  <si>
    <t>HOTEL MAREBLU' - BAGNI N° 31</t>
  </si>
  <si>
    <t>lungomare mameli 50 50</t>
  </si>
  <si>
    <t>BAGNI N° 86</t>
  </si>
  <si>
    <t>GIOVANNI e OLGA - BAGNI N° 11</t>
  </si>
  <si>
    <t>BAGNI GISELLA &amp; IVANO N° 111</t>
  </si>
  <si>
    <t>matias81@fastwebnet.it</t>
  </si>
  <si>
    <t>VILLAGGIO TURISTICO BENVIVERE - BAGNI 127</t>
  </si>
  <si>
    <t>lungomare leonardo da vinci 54 54</t>
  </si>
  <si>
    <t>BAHYA BLANCA</t>
  </si>
  <si>
    <t>lungomare Italia 151 151</t>
  </si>
  <si>
    <t>www.campingcortina.net</t>
  </si>
  <si>
    <t>OLLIE CLUB - BAGNI N° 120</t>
  </si>
  <si>
    <t>BAGNI N° 14</t>
  </si>
  <si>
    <t>lungomare mameli 14 14</t>
  </si>
  <si>
    <t>info@bagni14.it</t>
  </si>
  <si>
    <t>www.bagni14.it</t>
  </si>
  <si>
    <t>BAGNI GABRIELE N° 115</t>
  </si>
  <si>
    <t>BAGNI M.  n. 48</t>
  </si>
  <si>
    <t>BAGNI PAOLA N° 122</t>
  </si>
  <si>
    <t>lungomare leonardo da vinci 122 122</t>
  </si>
  <si>
    <t>SOLE 2000 - BAGNI N° 134</t>
  </si>
  <si>
    <t>BAGNI ALDA - BAGNI N° 88</t>
  </si>
  <si>
    <t>lungomare alighieri 88 88</t>
  </si>
  <si>
    <t>BAGNI RENATO N° 148</t>
  </si>
  <si>
    <t>BAGNI 2000 N° 53</t>
  </si>
  <si>
    <t>lungomare alighieri 53 53</t>
  </si>
  <si>
    <t>BAIA DI PONENTE - BAGNI N° 28</t>
  </si>
  <si>
    <t>BAGNI N° 87 DA FLAVIANA</t>
  </si>
  <si>
    <t>lungomare alighieri 87 87</t>
  </si>
  <si>
    <t>BAGNI LICIA N° 99</t>
  </si>
  <si>
    <t>lungomare alighieri 99 99</t>
  </si>
  <si>
    <t>BAGNI N° 117 LA PERLA</t>
  </si>
  <si>
    <t>BAGNI PARADISO N° 62</t>
  </si>
  <si>
    <t>lungomare alighieri 62 62</t>
  </si>
  <si>
    <t>simodesa@libero.it</t>
  </si>
  <si>
    <t>BAGNI NETTUNO N° 113</t>
  </si>
  <si>
    <t>BLUE NOTE BEACH  N° 158</t>
  </si>
  <si>
    <t>lungomare italia 28 28</t>
  </si>
  <si>
    <t>BAGNI FLORISA N° 8</t>
  </si>
  <si>
    <t>BAGNI CARLO E ARMANDA N° 79</t>
  </si>
  <si>
    <t>lungomare alighieri 79 79</t>
  </si>
  <si>
    <t>piva@bagni79.it</t>
  </si>
  <si>
    <t>www.bagni79.it</t>
  </si>
  <si>
    <t>BAGNI MASSIMO N° 112</t>
  </si>
  <si>
    <t>menotti.massimo@alice.it</t>
  </si>
  <si>
    <t>BAGNI DI SOLE N° 27</t>
  </si>
  <si>
    <t>BAGNI GABRIELLA N° 66</t>
  </si>
  <si>
    <t>lungomare alighieri 66 66</t>
  </si>
  <si>
    <t>BAGNI N° 7</t>
  </si>
  <si>
    <t>L'ILY BEACH - BAGNI N° 36</t>
  </si>
  <si>
    <t>BAGNI GABBIANO N° 25</t>
  </si>
  <si>
    <t>lungomare mameli 77 77</t>
  </si>
  <si>
    <t>BAGNI  BEACH BREAK N° 160</t>
  </si>
  <si>
    <t>lungomare italia 160 160</t>
  </si>
  <si>
    <t>BAGNI ANNA MARIA N° 47</t>
  </si>
  <si>
    <t>BAGNI CATERINA N° 41</t>
  </si>
  <si>
    <t>COQUUS FORNACIS</t>
  </si>
  <si>
    <t>via Fornace 7</t>
  </si>
  <si>
    <t>SERRA DE' CONTI</t>
  </si>
  <si>
    <t>www.coquusfornacis.it</t>
  </si>
  <si>
    <t>info@coquusfornacis.it</t>
  </si>
  <si>
    <t>via fornace 4</t>
  </si>
  <si>
    <t>info@linfinitocountry.it</t>
  </si>
  <si>
    <t>LA TANA DEL GHIRO</t>
  </si>
  <si>
    <t>via spineto 2</t>
  </si>
  <si>
    <t>appartamenti@latanadelghiro.net</t>
  </si>
  <si>
    <t>AGRITURIST LA FONTE</t>
  </si>
  <si>
    <t>Via Farneto 20</t>
  </si>
  <si>
    <t>www.agrituristlafonte.it</t>
  </si>
  <si>
    <t>lafonte@agrituristlafonte.it</t>
  </si>
  <si>
    <t>B&amp;B PALAZZO DEL PODESTA'</t>
  </si>
  <si>
    <t>via G. Garibaldi 63</t>
  </si>
  <si>
    <t>www.bebpalazzodelpodesta.altervista.org</t>
  </si>
  <si>
    <t>federici.ico@gmail.com; federici.ico@libero.it</t>
  </si>
  <si>
    <t>B&amp;B IL POZZO DI VIVALPA</t>
  </si>
  <si>
    <t>via S. Sebastiano  6</t>
  </si>
  <si>
    <t>www.ilpozzodivivalpa.com</t>
  </si>
  <si>
    <t>vivalpabandb@gmail.com; vito.valente@alice.it</t>
  </si>
  <si>
    <t>SCARPELLI ANDREA</t>
  </si>
  <si>
    <t>Via Santa Maria 44</t>
  </si>
  <si>
    <t>a_scarpelli@yahoo.it</t>
  </si>
  <si>
    <t>AGRITURISMO IL PICCHIO VERDE di VALENTINI SARA</t>
  </si>
  <si>
    <t>Via Sant'Angelo 3</t>
  </si>
  <si>
    <t>www.agriturismoilpicchioverde.it</t>
  </si>
  <si>
    <t>info@valentinibiomarche.it</t>
  </si>
  <si>
    <t>BORGO FARNETO</t>
  </si>
  <si>
    <t>VIA FARNETO 24</t>
  </si>
  <si>
    <t>BORGO FARNETO - SERRA DE CONTI</t>
  </si>
  <si>
    <t>www.borgofarneto.it</t>
  </si>
  <si>
    <t>sabine.telser@virgilio.it</t>
  </si>
  <si>
    <t>GIANCAMILLI LINO</t>
  </si>
  <si>
    <t>VIA ROCCUCCIO 7</t>
  </si>
  <si>
    <t>lino.giancamilli@libero.it</t>
  </si>
  <si>
    <t>LA GIARA di Tenuta Mattei</t>
  </si>
  <si>
    <t>via San Paterniano 18</t>
  </si>
  <si>
    <t>stefania.palazzesi@gmail.com</t>
  </si>
  <si>
    <t>B&amp;B LE STANZE DEL CHIOSTRO</t>
  </si>
  <si>
    <t>piazza Gramsci 15</t>
  </si>
  <si>
    <t>lestanzedelchiostro@gmail.com</t>
  </si>
  <si>
    <t>B&amp;B ABBAZIA SANT'ELENA</t>
  </si>
  <si>
    <t>via Sant'Elena 34</t>
  </si>
  <si>
    <t>SERRA SAN QUIRICO</t>
  </si>
  <si>
    <t>sant'elena</t>
  </si>
  <si>
    <t>info@abbaziasantelena.com</t>
  </si>
  <si>
    <t>COUNTRY HOUSE LE GRAZIE</t>
  </si>
  <si>
    <t>c.da Forchiusa 101</t>
  </si>
  <si>
    <t>www.countryhouselegrazie.it</t>
  </si>
  <si>
    <t>info@countryhouselegrazie.it</t>
  </si>
  <si>
    <t>B&amp;B IL GRANDE ALBERO</t>
  </si>
  <si>
    <t>c.da Forchiusa 99</t>
  </si>
  <si>
    <t>gilberto.sorci@libero.it</t>
  </si>
  <si>
    <t>SU NURAGHE</t>
  </si>
  <si>
    <t>VIA ESINATE CASTELLARO 11</t>
  </si>
  <si>
    <t>MERCANTI ENRICA</t>
  </si>
  <si>
    <t>Contrada Forchiusa 99</t>
  </si>
  <si>
    <t>MARTELLETTO</t>
  </si>
  <si>
    <t>Certine 12</t>
  </si>
  <si>
    <t>CERTINE</t>
  </si>
  <si>
    <t>www.martelletto.it</t>
  </si>
  <si>
    <t>info@martelletto.it</t>
  </si>
  <si>
    <t>c.da Bruscara</t>
  </si>
  <si>
    <t>B&amp;B FONTECORONA</t>
  </si>
  <si>
    <t>via Don Minzoni 1</t>
  </si>
  <si>
    <t>www.fontecorona.it</t>
  </si>
  <si>
    <t>loretta.cantiani@gmail.com</t>
  </si>
  <si>
    <t>CASA PER FERIE PALAZZO MENARINI</t>
  </si>
  <si>
    <t>via Roma 11</t>
  </si>
  <si>
    <t>www.teatrogiovani.eu</t>
  </si>
  <si>
    <t>atg@teatrogiovani.com</t>
  </si>
  <si>
    <t>B&amp;B CASA DEL PELLEGRINO DA FRANCI</t>
  </si>
  <si>
    <t>via Antonio Gramsci 2</t>
  </si>
  <si>
    <t>www.lemarcheaserra.it</t>
  </si>
  <si>
    <t>neri_tonino@yahoo.it</t>
  </si>
  <si>
    <t>B&amp;B TUTTATERRA</t>
  </si>
  <si>
    <t>via Serralta 28</t>
  </si>
  <si>
    <t>www.tuttaterra.it</t>
  </si>
  <si>
    <t>info@tuttaterra.it</t>
  </si>
  <si>
    <t>B&amp;B CASA VALFIORITA</t>
  </si>
  <si>
    <t>via Matteotti 7</t>
  </si>
  <si>
    <t>www.casavalfiorita.it</t>
  </si>
  <si>
    <t>info@casavalfiorita.it</t>
  </si>
  <si>
    <t>AMICO</t>
  </si>
  <si>
    <t>via Serralta 34/c</t>
  </si>
  <si>
    <t>terreboneagricola@gmail.com</t>
  </si>
  <si>
    <t>LE COPERTELLE</t>
  </si>
  <si>
    <t>via G. Leopardi 03/a</t>
  </si>
  <si>
    <t>www.lecopertelle.com</t>
  </si>
  <si>
    <t>info@lecopertelle.com</t>
  </si>
  <si>
    <t>L'ALBORETO SALVATICO</t>
  </si>
  <si>
    <t>contrada Forchiusa 62</t>
  </si>
  <si>
    <t>www.lalboretosalvatico.com</t>
  </si>
  <si>
    <t>merciaiait@hotmail.it</t>
  </si>
  <si>
    <t>FATTORIA FONTEGELONI</t>
  </si>
  <si>
    <t>loc. Fontegeloni 21</t>
  </si>
  <si>
    <t>www.fattoriafontegeloni.it</t>
  </si>
  <si>
    <t>fattoria.fontegeloni@virgilio.it</t>
  </si>
  <si>
    <t>LA BECERCA</t>
  </si>
  <si>
    <t>via Becerca 1</t>
  </si>
  <si>
    <t>trivio di serra san quirico</t>
  </si>
  <si>
    <t>www.becerca.it</t>
  </si>
  <si>
    <t>becerca@becerca.it</t>
  </si>
  <si>
    <t>CASA PER FERIE CRUCIANI</t>
  </si>
  <si>
    <t>via Roma 18</t>
  </si>
  <si>
    <t>www.casacruciani.com</t>
  </si>
  <si>
    <t>FATTORIA ITALIA</t>
  </si>
  <si>
    <t>contrada Serralta 1</t>
  </si>
  <si>
    <t>arnaldo.micciarelli@libero.it</t>
  </si>
  <si>
    <t>AGRITURISMO BIO LA TANA DEL LELE</t>
  </si>
  <si>
    <t>localita' Madonna delle Stelle 1</t>
  </si>
  <si>
    <t>www.latanadellele.com</t>
  </si>
  <si>
    <t>latanadellele@alice.it</t>
  </si>
  <si>
    <t>contrada forchiusa 65</t>
  </si>
  <si>
    <t>www.agriturismolequerce.it</t>
  </si>
  <si>
    <t>info@agriturismolequerce.it</t>
  </si>
  <si>
    <t>CHIARALUCE RITA</t>
  </si>
  <si>
    <t>contrada Forchiusa 97</t>
  </si>
  <si>
    <t>agritur.chiaraluce@alice.it</t>
  </si>
  <si>
    <t>B&amp;B LA MANSUETA</t>
  </si>
  <si>
    <t>localita' Sasso Campagna 13</t>
  </si>
  <si>
    <t>lamansueta@gmail.com</t>
  </si>
  <si>
    <t>B&amp;B LA CALANCA</t>
  </si>
  <si>
    <t>localita' Rotorscio 12</t>
  </si>
  <si>
    <t>www.bblacalanca.it</t>
  </si>
  <si>
    <t>lacalanca@libero.it</t>
  </si>
  <si>
    <t>IL COLLE</t>
  </si>
  <si>
    <t>piazza Augusto Filippi 1</t>
  </si>
  <si>
    <t>www.ilcollebb.it</t>
  </si>
  <si>
    <t>info@ilcollebb.it</t>
  </si>
  <si>
    <t>ARTURO</t>
  </si>
  <si>
    <t>spiaggia Urbani 1 1</t>
  </si>
  <si>
    <t>SIROLO</t>
  </si>
  <si>
    <t>Spiaggia Urbani</t>
  </si>
  <si>
    <t>arturoresidence@hotmail.it</t>
  </si>
  <si>
    <t>www.arturoresidencesirolo.com</t>
  </si>
  <si>
    <t>DA PEPPE</t>
  </si>
  <si>
    <t>via Accesso Spiaggia 1 1</t>
  </si>
  <si>
    <t>DA ROBERTO</t>
  </si>
  <si>
    <t>via del gelso  24</t>
  </si>
  <si>
    <t>polo.anna@alice.it</t>
  </si>
  <si>
    <t>DA GIUSTINA</t>
  </si>
  <si>
    <t>SILVIO SUD 1, 3</t>
  </si>
  <si>
    <t>SPIAGGIA S.MICHELE Sassi Neri 1,3 1,3</t>
  </si>
  <si>
    <t>loc. Sassi Neri</t>
  </si>
  <si>
    <t>info@stabilimentobalnearedasilvio.it</t>
  </si>
  <si>
    <t>www.stabilimentobalnearedasilvio.it</t>
  </si>
  <si>
    <t>MENGANI GRAZIELLA</t>
  </si>
  <si>
    <t>via giovanni xxiii 6</t>
  </si>
  <si>
    <t>ZARATAN B&amp;B di MASSINI MARTA</t>
  </si>
  <si>
    <t>via Cavour 43</t>
  </si>
  <si>
    <t>www.zaratan.it</t>
  </si>
  <si>
    <t>info@zaratan.it</t>
  </si>
  <si>
    <t>COUNTRY HOUSE VILLA CLELIA</t>
  </si>
  <si>
    <t>via Piani d' Aspio 1</t>
  </si>
  <si>
    <t>info@villa-clelia.it</t>
  </si>
  <si>
    <t>VILLA EVA</t>
  </si>
  <si>
    <t>via Giotto 5</t>
  </si>
  <si>
    <t>www.hotelemiliana.it</t>
  </si>
  <si>
    <t>info@hotelemiliana.it</t>
  </si>
  <si>
    <t>RELAIS VALCASTAGNO</t>
  </si>
  <si>
    <t>via Monte Freddo 12</t>
  </si>
  <si>
    <t>www.valcastagno.it</t>
  </si>
  <si>
    <t>info@valcastagno.it</t>
  </si>
  <si>
    <t>ARRA CAMERE DI DOLCINI ANDREA</t>
  </si>
  <si>
    <t>via Giulietti 39</t>
  </si>
  <si>
    <t>arracamere@gmail.com</t>
  </si>
  <si>
    <t>HOTEL MEUBLE' LE CAVE</t>
  </si>
  <si>
    <t>via monte conero 2</t>
  </si>
  <si>
    <t>info@le-cave.it</t>
  </si>
  <si>
    <t>HOTEL RISTORANTE CONCHIGLIA VERDE</t>
  </si>
  <si>
    <t>via Giovanni XXIII 12</t>
  </si>
  <si>
    <t>www.conchigliaverde.it</t>
  </si>
  <si>
    <t>info@conchigliaverde.it</t>
  </si>
  <si>
    <t>HOTEL EMILIANA</t>
  </si>
  <si>
    <t>via Raffaello Sanzio 2</t>
  </si>
  <si>
    <t>via Spiaggia 1</t>
  </si>
  <si>
    <t>HOTEL BEATRICE</t>
  </si>
  <si>
    <t>via Vallone 1</t>
  </si>
  <si>
    <t>www.beatricehotel.it</t>
  </si>
  <si>
    <t>info@beatricehotel.it</t>
  </si>
  <si>
    <t>HOTEL IL PARCO</t>
  </si>
  <si>
    <t>via Giulietti 58</t>
  </si>
  <si>
    <t>www.hotelilparco.it</t>
  </si>
  <si>
    <t>info@hotelilparco.it</t>
  </si>
  <si>
    <t>HOTEL STELLA</t>
  </si>
  <si>
    <t>via Giulietti 9</t>
  </si>
  <si>
    <t>www.stellahotel.it</t>
  </si>
  <si>
    <t>info@stellahotel.it</t>
  </si>
  <si>
    <t>ROCCO LOCANDA &amp; RISTORANTE</t>
  </si>
  <si>
    <t>via Torrione 1</t>
  </si>
  <si>
    <t>www.locandarocco.it</t>
  </si>
  <si>
    <t>info@locandarocco.it</t>
  </si>
  <si>
    <t>HOTEL MONTECONERO</t>
  </si>
  <si>
    <t>via Monteconero 26</t>
  </si>
  <si>
    <t>www.hotelmonteconero.it</t>
  </si>
  <si>
    <t>info@hotelmonteconero.it</t>
  </si>
  <si>
    <t>IL RITORNO</t>
  </si>
  <si>
    <t>via Piani d' Aspio 12</t>
  </si>
  <si>
    <t>www.ilritorno.com</t>
  </si>
  <si>
    <t>info@ilritorno.com</t>
  </si>
  <si>
    <t>IL BETELLICO di CAMILLETTI LUIGI</t>
  </si>
  <si>
    <t>via Betellico 15</t>
  </si>
  <si>
    <t>COPPO</t>
  </si>
  <si>
    <t>roberto.camilletti@alice.it</t>
  </si>
  <si>
    <t>CAMERE ALISA</t>
  </si>
  <si>
    <t>Via Moricone 7</t>
  </si>
  <si>
    <t>info@campingreno.eu</t>
  </si>
  <si>
    <t>CAMERE ZIMMER SIROLO</t>
  </si>
  <si>
    <t>via giulietti 46</t>
  </si>
  <si>
    <t>www.zimmersirolo.it</t>
  </si>
  <si>
    <t>info@zimmersirolo.it</t>
  </si>
  <si>
    <t>CAMERE DA ALDO</t>
  </si>
  <si>
    <t>via Giulietti 60</t>
  </si>
  <si>
    <t>www.daaldo.it</t>
  </si>
  <si>
    <t>aldo.camere@libero.it</t>
  </si>
  <si>
    <t>CAMERE LA FONTE</t>
  </si>
  <si>
    <t>via la fonte 15</t>
  </si>
  <si>
    <t>camerelafonte.sirolo@alice.it</t>
  </si>
  <si>
    <t>RENO</t>
  </si>
  <si>
    <t>via Morricone 7</t>
  </si>
  <si>
    <t>VALCASTAGNO RESIDENCE</t>
  </si>
  <si>
    <t>via Monte Freddo 11</t>
  </si>
  <si>
    <t>APPARTAMENTI ANNALISA MENGANI</t>
  </si>
  <si>
    <t>via Marconi 2</t>
  </si>
  <si>
    <t>www.campingreno.eu</t>
  </si>
  <si>
    <t>CAMPING INTERNAZIONALE</t>
  </si>
  <si>
    <t>via San Michele 10</t>
  </si>
  <si>
    <t>www.campinginternazionale.com</t>
  </si>
  <si>
    <t>info@campinginternazionale.com</t>
  </si>
  <si>
    <t>B&amp;B LA FABULA</t>
  </si>
  <si>
    <t>via Monte Colombo 11</t>
  </si>
  <si>
    <t>www.lafabula.it</t>
  </si>
  <si>
    <t>info@lafabula.it</t>
  </si>
  <si>
    <t>3 JOLIE</t>
  </si>
  <si>
    <t>viale Caduti del Lavoro 1</t>
  </si>
  <si>
    <t>www.cameresirolo.com</t>
  </si>
  <si>
    <t>info@cameresirolo.com</t>
  </si>
  <si>
    <t>B&amp;B IL MAESTRALE</t>
  </si>
  <si>
    <t>via Giulietti 78</t>
  </si>
  <si>
    <t>luigi.giampieri@virgilio.it</t>
  </si>
  <si>
    <t>B&amp;B L'INFINITO</t>
  </si>
  <si>
    <t>via Mortarolo 1</t>
  </si>
  <si>
    <t>www.bb-infinito.com</t>
  </si>
  <si>
    <t>info@bb-infinito.com</t>
  </si>
  <si>
    <t>CAMERE IL PARCO</t>
  </si>
  <si>
    <t>via giulietti 33</t>
  </si>
  <si>
    <t>B&amp;B SAN LORENZO COUNTRY HOUSE</t>
  </si>
  <si>
    <t>via madonnina 1</t>
  </si>
  <si>
    <t>info@plarossi.it</t>
  </si>
  <si>
    <t>B&amp;B SEA VIEW</t>
  </si>
  <si>
    <t>via San Michele 8</t>
  </si>
  <si>
    <t>www.seaview.it</t>
  </si>
  <si>
    <t>info@seaview.it</t>
  </si>
  <si>
    <t>ACANTO COUNTRY HOUSE</t>
  </si>
  <si>
    <t>via Ancarano 18</t>
  </si>
  <si>
    <t>www.acantocountryhouse.com</t>
  </si>
  <si>
    <t>info@acantocountryhouse.com</t>
  </si>
  <si>
    <t>BORGO ROSSO</t>
  </si>
  <si>
    <t>via Aldo Davanzali 6</t>
  </si>
  <si>
    <t>www.countryhousesirolo.it</t>
  </si>
  <si>
    <t>borgorosso@fioranelli.com</t>
  </si>
  <si>
    <t>HOTEL SIROLO</t>
  </si>
  <si>
    <t>via Grilli 26</t>
  </si>
  <si>
    <t>www.hotel-sirolo.eu</t>
  </si>
  <si>
    <t>info@hotel-sirolo.eu</t>
  </si>
  <si>
    <t>VILLA GIGLI</t>
  </si>
  <si>
    <t>via San Francesco 2</t>
  </si>
  <si>
    <t>info@villagigli.it</t>
  </si>
  <si>
    <t>ANGELA CAMERE SIROLO</t>
  </si>
  <si>
    <t>via Del Leccio 2</t>
  </si>
  <si>
    <t>Sirolo</t>
  </si>
  <si>
    <t>angelacamere@libero.it</t>
  </si>
  <si>
    <t>TERRAZZAMARE</t>
  </si>
  <si>
    <t>via San Michele 6/8</t>
  </si>
  <si>
    <t>terrazzamare.sirolo@libero.it</t>
  </si>
  <si>
    <t>MARE'</t>
  </si>
  <si>
    <t>via del Gelso 15</t>
  </si>
  <si>
    <t>info@maresirolo.it</t>
  </si>
  <si>
    <t>SOTTOVOCE</t>
  </si>
  <si>
    <t>via del Gelso 17</t>
  </si>
  <si>
    <t>www.sottovocesirolo.it</t>
  </si>
  <si>
    <t>info@sottovocesirolo.it</t>
  </si>
  <si>
    <t>CAMERA CON VISTA...MARE (BLU PANORAMIC)</t>
  </si>
  <si>
    <t>IL VICOLO RELAIS</t>
  </si>
  <si>
    <t>via Garibaldi 36</t>
  </si>
  <si>
    <t>www.ilvicolosirolo.it</t>
  </si>
  <si>
    <t>info@ilvicolosirolo.it</t>
  </si>
  <si>
    <t>TOBACCO ROAD MUSIC CLUB</t>
  </si>
  <si>
    <t>via Pescheria 9</t>
  </si>
  <si>
    <t>claudfelix47@yahoo.it</t>
  </si>
  <si>
    <t>B&amp;B COLLE DEL SOLE</t>
  </si>
  <si>
    <t>via Piani d'Aspio 3</t>
  </si>
  <si>
    <t>loc.Coppo</t>
  </si>
  <si>
    <t>www.colledelsolesirolo.it</t>
  </si>
  <si>
    <t>info@colledelsolesirolo.it</t>
  </si>
  <si>
    <t>B&amp;B IL CONCIO</t>
  </si>
  <si>
    <t>via Concio 2A</t>
  </si>
  <si>
    <t>loc. Valcastagno</t>
  </si>
  <si>
    <t>www.ilconcio.it</t>
  </si>
  <si>
    <t>info@ilconcio.it</t>
  </si>
  <si>
    <t>FIORI DI CAMPO</t>
  </si>
  <si>
    <t>via Concio 5</t>
  </si>
  <si>
    <t>roberta.raffaelli@tiscali.it</t>
  </si>
  <si>
    <t>B&amp;B CASAMICI</t>
  </si>
  <si>
    <t>Via Madonnina 3</t>
  </si>
  <si>
    <t>facebook casamici b&amp;b</t>
  </si>
  <si>
    <t>casamicisirolo@gmail.com</t>
  </si>
  <si>
    <t>B&amp;B LE NEREIDI</t>
  </si>
  <si>
    <t>via Mazzini 17</t>
  </si>
  <si>
    <t>centro storico</t>
  </si>
  <si>
    <t>www.lenereidisirolo.com</t>
  </si>
  <si>
    <t>info@lenereidisirolo.com</t>
  </si>
  <si>
    <t>via Betellico 15/c</t>
  </si>
  <si>
    <t>B&amp;B ALLE PENDICI DEL CONERO II</t>
  </si>
  <si>
    <t>via Montecolombo 32</t>
  </si>
  <si>
    <t>www.immobiliaresirolo.it/camere</t>
  </si>
  <si>
    <t>B&amp;B LA LIBELLULA DEL CONERO</t>
  </si>
  <si>
    <t>Via Picchi 13</t>
  </si>
  <si>
    <t>www.lalibelluladelconero.com</t>
  </si>
  <si>
    <t>aledaina@live.it</t>
  </si>
  <si>
    <t>B&amp;B AL COPPO</t>
  </si>
  <si>
    <t>Via Coppo 22/A</t>
  </si>
  <si>
    <t>www.alcoppo.com</t>
  </si>
  <si>
    <t>info@alcoppo.com</t>
  </si>
  <si>
    <t>B&amp;B LE STANZE DI GIO</t>
  </si>
  <si>
    <t>via Piani d'Aspio 14</t>
  </si>
  <si>
    <t>ancona</t>
  </si>
  <si>
    <t>lestanzedigio@libero.it</t>
  </si>
  <si>
    <t>B&amp;B ALLE PENDICI DEL CONERO</t>
  </si>
  <si>
    <t>www.conerobedandbreakfast.it</t>
  </si>
  <si>
    <t>info@allependicidelconero.it</t>
  </si>
  <si>
    <t>LE NOTE DEL CONERO</t>
  </si>
  <si>
    <t>via del Corbezzolo 6</t>
  </si>
  <si>
    <t>rosanna.nicoletti@gmail.com</t>
  </si>
  <si>
    <t>via del Gelso  26</t>
  </si>
  <si>
    <t>pieroantonucci@libero.it</t>
  </si>
  <si>
    <t>AFFITTACAMERE LE TRE SORELLE</t>
  </si>
  <si>
    <t>via Grilli 4</t>
  </si>
  <si>
    <t>info@affittacamereletresorelle.it</t>
  </si>
  <si>
    <t>9 CAMERE</t>
  </si>
  <si>
    <t>via Cave 5</t>
  </si>
  <si>
    <t>www.novecamere.it</t>
  </si>
  <si>
    <t>info@novecamere.it</t>
  </si>
  <si>
    <t>L'ANTICO MULINO</t>
  </si>
  <si>
    <t>via Molini II  7</t>
  </si>
  <si>
    <t>www.lanticomulino.it</t>
  </si>
  <si>
    <t>info@lanticomulino.it</t>
  </si>
  <si>
    <t>DANIELA CAMERE</t>
  </si>
  <si>
    <t>via Le Vigne 2/a</t>
  </si>
  <si>
    <t>www.conero.it</t>
  </si>
  <si>
    <t>info@danielacameresirolo.it</t>
  </si>
  <si>
    <t>IL CASALE DI GIULIA</t>
  </si>
  <si>
    <t>via Ancarano 15</t>
  </si>
  <si>
    <t>info@ilcasaledigiulia.it</t>
  </si>
  <si>
    <t>GREEN GARDEN</t>
  </si>
  <si>
    <t>via Peschiera 3</t>
  </si>
  <si>
    <t>www.greengardencamping.it</t>
  </si>
  <si>
    <t>info@greengardencamping.it</t>
  </si>
  <si>
    <t>SIROLO MY HOUSE</t>
  </si>
  <si>
    <t>Via Sant'Antonio SNC</t>
  </si>
  <si>
    <t>marcosimo-email@libero.it</t>
  </si>
  <si>
    <t>SIROLO SUMMER</t>
  </si>
  <si>
    <t>Piazza 8 marzo 3</t>
  </si>
  <si>
    <t>appartamentosummer@gmail.com</t>
  </si>
  <si>
    <t>FUED IMMOBILIARE SRL APP.TI SIROLO</t>
  </si>
  <si>
    <t>Via Maratta 8</t>
  </si>
  <si>
    <t>IL VECCHIO MANDORLO</t>
  </si>
  <si>
    <t>VIA ANCARANO 8</t>
  </si>
  <si>
    <t>massibargi@libero.it</t>
  </si>
  <si>
    <t>LE ROSE B&amp;B</t>
  </si>
  <si>
    <t>VIA GAUDENTI 5</t>
  </si>
  <si>
    <t>www.lerosesirolo.it</t>
  </si>
  <si>
    <t>info@lerosesirolo.it</t>
  </si>
  <si>
    <t>B&amp;B LA LAVANDA DEL BORGO BIS</t>
  </si>
  <si>
    <t>VIA SAN LORENZO 5</t>
  </si>
  <si>
    <t>lalavandadelborgo@libero.it</t>
  </si>
  <si>
    <t>ALLOGGIO FIORI D'OLMO</t>
  </si>
  <si>
    <t>Sant'Antonio  38/A</t>
  </si>
  <si>
    <t>www.fioridolmo.it</t>
  </si>
  <si>
    <t>info@fioridolmo.it</t>
  </si>
  <si>
    <t>B&amp;B AL VECCHIO OLMO</t>
  </si>
  <si>
    <t>Moricone 2</t>
  </si>
  <si>
    <t>info@alvecchioolmo.it</t>
  </si>
  <si>
    <t>ROSSOCOCOMERO</t>
  </si>
  <si>
    <t>BETELLICO 29</t>
  </si>
  <si>
    <t>ida.donninelli@virgilio.it</t>
  </si>
  <si>
    <t>CAVE  12</t>
  </si>
  <si>
    <t>www.laginestrasirolo.it</t>
  </si>
  <si>
    <t>direzione@laginestrasirolo.it</t>
  </si>
  <si>
    <t>Via Madonnina 43</t>
  </si>
  <si>
    <t>lucia.pigliapoco@gmail.com</t>
  </si>
  <si>
    <t>VILLA VETTA MARINA</t>
  </si>
  <si>
    <t>SAN FRANCESCO  21</t>
  </si>
  <si>
    <t>vaselli.roberto.sirolo@tin.it</t>
  </si>
  <si>
    <t>B&amp;B LE DUE PALME</t>
  </si>
  <si>
    <t>VIA SAN MICHELE 3</t>
  </si>
  <si>
    <t>www.leduepalmesirolo.it</t>
  </si>
  <si>
    <t>info@leduepalmesirolo.it</t>
  </si>
  <si>
    <t>B&amp;B LA LAVANDA DEL BORGO</t>
  </si>
  <si>
    <t>VIA CAPO D'ACQUA 4</t>
  </si>
  <si>
    <t>B&amp;B VILLA GHIRARDELLI</t>
  </si>
  <si>
    <t>via Pescheria 32</t>
  </si>
  <si>
    <t>www.villaghirardelli.it</t>
  </si>
  <si>
    <t>villaghirardelli@gmail.com</t>
  </si>
  <si>
    <t>CONERO CAMERE</t>
  </si>
  <si>
    <t>via Grilli 14</t>
  </si>
  <si>
    <t>www.conerocamere.com</t>
  </si>
  <si>
    <t>info@conerocamere.com</t>
  </si>
  <si>
    <t>TRA GLI ALBERI E IL MARE</t>
  </si>
  <si>
    <t>Via S. Antonio 44</t>
  </si>
  <si>
    <t>paolapucci5@libero.it</t>
  </si>
  <si>
    <t>RELAIS DEL BORGO HOTEL &amp; SPA</t>
  </si>
  <si>
    <t>via Solferino 4</t>
  </si>
  <si>
    <t>STAFFOLO</t>
  </si>
  <si>
    <t>www.relaisdelborgo.com</t>
  </si>
  <si>
    <t>info@relaisdelborgo.it</t>
  </si>
  <si>
    <t>LA CASA DELLE RONDINI B&amp;B</t>
  </si>
  <si>
    <t>Contrada Campagliano 5</t>
  </si>
  <si>
    <t>www.ilcasaledellerondini.it</t>
  </si>
  <si>
    <t>info@ilcasaledellerondini.it</t>
  </si>
  <si>
    <t>B&amp;B CA' DEL CARDO</t>
  </si>
  <si>
    <t>contrada Coste 72</t>
  </si>
  <si>
    <t>www.cadelcardo.com</t>
  </si>
  <si>
    <t>cardo@cadelcardo.it; cardo@cadelcardo.com</t>
  </si>
  <si>
    <t>SEGNAVENTO</t>
  </si>
  <si>
    <t>c.da Salmagina 7</t>
  </si>
  <si>
    <t>info@zaccagnini.it; amministrazione@zaccagnini.it</t>
  </si>
  <si>
    <t>LA CIMINIERA 1846</t>
  </si>
  <si>
    <t>contrada Santa Caterina 18</t>
  </si>
  <si>
    <t>www.laciminiera.it</t>
  </si>
  <si>
    <t>info@laciminiera.it</t>
  </si>
  <si>
    <t>BELVEDERE</t>
  </si>
  <si>
    <t>via Redipuglia 1</t>
  </si>
  <si>
    <t>www.giubbi.com</t>
  </si>
  <si>
    <t>info@giubbi.com</t>
  </si>
  <si>
    <t>COLOCCINI ANTONIO</t>
  </si>
  <si>
    <t>contrada santa caterina 1</t>
  </si>
  <si>
    <t>RESIDENCE OASI</t>
  </si>
  <si>
    <t>via Marco Biagi 1</t>
  </si>
  <si>
    <t>LOCALITA'  COSTE - STAFFOLO</t>
  </si>
  <si>
    <t>www.oasistaffolo.it</t>
  </si>
  <si>
    <t>oasi.srl@libero.it</t>
  </si>
  <si>
    <t>TENUTA IL GIOGO</t>
  </si>
  <si>
    <t>via Fonti 5</t>
  </si>
  <si>
    <t>TRECASTELLI</t>
  </si>
  <si>
    <t>loc.Monterado</t>
  </si>
  <si>
    <t>www.ilgiogo.it</t>
  </si>
  <si>
    <t>info@ilgiogo.it</t>
  </si>
  <si>
    <t>B&amp;B LA CASA DEGLI ULIVI. ART &amp; RESIDENCE</t>
  </si>
  <si>
    <t>via San Pietro 7</t>
  </si>
  <si>
    <t>www.lacasadegliulivi.eu</t>
  </si>
  <si>
    <t>ipermanyer@yahoo.it</t>
  </si>
  <si>
    <t>B&amp;B SENIGALLIA DI ANDREANI MARINA</t>
  </si>
  <si>
    <t>Via San Pietro, 11</t>
  </si>
  <si>
    <t>CASTEL COLONNA-TRECASTELLI</t>
  </si>
  <si>
    <t>www.bandbsenigallia.it</t>
  </si>
  <si>
    <t>info@bandbsenigallia.it</t>
  </si>
  <si>
    <t>B&amp;B IL PICCIONE VIAGGIATORE</t>
  </si>
  <si>
    <t>via Martuccia  23</t>
  </si>
  <si>
    <t>CASTEL CONONNA</t>
  </si>
  <si>
    <t>www.ilpiccioneviaggiatore.eu</t>
  </si>
  <si>
    <t>campagna@ilpiccioneviaggiatore.eu</t>
  </si>
  <si>
    <t>B&amp;B DIMORA STORICA CASTELLO DI MONTERADO</t>
  </si>
  <si>
    <t>piazza Roma 18</t>
  </si>
  <si>
    <t>MONTERADO</t>
  </si>
  <si>
    <t>www.castellodimonterado.it</t>
  </si>
  <si>
    <t>info@castellodimonterado.it</t>
  </si>
  <si>
    <t>AGRITURISMO IL PRATO</t>
  </si>
  <si>
    <t>via Giacomo Matteotti 13</t>
  </si>
  <si>
    <t>www.agriturismo-ilprato.com</t>
  </si>
  <si>
    <t>info@agriturismo-ilprato.com</t>
  </si>
  <si>
    <t>AGRITURIST L'ULIVO</t>
  </si>
  <si>
    <t>via Valliscie 9b</t>
  </si>
  <si>
    <t>agrituristlulivo@hotmail.it</t>
  </si>
  <si>
    <t>B&amp;B LUNA BIANCA DI CIARLONI ROSSANA</t>
  </si>
  <si>
    <t>Via Gualdo  11</t>
  </si>
  <si>
    <t>Brugnetto</t>
  </si>
  <si>
    <t>www.bblunabianca.it</t>
  </si>
  <si>
    <t>info@bblunabianca.it</t>
  </si>
  <si>
    <t>B&amp;B VIASANMORO</t>
  </si>
  <si>
    <t>via san moro 10</t>
  </si>
  <si>
    <t>www.viasanmoro.org</t>
  </si>
  <si>
    <t>info@viasanmoro.org; zanzara97@libero.it</t>
  </si>
  <si>
    <t>B&amp;B VILLA DELLE PRINCIPESSE</t>
  </si>
  <si>
    <t>via Gualdo 12</t>
  </si>
  <si>
    <t>www.villadelleprincipesse.com</t>
  </si>
  <si>
    <t>perini.francesco96@gmail.com</t>
  </si>
  <si>
    <t>SOLEA</t>
  </si>
  <si>
    <t>via Santa Lucia 6</t>
  </si>
  <si>
    <t>www.soleahotel.com</t>
  </si>
  <si>
    <t>info@soleahotel.com</t>
  </si>
  <si>
    <t>AGRITURISMO LE FONTANELLE</t>
  </si>
  <si>
    <t>via Piagiolino 6</t>
  </si>
  <si>
    <t>loc. Ponterio</t>
  </si>
  <si>
    <t>canoba@libero.it</t>
  </si>
  <si>
    <t>B&amp;B CASALE CIVETTA</t>
  </si>
  <si>
    <t>via Consolazione 20</t>
  </si>
  <si>
    <t>loc. Castel Colonna</t>
  </si>
  <si>
    <t>daniele.pierfederici@tiscali.it</t>
  </si>
  <si>
    <t>B&amp;B NIDO SULLE COLLINE</t>
  </si>
  <si>
    <t>info@nidosullecolline.eu</t>
  </si>
  <si>
    <t>CASACHIARA</t>
  </si>
  <si>
    <t>VIA SANTA MARINA 4</t>
  </si>
  <si>
    <t>CASTEL COLONNA</t>
  </si>
  <si>
    <t>www.casachiara.ue</t>
  </si>
  <si>
    <t>sylvia@casachiara.eu</t>
  </si>
  <si>
    <t>BOCCAROSSA SILVIA</t>
  </si>
  <si>
    <t>VIA DANTE ALIGHIERI 32</t>
  </si>
  <si>
    <t>broccoligianluca@libero.it</t>
  </si>
  <si>
    <t>VILLA PEDOSSA, YOUR COUNTRY ESCAPE!</t>
  </si>
  <si>
    <t>Gualdo 15</t>
  </si>
  <si>
    <t>Brugnetto di TRECASTELLI</t>
  </si>
  <si>
    <t>www.villapedossa.it</t>
  </si>
  <si>
    <t>info@villapedossa.it</t>
  </si>
  <si>
    <t>APIRO</t>
  </si>
  <si>
    <t>località Pian dell'Elmo</t>
  </si>
  <si>
    <t>ale.pagliuca60@tin.it</t>
  </si>
  <si>
    <t>VILLA ARSICCI</t>
  </si>
  <si>
    <t>via Arsicci 3</t>
  </si>
  <si>
    <t>www.agriturismovillaarsicci.it</t>
  </si>
  <si>
    <t>primuccisargenti@libero.it</t>
  </si>
  <si>
    <t>LAGO LA TROTA</t>
  </si>
  <si>
    <t>c.da Favete snc</t>
  </si>
  <si>
    <t>zyxgian@gmail.com</t>
  </si>
  <si>
    <t>B&amp;B LUPUS IN FABULA</t>
  </si>
  <si>
    <t>Strada Pian dell'Elmo snc</t>
  </si>
  <si>
    <t>PIAN DELL'ELMO</t>
  </si>
  <si>
    <t>www.lupusinfabula-bed-breakfast.it</t>
  </si>
  <si>
    <t>ale.pagliuca@tin.it</t>
  </si>
  <si>
    <t>B&amp;B DA SILVA VERA LUCIA</t>
  </si>
  <si>
    <t>via figuretta 8</t>
  </si>
  <si>
    <t>FRONTALE</t>
  </si>
  <si>
    <t>veraluce@libero.it</t>
  </si>
  <si>
    <t>HOTEL MIRO'</t>
  </si>
  <si>
    <t>piazzale cesare battisti 12</t>
  </si>
  <si>
    <t>www.miro-hotel.it</t>
  </si>
  <si>
    <t>info@miro-hotel.it</t>
  </si>
  <si>
    <t>COUNTRY HOUSE L'ABBAZIA</t>
  </si>
  <si>
    <t>contrada Sant' Urbano 5</t>
  </si>
  <si>
    <t>www.abbaziasanturbano.it</t>
  </si>
  <si>
    <t>abbaziasanturbano@libero.it</t>
  </si>
  <si>
    <t>ALLOGGIO AGRITURISTICO COLLEVERDE</t>
  </si>
  <si>
    <t>contrada Cozzi 1</t>
  </si>
  <si>
    <t>www.agriturismocolleverde.eu</t>
  </si>
  <si>
    <t>paolo.ferrucci@virgilio.it</t>
  </si>
  <si>
    <t>AGRITURISMO LA CASA DEL SOLE</t>
  </si>
  <si>
    <t>via San Salvatore 1</t>
  </si>
  <si>
    <t>www.agriturismonellemarche.it</t>
  </si>
  <si>
    <t>deluca_rosanna@virgilio.it</t>
  </si>
  <si>
    <t>AGRITURISMO SANTA MARIA DEL GALLO</t>
  </si>
  <si>
    <t>contrada Santa Maria 7</t>
  </si>
  <si>
    <t>www.santamariadelgallo.it</t>
  </si>
  <si>
    <t>mimmo.gallo@tiscali.it</t>
  </si>
  <si>
    <t>VILLA VERDEFIORE</t>
  </si>
  <si>
    <t>contrada Verde Fiore 37</t>
  </si>
  <si>
    <t>APPIGNANO</t>
  </si>
  <si>
    <t>www.villaverdefiore.it</t>
  </si>
  <si>
    <t>info@villaverdefiore.it</t>
  </si>
  <si>
    <t>COUNTRY HOUSE DEI SEGRETI</t>
  </si>
  <si>
    <t>contrada verde fiore 1</t>
  </si>
  <si>
    <t>www.osteriadeisegreti.com</t>
  </si>
  <si>
    <t>info@osteriadeisegreti.com</t>
  </si>
  <si>
    <t>IL GIARDINO DEGLI ULIVI</t>
  </si>
  <si>
    <t>contrada forano 29</t>
  </si>
  <si>
    <t>www.algiardinodegliulivi.it</t>
  </si>
  <si>
    <t>info@algiardinodegliulivi.it</t>
  </si>
  <si>
    <t>LA COLOMBAIA Srl</t>
  </si>
  <si>
    <t>c.da Cardeggiano 10</t>
  </si>
  <si>
    <t>www.la-colombaia.it</t>
  </si>
  <si>
    <t>info@la-colombaia.it</t>
  </si>
  <si>
    <t>AGRITURISMO FORANO CASA LE PIAGGE</t>
  </si>
  <si>
    <t>contrada forano 44</t>
  </si>
  <si>
    <t>www.fattoriaforano.it</t>
  </si>
  <si>
    <t>agriturismoforano@yahoo.it</t>
  </si>
  <si>
    <t>DOLCE DIMORA</t>
  </si>
  <si>
    <t>Contrada Campo di Bove 6</t>
  </si>
  <si>
    <t>bbdolcedimora@gmail.com</t>
  </si>
  <si>
    <t>IL LECCINO</t>
  </si>
  <si>
    <t>Via San Giorgio 63</t>
  </si>
  <si>
    <t>BELFORTE DEL CHIENTI</t>
  </si>
  <si>
    <t>patrizio.scarpacci@geopec.it</t>
  </si>
  <si>
    <t>B&amp;B LA MIMOSA</t>
  </si>
  <si>
    <t>via palmiro togliatti 10</t>
  </si>
  <si>
    <t>tamaracapradossi@gmail.com</t>
  </si>
  <si>
    <t>FORNACI SABINE</t>
  </si>
  <si>
    <t>via fornaci sabine 4</t>
  </si>
  <si>
    <t>www.fornacisabine.com</t>
  </si>
  <si>
    <t>info@fornacisabine.com</t>
  </si>
  <si>
    <t>B&amp;B LA PINTURETTA</t>
  </si>
  <si>
    <t>via Fornaci 26</t>
  </si>
  <si>
    <t>www.lapinturetta.com</t>
  </si>
  <si>
    <t>info@lapinturetta.com</t>
  </si>
  <si>
    <t>LA CASA DI DORA di SALVATORI GIULIANO</t>
  </si>
  <si>
    <t>via Europa 28</t>
  </si>
  <si>
    <t>PALAZZO BONFRANCESCHI RESIDENZA D'EPOCA</t>
  </si>
  <si>
    <t>Centro storico</t>
  </si>
  <si>
    <t>www.palazzobonfranceschi.it</t>
  </si>
  <si>
    <t>palazzobonfranceschi@gmail.com</t>
  </si>
  <si>
    <t>AZIENDA AGRICOLA CORONCINA DI MOSCHINI MELANIA</t>
  </si>
  <si>
    <t>via Fossa 1</t>
  </si>
  <si>
    <t>www.agriturismocoroncina.it</t>
  </si>
  <si>
    <t>info@agriturismocoroncina.it</t>
  </si>
  <si>
    <t>B&amp;B ANTEGIANO</t>
  </si>
  <si>
    <t>via Madonna d'Antegiano  3</t>
  </si>
  <si>
    <t>www.bbantegiano.com</t>
  </si>
  <si>
    <t>v.leonangeli@alice.it</t>
  </si>
  <si>
    <t>AGRITURISMO LA FONTE</t>
  </si>
  <si>
    <t>via sodere 1</t>
  </si>
  <si>
    <t>www.la-fonte.it</t>
  </si>
  <si>
    <t>B&amp;B IL VILLINO</t>
  </si>
  <si>
    <t>via giuseppe piccioni 3</t>
  </si>
  <si>
    <t>www.il-villino.com/contattaci</t>
  </si>
  <si>
    <t>info@il-villino.com</t>
  </si>
  <si>
    <t>PINTURA</t>
  </si>
  <si>
    <t>piazzale pintura 1</t>
  </si>
  <si>
    <t>BOLOGNOLA</t>
  </si>
  <si>
    <t>PINTURA DI BOLOGNOLA</t>
  </si>
  <si>
    <t>LA CAPANNA</t>
  </si>
  <si>
    <t>piazzale pintura 5</t>
  </si>
  <si>
    <t>mariodalesio@hotmail.com</t>
  </si>
  <si>
    <t>B&amp;B CRISTINA &amp; LAURA di MAGGI MARIA GABRIELLA</t>
  </si>
  <si>
    <t>via dei sibillini 1</t>
  </si>
  <si>
    <t>gabriella_maggi@ibero.it</t>
  </si>
  <si>
    <t>LA KUMARI di BISCONTI LEONARDO</t>
  </si>
  <si>
    <t>Via dei Sibillini 1</t>
  </si>
  <si>
    <t>biscontileonardo@yahoo.it</t>
  </si>
  <si>
    <t>AGRITURISMO COLLE CASINI CORTESI</t>
  </si>
  <si>
    <t>CALDAROLA</t>
  </si>
  <si>
    <t>www.agriturismocollecasinicortesi.it</t>
  </si>
  <si>
    <t>info@agriturismocollecasinicortesi.it</t>
  </si>
  <si>
    <t>MAZZAMURELLO</t>
  </si>
  <si>
    <t>Contrada Acquaviva SNC</t>
  </si>
  <si>
    <t>GARUFO</t>
  </si>
  <si>
    <t>www.mazzamurello.it</t>
  </si>
  <si>
    <t>gaortali@gmail.com</t>
  </si>
  <si>
    <t>SEGALA BEATRICE</t>
  </si>
  <si>
    <t>Contrada Colcù 1</t>
  </si>
  <si>
    <t>beatrice@segalarenzo.it</t>
  </si>
  <si>
    <t>B&amp;B BEA VILLA BEA</t>
  </si>
  <si>
    <t>beavillabea@gmail.com</t>
  </si>
  <si>
    <t>AGRITURISMO VILLA NINETTA</t>
  </si>
  <si>
    <t>C.da San Pietro 4</t>
  </si>
  <si>
    <t>www.villaninetta.com</t>
  </si>
  <si>
    <t>agriturismovillaninetta@gmail.com</t>
  </si>
  <si>
    <t>TESORO</t>
  </si>
  <si>
    <t>viale giacomo matteotti 27</t>
  </si>
  <si>
    <t>www.hoteltesoro.it</t>
  </si>
  <si>
    <t>info@hoteltesoro.it</t>
  </si>
  <si>
    <t>IL FRUTTETO</t>
  </si>
  <si>
    <t>contrada acquaviva snc</t>
  </si>
  <si>
    <t>www.frutteto.info</t>
  </si>
  <si>
    <t>info@frutteto.info</t>
  </si>
  <si>
    <t>IL NIDO DEL CUCULO</t>
  </si>
  <si>
    <t>contrada colcu' 12</t>
  </si>
  <si>
    <t>www.ilnidodelcuculo.it</t>
  </si>
  <si>
    <t>susannafab@tiscali.it</t>
  </si>
  <si>
    <t>CASE E APPARTAMENTI VACANZE DIBIAGI FAUSTO</t>
  </si>
  <si>
    <t>localita' borgo pievefavera 50</t>
  </si>
  <si>
    <t>vacancaldarola@calde2958.it</t>
  </si>
  <si>
    <t>LA CASA DI ROSA</t>
  </si>
  <si>
    <t>B&amp;B CASA ROCCA</t>
  </si>
  <si>
    <t>piazzale della vittoria 3</t>
  </si>
  <si>
    <t>CAMERINO</t>
  </si>
  <si>
    <t>annazampetti@hotmail.it</t>
  </si>
  <si>
    <t>B&amp;B VALLE SAN MARTINO</t>
  </si>
  <si>
    <t>localita' valle raggiano 12</t>
  </si>
  <si>
    <t>B&amp;B AGNANO PICCOLO</t>
  </si>
  <si>
    <t>localita' poggio maddalena 1</t>
  </si>
  <si>
    <t>simonettafonseca@virgilio.it</t>
  </si>
  <si>
    <t>AGRITURISMO LA LOGGIA</t>
  </si>
  <si>
    <t>loc.Tirello 6</t>
  </si>
  <si>
    <t>loc.Tirello</t>
  </si>
  <si>
    <t>www.agriturismolaloggia.com</t>
  </si>
  <si>
    <t>info@agriturismolaloggia.com</t>
  </si>
  <si>
    <t>B&amp;B VIALE DEI TIGLI</t>
  </si>
  <si>
    <t>via berta 2</t>
  </si>
  <si>
    <t>ilvialedeitigli@libero.it</t>
  </si>
  <si>
    <t>LA LOCANDA DELL' ISTRICE</t>
  </si>
  <si>
    <t>frazione rocca d' aiello 1</t>
  </si>
  <si>
    <t>www.locandadellistrice.it</t>
  </si>
  <si>
    <t>info@locandadellistrice.it</t>
  </si>
  <si>
    <t>RELAIS VILLA FORNARI</t>
  </si>
  <si>
    <t>localita' calvie 2</t>
  </si>
  <si>
    <t>www.villafornari.it</t>
  </si>
  <si>
    <t>info@villafornari.it</t>
  </si>
  <si>
    <t>COUNTRY HOUSE CALVIE</t>
  </si>
  <si>
    <t>www.lecalvie.it</t>
  </si>
  <si>
    <t>info@lecalvie.it</t>
  </si>
  <si>
    <t>AREA SOSTA CAMPER - CAMERINO</t>
  </si>
  <si>
    <t>www.comune.camerino.mc.net</t>
  </si>
  <si>
    <t>gianfranco.carimini@camerino.sinp.net</t>
  </si>
  <si>
    <t>B&amp;B BORGO COLLE PIANO</t>
  </si>
  <si>
    <t>LOC. COLLE PIANO 1</t>
  </si>
  <si>
    <t>COLLE PIANO</t>
  </si>
  <si>
    <t>www.bbcollepiano.com</t>
  </si>
  <si>
    <t>info@bbcollepiano.com</t>
  </si>
  <si>
    <t>COUNTRY HOUSE VARANO</t>
  </si>
  <si>
    <t>frazione santa lucia 3</t>
  </si>
  <si>
    <t>www.varanocountryhouse.com</t>
  </si>
  <si>
    <t>agasnc@libero.it</t>
  </si>
  <si>
    <t>CASA DELLA GIOVENTU'</t>
  </si>
  <si>
    <t>via ugo betti 39</t>
  </si>
  <si>
    <t>cdgorac@yahoo.it</t>
  </si>
  <si>
    <t>LA COLLINA DEI CILIEGI</t>
  </si>
  <si>
    <t>frazione colle altino 7</t>
  </si>
  <si>
    <t>BORGO BELVEDERI</t>
  </si>
  <si>
    <t>frazione valle Vegenana 1</t>
  </si>
  <si>
    <t>borgo@belvederi.com</t>
  </si>
  <si>
    <t>B&amp;B PRIMA O POI</t>
  </si>
  <si>
    <t>LOCALITA' PONTINIA 8</t>
  </si>
  <si>
    <t>LOCALITA' PONTINIA</t>
  </si>
  <si>
    <t>b_bprimaopoi@libero.it</t>
  </si>
  <si>
    <t>RESIDENZA BONGIOVANNI</t>
  </si>
  <si>
    <t>via b. bongiovanni 13</t>
  </si>
  <si>
    <t>B&amp;B ACANTO GARDEN</t>
  </si>
  <si>
    <t>loc. Varano di Sopra 14</t>
  </si>
  <si>
    <t>loc. Varano di Sopra, 14</t>
  </si>
  <si>
    <t>www.acantogarden.com</t>
  </si>
  <si>
    <t>emanuelataccari@gmail.com</t>
  </si>
  <si>
    <t>B&amp;B HAPPY HOUSES</t>
  </si>
  <si>
    <t>viale Emilio Betti 15</t>
  </si>
  <si>
    <t>www.happyhouses.it</t>
  </si>
  <si>
    <t>info@happyhouses.it</t>
  </si>
  <si>
    <t>B&amp;B LEONE</t>
  </si>
  <si>
    <t>viale Giacomo Leopardi 59</t>
  </si>
  <si>
    <t>info@b&amp;bcollepiano.com</t>
  </si>
  <si>
    <t>VILLA MARIA</t>
  </si>
  <si>
    <t>via Girolamo di Giovanni 41</t>
  </si>
  <si>
    <t>artigianedilsrl@legalmail.it</t>
  </si>
  <si>
    <t>B&amp;B TENUTA GORGIANO</t>
  </si>
  <si>
    <t>località Gorgiano 2</t>
  </si>
  <si>
    <t>Gorgiano</t>
  </si>
  <si>
    <t>as.gorgiano@gmail.com</t>
  </si>
  <si>
    <t>FATTORIA DI CIGNANO</t>
  </si>
  <si>
    <t>via Cignano 5</t>
  </si>
  <si>
    <t>loc. Cignano</t>
  </si>
  <si>
    <t>B&amp;B FRANCIONI DONATELLA</t>
  </si>
  <si>
    <t>frazione valdiea 9</t>
  </si>
  <si>
    <t>AGRITURISMO LE CORTINE</t>
  </si>
  <si>
    <t>via Andrea d' Accorso 75</t>
  </si>
  <si>
    <t>www.lecortine.com</t>
  </si>
  <si>
    <t>info@lecortine.com</t>
  </si>
  <si>
    <t>AGRITURISMO LA MARCA</t>
  </si>
  <si>
    <t>localita' mecciano 1</t>
  </si>
  <si>
    <t>www.agriturismolamarca.com</t>
  </si>
  <si>
    <t>aglamarca@libero.it</t>
  </si>
  <si>
    <t>AGRITURISMO DRAGONCELLO</t>
  </si>
  <si>
    <t>via pieragostini 10</t>
  </si>
  <si>
    <t>www.agriturismo-dragoncello.com</t>
  </si>
  <si>
    <t>info@agriturismo-dragoncello.com</t>
  </si>
  <si>
    <t>AGRITURISMO LE ARCATE DI SANT'ANGELO</t>
  </si>
  <si>
    <t>localita' Morrone 13</t>
  </si>
  <si>
    <t>www.arcatedisantangelo.it</t>
  </si>
  <si>
    <t>learcatedisantangelo@libero.it</t>
  </si>
  <si>
    <t>COUNTRY HOUSE PAPPAFO'</t>
  </si>
  <si>
    <t>localita' montagnano 98</t>
  </si>
  <si>
    <t>B&amp;B PALOMBA</t>
  </si>
  <si>
    <t>località Palombare 2</t>
  </si>
  <si>
    <t>loc.Palombare</t>
  </si>
  <si>
    <t>www.palomba.it</t>
  </si>
  <si>
    <t>info@palomba.it</t>
  </si>
  <si>
    <t>MARGGRAF MARY CECILIA</t>
  </si>
  <si>
    <t>frazione costa san severo 8</t>
  </si>
  <si>
    <t>www.costasansevero.it</t>
  </si>
  <si>
    <t>ulimary@costasansevero.com</t>
  </si>
  <si>
    <t>B&amp;B CASELUNGHE Country House</t>
  </si>
  <si>
    <t>localita' caselunghe 2</t>
  </si>
  <si>
    <t>www.camerino-caselunghe.it</t>
  </si>
  <si>
    <t>info@camerino-caselunghe.it</t>
  </si>
  <si>
    <t>I DUCHI</t>
  </si>
  <si>
    <t>via varino favorino 72</t>
  </si>
  <si>
    <t>www.hoteliduchi.com</t>
  </si>
  <si>
    <t>info@hoteliduchi.com</t>
  </si>
  <si>
    <t>piazza giuseppe garibaldi 6</t>
  </si>
  <si>
    <t>IL CAVALIERE</t>
  </si>
  <si>
    <t>via mariani 35</t>
  </si>
  <si>
    <t>www.hotelilcavaliere.com</t>
  </si>
  <si>
    <t>info@hotelilcavaliere.com</t>
  </si>
  <si>
    <t>via mariani 59</t>
  </si>
  <si>
    <t>B&amp;B COUNTRY - LA CONTEA</t>
  </si>
  <si>
    <t>frazione Statte 1</t>
  </si>
  <si>
    <t>mmseri@virgilio.it</t>
  </si>
  <si>
    <t>LA CAVALLINA</t>
  </si>
  <si>
    <t>via mariani 13</t>
  </si>
  <si>
    <t>www.lacavallina.it</t>
  </si>
  <si>
    <t>agriturismo.lacavallina@gmail.com</t>
  </si>
  <si>
    <t>CERERE</t>
  </si>
  <si>
    <t>localita' case beri 1</t>
  </si>
  <si>
    <t>RESIDENZA LARGO VALENTINI</t>
  </si>
  <si>
    <t>largo valentini 4</t>
  </si>
  <si>
    <t>CASAROLI SILVANO</t>
  </si>
  <si>
    <t>via conti di borgo 77</t>
  </si>
  <si>
    <t>silvanocasaroli@libero.it</t>
  </si>
  <si>
    <t>COLLEGIO BONGIOVANNI</t>
  </si>
  <si>
    <t>via B. Bongiovanni 7</t>
  </si>
  <si>
    <t>www.collegiobongiovanni.it</t>
  </si>
  <si>
    <t>info@collegiobongiovanni.it</t>
  </si>
  <si>
    <t>RESIDENCE VENANZINA PENNESI</t>
  </si>
  <si>
    <t>B&amp;B DAI NONNI</t>
  </si>
  <si>
    <t>loc. Arcofiato 14</t>
  </si>
  <si>
    <t>www.dainonni.it</t>
  </si>
  <si>
    <t>info@dainonni.it</t>
  </si>
  <si>
    <t>RESIDENCE I GIRASOLI</t>
  </si>
  <si>
    <t>frazione San Marcello 24</t>
  </si>
  <si>
    <t>www.residenceigirasoli.it</t>
  </si>
  <si>
    <t>info@residenceigirasoli.it</t>
  </si>
  <si>
    <t>IN TOWN LUXURY HOUSE</t>
  </si>
  <si>
    <t>via Roma 12</t>
  </si>
  <si>
    <t>www.intowncamerino.com</t>
  </si>
  <si>
    <t>info@intowncamerino.com</t>
  </si>
  <si>
    <t>B&amp;B RESTOQUI</t>
  </si>
  <si>
    <t>via Varino Favorino 8</t>
  </si>
  <si>
    <t>restoquibeb@gmail.com</t>
  </si>
  <si>
    <t>ALLA SCOPERTA DELLE MARCHE</t>
  </si>
  <si>
    <t>via Andrea d'Accorso snc</t>
  </si>
  <si>
    <t>www.allascopertadellemarche.it</t>
  </si>
  <si>
    <t>sctacchi@libero.it</t>
  </si>
  <si>
    <t>VILLA CLAUDI</t>
  </si>
  <si>
    <t>Fraz. Raggiano 16</t>
  </si>
  <si>
    <t>RAGGIANO</t>
  </si>
  <si>
    <t>www.villaclaudi.it</t>
  </si>
  <si>
    <t>giovannaclaudi@gmail.com</t>
  </si>
  <si>
    <t>LA DIMORA DELL'ARCIERE</t>
  </si>
  <si>
    <t>PIAZZA MAZZINI 5</t>
  </si>
  <si>
    <t>ladimoradellarciere@gmail.com</t>
  </si>
  <si>
    <t>AFFITTACAMERE LEOPARDI 59</t>
  </si>
  <si>
    <t>G. Leopardi 59</t>
  </si>
  <si>
    <t>amministrazone@6tour.com</t>
  </si>
  <si>
    <t>COUNTRY HOUSE COLLE RIDENTE</t>
  </si>
  <si>
    <t>LOCALITA' COLLE RIDENTE  2</t>
  </si>
  <si>
    <t>COLLE RIDENTE</t>
  </si>
  <si>
    <t>info@colleridente.it</t>
  </si>
  <si>
    <t>AFFITTACAMERE TIEPOLO 4</t>
  </si>
  <si>
    <t>TIEPOLO  4</t>
  </si>
  <si>
    <t>amministrazione@6tour.com</t>
  </si>
  <si>
    <t>AL RESPIRO NEL BOSCO</t>
  </si>
  <si>
    <t>Contrada Colvenale 10</t>
  </si>
  <si>
    <t>CAMPOROTONDO DI FIASTRONE</t>
  </si>
  <si>
    <t>www.alrespironelbosco.it</t>
  </si>
  <si>
    <t>lucaematilde@alrespironelbosco.it</t>
  </si>
  <si>
    <t>LA CASA SUL FIUME</t>
  </si>
  <si>
    <t>contrada Ceca 2</t>
  </si>
  <si>
    <t>yaspo@mail.ru</t>
  </si>
  <si>
    <t>COMMUNE TERRE CAMPI ROTUNDI</t>
  </si>
  <si>
    <t>vicolo Giglioni 4</t>
  </si>
  <si>
    <t>sindaco@camporotondo.sinp.net</t>
  </si>
  <si>
    <t>CASA VACANZA BORGO VECCHIO</t>
  </si>
  <si>
    <t>via Circonvallazione 15</t>
  </si>
  <si>
    <t>aloisa89@libero.it; annarita.bocci55@libero.it</t>
  </si>
  <si>
    <t>B&amp;B  AL RESPIRO NEL BOSCO di GIACOMAZZI LUCA</t>
  </si>
  <si>
    <t>contrada colvenale 10</t>
  </si>
  <si>
    <t>COUNTRY  B&amp;B IL VOLO DEL FALCO</t>
  </si>
  <si>
    <t>contrada Colvenale 18</t>
  </si>
  <si>
    <t>www.ilvolodelfalco.com</t>
  </si>
  <si>
    <t>cristianobibini@hotmail.it</t>
  </si>
  <si>
    <t>VILLA CASABIANCA</t>
  </si>
  <si>
    <t>localita' smoglie 1</t>
  </si>
  <si>
    <t>CASTELRAIMONDO</t>
  </si>
  <si>
    <t>www.villacasabianca1573.it</t>
  </si>
  <si>
    <t>info@villacasabianca1573.it</t>
  </si>
  <si>
    <t>AGRITURISMO ROTABELLA</t>
  </si>
  <si>
    <t>localita' seano 1</t>
  </si>
  <si>
    <t>www.rotabella.it</t>
  </si>
  <si>
    <t>stefanobonifazi@hotmail.it</t>
  </si>
  <si>
    <t>PIETRA MAULA AGRITURISMO</t>
  </si>
  <si>
    <t>Loc. Stroppigliosi 9</t>
  </si>
  <si>
    <t>STROPPIGLIOSI</t>
  </si>
  <si>
    <t>www.pietramaula.it</t>
  </si>
  <si>
    <t>info@pietramaula.it</t>
  </si>
  <si>
    <t>LE MAGNOLIE</t>
  </si>
  <si>
    <t>via E. Mattei 69</t>
  </si>
  <si>
    <t>www.residenzalemagnolie.it</t>
  </si>
  <si>
    <t>LE TRE QUERCE</t>
  </si>
  <si>
    <t>via Vallone 2</t>
  </si>
  <si>
    <t>http://letrequerce.wordpress.com/</t>
  </si>
  <si>
    <t>gmassei@gmail.com</t>
  </si>
  <si>
    <t>B&amp;B CASA BELVEDER</t>
  </si>
  <si>
    <t>loc. Carsignano 50</t>
  </si>
  <si>
    <t>www.casabelveder.it</t>
  </si>
  <si>
    <t>info@casabelveder.it</t>
  </si>
  <si>
    <t>AI RANGHI</t>
  </si>
  <si>
    <t>via Ranghi 1</t>
  </si>
  <si>
    <t>Castelraimondo</t>
  </si>
  <si>
    <t>albertoroversi2@virgilio.it</t>
  </si>
  <si>
    <t>via Crucianelli 54</t>
  </si>
  <si>
    <t>www.ilgiardinodegliulivi.com</t>
  </si>
  <si>
    <t>info@ilgiardinodegliulivi.com</t>
  </si>
  <si>
    <t>IL CASATO</t>
  </si>
  <si>
    <t>localita' Vasconi 11/A</t>
  </si>
  <si>
    <t>www.agriturismoilcasato.it</t>
  </si>
  <si>
    <t>info@agriturismoilcasato.it</t>
  </si>
  <si>
    <t>via sant' anna 11</t>
  </si>
  <si>
    <t>www.hotelbellavista.info</t>
  </si>
  <si>
    <t>posta@hotelbellavista.info</t>
  </si>
  <si>
    <t>via del colle 7</t>
  </si>
  <si>
    <t>CRISPIERO</t>
  </si>
  <si>
    <t>hotelpanorama2006@libero.it; panorama81@libero.it</t>
  </si>
  <si>
    <t>AGRITURISMO TORRAIMUNI</t>
  </si>
  <si>
    <t>loc. Roccafranca 2</t>
  </si>
  <si>
    <t>LOCALITA' ROCCAFRANCA</t>
  </si>
  <si>
    <t>ssvbpc@tin.it</t>
  </si>
  <si>
    <t>SELVICOLLE COUNTRY HOUSE</t>
  </si>
  <si>
    <t>loc. Nani 4 4</t>
  </si>
  <si>
    <t>SP 22 - CRISPIERO</t>
  </si>
  <si>
    <t>www.selvicolle.com</t>
  </si>
  <si>
    <t>info@selvicolle.com</t>
  </si>
  <si>
    <t>BOVETTI LUCIANO</t>
  </si>
  <si>
    <t>localita' seano 6</t>
  </si>
  <si>
    <t>federico.bovetti@gmail.com</t>
  </si>
  <si>
    <t>BORGO LANCIANO</t>
  </si>
  <si>
    <t>localita' Lanciano 5</t>
  </si>
  <si>
    <t>www.borgolanciano.it</t>
  </si>
  <si>
    <t>info@borgolanciano.it</t>
  </si>
  <si>
    <t>B&amp;B BREZZA DEL PARCO</t>
  </si>
  <si>
    <t>via santa lucia 106</t>
  </si>
  <si>
    <t>CASTELSANTANGELO SUL NERA</t>
  </si>
  <si>
    <t>DAL NAVIGANTE</t>
  </si>
  <si>
    <t>loc. Nocelleto 28</t>
  </si>
  <si>
    <t>LA FIORITA</t>
  </si>
  <si>
    <t>localita' Spina di Gualdo 1</t>
  </si>
  <si>
    <t>via san martino 89</t>
  </si>
  <si>
    <t>MONTE PRATA</t>
  </si>
  <si>
    <t>SCHIANCETO</t>
  </si>
  <si>
    <t>www.campingmonteprata.it</t>
  </si>
  <si>
    <t>info@campingmonteprata.it</t>
  </si>
  <si>
    <t>MONASTERO DELLE BENEDETTINE DI S. LIBERATORE</t>
  </si>
  <si>
    <t>via Santo Stefano 58</t>
  </si>
  <si>
    <t>sbp.castello@yahoo.it</t>
  </si>
  <si>
    <t>B&amp;B LA STANZA DELLE FATE</t>
  </si>
  <si>
    <t>via Belvedere 192</t>
  </si>
  <si>
    <t>info@lestanzedellefate.it</t>
  </si>
  <si>
    <t>B&amp;B SENTIERI SIBILLINI</t>
  </si>
  <si>
    <t>via Belvedere 29</t>
  </si>
  <si>
    <t>fraz. Vallinfante</t>
  </si>
  <si>
    <t>stefaniaservili@gmail.com</t>
  </si>
  <si>
    <t>AREA SOSTA CAMPER VIA B. VITTAZZI</t>
  </si>
  <si>
    <t>strada provinciale del Pian Perduto</t>
  </si>
  <si>
    <t>segreteria@castelsantangelo.sinp.net</t>
  </si>
  <si>
    <t>B&amp;B CASCINA DELL'ORSO</t>
  </si>
  <si>
    <t>via belvedere 185</t>
  </si>
  <si>
    <t>B&amp;B PETRUCCI EMANUELA N° 12</t>
  </si>
  <si>
    <t>via bernardino vittazzi 1</t>
  </si>
  <si>
    <t>B&amp;B PETRUCCI EMANUELA N° 14</t>
  </si>
  <si>
    <t>www.fontedellangelo.it</t>
  </si>
  <si>
    <t>fontedellangelo@gmail.com</t>
  </si>
  <si>
    <t>PALAZZO SIMONELLI</t>
  </si>
  <si>
    <t>contrada tribbio 1</t>
  </si>
  <si>
    <t>CESSAPALOMBO</t>
  </si>
  <si>
    <t>www.palazzosimonelli.it</t>
  </si>
  <si>
    <t>info@palazzosimonelli.it</t>
  </si>
  <si>
    <t>L'INCANTO DEI SIBILLINI</t>
  </si>
  <si>
    <t>www.incantodeisibillini.it</t>
  </si>
  <si>
    <t>AZIENDA AGRICOLA FORESTALE CASIGLIANO DEI SIBILLINI</t>
  </si>
  <si>
    <t>CASIGLIANO</t>
  </si>
  <si>
    <t>AGRITURISMO COLDIPIETRA</t>
  </si>
  <si>
    <t>c.da Coldipietra snc</t>
  </si>
  <si>
    <t>cessapalombo</t>
  </si>
  <si>
    <t>www.coldipietra.com</t>
  </si>
  <si>
    <t>coldipietra@coldipietra.com</t>
  </si>
  <si>
    <t>NODEN ROSEMARY DIANA MARSHALL</t>
  </si>
  <si>
    <t>LA CORTE DI MAREGNANO</t>
  </si>
  <si>
    <t>via Maregnano 11</t>
  </si>
  <si>
    <t>luca.ansovini@libero.it</t>
  </si>
  <si>
    <t>CASA SANTANCINI di DAWN COLCLOUGH</t>
  </si>
  <si>
    <t>c.da Prati 1</t>
  </si>
  <si>
    <t>colclough_italy@yahoo.co.uk</t>
  </si>
  <si>
    <t>BUCOSSI PATRIZIA</t>
  </si>
  <si>
    <t>c.da Giardoni 1</t>
  </si>
  <si>
    <t>IL CARBONAIO</t>
  </si>
  <si>
    <t>FRAZIONE VILLA MONTALTO N° 69</t>
  </si>
  <si>
    <t>ilcarbonaio@alice.it</t>
  </si>
  <si>
    <t>LA VALLE</t>
  </si>
  <si>
    <t>contrada Valle 1</t>
  </si>
  <si>
    <t>go.studioottavi@yahoo.it</t>
  </si>
  <si>
    <t>L'OMBRA DELLE QUERCE di BORRONI AURELIO</t>
  </si>
  <si>
    <t>CONTRADA CASIGLIANO</t>
  </si>
  <si>
    <t>aurelioborroni@alice.it</t>
  </si>
  <si>
    <t>AGRITURISMO L' OLMO DI CASIGLIANO</t>
  </si>
  <si>
    <t>LOCALITA' CASIGLIANO 1</t>
  </si>
  <si>
    <t>www.olmodicasigliano.it</t>
  </si>
  <si>
    <t>info@olmodicasigliano.it</t>
  </si>
  <si>
    <t>LA CORTE SUL LAGO</t>
  </si>
  <si>
    <t>frazione Moscosi 33/41</t>
  </si>
  <si>
    <t>CINGOLI</t>
  </si>
  <si>
    <t>www.lacortesullago.it</t>
  </si>
  <si>
    <t>info@lacortesullago.it</t>
  </si>
  <si>
    <t>B&amp;B CASA DI NONNO URE'</t>
  </si>
  <si>
    <t>localita' sant' obrizio 1</t>
  </si>
  <si>
    <t>COUNTRY HOUSE I MORI</t>
  </si>
  <si>
    <t>localita' Pettovallone 1</t>
  </si>
  <si>
    <t>www.imori.net</t>
  </si>
  <si>
    <t>info@imori.net</t>
  </si>
  <si>
    <t>I PONTI Soc. Coop.</t>
  </si>
  <si>
    <t>localita' santa maria candelora 1</t>
  </si>
  <si>
    <t>santori.giuseppe@tiscali.it</t>
  </si>
  <si>
    <t>COUNTRY HOUSE  BINNELLA DI TRILLINI RICCARDO</t>
  </si>
  <si>
    <t>localita' Saltregna 3</t>
  </si>
  <si>
    <t>countryhousebinnella@gmail.com</t>
  </si>
  <si>
    <t>COUNTRY HOUSE IL PRATO di ZANCONI PAOLO</t>
  </si>
  <si>
    <t>paolozanconi@gmail.com</t>
  </si>
  <si>
    <t>LA TANA DELLA LEPRE</t>
  </si>
  <si>
    <t>loc. Saltregna 8/A</t>
  </si>
  <si>
    <t>www.latanadellalepre.com</t>
  </si>
  <si>
    <t>info@latanadellalepre.com</t>
  </si>
  <si>
    <t>LA BOTTEGA DEI SAPORI</t>
  </si>
  <si>
    <t>localita' Castreccioni 19</t>
  </si>
  <si>
    <t>pina.c2013@libero.it</t>
  </si>
  <si>
    <t>FATTORIA FONTE PENNICI</t>
  </si>
  <si>
    <t>localita' coppo 17</t>
  </si>
  <si>
    <t>www.agriturismofontepennici.it</t>
  </si>
  <si>
    <t>info@agriturismofontepennici.it</t>
  </si>
  <si>
    <t>AGRITURISMO GLI ULIVI</t>
  </si>
  <si>
    <t>localita' capovilla 6</t>
  </si>
  <si>
    <t>www.gli-ulivi.it</t>
  </si>
  <si>
    <t>gliulivig@libero.it</t>
  </si>
  <si>
    <t>VILLA PIA</t>
  </si>
  <si>
    <t>frazione botontano 62</t>
  </si>
  <si>
    <t>infolavineria@gmail.com</t>
  </si>
  <si>
    <t>NATURA E PROFUMI ...ED ANCHE SAPORI</t>
  </si>
  <si>
    <t>localita' Domo 17</t>
  </si>
  <si>
    <t>B&amp;B CIMA DELLE STELLE</t>
  </si>
  <si>
    <t>via F. M. Raffaelli 1</t>
  </si>
  <si>
    <t>www.cimadellestelle.com</t>
  </si>
  <si>
    <t>battagliacorrado@libero.it</t>
  </si>
  <si>
    <t>B&amp;B ZIAMELIA</t>
  </si>
  <si>
    <t>frazione colognola 29A 1</t>
  </si>
  <si>
    <t>www.ziamelia.it</t>
  </si>
  <si>
    <t>daniela@ziamelia.it</t>
  </si>
  <si>
    <t>B&amp;B CERQUATTI</t>
  </si>
  <si>
    <t>via dei Cerquatti 26</t>
  </si>
  <si>
    <t>www.cingolibeb.it</t>
  </si>
  <si>
    <t>luigi.ciattaglia@alice.it</t>
  </si>
  <si>
    <t>B&amp;B CASA SILVESTRI</t>
  </si>
  <si>
    <t>via luigi ferri 2</t>
  </si>
  <si>
    <t>www.bebcasasilvestri.com</t>
  </si>
  <si>
    <t>pieroalfei@gmail.com</t>
  </si>
  <si>
    <t>B&amp;B AL MAGO RANCH con scuola d'equitazione</t>
  </si>
  <si>
    <t>loc. Lipparelli 2</t>
  </si>
  <si>
    <t>www.magoranch.com</t>
  </si>
  <si>
    <t>info@magoranch.com</t>
  </si>
  <si>
    <t>ACQUAPARCO VERDE AZZURRO</t>
  </si>
  <si>
    <t>localita' San Faustino 6</t>
  </si>
  <si>
    <t>www.verdeazzurro.it</t>
  </si>
  <si>
    <t>info@verdeazzurro.it</t>
  </si>
  <si>
    <t>VILLA UGOLINI</t>
  </si>
  <si>
    <t>localita' Sant' Anastasio 1</t>
  </si>
  <si>
    <t>www.villaugolini.it</t>
  </si>
  <si>
    <t>raffaela.rango@tiscali.it</t>
  </si>
  <si>
    <t>LA PINETA</t>
  </si>
  <si>
    <t>via villa pozzo 132</t>
  </si>
  <si>
    <t>POZZO</t>
  </si>
  <si>
    <t>lapineta2006@libero.it</t>
  </si>
  <si>
    <t>ANTICA TAVERNA ALLA SELVA</t>
  </si>
  <si>
    <t>via Cicerone 1</t>
  </si>
  <si>
    <t>www.tavernaallaselva.it</t>
  </si>
  <si>
    <t>tavernaallaselva@gmail.com</t>
  </si>
  <si>
    <t>TETTO DELLE MARCHE</t>
  </si>
  <si>
    <t>via e. cristianopoli 47</t>
  </si>
  <si>
    <t>www.hoteltettodellemarche.it</t>
  </si>
  <si>
    <t>info@hoteltettodellemarche.it</t>
  </si>
  <si>
    <t>ZIAMELIA</t>
  </si>
  <si>
    <t>via Colognola 29/a</t>
  </si>
  <si>
    <t>LA QUERCIA</t>
  </si>
  <si>
    <t>localita' Castreccioni 13</t>
  </si>
  <si>
    <t>loc.Azzoni</t>
  </si>
  <si>
    <t>www.laquerciacingoli.com</t>
  </si>
  <si>
    <t>lucaman69@mail.com</t>
  </si>
  <si>
    <t>B&amp;B FLORIDA</t>
  </si>
  <si>
    <t>località Campana 2</t>
  </si>
  <si>
    <t>AREA DI SOSTA ATTREZZATA BALCONE DELLE MARCHE</t>
  </si>
  <si>
    <t>loc. San Carlo</t>
  </si>
  <si>
    <t>atcprolococingoli@gmail.com</t>
  </si>
  <si>
    <t>CASALBA</t>
  </si>
  <si>
    <t>via Cicerone 3</t>
  </si>
  <si>
    <t>Frazione San Vittore</t>
  </si>
  <si>
    <t>www.casalba.it</t>
  </si>
  <si>
    <t>info@casalba.it</t>
  </si>
  <si>
    <t>IL GALLO DI PETTOVALLONE</t>
  </si>
  <si>
    <t>via Pettovallone 24,24b</t>
  </si>
  <si>
    <t>www.pettovallone.it</t>
  </si>
  <si>
    <t>pettovallone@gmail.com</t>
  </si>
  <si>
    <t>COLLE SUL LAGO</t>
  </si>
  <si>
    <t>loc. Castreccioni 15</t>
  </si>
  <si>
    <t>http://collesullago.com</t>
  </si>
  <si>
    <t>info@collesullago.com</t>
  </si>
  <si>
    <t>AGRITURISMO I MORI</t>
  </si>
  <si>
    <t>loc.Pettovallone 1</t>
  </si>
  <si>
    <t>Pettovallone</t>
  </si>
  <si>
    <t>LA SCAGLIA ROSSA di STEFANIA CICARILLI</t>
  </si>
  <si>
    <t>via cappuccini 5</t>
  </si>
  <si>
    <t>www.ilfocolarecingoli.it</t>
  </si>
  <si>
    <t>info@ilfocolarecingoli.it</t>
  </si>
  <si>
    <t>CASA PER FERIE IN VIA S. ESUPERANZIO</t>
  </si>
  <si>
    <t>via Sant'Esuperanzio 51</t>
  </si>
  <si>
    <t>salvuccis@libero.it</t>
  </si>
  <si>
    <t>IL FOCOLARE di CICARILLI STEFANIA</t>
  </si>
  <si>
    <t>via orazio avicenna 8</t>
  </si>
  <si>
    <t>B&amp;B SAN PATERNIANO</t>
  </si>
  <si>
    <t>via San Paterniano 3</t>
  </si>
  <si>
    <t>www.sanpaterniano.com</t>
  </si>
  <si>
    <t>info@sanpaterniano.com</t>
  </si>
  <si>
    <t>POSTIGLIONE DELLA CASTELLETTA</t>
  </si>
  <si>
    <t>localita' Lioni 20</t>
  </si>
  <si>
    <t>www.postiglionecountryhouse.com</t>
  </si>
  <si>
    <t>postiglionec@email.it</t>
  </si>
  <si>
    <t>COUNTRY HOUSE DI CAPODIMONTE MARISA</t>
  </si>
  <si>
    <t>frazione Pozzo 37</t>
  </si>
  <si>
    <t>www.casalefabrizi.it</t>
  </si>
  <si>
    <t>info@casalefabrizi.it</t>
  </si>
  <si>
    <t>B&amp;B COL DI LUNA</t>
  </si>
  <si>
    <t>Avenale,1 1</t>
  </si>
  <si>
    <t>www.coldiluna.com</t>
  </si>
  <si>
    <t>info@coldiluna.com</t>
  </si>
  <si>
    <t>B&amp;B EMILIANI GRAZIELLA</t>
  </si>
  <si>
    <t>localita' marcucci 16</t>
  </si>
  <si>
    <t>VILLA MARGHERITA</t>
  </si>
  <si>
    <t>loc. Coppo 11</t>
  </si>
  <si>
    <t>LOC. COPPO</t>
  </si>
  <si>
    <t>info@agriturismofonteppenici.it</t>
  </si>
  <si>
    <t>B&amp;B DI WEALTHAL PERRY GREGORY</t>
  </si>
  <si>
    <t>localita' palazzo avenale 40</t>
  </si>
  <si>
    <t>www.peritalia.com</t>
  </si>
  <si>
    <t>gregoryperry@libero.it</t>
  </si>
  <si>
    <t>B&amp;B NIDO DELLE RONDINI</t>
  </si>
  <si>
    <t>via Benedetto da Cingoli 1</t>
  </si>
  <si>
    <t>ilnidodellerondini@gmail.com</t>
  </si>
  <si>
    <t>B&amp;B LA CHIOCA</t>
  </si>
  <si>
    <t>via delle Filande 3</t>
  </si>
  <si>
    <t>www.beblachioca.it</t>
  </si>
  <si>
    <t>michelec87@alice.it</t>
  </si>
  <si>
    <t>CAMPEGGIO SPARACETO DI FALAPPA JACOPO</t>
  </si>
  <si>
    <t>campingsparaceto@libero.it</t>
  </si>
  <si>
    <t>B&amp;B LA CAPUCCINA di CAPUCCI ALESSANDRO</t>
  </si>
  <si>
    <t>via Catafolle  24</t>
  </si>
  <si>
    <t>CATAFOLLE</t>
  </si>
  <si>
    <t>monica.tronconi@tronconi.it</t>
  </si>
  <si>
    <t>B&amp;B ORMEROD THOMAS JEREMY</t>
  </si>
  <si>
    <t>loc.Campo di Bove 2</t>
  </si>
  <si>
    <t>CAMPO DI BOVE</t>
  </si>
  <si>
    <t>info@lemarchelettings.it</t>
  </si>
  <si>
    <t>B&amp;B ORMEROD JACQUELINE</t>
  </si>
  <si>
    <t>loc.Campo di Bove 2/a</t>
  </si>
  <si>
    <t>VILLA CASTELLETTA</t>
  </si>
  <si>
    <t>localita' castelletta 32</t>
  </si>
  <si>
    <t>info@villacastelletta.com</t>
  </si>
  <si>
    <t>B&amp;B VERDE SMERALDO</t>
  </si>
  <si>
    <t>localita' castreccioni 46</t>
  </si>
  <si>
    <t>www.ristorantelosmeraldo.it</t>
  </si>
  <si>
    <t>claudiasmeraldo@alice.it</t>
  </si>
  <si>
    <t>COUNTRY HOUSE IL MOLINO</t>
  </si>
  <si>
    <t>localita' pian della pieve 60</t>
  </si>
  <si>
    <t>NUMERO7</t>
  </si>
  <si>
    <t>localita' Saltregna 7</t>
  </si>
  <si>
    <t>www.numero7.eu</t>
  </si>
  <si>
    <t>numero7.cingoli@hotmail.com</t>
  </si>
  <si>
    <t>SIENAERT KOEN CASE ED APPARTAMENTI PER VACANZE</t>
  </si>
  <si>
    <t>Via Monnece 11</t>
  </si>
  <si>
    <t>MONNECE</t>
  </si>
  <si>
    <t>CASA DE NONNA PEPPA</t>
  </si>
  <si>
    <t>Contrada Botontano 22</t>
  </si>
  <si>
    <t>B&amp;B AMOR DI LAVANDA</t>
  </si>
  <si>
    <t>LOCALITA' FONTE DEL PIANO 1</t>
  </si>
  <si>
    <t>FONTE DEL PIANO</t>
  </si>
  <si>
    <t>logiudice_alessandra@hotmail.it</t>
  </si>
  <si>
    <t>DA MARIA di PACIAROTTI PAOLA</t>
  </si>
  <si>
    <t>PIO VIII CASTIGLIONI 32</t>
  </si>
  <si>
    <t>p.paciarotti@alice.it</t>
  </si>
  <si>
    <t>IL MARE ACCANTO</t>
  </si>
  <si>
    <t>LUNG.NORD IV NOVEMBRE  284</t>
  </si>
  <si>
    <t>CIVITANOVA MARCHE</t>
  </si>
  <si>
    <t>enzobagalini@tiscali.it</t>
  </si>
  <si>
    <t>MAURIZIO MACELLARI</t>
  </si>
  <si>
    <t>VIA DE PINETO 1</t>
  </si>
  <si>
    <t>mauriziomacellari64@gmail.com</t>
  </si>
  <si>
    <t>L'AIRONE</t>
  </si>
  <si>
    <t>PORTA PIA 12/A</t>
  </si>
  <si>
    <t>www.beblairone.it</t>
  </si>
  <si>
    <t>info@beblairone.it</t>
  </si>
  <si>
    <t>B&amp;B LA TORRE</t>
  </si>
  <si>
    <t>via Gorizia 82</t>
  </si>
  <si>
    <t>Civitanova Marche</t>
  </si>
  <si>
    <t>http://latorrebbcivitanov.wix.com/torre</t>
  </si>
  <si>
    <t>latorrebbcivitanova@gmail.com</t>
  </si>
  <si>
    <t>B&amp;B VILLA SILVIO</t>
  </si>
  <si>
    <t>C.DA SAN SAVINO 18/A</t>
  </si>
  <si>
    <t>www.villasilvio.com</t>
  </si>
  <si>
    <t>info@villasilvio.com</t>
  </si>
  <si>
    <t>B&amp;B IL MANDORLO</t>
  </si>
  <si>
    <t>C.da Mornano 65</t>
  </si>
  <si>
    <t>Civitanova Alta</t>
  </si>
  <si>
    <t>www.ilmandorlobb.it</t>
  </si>
  <si>
    <t>info@ilmandorlobb.it</t>
  </si>
  <si>
    <t>B&amp;B FONTE GIULIA</t>
  </si>
  <si>
    <t>via Fonte Giulia 47</t>
  </si>
  <si>
    <t>Santa Maria Apparente</t>
  </si>
  <si>
    <t>www.bebfontegiulia.com</t>
  </si>
  <si>
    <t>info@bebfontegiulia.com</t>
  </si>
  <si>
    <t>SHADA</t>
  </si>
  <si>
    <t>LUNGOMARE PIERMANNI 10/A</t>
  </si>
  <si>
    <t>acruciani@new-system.it</t>
  </si>
  <si>
    <t>B&amp;B MATTIA MERCURI</t>
  </si>
  <si>
    <t>via Castellara 14/3</t>
  </si>
  <si>
    <t>rosatilula@gmail.it</t>
  </si>
  <si>
    <t>AFFITTACAMERE CASA RELAX</t>
  </si>
  <si>
    <t>via Indipendenza 63/E</t>
  </si>
  <si>
    <t>ciontea@tiscali.it</t>
  </si>
  <si>
    <t>DOLCI NOTTE DI MAGA CACAO</t>
  </si>
  <si>
    <t>via Pola 12</t>
  </si>
  <si>
    <t>samuelastak@libero.it</t>
  </si>
  <si>
    <t>B&amp;B LA ROSA</t>
  </si>
  <si>
    <t>via T.Tasso 41</t>
  </si>
  <si>
    <t>beblarosacivitanova@gmail.com</t>
  </si>
  <si>
    <t>MORETTI COUNTRY HOUSE</t>
  </si>
  <si>
    <t>contrada Piane Chienti 257</t>
  </si>
  <si>
    <t>civitanova marche</t>
  </si>
  <si>
    <t>www.moretticountryhouse.com</t>
  </si>
  <si>
    <t>agata@moretticountryhouse.com</t>
  </si>
  <si>
    <t>B&amp;B ARATRO E ROSMARINO</t>
  </si>
  <si>
    <t>via San Domenico 40</t>
  </si>
  <si>
    <t>rogante.ambra@gmail.com</t>
  </si>
  <si>
    <t>B&amp;B ORCHIDEA HOUSE</t>
  </si>
  <si>
    <t>via Tasso 9</t>
  </si>
  <si>
    <t>orchideacivitanova.wix.com/orchideahouse</t>
  </si>
  <si>
    <t>orchideahousecivitanova@gmail.com</t>
  </si>
  <si>
    <t>B&amp;B A CASA TUA</t>
  </si>
  <si>
    <t>via Giovanni Pascoli 18</t>
  </si>
  <si>
    <t>bandbacasatua@gmail.com</t>
  </si>
  <si>
    <t>B&amp;B PORTOCIVITANOVA</t>
  </si>
  <si>
    <t>via Vittorio Veneto 63</t>
  </si>
  <si>
    <t>peretti5@alice.it</t>
  </si>
  <si>
    <t>AIRIS B&amp;B</t>
  </si>
  <si>
    <t>VIA MARCO POLO 54/B</t>
  </si>
  <si>
    <t>airis.bnb@gmail.com</t>
  </si>
  <si>
    <t>LA LAMPARA S.N.C. di BROCCOLO ROBERTO</t>
  </si>
  <si>
    <t>Viale IV Novembre 290</t>
  </si>
  <si>
    <t>la.lamparasnc@legalmail.it</t>
  </si>
  <si>
    <t>ANTICO CASALE NAPOLEONICO FOSSA CIECA</t>
  </si>
  <si>
    <t>CONTRADA FOCE ASOLA  24</t>
  </si>
  <si>
    <t>vincenzo.vigilia@libero.it</t>
  </si>
  <si>
    <t>B&amp;B CALIPSO</t>
  </si>
  <si>
    <t>PIER DELLE VIGNE  2</t>
  </si>
  <si>
    <t>calipso2016@libero.it</t>
  </si>
  <si>
    <t>B&amp;B LA SUITE</t>
  </si>
  <si>
    <t>VIA CIVITANOVA 80</t>
  </si>
  <si>
    <t>lasuitecivitanova@gmail.com</t>
  </si>
  <si>
    <t>A CASA DI PETER</t>
  </si>
  <si>
    <t>VIA O.MARCHETTI 24</t>
  </si>
  <si>
    <t>pietro.forani@virgilio.it</t>
  </si>
  <si>
    <t>LA CASA DI TITTI</t>
  </si>
  <si>
    <t>VIA TRIPOLI 20</t>
  </si>
  <si>
    <t>lacasadititti20@gmail.com</t>
  </si>
  <si>
    <t>IL SESTANTE</t>
  </si>
  <si>
    <t>VIA VASCO DE GAMA 164</t>
  </si>
  <si>
    <t>ilsestantebb@gmail.com</t>
  </si>
  <si>
    <t>DOMAR</t>
  </si>
  <si>
    <t>Via della Carena 61</t>
  </si>
  <si>
    <t>Via Maranello 21</t>
  </si>
  <si>
    <t>www.ilpoggetto-bedbreakfast.it</t>
  </si>
  <si>
    <t>ilpoggettobb@gmail.com</t>
  </si>
  <si>
    <t>ALLORO MARINO</t>
  </si>
  <si>
    <t>Via Vasco de Gama 164</t>
  </si>
  <si>
    <t>alloromarino@gmail.com</t>
  </si>
  <si>
    <t>DOLCE DORMIRE AFFITTACAMERE</t>
  </si>
  <si>
    <t>Via Piero Gobetti 155</t>
  </si>
  <si>
    <t>dolcedormirecivitanova@pec.it</t>
  </si>
  <si>
    <t>VILLETTA INDIPENDENTE DE MAR</t>
  </si>
  <si>
    <t>Via C. Colombo 286</t>
  </si>
  <si>
    <t>marturt@libero.it</t>
  </si>
  <si>
    <t>B&amp;B IL GIARDINO DI VIKI</t>
  </si>
  <si>
    <t>Via Sicilia 43</t>
  </si>
  <si>
    <t>lauramalaccari@libero.it</t>
  </si>
  <si>
    <t>Via Gentile 1</t>
  </si>
  <si>
    <t>FONTESPINA</t>
  </si>
  <si>
    <t>www.lemagnolie.bb.it</t>
  </si>
  <si>
    <t>info@lemagnolie-bb.it</t>
  </si>
  <si>
    <t>AL MAR</t>
  </si>
  <si>
    <t>Via Pasubio 22</t>
  </si>
  <si>
    <t>antonellilaura15@gmail.com</t>
  </si>
  <si>
    <t>ROSA BLU</t>
  </si>
  <si>
    <t>Via Giovanni XXIII 35</t>
  </si>
  <si>
    <t>stefynar@gmail.com</t>
  </si>
  <si>
    <t>contrada castelletta 11</t>
  </si>
  <si>
    <t>www.bbinfinito.it</t>
  </si>
  <si>
    <t>bb.infinito@yahoo.it</t>
  </si>
  <si>
    <t>B&amp;B VIVI IL CENTRO DI PETTINELLI LAVINIA</t>
  </si>
  <si>
    <t>corso dalmazia 145</t>
  </si>
  <si>
    <t>www.viviilcentro.wordpress.com</t>
  </si>
  <si>
    <t>studioforesi@tiscali.it</t>
  </si>
  <si>
    <t>LOCANDA FONTEZOPPA</t>
  </si>
  <si>
    <t>contrada san domenico 38</t>
  </si>
  <si>
    <t>www.locandafontezoppa.com</t>
  </si>
  <si>
    <t>info@locandafontezoppa.com</t>
  </si>
  <si>
    <t>B&amp;B BELLE MARCHE</t>
  </si>
  <si>
    <t>contrada san savino 59/B</t>
  </si>
  <si>
    <t>CIVITANOVA MARCHE ALTA</t>
  </si>
  <si>
    <t>www.bellemarchebb.it</t>
  </si>
  <si>
    <t>LA CELESTE DI ELISEI NICOLETTA - Country house</t>
  </si>
  <si>
    <t>via Celeste 1</t>
  </si>
  <si>
    <t>www.laceleste.it</t>
  </si>
  <si>
    <t>info@laceleste.it</t>
  </si>
  <si>
    <t>via Civitanova 1</t>
  </si>
  <si>
    <t>www.villamarietta.net</t>
  </si>
  <si>
    <t>info@villamarietta.net</t>
  </si>
  <si>
    <t>B&amp;B GARDENIA</t>
  </si>
  <si>
    <t>via benedetto croce 6</t>
  </si>
  <si>
    <t>dirire@alice.it</t>
  </si>
  <si>
    <t>via guido cavallotti 32</t>
  </si>
  <si>
    <t>www.artbb.info</t>
  </si>
  <si>
    <t>art.bb.cinzia@gmail.com</t>
  </si>
  <si>
    <t>HOTEL COSMOPOLITAN</t>
  </si>
  <si>
    <t>via Alcide De Gasperi 2</t>
  </si>
  <si>
    <t>www.cosmobusinesshotel.it</t>
  </si>
  <si>
    <t>info@cosmobusinesshotel.it</t>
  </si>
  <si>
    <t>B&amp;B MILU'</t>
  </si>
  <si>
    <t>via Giacomo Leopardi 31</t>
  </si>
  <si>
    <t>www.bbmilu.it</t>
  </si>
  <si>
    <t>bbmilu@gmail.it</t>
  </si>
  <si>
    <t>B&amp;B IL GIGLIO</t>
  </si>
  <si>
    <t>via indipendenza 43</t>
  </si>
  <si>
    <t>ilgiglio.bb@gmail.com</t>
  </si>
  <si>
    <t>B&amp;B NATURE COLORS</t>
  </si>
  <si>
    <t>via vasco da gama 100</t>
  </si>
  <si>
    <t>http://www.naturecolorsbedandbreakfast.com/</t>
  </si>
  <si>
    <t>naturecolorsbb@gmail.com</t>
  </si>
  <si>
    <t>NON TI SCORDAR DI ME</t>
  </si>
  <si>
    <t>c.da Castelletta 65</t>
  </si>
  <si>
    <t>chiaramarchionni@virgilio.it</t>
  </si>
  <si>
    <t>B&amp;B PROFUMO DI  MAGNOLIA</t>
  </si>
  <si>
    <t>via Giovanni Cimabue 1</t>
  </si>
  <si>
    <t>bebprofumodimagnolia@libero.it</t>
  </si>
  <si>
    <t>B&amp;B SANTOMARO SEA LOFT</t>
  </si>
  <si>
    <t>Via Pola 86</t>
  </si>
  <si>
    <t>www.santomaro.com</t>
  </si>
  <si>
    <t>info@santomaro.com</t>
  </si>
  <si>
    <t>B&amp;B ANDY</t>
  </si>
  <si>
    <t>eduardodiaco@hotmail.com</t>
  </si>
  <si>
    <t>BERTA CAMERE</t>
  </si>
  <si>
    <t>via piceno 46/46a</t>
  </si>
  <si>
    <t>B&amp;B CENTRO CITTA'</t>
  </si>
  <si>
    <t>via adriano cecchetti 31</t>
  </si>
  <si>
    <t>leombrunitermoidra@gmail.com</t>
  </si>
  <si>
    <t>B&amp;B IL BAIOCCO</t>
  </si>
  <si>
    <t>C.da San Domenico 61</t>
  </si>
  <si>
    <t>bbilbaiocco@hotmail.it</t>
  </si>
  <si>
    <t>B&amp;B VELA SEA di ACCIARRI VITALIANA</t>
  </si>
  <si>
    <t>via Vela 71</t>
  </si>
  <si>
    <t>acciarriantiquariato@gmail.com</t>
  </si>
  <si>
    <t>LAMPARA CIVITANOVA S.N.C. di BROCCOLO UGO</t>
  </si>
  <si>
    <t>Viale IV Novembre 294</t>
  </si>
  <si>
    <t>ugo.broccolo@alice.it</t>
  </si>
  <si>
    <t>B&amp;B VERDE AZZURRO</t>
  </si>
  <si>
    <t>via benedetto brin 8</t>
  </si>
  <si>
    <t>bbverdeazzurro@libero.it</t>
  </si>
  <si>
    <t>B&amp;B AL SOLE</t>
  </si>
  <si>
    <t>via martiri delle foibe 42</t>
  </si>
  <si>
    <t>www.bebalsole.it</t>
  </si>
  <si>
    <t>info@bebalsole.it</t>
  </si>
  <si>
    <t>via regina margherita 40</t>
  </si>
  <si>
    <t>ANTONIO</t>
  </si>
  <si>
    <t>LUNGOMARE PIERMANNI 1 A 1 A</t>
  </si>
  <si>
    <t>balneare.antonio@alice.it</t>
  </si>
  <si>
    <t>IL BRIGANTINO</t>
  </si>
  <si>
    <t>ARCOBALENO</t>
  </si>
  <si>
    <t>via civitanova 127</t>
  </si>
  <si>
    <t>www.arcobaleno-bb.com</t>
  </si>
  <si>
    <t>info@arcobaleno-bb.com</t>
  </si>
  <si>
    <t>B&amp;B L' OLIMPO</t>
  </si>
  <si>
    <t>via sicilia 44</t>
  </si>
  <si>
    <t>www.bed-and-breakfast.it/pagina.cfm?ID=12618&amp;IDregion</t>
  </si>
  <si>
    <t>serenella.pistilli@gmail.com</t>
  </si>
  <si>
    <t>B&amp;B INDIPENDENZA</t>
  </si>
  <si>
    <t>www.bbindipendenza.it</t>
  </si>
  <si>
    <t>info@bbindipendenza.it</t>
  </si>
  <si>
    <t>B&amp;B LA TARTARUGA</t>
  </si>
  <si>
    <t>via silvano mecozzi 5</t>
  </si>
  <si>
    <t>www.latartarugabb.it</t>
  </si>
  <si>
    <t>info@latartarugabb.it</t>
  </si>
  <si>
    <t>COUNTRY HOUSE LA RADICE</t>
  </si>
  <si>
    <t>via orlando marchetti 45</t>
  </si>
  <si>
    <t>www.hotellaradice.it</t>
  </si>
  <si>
    <t>info@hotellaradice.it</t>
  </si>
  <si>
    <t>B&amp;B IL CANTASTORIE</t>
  </si>
  <si>
    <t>c.da Asola 26</t>
  </si>
  <si>
    <t>info@ilcantastorie.it</t>
  </si>
  <si>
    <t>B&amp;B BELO ORIZZONTE</t>
  </si>
  <si>
    <t>via Regina Margherita 107</t>
  </si>
  <si>
    <t>horizonte.bb@gmail.com</t>
  </si>
  <si>
    <t>B&amp;B ORCHIDEA</t>
  </si>
  <si>
    <t>via Tasso 11</t>
  </si>
  <si>
    <t>www.bandbcivitanovamarche.it</t>
  </si>
  <si>
    <t>orchideabandb@gmail.com</t>
  </si>
  <si>
    <t>CASALE DEL CHIENTI</t>
  </si>
  <si>
    <t>via del Torrione 162</t>
  </si>
  <si>
    <t>http://www.casaledelchienti.it</t>
  </si>
  <si>
    <t>info@casaledelchienti.it</t>
  </si>
  <si>
    <t>via T. Tasso 14</t>
  </si>
  <si>
    <t>www.glicine.eu</t>
  </si>
  <si>
    <t>info@glicine.eu</t>
  </si>
  <si>
    <t>B&amp;B DORMI DA NOI</t>
  </si>
  <si>
    <t>via Pola 24</t>
  </si>
  <si>
    <t>www.dormidanoi.it</t>
  </si>
  <si>
    <t>info@dormidanoi.it</t>
  </si>
  <si>
    <t>B&amp;B STANDARD</t>
  </si>
  <si>
    <t>Corso Dalmazia 134</t>
  </si>
  <si>
    <t>info@standardbnb.com</t>
  </si>
  <si>
    <t>B&amp;B PINO MARITTIMO</t>
  </si>
  <si>
    <t>via Lombardia 1</t>
  </si>
  <si>
    <t>www.pinomarittimo.com</t>
  </si>
  <si>
    <t>vincenzosquadroni@libero.it</t>
  </si>
  <si>
    <t>B&amp;B VILLA PINI</t>
  </si>
  <si>
    <t>via Lazio 6</t>
  </si>
  <si>
    <t>Villa Pini</t>
  </si>
  <si>
    <t>www.villapini.eu</t>
  </si>
  <si>
    <t>info.bbvillapini@gmail.com</t>
  </si>
  <si>
    <t>B&amp;B LA STELLA D'ORO</t>
  </si>
  <si>
    <t>via della Carena 24</t>
  </si>
  <si>
    <t>www.lastelladoro.it</t>
  </si>
  <si>
    <t>info@lastelladoro.it</t>
  </si>
  <si>
    <t>B&amp;B L'ESSENZA DEI SOGNI</t>
  </si>
  <si>
    <t>via Torrione 35</t>
  </si>
  <si>
    <t>stefania7101@yahoo.it</t>
  </si>
  <si>
    <t>B&amp;B VILLA REGINA</t>
  </si>
  <si>
    <t>via Giacosa  54</t>
  </si>
  <si>
    <t>tetano70@live.it</t>
  </si>
  <si>
    <t>B&amp;B WITTORIA HOUSE DI CATTOLICA VITTORIA</t>
  </si>
  <si>
    <t>via Colombo 148</t>
  </si>
  <si>
    <t>www.wittoriahouse.it</t>
  </si>
  <si>
    <t>info@wittoriahouse.it</t>
  </si>
  <si>
    <t>B&amp;B BIANCAMARIA</t>
  </si>
  <si>
    <t>Contrada San Domenico  58/A</t>
  </si>
  <si>
    <t>B&amp;B CASA VITTORIA</t>
  </si>
  <si>
    <t>c.da Migliarino 19</t>
  </si>
  <si>
    <t>bbcasavittoria@gmail.com</t>
  </si>
  <si>
    <t>B&amp;B IN VILLA</t>
  </si>
  <si>
    <t>via Piceno 15</t>
  </si>
  <si>
    <t>www.invillabb.it</t>
  </si>
  <si>
    <t>info@invillabb.it</t>
  </si>
  <si>
    <t>B&amp;B SOGNI D'ORO</t>
  </si>
  <si>
    <t>via g. di Vittorio 9 A</t>
  </si>
  <si>
    <t>www.sognidoro.info</t>
  </si>
  <si>
    <t>info@sognidoro.info</t>
  </si>
  <si>
    <t>DIMORAE</t>
  </si>
  <si>
    <t>via Santorre di Santarosa 29</t>
  </si>
  <si>
    <t>www.hoteldimorae.it</t>
  </si>
  <si>
    <t>info@hoteldimorae.it</t>
  </si>
  <si>
    <t>B&amp;B CENTRO E MARE</t>
  </si>
  <si>
    <t>via Dalmazia  137</t>
  </si>
  <si>
    <t>bbcentroemare@gmail.com</t>
  </si>
  <si>
    <t>VITTORIA HOUSE B&amp;B CIVITANOVA MARCHE</t>
  </si>
  <si>
    <t>www.vittoriahouse.it</t>
  </si>
  <si>
    <t>info@vittoriahouse.it</t>
  </si>
  <si>
    <t>AGRITURISMO ANTICHI SAPORI</t>
  </si>
  <si>
    <t>contrada Piane del Chienti 37</t>
  </si>
  <si>
    <t>agriturismo.antichisapori@hotmail.it</t>
  </si>
  <si>
    <t>via Carducci  13</t>
  </si>
  <si>
    <t>remoroma24@hotmail.it</t>
  </si>
  <si>
    <t>B&amp;B PIPPO</t>
  </si>
  <si>
    <t>via Dante Alighieri 295</t>
  </si>
  <si>
    <t>francescociccale@alice.it</t>
  </si>
  <si>
    <t>B&amp;B L'OLIVETO</t>
  </si>
  <si>
    <t>contrada San Domenico 53/a</t>
  </si>
  <si>
    <t>raniericatia1@gmail.com</t>
  </si>
  <si>
    <t>B&amp;B IL DORMIGLIONE</t>
  </si>
  <si>
    <t>via Custoza 32</t>
  </si>
  <si>
    <t>www.bebildormiglione.it</t>
  </si>
  <si>
    <t>lucianaverdini@hotmail.it</t>
  </si>
  <si>
    <t>GIRASOLE</t>
  </si>
  <si>
    <t>via Cristoforo Colombo 204</t>
  </si>
  <si>
    <t>www.hotelristorantegirasole.com</t>
  </si>
  <si>
    <t>info@hotelristorantegirasole.com</t>
  </si>
  <si>
    <t>HOTEL PALACE</t>
  </si>
  <si>
    <t>corso Umberto I 1</t>
  </si>
  <si>
    <t>www.royalre.it</t>
  </si>
  <si>
    <t>palace@royalre.it</t>
  </si>
  <si>
    <t>HOTEL CHIARALUNA</t>
  </si>
  <si>
    <t>via del Grappa 37</t>
  </si>
  <si>
    <t>www.hotelchiaraluna.it</t>
  </si>
  <si>
    <t>info@hotelchiaraluna.it</t>
  </si>
  <si>
    <t>viale Giacomo Matteotti 1</t>
  </si>
  <si>
    <t>www.miramarecivitanova.com</t>
  </si>
  <si>
    <t>info@miramarecivitanova.com</t>
  </si>
  <si>
    <t>AQUAMARINA</t>
  </si>
  <si>
    <t>viale Giacomo Matteotti 47</t>
  </si>
  <si>
    <t>www.hotelaquamarina.it</t>
  </si>
  <si>
    <t>info@hotelaquamarina.it</t>
  </si>
  <si>
    <t>BIRILLI</t>
  </si>
  <si>
    <t>via Regina Elena 109 b</t>
  </si>
  <si>
    <t>http://www.hotelbirilli.it/</t>
  </si>
  <si>
    <t>direzione@hotelbirilli.it</t>
  </si>
  <si>
    <t>SOLARIUM</t>
  </si>
  <si>
    <t>via giosue' carducci 33</t>
  </si>
  <si>
    <t>www.hotelsolarium.com</t>
  </si>
  <si>
    <t>hotelsolarium@hotelsolarium.com</t>
  </si>
  <si>
    <t>viale VI Novembre 256</t>
  </si>
  <si>
    <t>info@gabbianohotelcivitanova.it</t>
  </si>
  <si>
    <t>VELUS</t>
  </si>
  <si>
    <t>viale iv Novembre 68</t>
  </si>
  <si>
    <t>www.hotelvelus.it</t>
  </si>
  <si>
    <t>info@hotelvelus.it</t>
  </si>
  <si>
    <t>B.&amp; B. Le Palme</t>
  </si>
  <si>
    <t>via principe di piemonte 54</t>
  </si>
  <si>
    <t>biancucci.franco@gmail.com</t>
  </si>
  <si>
    <t>CAMPOLUNGO</t>
  </si>
  <si>
    <t>contrada Migliarino 30</t>
  </si>
  <si>
    <t>cescam@libero.it</t>
  </si>
  <si>
    <t>CENTRO TURISTICO BELVEDERE</t>
  </si>
  <si>
    <t>via Montecucco 19</t>
  </si>
  <si>
    <t xml:space="preserve"> CIVITANOVA MARCHE</t>
  </si>
  <si>
    <t>www.campingbelvedere.net</t>
  </si>
  <si>
    <t>info@campingbelvedere.net</t>
  </si>
  <si>
    <t>RAPHAEL BEACH</t>
  </si>
  <si>
    <t>LUNGOMARE PIERMANNI 2</t>
  </si>
  <si>
    <t>info@raphaelbeach.com</t>
  </si>
  <si>
    <t>www.raphaelbeach.com</t>
  </si>
  <si>
    <t>SONAMAR</t>
  </si>
  <si>
    <t>Viale IV Novembre 29</t>
  </si>
  <si>
    <t>DA SANTINA</t>
  </si>
  <si>
    <t>Via Cristoforo Colombo 42</t>
  </si>
  <si>
    <t>SOLEMAR</t>
  </si>
  <si>
    <t>Lungomare Piermanni 5</t>
  </si>
  <si>
    <t>CROCE DEL SUD</t>
  </si>
  <si>
    <t>Lungomare Piermanni 7</t>
  </si>
  <si>
    <t>ROLANDO</t>
  </si>
  <si>
    <t>Lungomare Piermanni 10</t>
  </si>
  <si>
    <t>Lungomare Piermanni 16</t>
  </si>
  <si>
    <t>BAGNI ARTURO</t>
  </si>
  <si>
    <t>Lungomare Piermanni 15</t>
  </si>
  <si>
    <t>albacardelli@libero.it</t>
  </si>
  <si>
    <t>MIRRO'</t>
  </si>
  <si>
    <t>Lungomare Piermanni 8</t>
  </si>
  <si>
    <t>LIDO CRISTALLO</t>
  </si>
  <si>
    <t>Lungomare Piermanni 6</t>
  </si>
  <si>
    <t>STABILIMENTO BALNEARE G7</t>
  </si>
  <si>
    <t>Viale Giacomo Matteotti snc</t>
  </si>
  <si>
    <t>CARIBEAN</t>
  </si>
  <si>
    <t>Viale IV Novembre 40</t>
  </si>
  <si>
    <t>caribean@alice.it</t>
  </si>
  <si>
    <t>LUIGI XIV - RE SOLE</t>
  </si>
  <si>
    <t>Viale IV Novembre 32</t>
  </si>
  <si>
    <t>viale iv novembre 1 1</t>
  </si>
  <si>
    <t>MAREBELLO</t>
  </si>
  <si>
    <t>lungomare piermanni 1 1</t>
  </si>
  <si>
    <t>ALOHA</t>
  </si>
  <si>
    <t>balnearealoha@gmail.com</t>
  </si>
  <si>
    <t>GIOVANNI &amp; ANNA</t>
  </si>
  <si>
    <t>Lungomare Piermanni 17</t>
  </si>
  <si>
    <t>catia.bigoni@fastwebnet.it</t>
  </si>
  <si>
    <t>https://www.facebook.com/Ristorante.Giovanni.e.Ann</t>
  </si>
  <si>
    <t>LA CONTESSA</t>
  </si>
  <si>
    <t>Viale Giacomo Matteotti 145</t>
  </si>
  <si>
    <t>infoavallone@studioavallone.it</t>
  </si>
  <si>
    <t>STABILIMENTO BALNEARE FILIPPO</t>
  </si>
  <si>
    <t>Viale IV Novembre snc</t>
  </si>
  <si>
    <t>BAGNI GALLIANO</t>
  </si>
  <si>
    <t>Viale Giacomo Matteotti 24/A</t>
  </si>
  <si>
    <t>ATTILIO</t>
  </si>
  <si>
    <t>Viale Giacomo Matteotti 21</t>
  </si>
  <si>
    <t>lucia.montanari@fastwebnet.it</t>
  </si>
  <si>
    <t>www.attilio.it</t>
  </si>
  <si>
    <t>DAL VENEZIANO</t>
  </si>
  <si>
    <t>viale giacomo matteotti 1 1</t>
  </si>
  <si>
    <t>STABILIMENTO BALNEARE GOLDEN BEACH</t>
  </si>
  <si>
    <t>viale IV novembre scn scn</t>
  </si>
  <si>
    <t>LAMPARA CIVITANOVA S.N.C. di BROCCOLO UGO &amp; C.</t>
  </si>
  <si>
    <t>viale iv novembre 290 294</t>
  </si>
  <si>
    <t>Viale IV Novembre 30</t>
  </si>
  <si>
    <t>STABILIMENTO BALNEARE ANTONIO</t>
  </si>
  <si>
    <t>Lungomare Piermanni 1 B 1 B</t>
  </si>
  <si>
    <t>STAB.BALNEARE CIMA</t>
  </si>
  <si>
    <t>Lungomare Piermanni 4</t>
  </si>
  <si>
    <t>GIANFRANCO</t>
  </si>
  <si>
    <t>Lungomare Piermanni 9</t>
  </si>
  <si>
    <t>BATIK</t>
  </si>
  <si>
    <t>Viale Giacomo Matteotti 24/B</t>
  </si>
  <si>
    <t>CHALET GALILEO</t>
  </si>
  <si>
    <t>CAPOLINEA</t>
  </si>
  <si>
    <t>Viale IV Novembre 39</t>
  </si>
  <si>
    <t>mizio0503@libero.it</t>
  </si>
  <si>
    <t>STABILIMENTO BALNEARE MARIA GABRIELLA</t>
  </si>
  <si>
    <t>viale IV novembre 276 276</t>
  </si>
  <si>
    <t>GIGETTA</t>
  </si>
  <si>
    <t>Lungomare Piermanni 13</t>
  </si>
  <si>
    <t>HOSVI - CONCESSIONE N 23</t>
  </si>
  <si>
    <t>Viale Giacomo Matteotti 23</t>
  </si>
  <si>
    <t>info@hosvi.it</t>
  </si>
  <si>
    <t>www.hosvi.it</t>
  </si>
  <si>
    <t>LA CELESTE DI ELISEI NICOLETTA</t>
  </si>
  <si>
    <t>LA LOCANDA DEL CAVALIERE</t>
  </si>
  <si>
    <t>via gastone corti 48</t>
  </si>
  <si>
    <t>www.locandadeicavalieri.com</t>
  </si>
  <si>
    <t>locandadeicavalieri@yahoo.it</t>
  </si>
  <si>
    <t>AGRITURISMO PARISI</t>
  </si>
  <si>
    <t>contrada Grazie 4</t>
  </si>
  <si>
    <t>www.agriturismoparisi@libero.it</t>
  </si>
  <si>
    <t>agriturismoparisi@libero.it</t>
  </si>
  <si>
    <t>B&amp;B LA CASA TRA GLI ULIVI</t>
  </si>
  <si>
    <t>strada Palazzaccio - Contrada Migliarino 25/a</t>
  </si>
  <si>
    <t>www.lacasatragliulivi.com</t>
  </si>
  <si>
    <t>sandra@lacasatragliulivi.com</t>
  </si>
  <si>
    <t>B&amp;B TARCHI LEONARDO</t>
  </si>
  <si>
    <t>via Goffredo Mameli 46</t>
  </si>
  <si>
    <t>www.bebilcortile.com</t>
  </si>
  <si>
    <t>info@bebilcortile.com</t>
  </si>
  <si>
    <t>BOMPADRE ANGELO</t>
  </si>
  <si>
    <t>piane chienti 67</t>
  </si>
  <si>
    <t>info@bompadre-a.it</t>
  </si>
  <si>
    <t>B&amp;B TIERRA CRISTIANA</t>
  </si>
  <si>
    <t>contrada asola 12</t>
  </si>
  <si>
    <t>info@tierra-cristiana.com</t>
  </si>
  <si>
    <t>IL TIMONE</t>
  </si>
  <si>
    <t>via Matteo Ricci 61</t>
  </si>
  <si>
    <t>timone_civitanova@hotmail.com</t>
  </si>
  <si>
    <t>B&amp;B LA CELESTE</t>
  </si>
  <si>
    <t>contrada Celeste  7</t>
  </si>
  <si>
    <t>http://lacelestebb.wix.com/la-celeste-beb</t>
  </si>
  <si>
    <t>lucamalag@libero.it</t>
  </si>
  <si>
    <t>RUFFINI ANTONIO N. 1/C</t>
  </si>
  <si>
    <t>lungomare piermanni 1 C 1 C</t>
  </si>
  <si>
    <t>CARACOLES</t>
  </si>
  <si>
    <t>Lungomare Piermanni 3</t>
  </si>
  <si>
    <t>MYM</t>
  </si>
  <si>
    <t>Lungomare Piermanni 10/A</t>
  </si>
  <si>
    <t>http://www.myspace.com/mymdiscoclub#sthash.QODVKk1</t>
  </si>
  <si>
    <t>ET'NA'</t>
  </si>
  <si>
    <t>Lungomare Piermanni 12</t>
  </si>
  <si>
    <t>et-na@libero.it</t>
  </si>
  <si>
    <t>L'OASI</t>
  </si>
  <si>
    <t>Lungomare Piermanni 14</t>
  </si>
  <si>
    <t>info@loasi.com</t>
  </si>
  <si>
    <t>http://www.ristorantespecialitapesce.com/</t>
  </si>
  <si>
    <t>FEDERICO</t>
  </si>
  <si>
    <t>Viale IV Novembre 26</t>
  </si>
  <si>
    <t>christian@eurospedizioni.com</t>
  </si>
  <si>
    <t>IPPOCAMPO - N. 35</t>
  </si>
  <si>
    <t>ippocampo2012@gmail.com</t>
  </si>
  <si>
    <t>LIDO DELLA POLIZIA - N. 36</t>
  </si>
  <si>
    <t>CIRCOLO STAB. BALNEARE LIDO DEL CARABINIERE - N. 37</t>
  </si>
  <si>
    <t>VIRGOLA ZERO UNO - N. 43</t>
  </si>
  <si>
    <t>Contrada Foce Asola snc snc</t>
  </si>
  <si>
    <t>SERI GIUSEPPE</t>
  </si>
  <si>
    <t>Via Fiastra 34</t>
  </si>
  <si>
    <t>COLMURANO</t>
  </si>
  <si>
    <t>www.hotelseri.it</t>
  </si>
  <si>
    <t>hotelseri@alice.it</t>
  </si>
  <si>
    <t>IL CASALE DI AURORA</t>
  </si>
  <si>
    <t>c.da Fiastra 21/a</t>
  </si>
  <si>
    <t>smerillimichela@yahoo.it</t>
  </si>
  <si>
    <t>AZIENDA AGRICOLA AGRA MATER</t>
  </si>
  <si>
    <t>VIA CONTRADA MONTI3 3</t>
  </si>
  <si>
    <t>www.agramater.com</t>
  </si>
  <si>
    <t>info@agramater.com</t>
  </si>
  <si>
    <t>B&amp;B CASALE CIGLIANO</t>
  </si>
  <si>
    <t>c.da Cigliano 16</t>
  </si>
  <si>
    <t>CORRIDONIA</t>
  </si>
  <si>
    <t>vivianapa@fastwebmail.it; casalecigliano@yahoo.it</t>
  </si>
  <si>
    <t>viale Santa Croce 68</t>
  </si>
  <si>
    <t>www.primitaly.it/bb/ilgirasole</t>
  </si>
  <si>
    <t>info@bb-ilgirasole.it</t>
  </si>
  <si>
    <t>CASINA FOGLIETTI</t>
  </si>
  <si>
    <t>contrada Cigliano 24/A</t>
  </si>
  <si>
    <t>www.casinafoglietti.it</t>
  </si>
  <si>
    <t>info@casinafoglietti.it</t>
  </si>
  <si>
    <t>HOTEL SAN CLAUDIO</t>
  </si>
  <si>
    <t>contrada San Claudio 14</t>
  </si>
  <si>
    <t>www.hotelsanclaudio.it</t>
  </si>
  <si>
    <t>info@hotelsanclaudio.it</t>
  </si>
  <si>
    <t>LA CASA DI PEPPA</t>
  </si>
  <si>
    <t>via Pinto  20</t>
  </si>
  <si>
    <t>mixsil_@libero.it</t>
  </si>
  <si>
    <t>B&amp;B SBERGAMI PAOLA</t>
  </si>
  <si>
    <t>via Trodica 9</t>
  </si>
  <si>
    <t>San Claudio</t>
  </si>
  <si>
    <t>www.bebaquisgrana.com</t>
  </si>
  <si>
    <t>info@bebaquisgrana.com</t>
  </si>
  <si>
    <t>VILLA SANT'ISIDORO</t>
  </si>
  <si>
    <t>c.da Colle Sant'Isidoro 5</t>
  </si>
  <si>
    <t>www.villasantisidoro.it</t>
  </si>
  <si>
    <t>info@villasantisidoro.it</t>
  </si>
  <si>
    <t>CASAL GABBI</t>
  </si>
  <si>
    <t>c.da Gabbi 11</t>
  </si>
  <si>
    <t>info@casalgabbi.it</t>
  </si>
  <si>
    <t>APOLLO 17</t>
  </si>
  <si>
    <t>via Liguria 2</t>
  </si>
  <si>
    <t>info@apollo17.it</t>
  </si>
  <si>
    <t>HOTEL CAMERLENGO</t>
  </si>
  <si>
    <t>via Santa Maria 2</t>
  </si>
  <si>
    <t>www.hotelcamerlengo.com</t>
  </si>
  <si>
    <t>info@hotelcamerlengo.com</t>
  </si>
  <si>
    <t>HOTEL GRASSETTI</t>
  </si>
  <si>
    <t>via romolo murri 1</t>
  </si>
  <si>
    <t>www.grassetti.it</t>
  </si>
  <si>
    <t>info@grassetti.it</t>
  </si>
  <si>
    <t>FARANGHE CAMPING</t>
  </si>
  <si>
    <t>località Masciano 79</t>
  </si>
  <si>
    <t>ESANATOGLIA</t>
  </si>
  <si>
    <t>LOC. MASCIANO</t>
  </si>
  <si>
    <t>info@faranghe.eu</t>
  </si>
  <si>
    <t>B&amp;B LA CASA DI PAGLIA</t>
  </si>
  <si>
    <t>via Borgo san Rocco 19</t>
  </si>
  <si>
    <t>luca.paglia83@gmail.com</t>
  </si>
  <si>
    <t>AFFITTACAMERE LA PIEVE</t>
  </si>
  <si>
    <t>Esanatoglia</t>
  </si>
  <si>
    <t>info@ristorantegrillcross.it</t>
  </si>
  <si>
    <t>FARANGHE DI BOES MARCUS PETRUS CONTRY HOUSE</t>
  </si>
  <si>
    <t>localita' masciano 79</t>
  </si>
  <si>
    <t>info@vakantieinitalie.eu</t>
  </si>
  <si>
    <t>AFFITTACAMERE TRABALLONI FEDERICA</t>
  </si>
  <si>
    <t>borgo san giovanni 33</t>
  </si>
  <si>
    <t>debby.brugnolaòlibero.it</t>
  </si>
  <si>
    <t>B&amp;B LA CANONICA</t>
  </si>
  <si>
    <t>LOCALITA' PALAZZO</t>
  </si>
  <si>
    <t>info@bedandbreakfast-lacanonica.it</t>
  </si>
  <si>
    <t>EDILFALZETTI 2000 SNC DI FALZETTI DANIELA E LISIANA</t>
  </si>
  <si>
    <t>localita' Bresciano 1</t>
  </si>
  <si>
    <t>edilfalzetti2000snc@libero.it</t>
  </si>
  <si>
    <t>B&amp;B BELVEDERE SUL LAGO</t>
  </si>
  <si>
    <t>via ruffella 2</t>
  </si>
  <si>
    <t>FIASTRA</t>
  </si>
  <si>
    <t>a-merlini@libero.it</t>
  </si>
  <si>
    <t>LA Ro.Sa.</t>
  </si>
  <si>
    <t>via san lorenzo in colpolina 21</t>
  </si>
  <si>
    <t>www.larosabeb.it</t>
  </si>
  <si>
    <t>sabrina.sim@tiscali.it</t>
  </si>
  <si>
    <t>AGRITURISMO DUE SORELLE</t>
  </si>
  <si>
    <t>via Chiesa San Martino 6</t>
  </si>
  <si>
    <t>www.due-sorelle.com</t>
  </si>
  <si>
    <t>info@due-sorelle.com</t>
  </si>
  <si>
    <t>B&amp;B LA COCCINELLA</t>
  </si>
  <si>
    <t>via Umberto I 37</t>
  </si>
  <si>
    <t>www.bandblacoccinella.it</t>
  </si>
  <si>
    <t>bandblacoccinella@gmail.com</t>
  </si>
  <si>
    <t>LOCALITA' SAN LORENZO AL LAGO</t>
  </si>
  <si>
    <t>CAMPO DEL RIO</t>
  </si>
  <si>
    <t>frazione di Rio 8</t>
  </si>
  <si>
    <t>info@campodelrio.it</t>
  </si>
  <si>
    <t>IL TRIBBIO DI RICOTTINI GIANCARLO</t>
  </si>
  <si>
    <t>via Monte Coglia snc</t>
  </si>
  <si>
    <t>www.rifugioditribbio.com</t>
  </si>
  <si>
    <t>info@rifugioditribbio.com</t>
  </si>
  <si>
    <t>CAMPING AL LAGO</t>
  </si>
  <si>
    <t>via Colpodalla 17/A</t>
  </si>
  <si>
    <t>www.bsidecamp.it</t>
  </si>
  <si>
    <t>info@bsidecamp.it</t>
  </si>
  <si>
    <t>ALBERGO SASSO BIANCO</t>
  </si>
  <si>
    <t>via Madonna Sasso Bianco  5</t>
  </si>
  <si>
    <t>www.albergosassobianco.com</t>
  </si>
  <si>
    <t>info@albergosassobianco.com</t>
  </si>
  <si>
    <t>LELI FIORENZO</t>
  </si>
  <si>
    <t>via circonvallazione del lago 19</t>
  </si>
  <si>
    <t>osteriadellago19@gmail.com</t>
  </si>
  <si>
    <t>CASA MAMELI</t>
  </si>
  <si>
    <t>via Paladue 38</t>
  </si>
  <si>
    <t>DEGLI ALTI PASCOLI (3481)</t>
  </si>
  <si>
    <t>via Sant' Ilario 10</t>
  </si>
  <si>
    <t>www.agriturismodeglialtipascoli.it</t>
  </si>
  <si>
    <t>info@agriturismodeglialtipascoli.it</t>
  </si>
  <si>
    <t>via sant' ilario 1</t>
  </si>
  <si>
    <t>DEGLI ALTI PASCOLI (5206)</t>
  </si>
  <si>
    <t>via Sant'Ilario 10</t>
  </si>
  <si>
    <t>CAMPING NATURALISTICO BELVEDERE RUFELLA</t>
  </si>
  <si>
    <t>loc.Fiegni</t>
  </si>
  <si>
    <t>www.campingnaturalisticofiastra.it</t>
  </si>
  <si>
    <t>info@campingnaturalisticofiastra.it</t>
  </si>
  <si>
    <t>AGRITURISMO BORGO RURALE</t>
  </si>
  <si>
    <t>via Sant' Ilario 1</t>
  </si>
  <si>
    <t>AGRITURISMO FONTE ROSA</t>
  </si>
  <si>
    <t>Via Collevecchio 1</t>
  </si>
  <si>
    <t>www.fonterosa.eu</t>
  </si>
  <si>
    <t>l.autorino@me.com</t>
  </si>
  <si>
    <t>VARAGONA MARIA</t>
  </si>
  <si>
    <t>colle di Fiastra 51</t>
  </si>
  <si>
    <t>www.antichigelsi.it</t>
  </si>
  <si>
    <t>mgiovannavaragona@gmail.com</t>
  </si>
  <si>
    <t>via G. Lapucci snc</t>
  </si>
  <si>
    <t>FIORDIMONTE</t>
  </si>
  <si>
    <t>loc.Castello di Fiordimonte</t>
  </si>
  <si>
    <t>www.bnbilcastello.com</t>
  </si>
  <si>
    <t>bnbilcastello@gmail.com</t>
  </si>
  <si>
    <t>AREA DI SOSTA CAMPER AL PONTE</t>
  </si>
  <si>
    <t>FIUMINATA</t>
  </si>
  <si>
    <t>località Colle San Pietro</t>
  </si>
  <si>
    <t>fiuminatavalleapert@libero.it</t>
  </si>
  <si>
    <t>LA CASTAGNA</t>
  </si>
  <si>
    <t>localita' castagna 17</t>
  </si>
  <si>
    <t>www.agriturismolacastagna.com</t>
  </si>
  <si>
    <t>mazzalupi.claudio@gmail.com</t>
  </si>
  <si>
    <t>AGRITURISMO COLLE di ROSA OLIVIERI</t>
  </si>
  <si>
    <t>frazione Fonte di Brescia 3</t>
  </si>
  <si>
    <t>www.agriturismocolle.it</t>
  </si>
  <si>
    <t>rosa_olivieri@libero.it</t>
  </si>
  <si>
    <t>RESIDENCE GRAZIELLA di BOTTEI MARIA GRAZIA</t>
  </si>
  <si>
    <t>piazzale della Vittoria 17</t>
  </si>
  <si>
    <t>FONTERAMA  FASHION FUR di MOSCETTI MAURIZIO</t>
  </si>
  <si>
    <t>frazione Fonterama 4</t>
  </si>
  <si>
    <t>GAGLIOLE</t>
  </si>
  <si>
    <t>www.residencefonterama.it</t>
  </si>
  <si>
    <t>residencefonterama@libero.it</t>
  </si>
  <si>
    <t>LOCANDA SAN ROCCO</t>
  </si>
  <si>
    <t>Collaiello 2</t>
  </si>
  <si>
    <t>Frazione Collaiello</t>
  </si>
  <si>
    <t>locandasanrocco@libero.it</t>
  </si>
  <si>
    <t>LE ROVERELLE</t>
  </si>
  <si>
    <t>localita' feggiano 12</t>
  </si>
  <si>
    <t>FONTERAMA di BENI MARIA TERESA</t>
  </si>
  <si>
    <t>loc.Fonterama 4</t>
  </si>
  <si>
    <t>FONTERAMA</t>
  </si>
  <si>
    <t>AGRITURISMO FONTERAMA di FASHION FUR</t>
  </si>
  <si>
    <t>via Tomassucci 9</t>
  </si>
  <si>
    <t>GUALDO</t>
  </si>
  <si>
    <t>claudia.zavaglini@gmail.com</t>
  </si>
  <si>
    <t>DI LUCA SANTE</t>
  </si>
  <si>
    <t>contrada morrone 12</t>
  </si>
  <si>
    <t>sante.diluca@alice.it</t>
  </si>
  <si>
    <t>IL CASALE DI GUALDO</t>
  </si>
  <si>
    <t>C.DA TOMASSUCCI</t>
  </si>
  <si>
    <t>WWW.COUNTRYHOUSECASALEDIGUALDO.IT</t>
  </si>
  <si>
    <t>damiano.c@tiscali.it</t>
  </si>
  <si>
    <t>IL SALINO</t>
  </si>
  <si>
    <t>contrada contro 20</t>
  </si>
  <si>
    <t>www.ilsalino.com</t>
  </si>
  <si>
    <t>info@ilsalino.com</t>
  </si>
  <si>
    <t>AGRITURISMO LA PIEVE di STRAFFI ADINO &amp; ERMINI MARIA LUISA</t>
  </si>
  <si>
    <t>contrada Picacchi 1</t>
  </si>
  <si>
    <t>www.lapieveagriturismo.com</t>
  </si>
  <si>
    <t>info@lapieveagriturismo.com</t>
  </si>
  <si>
    <t>HUNTERS LODCE</t>
  </si>
  <si>
    <t>c.da Scarchi 16</t>
  </si>
  <si>
    <t>2 km al di fuori Gualdo sulla strada che conduce alla SS78</t>
  </si>
  <si>
    <t>www.hunters-lodge.org</t>
  </si>
  <si>
    <t>kentreves@tiscali.it</t>
  </si>
  <si>
    <t>WELCH RACHAEL</t>
  </si>
  <si>
    <t>c.da Bartollotti 24</t>
  </si>
  <si>
    <t>c.da Bartollotti</t>
  </si>
  <si>
    <t>lynnebowman@tiscali.it; kentreves@tiscali.it</t>
  </si>
  <si>
    <t>GRISI JAMES ROBERT</t>
  </si>
  <si>
    <t>via Massignano 29</t>
  </si>
  <si>
    <t>laborlawyer@live.com; sundaydipalma@yahoo.com</t>
  </si>
  <si>
    <t>KEVIN GARRETT</t>
  </si>
  <si>
    <t>via Marrone 37</t>
  </si>
  <si>
    <t>via Morrone 37</t>
  </si>
  <si>
    <t>casadorato311@hotmail.com</t>
  </si>
  <si>
    <t>FALLI LORENZO</t>
  </si>
  <si>
    <t>via Marchesi 26</t>
  </si>
  <si>
    <t>lorenzo.falli@istruzione.it</t>
  </si>
  <si>
    <t>BIGGAR PATRICIA ANNE</t>
  </si>
  <si>
    <t>via c. Morrone 4</t>
  </si>
  <si>
    <t>trishabiggar@ad.com</t>
  </si>
  <si>
    <t>MAY PATRICIA HELEN ROXBURGH</t>
  </si>
  <si>
    <t>c.da Morrone  5</t>
  </si>
  <si>
    <t>c.da Morrone</t>
  </si>
  <si>
    <t>pattinay@live.co.uk</t>
  </si>
  <si>
    <t>BRAND PIERNITZKI DORIS HELGA BARBEL</t>
  </si>
  <si>
    <t>contrada Contro 7</t>
  </si>
  <si>
    <t>doris@piernitzki.com</t>
  </si>
  <si>
    <t>CARLETTI GIOVANNA</t>
  </si>
  <si>
    <t>contrada Massignano 1</t>
  </si>
  <si>
    <t>FABRIZIO ERMINI</t>
  </si>
  <si>
    <t>via Morrone 2</t>
  </si>
  <si>
    <t>ale.ermini@gmail.com</t>
  </si>
  <si>
    <t>via Dante Alighieri 1</t>
  </si>
  <si>
    <t>AKIKO GOTO</t>
  </si>
  <si>
    <t>contrada Zazza  15,16</t>
  </si>
  <si>
    <t>g_everett@pacifici.net.sg</t>
  </si>
  <si>
    <t>KENNETH WILLIAM EVERETT</t>
  </si>
  <si>
    <t>contrada Zazza 49</t>
  </si>
  <si>
    <t>ken@toyfnet.com</t>
  </si>
  <si>
    <t>CASA DELLE ARTI</t>
  </si>
  <si>
    <t>contrada Marchesi 23</t>
  </si>
  <si>
    <t>agriart@tiscali.it</t>
  </si>
  <si>
    <t>WALES IAIN WILLIAM</t>
  </si>
  <si>
    <t>iain.wales@gmail.com</t>
  </si>
  <si>
    <t>AMSTERDAM</t>
  </si>
  <si>
    <t>contrada Zazza 22</t>
  </si>
  <si>
    <t>Gualdo</t>
  </si>
  <si>
    <t>www.villanumoviv.com</t>
  </si>
  <si>
    <t>jeroen@villanumoviv.com; jeroenbults@me.com</t>
  </si>
  <si>
    <t>O'VIV</t>
  </si>
  <si>
    <t>marleen@villanumoviv.com; marleentijdeman@me.com</t>
  </si>
  <si>
    <t>CASA MILLIE</t>
  </si>
  <si>
    <t>contrada Zaza 47</t>
  </si>
  <si>
    <t>marcspendlove@gmail.com</t>
  </si>
  <si>
    <t>MANLIO TULLIANI AGOSTINI</t>
  </si>
  <si>
    <t>c.da Valle 1</t>
  </si>
  <si>
    <t>tulliani@montiazzurri.com</t>
  </si>
  <si>
    <t>AGRITURISMO VILLA TI AMO</t>
  </si>
  <si>
    <t>contrada Bartolotti  16</t>
  </si>
  <si>
    <t>www.villatiamo.nl</t>
  </si>
  <si>
    <t>villatiamo@live.nl</t>
  </si>
  <si>
    <t>ELISEI NICOLA</t>
  </si>
  <si>
    <t>www.agriturismoelisei.it</t>
  </si>
  <si>
    <t>agriturismo.elisei@tiscali.it</t>
  </si>
  <si>
    <t>B&amp;B TULLIANI</t>
  </si>
  <si>
    <t>www.montiazzurri.com</t>
  </si>
  <si>
    <t>AGRITURISMO LOCALITA' CASTELLO</t>
  </si>
  <si>
    <t>contrada Castello 1</t>
  </si>
  <si>
    <t>B&amp;B IL PICACCHIO</t>
  </si>
  <si>
    <t>contrada Picacchi 15</t>
  </si>
  <si>
    <t>www.ilpicacchio.com</t>
  </si>
  <si>
    <t>info@ilpicacchio.com</t>
  </si>
  <si>
    <t>ISIDORI PATRIZIO</t>
  </si>
  <si>
    <t>via papa sisto iv 1</t>
  </si>
  <si>
    <t>manila.isidori@alice.it</t>
  </si>
  <si>
    <t>AGRITURISMO LE MORRETTE</t>
  </si>
  <si>
    <t>contrada contro 49</t>
  </si>
  <si>
    <t>IL FEUDO DEI CIPRESSI</t>
  </si>
  <si>
    <t>contrada grazie fiastra 32</t>
  </si>
  <si>
    <t>LORO PICENO</t>
  </si>
  <si>
    <t>www.feudodeicipressi.it</t>
  </si>
  <si>
    <t>guidopallotta@alice.it</t>
  </si>
  <si>
    <t>B&amp;B VARCO</t>
  </si>
  <si>
    <t>contrada San Valentino Campo Largo 2</t>
  </si>
  <si>
    <t>www.bbvarco.it</t>
  </si>
  <si>
    <t>info@bbvarco.it</t>
  </si>
  <si>
    <t>AGRITURISMO VILLA LE VIGNE di SAPUTI ALVARO</t>
  </si>
  <si>
    <t>contrada appezzana 80</t>
  </si>
  <si>
    <t>www.agriturismovillalevigne.it</t>
  </si>
  <si>
    <t>info@saputi.it</t>
  </si>
  <si>
    <t>ACQUAVIVA di CECCHI PEPPINO</t>
  </si>
  <si>
    <t>contrada acquaviva san paterniano 34</t>
  </si>
  <si>
    <t>www.countryhouseacquaviva.it</t>
  </si>
  <si>
    <t>p.cecchi@tiscali.it</t>
  </si>
  <si>
    <t>LE GRAZIE</t>
  </si>
  <si>
    <t>contrada grazie fiastra 1</t>
  </si>
  <si>
    <t>B&amp;B LUANA</t>
  </si>
  <si>
    <t>via Grazie Fiastra 43/F</t>
  </si>
  <si>
    <t>Loro Piceno</t>
  </si>
  <si>
    <t>daluana@virgilio.it</t>
  </si>
  <si>
    <t>B&amp;B AL CASALE</t>
  </si>
  <si>
    <t>viale vittoria 143</t>
  </si>
  <si>
    <t>www.alcasale.com</t>
  </si>
  <si>
    <t>barbara@borgosorbatti.it</t>
  </si>
  <si>
    <t>CASA VALENTINA di MOODY BARRY</t>
  </si>
  <si>
    <t>Contrada San Valentino  39</t>
  </si>
  <si>
    <t>barry.moody@thomsonreuters.com</t>
  </si>
  <si>
    <t>CHRISTOPHER GERALD THORP</t>
  </si>
  <si>
    <t>Contrada Salsaro Ete 50</t>
  </si>
  <si>
    <t>B&amp;B DELL'ORSO GIUSEPPE</t>
  </si>
  <si>
    <t>via Regina Margherita 2</t>
  </si>
  <si>
    <t>peppecotto@tiscali.it</t>
  </si>
  <si>
    <t>B&amp;B CASA PISANI</t>
  </si>
  <si>
    <t>via Cremone Gabbette 58A</t>
  </si>
  <si>
    <t>www.casapisani.it</t>
  </si>
  <si>
    <t>restpisani@libero.it</t>
  </si>
  <si>
    <t>AGRITURISMO CAMPOLARGO di MARCHESINI ATTILIO</t>
  </si>
  <si>
    <t>strada valentino 1</t>
  </si>
  <si>
    <t>www.agriturismocampolargo.it</t>
  </si>
  <si>
    <t>info@agriturismocampolargo.it</t>
  </si>
  <si>
    <t>SILVETTI GIANFRANCO E GAETANO</t>
  </si>
  <si>
    <t>c.da Grazie Fiastra 65</t>
  </si>
  <si>
    <t>lasorgentedelbeato@gmail.com</t>
  </si>
  <si>
    <t>CARDARELLI MIRYAM</t>
  </si>
  <si>
    <t>contrada appezzana 24</t>
  </si>
  <si>
    <t>italianartandfood.it</t>
  </si>
  <si>
    <t>guidaartclub@gmail.com</t>
  </si>
  <si>
    <t>CASA AZZURRA</t>
  </si>
  <si>
    <t>contrada grazie fiastra 67 B</t>
  </si>
  <si>
    <t>www.casaazzurra.it</t>
  </si>
  <si>
    <t>info@casaazzurra.it</t>
  </si>
  <si>
    <t>AZIENDA MASTROCOLA</t>
  </si>
  <si>
    <t>c.da Salsaro Ete 37</t>
  </si>
  <si>
    <t>www.azienda-mastrocola.com</t>
  </si>
  <si>
    <t>info@azienda-mastrocola.com</t>
  </si>
  <si>
    <t>BORGO SORBATTI</t>
  </si>
  <si>
    <t>viale vittoria 137</t>
  </si>
  <si>
    <t>www.borgosorbatti.it</t>
  </si>
  <si>
    <t>HOFSTEEDE SARAH</t>
  </si>
  <si>
    <t>Via Salsaro Ete 37</t>
  </si>
  <si>
    <t>donall@donall.it</t>
  </si>
  <si>
    <t>CHRISTINUS ADRIANUS</t>
  </si>
  <si>
    <t>Via Salsaro Ete SNC</t>
  </si>
  <si>
    <t>VILLA ANITORI</t>
  </si>
  <si>
    <t>Contrada S. Valentino Campolargo 53</t>
  </si>
  <si>
    <t>info@villaanitori.it</t>
  </si>
  <si>
    <t>B&amp;B MACERATA</t>
  </si>
  <si>
    <t>Via 2 agosto 1980 15</t>
  </si>
  <si>
    <t>MACERATA</t>
  </si>
  <si>
    <t>bbmacerata@gmail.com</t>
  </si>
  <si>
    <t>B&amp;B CASA CETTINA</t>
  </si>
  <si>
    <t>Via Antonio Piani 46</t>
  </si>
  <si>
    <t>manzcon@libero.it</t>
  </si>
  <si>
    <t>LA CASA DI OLIVA</t>
  </si>
  <si>
    <t>Corso Cavour 24</t>
  </si>
  <si>
    <t>studioenricoleli@gmail.com</t>
  </si>
  <si>
    <t>B&amp;B ANGELOZZI DE FEUDIS GIACOMO</t>
  </si>
  <si>
    <t>Via Cincinelli 38</t>
  </si>
  <si>
    <t>www.bbangelozzi.it</t>
  </si>
  <si>
    <t>bbandreozzi@gmail.com</t>
  </si>
  <si>
    <t>LA COCOLLA</t>
  </si>
  <si>
    <t>Via dell'Asilo 6</t>
  </si>
  <si>
    <t>laisfiuza@gmail.com</t>
  </si>
  <si>
    <t>LA ROSA BIANCA</t>
  </si>
  <si>
    <t>Via S. Stefano 17</t>
  </si>
  <si>
    <t>annalisacirilli67@gmail.com</t>
  </si>
  <si>
    <t>BERDINI SAURA</t>
  </si>
  <si>
    <t>Vicolo Orfanelli 27/29</t>
  </si>
  <si>
    <t>sauraberdini@gmail.com</t>
  </si>
  <si>
    <t>CASA CORNETO</t>
  </si>
  <si>
    <t>Via Massimo d'Azeglio 40</t>
  </si>
  <si>
    <t>elveziaalgi@gmail.com</t>
  </si>
  <si>
    <t>FORESTERIA ROMA 1 interno 14</t>
  </si>
  <si>
    <t>Via Roma 152</t>
  </si>
  <si>
    <t>staffolani@ilfarosociale.it</t>
  </si>
  <si>
    <t>CASA BATA</t>
  </si>
  <si>
    <t>MARIO BATA' 22</t>
  </si>
  <si>
    <t>Macerata</t>
  </si>
  <si>
    <t>infocasabata@gmail.com</t>
  </si>
  <si>
    <t>B&amp;B HELVIA RECINA</t>
  </si>
  <si>
    <t>via dei Velini 139</t>
  </si>
  <si>
    <t>angela-biondi@alice.it</t>
  </si>
  <si>
    <t>B&amp;B VILLA LUCIA</t>
  </si>
  <si>
    <t>borgo Pompeo Compagnoni</t>
  </si>
  <si>
    <t>decaromaggi@gmail.com</t>
  </si>
  <si>
    <t>B&amp;B IL PICCOLO FRUTTETO</t>
  </si>
  <si>
    <t>VIA FRANCESCO PANFILO 91</t>
  </si>
  <si>
    <t>simonagiri@live.com</t>
  </si>
  <si>
    <t>AGRITURISMO I VALERIANI</t>
  </si>
  <si>
    <t>contrada Valle 5</t>
  </si>
  <si>
    <t>agriturismo@agriturismoivaleriani.com</t>
  </si>
  <si>
    <t>B&amp;B LI DOLCI COLLI</t>
  </si>
  <si>
    <t>contrada lornano 47</t>
  </si>
  <si>
    <t>www.lidolcicolli.it</t>
  </si>
  <si>
    <t>info@lidolcicolli.it</t>
  </si>
  <si>
    <t>B&amp;B VILLA MARTINI</t>
  </si>
  <si>
    <t>via dei velini 229</t>
  </si>
  <si>
    <t>villamartini@libero.it</t>
  </si>
  <si>
    <t>DOMUS SAN GIULIANO</t>
  </si>
  <si>
    <t>via cincinelli 4</t>
  </si>
  <si>
    <t>RESIDENCE MADISON VILLAGE</t>
  </si>
  <si>
    <t>via giovanni verga 39</t>
  </si>
  <si>
    <t>www.madisonvillage.it</t>
  </si>
  <si>
    <t>info@madisonvillage.it</t>
  </si>
  <si>
    <t>B&amp;B CASA SALTO</t>
  </si>
  <si>
    <t>via Lauro Rossi 65</t>
  </si>
  <si>
    <t>leticard@libero.it</t>
  </si>
  <si>
    <t>LA CARAVELLA Residenza Universitaria</t>
  </si>
  <si>
    <t>via dei velini 221</t>
  </si>
  <si>
    <t>www.ilfarosociale.it</t>
  </si>
  <si>
    <t>faro.coop@mercurio.it</t>
  </si>
  <si>
    <t>AGRITURISMO FORANO CASA MONTEFERRO</t>
  </si>
  <si>
    <t>AGRITURISMO FORANO CASA OCCHIO DI GALLO</t>
  </si>
  <si>
    <t>contrada cimarella sn</t>
  </si>
  <si>
    <t>B&amp;B MACERATASUBITO</t>
  </si>
  <si>
    <t>via Brigata Macerata 2</t>
  </si>
  <si>
    <t>s.santuccis@libero.it</t>
  </si>
  <si>
    <t>VILLA BIANCA CICCOLINI RESIDENZA D'EPOCA</t>
  </si>
  <si>
    <t>c.da Isola 25</t>
  </si>
  <si>
    <t>Madonna del Monte</t>
  </si>
  <si>
    <t>www.forconipartners.it</t>
  </si>
  <si>
    <t>david.forconi85@libero.it</t>
  </si>
  <si>
    <t>BELOHORIZONTE</t>
  </si>
  <si>
    <t>via 2 Agosto 1980 10</t>
  </si>
  <si>
    <t>www.residencebelohorizonte.com</t>
  </si>
  <si>
    <t>info@residencebelohorizonte.com</t>
  </si>
  <si>
    <t>LA CASA DELLE FAVOLE di SHEILA CONTI</t>
  </si>
  <si>
    <t>via Lattanzio Ventura 141</t>
  </si>
  <si>
    <t>http://sheila.beepworld.it</t>
  </si>
  <si>
    <t>ernestina61@hotmail.it</t>
  </si>
  <si>
    <t>B&amp;B ZAMPOLINI SIMONA</t>
  </si>
  <si>
    <t>contrada Corneto 30</t>
  </si>
  <si>
    <t>zampolsim@alice.it</t>
  </si>
  <si>
    <t>B&amp;B LA CASA DI ASSUNTA</t>
  </si>
  <si>
    <t>via Pancalducci 42</t>
  </si>
  <si>
    <t>lacasadiassunta@virgilio.it</t>
  </si>
  <si>
    <t>HOTEL LAURI</t>
  </si>
  <si>
    <t>via Tommaso Lauri 6</t>
  </si>
  <si>
    <t>www.hotellauri.it</t>
  </si>
  <si>
    <t>info@hotellauri.it</t>
  </si>
  <si>
    <t>contrada Botonto 7</t>
  </si>
  <si>
    <t>www.casailgirasole.it</t>
  </si>
  <si>
    <t>bedbreakfastilgirasole@gmail.com</t>
  </si>
  <si>
    <t>B&amp;B LA CICALA</t>
  </si>
  <si>
    <t>via L. Cicalè 23</t>
  </si>
  <si>
    <t>www.bed-and-breakfast-macerata.it</t>
  </si>
  <si>
    <t>migliorelli.andrea@yahoo.it</t>
  </si>
  <si>
    <t>B&amp;B  BELOHORIZONTE</t>
  </si>
  <si>
    <t>via 2 Agosto 1980 8</t>
  </si>
  <si>
    <t>VILLA BELO HORIZONTE</t>
  </si>
  <si>
    <t>via Rocco Chinnici 18</t>
  </si>
  <si>
    <t>info@villabelohorizonte.com</t>
  </si>
  <si>
    <t>HOTEL ARCADIA</t>
  </si>
  <si>
    <t>via Padre Matteo Ricci 134</t>
  </si>
  <si>
    <t>www.arcadiahotelmacerata.it</t>
  </si>
  <si>
    <t>info@arcadiahotelmacerata.it</t>
  </si>
  <si>
    <t>B&amp;B IRIS</t>
  </si>
  <si>
    <t>via Filelfo 11</t>
  </si>
  <si>
    <t>irisbandb.wix.com</t>
  </si>
  <si>
    <t>irisbandb@gmail.com</t>
  </si>
  <si>
    <t>B&amp;B FLORIANI</t>
  </si>
  <si>
    <t>contrada Montanello 3</t>
  </si>
  <si>
    <t>www.florianicompagnoni.it</t>
  </si>
  <si>
    <t>agritur.floriani@tiscali.it</t>
  </si>
  <si>
    <t>contrada Montanello 5</t>
  </si>
  <si>
    <t>LUCANGELI VIRGILIO</t>
  </si>
  <si>
    <t>Via Ventura 129</t>
  </si>
  <si>
    <t>virgiliolucangeli@libero.it</t>
  </si>
  <si>
    <t>OSTELLO ASILO RICCI</t>
  </si>
  <si>
    <t>via dell' Asilo 36</t>
  </si>
  <si>
    <t>www.meridiana.mc.it</t>
  </si>
  <si>
    <t>ostelloasiloricci@meridiana.mc.it</t>
  </si>
  <si>
    <t>KRISTAL</t>
  </si>
  <si>
    <t>via cluentina 49</t>
  </si>
  <si>
    <t>HOTEL I COLLI</t>
  </si>
  <si>
    <t>via Roma 151</t>
  </si>
  <si>
    <t>www.hotelicolli.com</t>
  </si>
  <si>
    <t>info@hotelicolli.com</t>
  </si>
  <si>
    <t>CLAUDIANI</t>
  </si>
  <si>
    <t>vicolo Antonio Ulissi 8</t>
  </si>
  <si>
    <t>www.hotelclaudiani.it</t>
  </si>
  <si>
    <t>info@hotelclaudiani.it</t>
  </si>
  <si>
    <t>ARENA</t>
  </si>
  <si>
    <t>vicolo Sferisterio 16</t>
  </si>
  <si>
    <t>www.albergoarena.com</t>
  </si>
  <si>
    <t>info@albergoarena.com</t>
  </si>
  <si>
    <t>DA ROSA</t>
  </si>
  <si>
    <t>via leopoldo armaroli 94</t>
  </si>
  <si>
    <t>COUNTRY HOUSE  "I GELSI"  DI VILLANI FRANCESCA</t>
  </si>
  <si>
    <t>contrada acquesalate 24</t>
  </si>
  <si>
    <t>www.igelsi-countryhouse.it</t>
  </si>
  <si>
    <t>info@igelsi-countryhouse.it</t>
  </si>
  <si>
    <t>LE CASE</t>
  </si>
  <si>
    <t>contrada mozzavinci 16, 17</t>
  </si>
  <si>
    <t>www.countryhouselecase.it</t>
  </si>
  <si>
    <t>ristorantelecase@tin.it</t>
  </si>
  <si>
    <t>BAJOCCO MARCO E MONIA S.s.</t>
  </si>
  <si>
    <t>C.DA FONTE S.GIULIANO 29</t>
  </si>
  <si>
    <t>FORESTERIA OPERA ARTE</t>
  </si>
  <si>
    <t>piazza Lauro Rossi 4</t>
  </si>
  <si>
    <t>BELCUORE</t>
  </si>
  <si>
    <t>via galasso da carpi 39</t>
  </si>
  <si>
    <t>www.belcuore.it</t>
  </si>
  <si>
    <t>info@belcuore.it</t>
  </si>
  <si>
    <t>LA CASA DEI FIORI</t>
  </si>
  <si>
    <t>località Serra delle Piane 123</t>
  </si>
  <si>
    <t>MATELICA</t>
  </si>
  <si>
    <t>SERRA DELLE PIANE</t>
  </si>
  <si>
    <t>www.lacasadeifiori.eu</t>
  </si>
  <si>
    <t>info@lacasadeifiori.eu</t>
  </si>
  <si>
    <t>B&amp;B TOSCANO RINALDO ANTONIO</t>
  </si>
  <si>
    <t>vocabolo Serre Alte 1</t>
  </si>
  <si>
    <t>toscano.cinzia@gmail.com</t>
  </si>
  <si>
    <t>VILLA COLLEPERE</t>
  </si>
  <si>
    <t>vocabolo collepere 1</t>
  </si>
  <si>
    <t>www.villacollepere.it</t>
  </si>
  <si>
    <t>info@villacollepere.it</t>
  </si>
  <si>
    <t>IL COLLE DEL SOLE</t>
  </si>
  <si>
    <t>colle Tenuto</t>
  </si>
  <si>
    <t>www.ilcolledelsole.it</t>
  </si>
  <si>
    <t>info@ilcolledelsole.it</t>
  </si>
  <si>
    <t>AZIENDA AGRITURISTICA CASA RASTIA</t>
  </si>
  <si>
    <t>vocabolo rastia 1</t>
  </si>
  <si>
    <t>www.casarastia.it</t>
  </si>
  <si>
    <t>info@casarastia.it</t>
  </si>
  <si>
    <t>CAVALIERE ERRANTE</t>
  </si>
  <si>
    <t>via Labbrano 125</t>
  </si>
  <si>
    <t>LABBRANO</t>
  </si>
  <si>
    <t>francesco2683@gmail.com</t>
  </si>
  <si>
    <t>HOTEL DELLA LOGGIA</t>
  </si>
  <si>
    <t>via santa maria 3</t>
  </si>
  <si>
    <t>www.hoteldellaloggia.it</t>
  </si>
  <si>
    <t>info@hoteldellaloggia.it</t>
  </si>
  <si>
    <t>HOTEL MASSI</t>
  </si>
  <si>
    <t>via Aristide Merloni 8</t>
  </si>
  <si>
    <t>B&amp;B IL FIENILE</t>
  </si>
  <si>
    <t>vocabolo Colle Sant' Antonio 150</t>
  </si>
  <si>
    <t>www.il-fienile.it</t>
  </si>
  <si>
    <t>mbblondel@gmail.com</t>
  </si>
  <si>
    <t>B&amp;B LA MADONNINA DEI PANTANI</t>
  </si>
  <si>
    <t>via Madonna dei Pantani 1 bis</t>
  </si>
  <si>
    <t>lamadonninadeipantani@gmail.com</t>
  </si>
  <si>
    <t>DA FOSCHETTA</t>
  </si>
  <si>
    <t>c.da Acquaviva 569</t>
  </si>
  <si>
    <t>agriturismo.dafoschetta@gmail.com</t>
  </si>
  <si>
    <t>B&amp;B LARA GAGGINI</t>
  </si>
  <si>
    <t>via Vocabolo Serre Alte 308</t>
  </si>
  <si>
    <t>www.serre-alte.com</t>
  </si>
  <si>
    <t>lara.gaggini@alice.it</t>
  </si>
  <si>
    <t>AGRITURISMO SAN BIAGIO</t>
  </si>
  <si>
    <t>via Vocabolo Pescheria 24</t>
  </si>
  <si>
    <t>valerpietro@libero.it</t>
  </si>
  <si>
    <t>HOTEL FIORITI - ALBERGO RISTORANTE</t>
  </si>
  <si>
    <t>piazza Giuseppe Garibaldi 12</t>
  </si>
  <si>
    <t>B&amp;B CAMERE DA BRUNA</t>
  </si>
  <si>
    <t>via Enrico Berlinguer 18</t>
  </si>
  <si>
    <t>www.cameredabruna.com</t>
  </si>
  <si>
    <t>info@cameredabruna.com</t>
  </si>
  <si>
    <t>WINE &amp; WELLNESS</t>
  </si>
  <si>
    <t>loc. Colpaola 1</t>
  </si>
  <si>
    <t>vocabolo Braccano</t>
  </si>
  <si>
    <t>RESIDENZA LA QUIETE</t>
  </si>
  <si>
    <t>via Umberto I 41</t>
  </si>
  <si>
    <t>mario.schiano@beniculturali.it</t>
  </si>
  <si>
    <t>RESIDENZA SAN FRANCESCO</t>
  </si>
  <si>
    <t>via San  Francesco snc</t>
  </si>
  <si>
    <t>servizi@ersucam.it</t>
  </si>
  <si>
    <t>COUNTRY HOUSE SALOMONE</t>
  </si>
  <si>
    <t>vocabolo Salomone 437</t>
  </si>
  <si>
    <t>www.salomone-matelica.it</t>
  </si>
  <si>
    <t>info@salomone-matelica.it</t>
  </si>
  <si>
    <t>VECCHIA PORTA</t>
  </si>
  <si>
    <t>via Circonvallazione 105</t>
  </si>
  <si>
    <t>www.vecchiaporta.it</t>
  </si>
  <si>
    <t>info@vecchiaporta.it</t>
  </si>
  <si>
    <t>CASA DEIMAR</t>
  </si>
  <si>
    <t>vocabolo Cecca 248</t>
  </si>
  <si>
    <t>www.casadeimar.it</t>
  </si>
  <si>
    <t>info@casadeimar.it</t>
  </si>
  <si>
    <t>B&amp;B I TRE CILIEGI</t>
  </si>
  <si>
    <t>vocabolo Felette Basse 571</t>
  </si>
  <si>
    <t>CASA GRIMALDI</t>
  </si>
  <si>
    <t>loc. Vocabolo Grimaldi  20</t>
  </si>
  <si>
    <t>Vocabolo Grimaldi</t>
  </si>
  <si>
    <t>www.casagrimaldi.it</t>
  </si>
  <si>
    <t>casagrimaldimatelica@gmail.com</t>
  </si>
  <si>
    <t>B&amp;B LUCHETTI GIAMPIERO</t>
  </si>
  <si>
    <t>via della Repubblica 5</t>
  </si>
  <si>
    <t>MOGLIANO</t>
  </si>
  <si>
    <t>luchettigiampiero@virgilio.it</t>
  </si>
  <si>
    <t>GRILLI CICILIONI LUCIANA</t>
  </si>
  <si>
    <t>Via San Pietro 10</t>
  </si>
  <si>
    <t>lucigrilli@yahoo.it</t>
  </si>
  <si>
    <t>LUCHETTI EMILIO</t>
  </si>
  <si>
    <t>VILLA JOLANDA</t>
  </si>
  <si>
    <t>Sant' Antonio 12A 1</t>
  </si>
  <si>
    <t>www.villa-jolanda.com</t>
  </si>
  <si>
    <t>info@villa-jolanda.com</t>
  </si>
  <si>
    <t>CASA LUCCIOLA di ZOE ANDERSON</t>
  </si>
  <si>
    <t>fonte Fanarda 8</t>
  </si>
  <si>
    <t>zoea@bluebottle.com</t>
  </si>
  <si>
    <t>CASTRICINI ONORATO</t>
  </si>
  <si>
    <t>c.da Prati 8</t>
  </si>
  <si>
    <t>jogabonitocastro@alice.it</t>
  </si>
  <si>
    <t>PATRICK TORIGLIONI DEL CASSERO NISBETT</t>
  </si>
  <si>
    <t>c.da Sant'Antonio 13</t>
  </si>
  <si>
    <t>patricktdelcnisbett@outlook.com</t>
  </si>
  <si>
    <t>VILLA PALMA di EDWARD ANNA BEATRICE</t>
  </si>
  <si>
    <t>c.da Santa Croce 26</t>
  </si>
  <si>
    <t>annabeatriceedward@gmail.com</t>
  </si>
  <si>
    <t>TAMSIN ANNE HICKSON</t>
  </si>
  <si>
    <t>via Volturelle 21</t>
  </si>
  <si>
    <t>tamsin.hickson@postacertificata.gov.it</t>
  </si>
  <si>
    <t>IL VIGNETO</t>
  </si>
  <si>
    <t>c.da Santa Croce 11</t>
  </si>
  <si>
    <t>ilvignetocasale@gmail.com</t>
  </si>
  <si>
    <t>B&amp;B MONTECHIARO DI LENTI RITA</t>
  </si>
  <si>
    <t>via Valdivico snc</t>
  </si>
  <si>
    <t>www.trattoriamontechiaro.it</t>
  </si>
  <si>
    <t>info@trattoriamontechiaro.it</t>
  </si>
  <si>
    <t>CASA SANTA LUCIA di SIMON ANDREW PILKINGTON</t>
  </si>
  <si>
    <t>Contrada Ventracciano 2</t>
  </si>
  <si>
    <t>simon_pilkington_1@yahoo.com</t>
  </si>
  <si>
    <t>CASA RONDINI di DAVID JOHN WILKINSON</t>
  </si>
  <si>
    <t>contrada San Martino snc</t>
  </si>
  <si>
    <t>wilkinsondavid234@gmail.com</t>
  </si>
  <si>
    <t>VILLA CASTELLANI</t>
  </si>
  <si>
    <t>contrada Acquevive 16</t>
  </si>
  <si>
    <t>www.villacastellani.it</t>
  </si>
  <si>
    <t>info@villacastellani.it</t>
  </si>
  <si>
    <t>B&amp;B FABIANI ANDREA</t>
  </si>
  <si>
    <t>contrada bagliano 25</t>
  </si>
  <si>
    <t>www.thecountryhouse.it</t>
  </si>
  <si>
    <t>info@thecountryhouse.it</t>
  </si>
  <si>
    <t>CASERMA CARINA</t>
  </si>
  <si>
    <t>Contrada Mossa 16</t>
  </si>
  <si>
    <t>www.caserma-carina.co.uk</t>
  </si>
  <si>
    <t>info@caserma-carina.co.uk</t>
  </si>
  <si>
    <t>LETTO E RILETTO</t>
  </si>
  <si>
    <t>via v. bachelet 33</t>
  </si>
  <si>
    <t>MONTECASSIANO</t>
  </si>
  <si>
    <t>www.lettoeriletto.com</t>
  </si>
  <si>
    <t>info@lettoeriletto.com</t>
  </si>
  <si>
    <t>LIOLA'</t>
  </si>
  <si>
    <t>localita' Piane Potenza 9</t>
  </si>
  <si>
    <t>g.chiacchiera@sincomas.it</t>
  </si>
  <si>
    <t>HOTEL VILLA QUIETE</t>
  </si>
  <si>
    <t>localita' Valle Cascia 6</t>
  </si>
  <si>
    <t>www.villaquiete.it</t>
  </si>
  <si>
    <t>info@villaquiete.it</t>
  </si>
  <si>
    <t>DA CHECCO</t>
  </si>
  <si>
    <t>(Strada Statale Settempedana) Contrada Collina 11</t>
  </si>
  <si>
    <t>Località Commenda</t>
  </si>
  <si>
    <t>www.dachecco.com</t>
  </si>
  <si>
    <t>info@dachecco.com</t>
  </si>
  <si>
    <t>HOTEL RECINA</t>
  </si>
  <si>
    <t>Loc. Valle Cascia 40</t>
  </si>
  <si>
    <t>Loc. Valle Cascia n. 40</t>
  </si>
  <si>
    <t>www.recinahotel.it</t>
  </si>
  <si>
    <t>info@recinahotel.it</t>
  </si>
  <si>
    <t>COLLI GILBERTO</t>
  </si>
  <si>
    <t>via Mainini 35</t>
  </si>
  <si>
    <t>B&amp;B IL MUGHETTO</t>
  </si>
  <si>
    <t>via San Liberato 7</t>
  </si>
  <si>
    <t>info@ilmughetto.com</t>
  </si>
  <si>
    <t>B&amp;B VILLA GIULIA MATTEI</t>
  </si>
  <si>
    <t>via Villa Mattei 52</t>
  </si>
  <si>
    <t>fraz.Sambucheto</t>
  </si>
  <si>
    <t>villamattei.mc@gmail.com</t>
  </si>
  <si>
    <t>AGRITURISMO FORANO CASA MONTELIPA</t>
  </si>
  <si>
    <t>localita' cimarella 8</t>
  </si>
  <si>
    <t>B&amp;B IL GIARDINO DEI LIMONI</t>
  </si>
  <si>
    <t>localita' Rinaldi 16</t>
  </si>
  <si>
    <t>www.bbilgiardinodeilimoni.it</t>
  </si>
  <si>
    <t>info@bbilgiardinodeilimoni.it</t>
  </si>
  <si>
    <t>MONTE CAVALLO</t>
  </si>
  <si>
    <t>VALLE SAN BENEDETTO</t>
  </si>
  <si>
    <t>comune@montecavallo.sinp.net</t>
  </si>
  <si>
    <t>B&amp;B IL PICCOLO MELOGRANO</t>
  </si>
  <si>
    <t>via Cavallino  66 T</t>
  </si>
  <si>
    <t>MONTECOSARO</t>
  </si>
  <si>
    <t>www.ilpiccolomelograno.com</t>
  </si>
  <si>
    <t>postmaster@ilpiccolomelograno.com</t>
  </si>
  <si>
    <t>B&amp;B BORGO LATINO, AZZURRO, SELVAGGIO</t>
  </si>
  <si>
    <t>località san savino  10</t>
  </si>
  <si>
    <t>LOC. SAN SAVINO, 10</t>
  </si>
  <si>
    <t>borgolatino@hotmail.it</t>
  </si>
  <si>
    <t>APPARTAMENTO USO TURISTICO DI GIULIANO PISELLI</t>
  </si>
  <si>
    <t>C.DA CASTELLANO 20</t>
  </si>
  <si>
    <t>giuliano.piselli@tiscali.it</t>
  </si>
  <si>
    <t>DOLCE FAR NIENTE</t>
  </si>
  <si>
    <t>ASOLA</t>
  </si>
  <si>
    <t>www.aldolcefarniente.com</t>
  </si>
  <si>
    <t>info@aldolcefarniente.com</t>
  </si>
  <si>
    <t>LA LUMA</t>
  </si>
  <si>
    <t>via Cavour 1</t>
  </si>
  <si>
    <t>www.laluma.it</t>
  </si>
  <si>
    <t>info@laluma.it</t>
  </si>
  <si>
    <t>EUROPE</t>
  </si>
  <si>
    <t>viale europa 1</t>
  </si>
  <si>
    <t>www.europe22.it</t>
  </si>
  <si>
    <t>rioanni@tin.it</t>
  </si>
  <si>
    <t>CASA DI CHIARA</t>
  </si>
  <si>
    <t>Contrada Crocette 10</t>
  </si>
  <si>
    <t>B&amp;B IL VIALE</t>
  </si>
  <si>
    <t>Via Roma  60</t>
  </si>
  <si>
    <t>MONTECOSARO SCALO</t>
  </si>
  <si>
    <t>carla.rapagnani@libero.it</t>
  </si>
  <si>
    <t>VIA MAZZINI 6</t>
  </si>
  <si>
    <t>WWW.BEB-CAMILLA.IT</t>
  </si>
  <si>
    <t>bebcamillamontecosaro@gmail.com</t>
  </si>
  <si>
    <t>B&amp;B CALU'</t>
  </si>
  <si>
    <t>Località Cavallino  17</t>
  </si>
  <si>
    <t>www.bandbcalù.com</t>
  </si>
  <si>
    <t>info@bandbcalu.com</t>
  </si>
  <si>
    <t>ANGELI INNAMORATI</t>
  </si>
  <si>
    <t>via Tiziano 1</t>
  </si>
  <si>
    <t>tsara76@gmail.com</t>
  </si>
  <si>
    <t>B&amp;B MONTECOSARO</t>
  </si>
  <si>
    <t>via Monte San Michele  3</t>
  </si>
  <si>
    <t>Montecosaro Alto</t>
  </si>
  <si>
    <t>www.bbmontecosaro.it</t>
  </si>
  <si>
    <t>andrea-quattrini@libero.it</t>
  </si>
  <si>
    <t>CASALE DI CRISTINA</t>
  </si>
  <si>
    <t>via Intriglione 43</t>
  </si>
  <si>
    <t>MONTEFANO</t>
  </si>
  <si>
    <t>gianfrigianfri@libero.it</t>
  </si>
  <si>
    <t>B&amp;B LE ROSE</t>
  </si>
  <si>
    <t>via Petritoli 11</t>
  </si>
  <si>
    <t>federica.belluccini@alice.it</t>
  </si>
  <si>
    <t>IL CASALE DELL' ACQUABONA</t>
  </si>
  <si>
    <t>Via Intriglione 6</t>
  </si>
  <si>
    <t>www.ilcasaledellacquabona.it</t>
  </si>
  <si>
    <t>marcocapodacqua@hotmail.it</t>
  </si>
  <si>
    <t>LA VECCHIA SCUOLA</t>
  </si>
  <si>
    <t>Contrada Monocchia 13</t>
  </si>
  <si>
    <t>info@lemarchebedandbreakfast.com</t>
  </si>
  <si>
    <t>CENTRO STUDI BIBLICI</t>
  </si>
  <si>
    <t>via servi di maria 1</t>
  </si>
  <si>
    <t>centro.bib@tin.it</t>
  </si>
  <si>
    <t>IL PARCO DI KIPO</t>
  </si>
  <si>
    <t>via Margherita 23</t>
  </si>
  <si>
    <t>www.parcodikipo.it</t>
  </si>
  <si>
    <t>info@parcodikipo.it</t>
  </si>
  <si>
    <t>IL MARGARITO</t>
  </si>
  <si>
    <t>via Intriglione 8</t>
  </si>
  <si>
    <t>www.relaisilmargarito.com</t>
  </si>
  <si>
    <t>info@releaisilmargarito.com</t>
  </si>
  <si>
    <t>RISTORANTE LOCANDA CANTALUPO</t>
  </si>
  <si>
    <t>c.da Fossalupara 7</t>
  </si>
  <si>
    <t>gruppofood@virgilio.it</t>
  </si>
  <si>
    <t>PALAZZO CARRADORI</t>
  </si>
  <si>
    <t>via della Vittoria 7</t>
  </si>
  <si>
    <t>www.palazzocarradori.com</t>
  </si>
  <si>
    <t>info@palazzocarradori.com</t>
  </si>
  <si>
    <t>B&amp;B IL CASONE</t>
  </si>
  <si>
    <t>via Casone  3</t>
  </si>
  <si>
    <t>MONTELUPONE</t>
  </si>
  <si>
    <t>www.bbilcasone.it</t>
  </si>
  <si>
    <t>giusbu@libero.it</t>
  </si>
  <si>
    <t>AGRITURISMO CYNARA</t>
  </si>
  <si>
    <t>loc. Cervare 15</t>
  </si>
  <si>
    <t>CERVARE</t>
  </si>
  <si>
    <t>cippitellipaolo@aliceposta.it</t>
  </si>
  <si>
    <t>B&amp;B ANTICO GIACIGLIO di DANIELA BENIGNI</t>
  </si>
  <si>
    <t>via Roma 6</t>
  </si>
  <si>
    <t>B&amp;B L'ALBERO VERDE</t>
  </si>
  <si>
    <t>vicolo San Francesco 2/A</t>
  </si>
  <si>
    <t>info@lalberoverde.com</t>
  </si>
  <si>
    <t>AGRITURISMO L'ALTERNATIVA</t>
  </si>
  <si>
    <t>contrada Caccialupo 2</t>
  </si>
  <si>
    <t>Montelupone</t>
  </si>
  <si>
    <t>laalternativa@live.it</t>
  </si>
  <si>
    <t>B&amp;B CERVARE 21 di ROBERTO DE DURO</t>
  </si>
  <si>
    <t>c.da Cervare 21</t>
  </si>
  <si>
    <t>www.cervare21.it</t>
  </si>
  <si>
    <t>r.deduro@hotmail.it</t>
  </si>
  <si>
    <t>PARCO ELEUTERI</t>
  </si>
  <si>
    <t>MURA DEL CENTRO STORICO</t>
  </si>
  <si>
    <t>HOTEL RISTORANTE MORETTI DANTE</t>
  </si>
  <si>
    <t>via Fermi 4</t>
  </si>
  <si>
    <t>www.hotelmoretti.it</t>
  </si>
  <si>
    <t>info@hotelmoretti.it</t>
  </si>
  <si>
    <t>BED &amp; BREAKFAST SAN FIRMANO</t>
  </si>
  <si>
    <t>San Firmano 1</t>
  </si>
  <si>
    <t>www.sanfirmano.it</t>
  </si>
  <si>
    <t>info@sanfirmano.it</t>
  </si>
  <si>
    <t>B&amp;B MONTELUPONE di ANTONIO BEDINI</t>
  </si>
  <si>
    <t>via Regina Margherita 8</t>
  </si>
  <si>
    <t>www.bedandbreakfast.it</t>
  </si>
  <si>
    <t>mister.bedini@libero.it</t>
  </si>
  <si>
    <t>AGRITURISMO LE TATE</t>
  </si>
  <si>
    <t>Loc. Cervare 6</t>
  </si>
  <si>
    <t>giovanni.florentino@virgilio.it</t>
  </si>
  <si>
    <t>ANDREANI CARLA APP.TO</t>
  </si>
  <si>
    <t>Via Castelfidardo  1</t>
  </si>
  <si>
    <t>carlaandreani@virgilio.it</t>
  </si>
  <si>
    <t>B&amp;B DEDICATO A TE</t>
  </si>
  <si>
    <t>HOTEL LA ROSA DEI VENTI</t>
  </si>
  <si>
    <t>via Macerata 77</t>
  </si>
  <si>
    <t>MONTE SAN GIUSTO</t>
  </si>
  <si>
    <t>www.hotellarosadeiventi.com</t>
  </si>
  <si>
    <t>info@hotellarosadeiventi.com</t>
  </si>
  <si>
    <t>AGRITURISMO IL NOCETO</t>
  </si>
  <si>
    <t>via Fonte Ancona 28</t>
  </si>
  <si>
    <t>www.agriturismoilnoceto.com</t>
  </si>
  <si>
    <t>ilnoceto@alice.it</t>
  </si>
  <si>
    <t>HOUSE ZII RENTAL</t>
  </si>
  <si>
    <t>via San Giacomo 38</t>
  </si>
  <si>
    <t>www.countrygiusto.com</t>
  </si>
  <si>
    <t>info@countrygiusto.com</t>
  </si>
  <si>
    <t>B&amp;B SALTARI SIMONE</t>
  </si>
  <si>
    <t>via Macerata 306</t>
  </si>
  <si>
    <t>www.cameresaltari.it</t>
  </si>
  <si>
    <t>cameresaltari@libero.it</t>
  </si>
  <si>
    <t>AZIENDA AGRITURISTICA ROETA</t>
  </si>
  <si>
    <t>contrada Barchetta 1</t>
  </si>
  <si>
    <t>MONTE SAN MARTINO</t>
  </si>
  <si>
    <t>magacirce@cheapnet.it</t>
  </si>
  <si>
    <t>OSTERIA DEL LAGO</t>
  </si>
  <si>
    <t>contrada Santo Stefano 13</t>
  </si>
  <si>
    <t>www.dimensionenatura.org</t>
  </si>
  <si>
    <t>info@dimensionenatura.org</t>
  </si>
  <si>
    <t>AGRITURISMO DE SANTIS CELESTA</t>
  </si>
  <si>
    <t>contrada Santo Stefano 8</t>
  </si>
  <si>
    <t>SOCIETA' AGROFORESTALE MARCHIGIANA SAN RUFFINO SRL</t>
  </si>
  <si>
    <t>contrada santo stefano 1</t>
  </si>
  <si>
    <t>www.sanruffino.com</t>
  </si>
  <si>
    <t>info@sanruffino.com</t>
  </si>
  <si>
    <t>AGRITURISMO BELLAVISTA DI PSENNER PETER ERICH</t>
  </si>
  <si>
    <t>contrada Santo Stefano 36</t>
  </si>
  <si>
    <t>bellavistaagriturismo.wordpress.com</t>
  </si>
  <si>
    <t>agritur.bellavista@libero.it</t>
  </si>
  <si>
    <t>B&amp;B DILETTI DANIELE</t>
  </si>
  <si>
    <t>contrada Molino 93</t>
  </si>
  <si>
    <t>www.ilnidodelfalco.com</t>
  </si>
  <si>
    <t>info@ilnidodelfalco.com</t>
  </si>
  <si>
    <t>IL NIDO DEL FALCO di DANIELE DILETTI</t>
  </si>
  <si>
    <t>CARDUCCI GIUSEPPE</t>
  </si>
  <si>
    <t>contrada molino 69</t>
  </si>
  <si>
    <t>www.agriturismosanmartino.com</t>
  </si>
  <si>
    <t>agriturismosanmartino@email.it</t>
  </si>
  <si>
    <t>AGRITURISMO SEVERINI</t>
  </si>
  <si>
    <t>via Portone San Francesco 13</t>
  </si>
  <si>
    <t>MORROVALLE</t>
  </si>
  <si>
    <t>www.agriturismoseverini.it</t>
  </si>
  <si>
    <t>info@agriturismoseverini.it</t>
  </si>
  <si>
    <t>contrada Campomaggio 125</t>
  </si>
  <si>
    <t>www.ilcasale.org</t>
  </si>
  <si>
    <t>info@ilcasale.org</t>
  </si>
  <si>
    <t>B&amp;B CARPE DIEM</t>
  </si>
  <si>
    <t>via Giacomo Puccini 14</t>
  </si>
  <si>
    <t>www.bbcarpediem.it</t>
  </si>
  <si>
    <t>info@bbcarpediem.it</t>
  </si>
  <si>
    <t>B&amp;B VILLA SAN NICOLINO</t>
  </si>
  <si>
    <t>contrada Fonte Murata 1</t>
  </si>
  <si>
    <t>www.sannicolino.com</t>
  </si>
  <si>
    <t>info@sannicolino.com</t>
  </si>
  <si>
    <t>HOTEL SAN CRISPINO</t>
  </si>
  <si>
    <t>via Dante Alighieri 222</t>
  </si>
  <si>
    <t>www.hotelsancrispino.it</t>
  </si>
  <si>
    <t>info@hotelsancrispino.it</t>
  </si>
  <si>
    <t>AL CASALE DI MORRO</t>
  </si>
  <si>
    <t>contrada Lamaticci 25</t>
  </si>
  <si>
    <t>www.alcasaledimorro.it</t>
  </si>
  <si>
    <t>info@alcasaledimorro.it</t>
  </si>
  <si>
    <t>B&amp;B IL SAMBUCO</t>
  </si>
  <si>
    <t>contrada Montanari 7</t>
  </si>
  <si>
    <t>morrovalle</t>
  </si>
  <si>
    <t>www.sambucomarche.it</t>
  </si>
  <si>
    <t>info@sambucomarche.it</t>
  </si>
  <si>
    <t>SANTOMARO COUNTRY-LOFT</t>
  </si>
  <si>
    <t>contrada Colli Asola 13</t>
  </si>
  <si>
    <t>CHIARA ANDRENELLI</t>
  </si>
  <si>
    <t>via San Gabriele 9</t>
  </si>
  <si>
    <t>poipoi70@libero.it</t>
  </si>
  <si>
    <t>B&amp;B LA QUIETE DI ROS</t>
  </si>
  <si>
    <t>c.da Castellano 41</t>
  </si>
  <si>
    <t>www.bb30.it</t>
  </si>
  <si>
    <t>battistellirosaria@gmail.com</t>
  </si>
  <si>
    <t>CASA MANZI</t>
  </si>
  <si>
    <t>raniero.manzi@libero.it</t>
  </si>
  <si>
    <t>EX CAMPO BOARIO SOTTOSTANTE VIALE DEL PINCIO</t>
  </si>
  <si>
    <t>AGRITURISMO PONTEROSA</t>
  </si>
  <si>
    <t>c.da Mossa Montigliano 14</t>
  </si>
  <si>
    <t>Morrovalle</t>
  </si>
  <si>
    <t>www.agriturismoponterosa.it</t>
  </si>
  <si>
    <t>info@agriturismoponterosa.it</t>
  </si>
  <si>
    <t>B&amp;B LA MAISON JUJUBE</t>
  </si>
  <si>
    <t>VIA UMBERTO I 28</t>
  </si>
  <si>
    <t>www.lamaisonjujube.it</t>
  </si>
  <si>
    <t>lamaisonjujube@gmail.com</t>
  </si>
  <si>
    <t>CASALE BLULAVANDA</t>
  </si>
  <si>
    <t>C/DA COLLI ASOLA  11</t>
  </si>
  <si>
    <t>casaleblulavanda@hotmail.com</t>
  </si>
  <si>
    <t>LA CASA PRIMA DEL PONTE</t>
  </si>
  <si>
    <t>VIA DANTE 63</t>
  </si>
  <si>
    <t>TRODICA DI MORROVALLE</t>
  </si>
  <si>
    <t>www.lacasadelponte.com</t>
  </si>
  <si>
    <t>info@lacasadelponte.com</t>
  </si>
  <si>
    <t>LA CASA DOPO IL PONTE</t>
  </si>
  <si>
    <t>VIA DANTE 61</t>
  </si>
  <si>
    <t>CAPINERA ANTONIETTA</t>
  </si>
  <si>
    <t>Contrada Crocette 11</t>
  </si>
  <si>
    <t>41264@libero.it</t>
  </si>
  <si>
    <t>LA MERLANA</t>
  </si>
  <si>
    <t>Contrada Culmici 15</t>
  </si>
  <si>
    <t>b.b.lamerlana@cgn.legalmail.ot</t>
  </si>
  <si>
    <t>I GIRASOLI</t>
  </si>
  <si>
    <t>frazione Giove 12</t>
  </si>
  <si>
    <t>MUCCIA</t>
  </si>
  <si>
    <t>B&amp;B LE SEFORE</t>
  </si>
  <si>
    <t>frazione Massaprofoglio</t>
  </si>
  <si>
    <t>I SOMARELLI DI FINICELLI ELISABETTA</t>
  </si>
  <si>
    <t>frazione Massaprofoglio 1</t>
  </si>
  <si>
    <t>elisabettafinicelli@mail.it</t>
  </si>
  <si>
    <t>CASA PER FERIE EREMO BEATO RIZZERIO</t>
  </si>
  <si>
    <t>Contrada Coda di Muccia snc</t>
  </si>
  <si>
    <t>www.eremobeatorizzerio.it</t>
  </si>
  <si>
    <t>eremobeatorizzerio@libero.it</t>
  </si>
  <si>
    <t>DEL CACCIATORE</t>
  </si>
  <si>
    <t>via Spinabello 15</t>
  </si>
  <si>
    <t>CARNEVALI</t>
  </si>
  <si>
    <t>frazione Maddalena 28</t>
  </si>
  <si>
    <t>www.motelristorantecarnevali.com</t>
  </si>
  <si>
    <t>info@motelristorantecarnevali.com</t>
  </si>
  <si>
    <t>AGRITURISMO COL DI GIOVE</t>
  </si>
  <si>
    <t>frazione col di giove 8</t>
  </si>
  <si>
    <t>http://www.coldigiove.it</t>
  </si>
  <si>
    <t>LA CASTELLINA</t>
  </si>
  <si>
    <t>frazione costafiore 29</t>
  </si>
  <si>
    <t>B&amp;B CARDARELLI ISA</t>
  </si>
  <si>
    <t>contrada guerci 335</t>
  </si>
  <si>
    <t>PENNA SAN GIOVANNI</t>
  </si>
  <si>
    <t>AGRITURISMO I GIRASOLI</t>
  </si>
  <si>
    <t>contrada caselunghe 208</t>
  </si>
  <si>
    <t>www.daigirasoli.it</t>
  </si>
  <si>
    <t>info@daigirasoli.it</t>
  </si>
  <si>
    <t>B&amp;B VILLA FIORITA di SILLA-LINA</t>
  </si>
  <si>
    <t>contrada caselunghe 221</t>
  </si>
  <si>
    <t>contrada fosse 315</t>
  </si>
  <si>
    <t>www.trequerce.it</t>
  </si>
  <si>
    <t>info@trequerce.it</t>
  </si>
  <si>
    <t>L'ANTICO GUSTO</t>
  </si>
  <si>
    <t>contrada Biordi 12</t>
  </si>
  <si>
    <t>aziendamoretti@tiscalinet.it</t>
  </si>
  <si>
    <t>P.A.E.A DI SILENZI ADELE &amp; C. - S.N.C.</t>
  </si>
  <si>
    <t>viale beato giovanni 11</t>
  </si>
  <si>
    <t>ANTONIO VIGLIETTI</t>
  </si>
  <si>
    <t>contrada fosse 317</t>
  </si>
  <si>
    <t>aviglietti@yahoo.it</t>
  </si>
  <si>
    <t>GIUSEPPE CARBONI</t>
  </si>
  <si>
    <t>contrada saline 32/A</t>
  </si>
  <si>
    <t>carboni.francesco@libero.it</t>
  </si>
  <si>
    <t>B&amp;B IL CASALE DI NANNI</t>
  </si>
  <si>
    <t>contrada Biordi 3</t>
  </si>
  <si>
    <t>ilcasaledinanni@libero.it</t>
  </si>
  <si>
    <t>THE METTA CENTRE</t>
  </si>
  <si>
    <t>contrada saline 1</t>
  </si>
  <si>
    <t>OLD HOUSE</t>
  </si>
  <si>
    <t>contrada marcoaldi 53 53</t>
  </si>
  <si>
    <t>www.oldcountryhouse.it</t>
  </si>
  <si>
    <t>info@oldcountryhouse.it</t>
  </si>
  <si>
    <t>B&amp;B PERFETTI SERGIO</t>
  </si>
  <si>
    <t>Contrada Fienarette 97</t>
  </si>
  <si>
    <t>www.beblaquiete.eu</t>
  </si>
  <si>
    <t>marinaperfetti@alice.it</t>
  </si>
  <si>
    <t>AGRITURISMO VILLA VALENTE</t>
  </si>
  <si>
    <t>Contrada Pierdominici 49</t>
  </si>
  <si>
    <t>www.villavalente.com</t>
  </si>
  <si>
    <t>ron.favrin@gmail.com</t>
  </si>
  <si>
    <t>B&amp;B PAGLIA E FIENO</t>
  </si>
  <si>
    <t>via del Molino 19</t>
  </si>
  <si>
    <t>PETRIOLO</t>
  </si>
  <si>
    <t>Abbadia di Fiastra</t>
  </si>
  <si>
    <t>abbadiadifiastra@gmail.com</t>
  </si>
  <si>
    <t>via Sant'Antonio 5</t>
  </si>
  <si>
    <t>www.vivaiminnozzi.it</t>
  </si>
  <si>
    <t>vivaiminnozzi@libero.it</t>
  </si>
  <si>
    <t>CONTIGIANI SANDRO</t>
  </si>
  <si>
    <t>Via San Marco 17</t>
  </si>
  <si>
    <t>impresaedilecontigiani@gmail.com</t>
  </si>
  <si>
    <t>B&amp;B LA POJANA</t>
  </si>
  <si>
    <t>Via Campolargo 34</t>
  </si>
  <si>
    <t>http://allapoiana.com/it/home-1/</t>
  </si>
  <si>
    <t>info@allapoiana.com</t>
  </si>
  <si>
    <t>LA DIMORA DEL SOLE</t>
  </si>
  <si>
    <t>via san giovanni 8/10</t>
  </si>
  <si>
    <t>www.ladimoradelsole.it</t>
  </si>
  <si>
    <t>info@ladimoradelsole.it</t>
  </si>
  <si>
    <t>IL POGGIO DELLE ARMONIE</t>
  </si>
  <si>
    <t>via pecciane  18</t>
  </si>
  <si>
    <t>PIEVEBOVIGLIANA</t>
  </si>
  <si>
    <t>www.ilpoggiodellearmonie.it</t>
  </si>
  <si>
    <t>info@ilpoggiodellearmonie.it</t>
  </si>
  <si>
    <t>TERRE DELLA SIBILLA</t>
  </si>
  <si>
    <t>www.agriturismoterredellasibilla.it</t>
  </si>
  <si>
    <t>terredellasibilla@libero.it</t>
  </si>
  <si>
    <t>SAPORI DI CAMPAGNA</t>
  </si>
  <si>
    <t>via rancia 1</t>
  </si>
  <si>
    <t>www.saporidicampagna.it</t>
  </si>
  <si>
    <t>saporidicampagna2003@libero.it</t>
  </si>
  <si>
    <t>VIA SPINETE 6</t>
  </si>
  <si>
    <t>LAGO DI POLVERINA</t>
  </si>
  <si>
    <t>www.lavecchiafonte.net</t>
  </si>
  <si>
    <t>info@lavecchiafonte.net</t>
  </si>
  <si>
    <t>IL CONVENTO</t>
  </si>
  <si>
    <t>convento 2</t>
  </si>
  <si>
    <t>www.ilconvento.info</t>
  </si>
  <si>
    <t>info@ilconvento.info</t>
  </si>
  <si>
    <t>L'AIRONE CINERINO</t>
  </si>
  <si>
    <t>info@aironecinerino.it</t>
  </si>
  <si>
    <t>ROCCAMAIA</t>
  </si>
  <si>
    <t>via roccamaia 22</t>
  </si>
  <si>
    <t>www.agriturismo-roccamaia.com</t>
  </si>
  <si>
    <t>mail@agriturismo-roccamaia.com</t>
  </si>
  <si>
    <t>AREA SOSTA CAMPER - PIEVEBOVIGLIANA</t>
  </si>
  <si>
    <t>VIA RANCIA 1</t>
  </si>
  <si>
    <t>comune@pievebovigliana.sinp.net</t>
  </si>
  <si>
    <t>BAR PIZZERIA IL CORTILE</t>
  </si>
  <si>
    <t>via Roma 3</t>
  </si>
  <si>
    <t>pontanimarco@alice.it</t>
  </si>
  <si>
    <t>DEGLI ALTI PASCOLI</t>
  </si>
  <si>
    <t>B&amp;B LA VECCHIA FONTE 2</t>
  </si>
  <si>
    <t>loc. Spinete s.n.c.</t>
  </si>
  <si>
    <t>loc. Spinete</t>
  </si>
  <si>
    <t>B&amp;B CRAZY HORSE di CROCETTI LUIGI</t>
  </si>
  <si>
    <t>Via Le Rote 6</t>
  </si>
  <si>
    <t>PIEVE TORINA</t>
  </si>
  <si>
    <t>VAL SANT'ANGELO</t>
  </si>
  <si>
    <t>AGRITURISMO IL CONVENTINO</t>
  </si>
  <si>
    <t>localita' Seggiole 1</t>
  </si>
  <si>
    <t>prenotazioni@ilconventino.eu</t>
  </si>
  <si>
    <t>IL PICCHIO</t>
  </si>
  <si>
    <t>frazione Pie Casavecchia 13</t>
  </si>
  <si>
    <t>CASA AMARENA</t>
  </si>
  <si>
    <t>localita' piecollina 15</t>
  </si>
  <si>
    <t>www.casamarena.it</t>
  </si>
  <si>
    <t>casaamarena@libero.it</t>
  </si>
  <si>
    <t>B&amp;B CARDURANI SANDRA</t>
  </si>
  <si>
    <t>case sparse colle di torricchio 3</t>
  </si>
  <si>
    <t>ANTICO BORGO DI GALLANO</t>
  </si>
  <si>
    <t>case sparse gallano 1</t>
  </si>
  <si>
    <t>www.anticoborgodigallano.com</t>
  </si>
  <si>
    <t>anticoborgodigallano@gmail.com</t>
  </si>
  <si>
    <t>ALBERGO RISTORANTE IL GIARDINO</t>
  </si>
  <si>
    <t>viale della Vittoria 7</t>
  </si>
  <si>
    <t>PIORACO</t>
  </si>
  <si>
    <t>http://www.hotel-ilgiardino.com/</t>
  </si>
  <si>
    <t>ilgiardinodipioraco@libero.it</t>
  </si>
  <si>
    <t>HOTEL VICTORIA</t>
  </si>
  <si>
    <t>piazza San Vittorino 5</t>
  </si>
  <si>
    <t>LANCIANELLO - case appartamenti vacanze</t>
  </si>
  <si>
    <t>via Seppio 7,4</t>
  </si>
  <si>
    <t>loc. Lancianello</t>
  </si>
  <si>
    <t>www.lancianello.it</t>
  </si>
  <si>
    <t>info@lancianello.it</t>
  </si>
  <si>
    <t>AREA DI SOSTA CAMPER - BUCHETTO</t>
  </si>
  <si>
    <t>SP 361 - LOC. PIE' DI GUALDO</t>
  </si>
  <si>
    <t>AFFITTACAMERE SERINI CARMELA</t>
  </si>
  <si>
    <t>via M.Armanno, via C.Augusto 10, 9</t>
  </si>
  <si>
    <t>c.ilari@macerata.confartigianato.it</t>
  </si>
  <si>
    <t>B&amp;B MULINO BIANCO</t>
  </si>
  <si>
    <t>via Serronchia 1</t>
  </si>
  <si>
    <t>POGGIO SAN VICINO</t>
  </si>
  <si>
    <t>Serronchia</t>
  </si>
  <si>
    <t>https://www.mulinobianco.nl</t>
  </si>
  <si>
    <t>info@mulinobianco.nl</t>
  </si>
  <si>
    <t>B&amp;B I CINQUE COLLI</t>
  </si>
  <si>
    <t>via Settembre 22</t>
  </si>
  <si>
    <t>POLLENZA</t>
  </si>
  <si>
    <t>giacomomau@gmail.com</t>
  </si>
  <si>
    <t>B&amp;B LA CASA DI VALE</t>
  </si>
  <si>
    <t>strada comunale Morazzano 72</t>
  </si>
  <si>
    <t>renzoscarponi@libero.it</t>
  </si>
  <si>
    <t>B&amp;B LA COLLINETTA</t>
  </si>
  <si>
    <t>c.da Campetella 32</t>
  </si>
  <si>
    <t>info@bblacollinetta.it</t>
  </si>
  <si>
    <t>VILLINO LA CASETTA</t>
  </si>
  <si>
    <t>c.da Molino 16/b</t>
  </si>
  <si>
    <t>villinolacasetta.xoom.it</t>
  </si>
  <si>
    <t>ppaciaroni@alice.it</t>
  </si>
  <si>
    <t>VIA SANTO SPIRITO 1</t>
  </si>
  <si>
    <t>AGRITURISMO LA MORLA</t>
  </si>
  <si>
    <t>c.da la Morla 19/B</t>
  </si>
  <si>
    <t>www.lamorla.it</t>
  </si>
  <si>
    <t>lamorla@hotmail.it</t>
  </si>
  <si>
    <t>PARCO HOTEL</t>
  </si>
  <si>
    <t>viale Dante 41</t>
  </si>
  <si>
    <t>www.gruppogiustozzihotels.it</t>
  </si>
  <si>
    <t>info@parcohotel.it</t>
  </si>
  <si>
    <t>LA CASA DI ZOE</t>
  </si>
  <si>
    <t>Contrada Morla 26</t>
  </si>
  <si>
    <t>www.agriturismolacasadizoe.it</t>
  </si>
  <si>
    <t>info@agriturismolacasadizoe.it</t>
  </si>
  <si>
    <t>B&amp;B SALVUCCI GABRIELLA</t>
  </si>
  <si>
    <t>contrada Rambona 47</t>
  </si>
  <si>
    <t>gabriellasalvucci@yahoo.it</t>
  </si>
  <si>
    <t>ANNITO E FIGLI</t>
  </si>
  <si>
    <t>PORTO RECANATI</t>
  </si>
  <si>
    <t>COLLEMARE SNC VILLAGGIO DEI TIGLI</t>
  </si>
  <si>
    <t>via Montarice 114</t>
  </si>
  <si>
    <t>info@villaggioitigli.it</t>
  </si>
  <si>
    <t>B&amp;B OTTAVIANELLI CARMEN</t>
  </si>
  <si>
    <t>via B. Biagetti 9</t>
  </si>
  <si>
    <t>via Santa Maria in Potenza 30A</t>
  </si>
  <si>
    <t>www.paradisevacanze.com</t>
  </si>
  <si>
    <t>info@paradisevacanze.com</t>
  </si>
  <si>
    <t>ENZO</t>
  </si>
  <si>
    <t>corso Matteotti 21</t>
  </si>
  <si>
    <t>www.hotelenzo.it</t>
  </si>
  <si>
    <t>info@hotelenzo.it</t>
  </si>
  <si>
    <t>MONDIAL</t>
  </si>
  <si>
    <t>viale Europa 2</t>
  </si>
  <si>
    <t>www.mondialhotel.com</t>
  </si>
  <si>
    <t>mondial@mondialhotel.com</t>
  </si>
  <si>
    <t>viale L. Scarfiotti 10-12</t>
  </si>
  <si>
    <t>www.brigantinohotel.it</t>
  </si>
  <si>
    <t>info@brigantinohotel.it</t>
  </si>
  <si>
    <t>HOTEL BIANCHI NICOLA</t>
  </si>
  <si>
    <t>piazza Fratelli Brancondi 38</t>
  </si>
  <si>
    <t>www.hotelbianchinicola.it</t>
  </si>
  <si>
    <t>info@hotelbianchinicola.it</t>
  </si>
  <si>
    <t>GIANNINO</t>
  </si>
  <si>
    <t>viale Cristoforo Colombo 25</t>
  </si>
  <si>
    <t>www.conerohotel.com</t>
  </si>
  <si>
    <t>info@conerohotel.com</t>
  </si>
  <si>
    <t>FIORE</t>
  </si>
  <si>
    <t>PAOLA</t>
  </si>
  <si>
    <t>BARRACUDA</t>
  </si>
  <si>
    <t>SCOSSICCI</t>
  </si>
  <si>
    <t>IL FARO</t>
  </si>
  <si>
    <t>SULLA CRESTA DELL'ONDA</t>
  </si>
  <si>
    <t>CARLO E DOMENICO</t>
  </si>
  <si>
    <t>ACAPULCO</t>
  </si>
  <si>
    <t>PITER</t>
  </si>
  <si>
    <t>Via Pastrengo 46</t>
  </si>
  <si>
    <t>BAGNI PANETTI</t>
  </si>
  <si>
    <t>LA ROTONDA</t>
  </si>
  <si>
    <t>Via Delle Nazioni 27</t>
  </si>
  <si>
    <t>info@chaletlarotonda.it</t>
  </si>
  <si>
    <t>www.chaletlarotonda.it</t>
  </si>
  <si>
    <t>NENETTA</t>
  </si>
  <si>
    <t>GIOVANNI</t>
  </si>
  <si>
    <t>FLORIDITA</t>
  </si>
  <si>
    <t>GIOIA DI PUGLIA</t>
  </si>
  <si>
    <t>WANDA</t>
  </si>
  <si>
    <t>Via Lepanto 1</t>
  </si>
  <si>
    <t>LA LANCETTA</t>
  </si>
  <si>
    <t>MARINELLO</t>
  </si>
  <si>
    <t>MILLE LIRE</t>
  </si>
  <si>
    <t>via Lepanto 48/a 48/a</t>
  </si>
  <si>
    <t>chaletmillelire@gmail.com</t>
  </si>
  <si>
    <t>LISETTA</t>
  </si>
  <si>
    <t>CAYO COCO</t>
  </si>
  <si>
    <t>CHALET MAURO</t>
  </si>
  <si>
    <t>AMNERIS</t>
  </si>
  <si>
    <t>LORENZO</t>
  </si>
  <si>
    <t>lorenzo@portorecanatiblog.it</t>
  </si>
  <si>
    <t>ACROPOLI</t>
  </si>
  <si>
    <t>mmonina@tiscali.it</t>
  </si>
  <si>
    <t>www.acropoli-mb.it</t>
  </si>
  <si>
    <t>IL PIRATA</t>
  </si>
  <si>
    <t>BORA BORA BEACH</t>
  </si>
  <si>
    <t>CRISTINA HIPTING</t>
  </si>
  <si>
    <t>via santa maria in potenza 39</t>
  </si>
  <si>
    <t>www.cristinabedbreakfast.com</t>
  </si>
  <si>
    <t>gattoscipione@libero.it</t>
  </si>
  <si>
    <t>contrada santa maria in potenza 30A</t>
  </si>
  <si>
    <t>http://www.paradisevacanze.com</t>
  </si>
  <si>
    <t>REGINA 2°</t>
  </si>
  <si>
    <t>viale delle Nazioni 1</t>
  </si>
  <si>
    <t>info@pinetacamping.it</t>
  </si>
  <si>
    <t>LA MEDUSA</t>
  </si>
  <si>
    <t>Lungomare Scarifiotti snc</t>
  </si>
  <si>
    <t>www.campinglamedusa.it</t>
  </si>
  <si>
    <t>info@campinglamedusa.it</t>
  </si>
  <si>
    <t>ADRIATICO</t>
  </si>
  <si>
    <t>viale Scarfiotti 3</t>
  </si>
  <si>
    <t>BELLAMARE</t>
  </si>
  <si>
    <t>via Scarfiotti 13</t>
  </si>
  <si>
    <t>www.bellamare.it</t>
  </si>
  <si>
    <t>info@bellamare.it</t>
  </si>
  <si>
    <t>IL VASCELLO</t>
  </si>
  <si>
    <t>viale della repubblica 15</t>
  </si>
  <si>
    <t>Ilvascello68@hotmail.com</t>
  </si>
  <si>
    <t>RESIDENCE HOTEL BIANCHI VINCENZO</t>
  </si>
  <si>
    <t>via garibaldi 3</t>
  </si>
  <si>
    <t>www.hotelbianchi.it</t>
  </si>
  <si>
    <t>info@hotelbianchi.com</t>
  </si>
  <si>
    <t>viale della repubblica 3</t>
  </si>
  <si>
    <t>www.pinetacamping.it</t>
  </si>
  <si>
    <t>bblaterrazza.pr@libero.it</t>
  </si>
  <si>
    <t>B&amp;B CONERO RANCH</t>
  </si>
  <si>
    <t>c.da Scossicci 55</t>
  </si>
  <si>
    <t>www.coneroranch.it</t>
  </si>
  <si>
    <t>info@coneroranch.it</t>
  </si>
  <si>
    <t>LIFE HOTEL</t>
  </si>
  <si>
    <t>Piazza delle Vele 22</t>
  </si>
  <si>
    <t>lungomare</t>
  </si>
  <si>
    <t>www.Life-hotel.it</t>
  </si>
  <si>
    <t>info@life-hotel.it</t>
  </si>
  <si>
    <t>B&amp;B IL GIRASOLE FORTUNATO</t>
  </si>
  <si>
    <t>www.ilgirasolefortunato.com</t>
  </si>
  <si>
    <t>ilgirasolefortunato@libero.it</t>
  </si>
  <si>
    <t>I SAPORI DI UN TEMPO</t>
  </si>
  <si>
    <t>VIA DELL'INDUSTRIA  36</t>
  </si>
  <si>
    <t>www.isaporidiuntempo.com</t>
  </si>
  <si>
    <t>info@isaporidiuntempo.com</t>
  </si>
  <si>
    <t>ABRAMO</t>
  </si>
  <si>
    <t>via annibal caro 80</t>
  </si>
  <si>
    <t>www.abramocamere.it</t>
  </si>
  <si>
    <t>info@abramocamere.it</t>
  </si>
  <si>
    <t>AGENZIA IMMOBILIARE PETTINARI BRUNA</t>
  </si>
  <si>
    <t>via bramante 65</t>
  </si>
  <si>
    <t>www.immobiliarepettinari.it</t>
  </si>
  <si>
    <t>federica@immobiliarepettinari.it</t>
  </si>
  <si>
    <t>MARINO'S APARTHOTEL</t>
  </si>
  <si>
    <t>P.ZZA DELLE VELE 14</t>
  </si>
  <si>
    <t>www.aparthotelitaly.com</t>
  </si>
  <si>
    <t>info@aparthotelitaly.com</t>
  </si>
  <si>
    <t>via Pietro Micca 31</t>
  </si>
  <si>
    <t>www.bb-ilglicine.it</t>
  </si>
  <si>
    <t>lanfranco@adriaticagestioni.it</t>
  </si>
  <si>
    <t>BEBO'S</t>
  </si>
  <si>
    <t>RESIDENCE CASALE DEL CONERO</t>
  </si>
  <si>
    <t>via scossicci 32</t>
  </si>
  <si>
    <t>www.casaledelconero.it</t>
  </si>
  <si>
    <t>info@casaledelconero.it</t>
  </si>
  <si>
    <t>RESIDENCE POCKET BEACH</t>
  </si>
  <si>
    <t>via francia 9</t>
  </si>
  <si>
    <t>www.residencepocketbeach.it</t>
  </si>
  <si>
    <t>residencepocketbeach@gmail.com</t>
  </si>
  <si>
    <t>BUTTERFLY'S HOUSE</t>
  </si>
  <si>
    <t>via bramante 132</t>
  </si>
  <si>
    <t>LE CASE SUL MARE</t>
  </si>
  <si>
    <t>viale scarfiotti 10</t>
  </si>
  <si>
    <t>RESIDENCE VILLA CLAUDIA</t>
  </si>
  <si>
    <t>via scossicci 17</t>
  </si>
  <si>
    <t>info@villa-claudia.com</t>
  </si>
  <si>
    <t>CASA VACANZE ALBA CHIARA</t>
  </si>
  <si>
    <t>via montarice 1</t>
  </si>
  <si>
    <t>esseti-fi@esse-ti.it</t>
  </si>
  <si>
    <t>DISCO KARTING</t>
  </si>
  <si>
    <t>viale Scarfiotti 1</t>
  </si>
  <si>
    <t>LIETI COLLI BED&amp;BREAKFAST</t>
  </si>
  <si>
    <t>via Montarice 49</t>
  </si>
  <si>
    <t>www.lieticolli.com</t>
  </si>
  <si>
    <t>info@lieticolli.com</t>
  </si>
  <si>
    <t>B&amp;B SOLELUNA</t>
  </si>
  <si>
    <t>via scossicci  64</t>
  </si>
  <si>
    <t>www.bb-soleluna.it</t>
  </si>
  <si>
    <t>HOTEL RISTORANTE MIRACONERO</t>
  </si>
  <si>
    <t>via Scossicci 16</t>
  </si>
  <si>
    <t>www.miraconero.it</t>
  </si>
  <si>
    <t>miraconero@alice.it</t>
  </si>
  <si>
    <t>B&amp;B ZI' PASQUALE RAMOVECCHI LUCIANA</t>
  </si>
  <si>
    <t>via Garibaldi 262</t>
  </si>
  <si>
    <t>gegrilli@alice.it</t>
  </si>
  <si>
    <t>OPERA ARTE SRL</t>
  </si>
  <si>
    <t>via Garibaldi 200</t>
  </si>
  <si>
    <t>PACIFIC BLUE</t>
  </si>
  <si>
    <t>via De Gasperi 40</t>
  </si>
  <si>
    <t>info@pacificblue.it</t>
  </si>
  <si>
    <t>annarombini@alice.it</t>
  </si>
  <si>
    <t>B&amp;B IL SOL LEONE</t>
  </si>
  <si>
    <t>via degli Orti 35</t>
  </si>
  <si>
    <t>www.leonebbportorecanati.it</t>
  </si>
  <si>
    <t>info@leonebbportorecanati.it</t>
  </si>
  <si>
    <t>AFFITTACAMERE ABELE</t>
  </si>
  <si>
    <t>via Leopardi  84</t>
  </si>
  <si>
    <t>info@abelecamere.it</t>
  </si>
  <si>
    <t>B&amp;B CASALE AL MARE</t>
  </si>
  <si>
    <t>via Pastrengo 59</t>
  </si>
  <si>
    <t>http://casalealmare.oneminutesite.it</t>
  </si>
  <si>
    <t>casalealmare@gmail.com</t>
  </si>
  <si>
    <t>B&amp;B UN MARE DI GIOIA</t>
  </si>
  <si>
    <t>via Gramsci 75</t>
  </si>
  <si>
    <t>www.unmaredigioia.it</t>
  </si>
  <si>
    <t>sandrapiermarini@alice.it</t>
  </si>
  <si>
    <t>BLU' BAR</t>
  </si>
  <si>
    <t>Via N. Sauro 29</t>
  </si>
  <si>
    <t>melania.ter@libero.it</t>
  </si>
  <si>
    <t>COPACABANA</t>
  </si>
  <si>
    <t>Via Pizzetti 10</t>
  </si>
  <si>
    <t>cristianludolini@hotmail.it</t>
  </si>
  <si>
    <t>B&amp;B I CUCALI</t>
  </si>
  <si>
    <t>via Palestro 39 39</t>
  </si>
  <si>
    <t>icucali.it</t>
  </si>
  <si>
    <t>hello@icucali.it</t>
  </si>
  <si>
    <t>balneare@alice.it</t>
  </si>
  <si>
    <t>BAHARI CAFE'</t>
  </si>
  <si>
    <t>LA BAITA</t>
  </si>
  <si>
    <t>LIDO SABBIA D'OR</t>
  </si>
  <si>
    <t>MEDUSA SABBIA D'OR</t>
  </si>
  <si>
    <t>KIRO KIRO BEACH</t>
  </si>
  <si>
    <t>ORLANDO BARABANI</t>
  </si>
  <si>
    <t>NONNO FERRUCCIO</t>
  </si>
  <si>
    <t>CHALET MILLE LIRE</t>
  </si>
  <si>
    <t>CONERO'S LIFE</t>
  </si>
  <si>
    <t>viale Scarfiotti snc</t>
  </si>
  <si>
    <t>loc. Scossicci</t>
  </si>
  <si>
    <t>areacamper.portorecanati@gmail.com</t>
  </si>
  <si>
    <t>OPERA ARTE SUITE APARTMENTS</t>
  </si>
  <si>
    <t>Garibaldi 167</t>
  </si>
  <si>
    <t>AGRITURISMO LE SPIGHE</t>
  </si>
  <si>
    <t>Via Santa Maria in Potenza 40</t>
  </si>
  <si>
    <t>info@lespighe.net</t>
  </si>
  <si>
    <t>BEBE MAR DEL PLATA</t>
  </si>
  <si>
    <t>Via Mar del Plata 21</t>
  </si>
  <si>
    <t>nadia_moretti@hotmail.it</t>
  </si>
  <si>
    <t>SOFFIO DI MARE</t>
  </si>
  <si>
    <t>Via G. Garibaldi 101</t>
  </si>
  <si>
    <t>noemicasa@alice.it</t>
  </si>
  <si>
    <t>FESTINA LENTE</t>
  </si>
  <si>
    <t>Via San Giovanni Bosco 89</t>
  </si>
  <si>
    <t>www.festinalentebb.it</t>
  </si>
  <si>
    <t>info@festinalentebb.it</t>
  </si>
  <si>
    <t>LA SCIABBEGA B&amp;B</t>
  </si>
  <si>
    <t>Via E. Gardini 17</t>
  </si>
  <si>
    <t>www.lasciabbega.it</t>
  </si>
  <si>
    <t>info@lasciabbega.it</t>
  </si>
  <si>
    <t>OMINETTI ROBERTO</t>
  </si>
  <si>
    <t>Via Alvata 192</t>
  </si>
  <si>
    <t>POTENZA PICENA</t>
  </si>
  <si>
    <t>roberto.ominetti@gmail.com</t>
  </si>
  <si>
    <t>TURCHI DINO</t>
  </si>
  <si>
    <t>Via Marco Polo  5</t>
  </si>
  <si>
    <t>CARASSAI GIANCARLO</t>
  </si>
  <si>
    <t>Piazza Doumet 33</t>
  </si>
  <si>
    <t>MERCURI ROSANNA</t>
  </si>
  <si>
    <t>Via Lazio 14</t>
  </si>
  <si>
    <t>MANZI CONCETTA</t>
  </si>
  <si>
    <t>Via Gramsci 6</t>
  </si>
  <si>
    <t>FAGIOLI ARMIDA APP.TO VIA BEETHOVEN</t>
  </si>
  <si>
    <t>Via Beethoven 52</t>
  </si>
  <si>
    <t>FAGIOLI ARMIDA APP.TO VIA ROSSINI</t>
  </si>
  <si>
    <t>Via Rossini 5</t>
  </si>
  <si>
    <t>SAVORETTI ADRIANA</t>
  </si>
  <si>
    <t>Via Aprutina 129</t>
  </si>
  <si>
    <t>ANTINOGENE MARIA GRAZIA</t>
  </si>
  <si>
    <t>Via Buozzi 4</t>
  </si>
  <si>
    <t>MANCINI MARIA GRAZIA</t>
  </si>
  <si>
    <t>LA CASA SUL TETTO</t>
  </si>
  <si>
    <t>Via Galiziano 3</t>
  </si>
  <si>
    <t>fabioaviano76@gmail.com</t>
  </si>
  <si>
    <t>LA CASA DI CECILIA</t>
  </si>
  <si>
    <t>Contrada Torrenova SNC</t>
  </si>
  <si>
    <t>bbcasacecilia@libero.it</t>
  </si>
  <si>
    <t>HOTEL GALLO</t>
  </si>
  <si>
    <t>piazzale Stazione 13/14</t>
  </si>
  <si>
    <t>cabesasrl@gmail.com</t>
  </si>
  <si>
    <t>COGNINI AMALIA</t>
  </si>
  <si>
    <t>Via Del Castello 11</t>
  </si>
  <si>
    <t>BARTOLINI MARIA</t>
  </si>
  <si>
    <t>Via Dante Alighieri 37</t>
  </si>
  <si>
    <t>PACCALONI GIOVANNI</t>
  </si>
  <si>
    <t>Via Vittorio Alfieri 5</t>
  </si>
  <si>
    <t>MARINELLI MARCELLA APP.TO PIANO 2°</t>
  </si>
  <si>
    <t>Via Dante Alighieri 57</t>
  </si>
  <si>
    <t>MARINELLI MARCELLA APP.TO PIANO 1°</t>
  </si>
  <si>
    <t>IL CASALE SRLS</t>
  </si>
  <si>
    <t>Via Montecanepino 27</t>
  </si>
  <si>
    <t>BARBACCIA FRANCA</t>
  </si>
  <si>
    <t>Viale Piemonte 13</t>
  </si>
  <si>
    <t>GIUSTINI LOREDANA</t>
  </si>
  <si>
    <t>Via E. Bocci 21</t>
  </si>
  <si>
    <t>MOBILI ALICE</t>
  </si>
  <si>
    <t>Via Alvata 55</t>
  </si>
  <si>
    <t>NATALINI ROBERTA</t>
  </si>
  <si>
    <t>Via Rossini 91</t>
  </si>
  <si>
    <t>BRUNATI AURELIO</t>
  </si>
  <si>
    <t>Via G. B. Pergolesi 22</t>
  </si>
  <si>
    <t>ALFREDO BOCCACCINI</t>
  </si>
  <si>
    <t>Contrada Tergi 56</t>
  </si>
  <si>
    <t>GANDOLFI CARLO</t>
  </si>
  <si>
    <t>Aprutina 139</t>
  </si>
  <si>
    <t>FOGLIA LIDA</t>
  </si>
  <si>
    <t>Duca degli Abruzzi 104</t>
  </si>
  <si>
    <t>PALMIERI MANILA</t>
  </si>
  <si>
    <t>Antonelli e Tebaldi 46</t>
  </si>
  <si>
    <t>CICCARELLI LUIGI</t>
  </si>
  <si>
    <t>Duca degli Abruzzi 115</t>
  </si>
  <si>
    <t>RE VINCENZO</t>
  </si>
  <si>
    <t>Piacenza 47</t>
  </si>
  <si>
    <t>NATALINI DINA</t>
  </si>
  <si>
    <t>Garibaldi 28</t>
  </si>
  <si>
    <t>ROSSI ILARIA</t>
  </si>
  <si>
    <t>Gramsci 70/72</t>
  </si>
  <si>
    <t>B&amp;B VENTO DELL'EST</t>
  </si>
  <si>
    <t>C.DA MONTECANEPINO 59</t>
  </si>
  <si>
    <t>www.ventodellest.com</t>
  </si>
  <si>
    <t>marvin.em@libero.it</t>
  </si>
  <si>
    <t>MEZZASOMA RITA</t>
  </si>
  <si>
    <t>AMENDOLA 12/A</t>
  </si>
  <si>
    <t>LETTINA PAMELA</t>
  </si>
  <si>
    <t>IV NOVEMBRE 9</t>
  </si>
  <si>
    <t>casastelladimare15@gmail.com</t>
  </si>
  <si>
    <t>PANICONI PIERLUIGI</t>
  </si>
  <si>
    <t>MONTECANEPINO 147</t>
  </si>
  <si>
    <t>raffaela.parrucchieria@alice.it</t>
  </si>
  <si>
    <t>GIANNINI ENZO</t>
  </si>
  <si>
    <t>GARIBALDI 29</t>
  </si>
  <si>
    <t>PORTO POTENZA PICENA</t>
  </si>
  <si>
    <t>BONIFACIO MARIO</t>
  </si>
  <si>
    <t>LIVORNO 10</t>
  </si>
  <si>
    <t>PURIFICO MAURIZIO</t>
  </si>
  <si>
    <t>LUCANIA 12</t>
  </si>
  <si>
    <t>silviamace@libero.it</t>
  </si>
  <si>
    <t>COSTANTINI STEFANO</t>
  </si>
  <si>
    <t>A. GRAMSCI 20/C</t>
  </si>
  <si>
    <t>porto</t>
  </si>
  <si>
    <t>https://plus.google.com/+CasaDAmareCOSTANTINI</t>
  </si>
  <si>
    <t>info@casadamarecostantini.com</t>
  </si>
  <si>
    <t>CASA DI ALE</t>
  </si>
  <si>
    <t>Viale Regina Margherita 165</t>
  </si>
  <si>
    <t>antoniocantoro61@gmail.com</t>
  </si>
  <si>
    <t>B&amp;B LA CASTRA</t>
  </si>
  <si>
    <t>VIA MUGELLINI 19</t>
  </si>
  <si>
    <t>www.lacastra.it</t>
  </si>
  <si>
    <t>info@lacastra.it</t>
  </si>
  <si>
    <t>TARIFA</t>
  </si>
  <si>
    <t>marzola.stefano@alice.it</t>
  </si>
  <si>
    <t>PASQUALI ENZO</t>
  </si>
  <si>
    <t>Contrada Fosso a Mare 32</t>
  </si>
  <si>
    <t>www.casalepiccoloparadiso.it</t>
  </si>
  <si>
    <t>info@casalepiccoloparadiso.it</t>
  </si>
  <si>
    <t>robertoruggeri71@alice.it</t>
  </si>
  <si>
    <t>B&amp;B CIPRIANI GIANCARLO</t>
  </si>
  <si>
    <t>via G.Battista Boni 19</t>
  </si>
  <si>
    <t>info@casacipriani.it</t>
  </si>
  <si>
    <t>IL CASALE DI MARIU'</t>
  </si>
  <si>
    <t>via Montecanepino 27</t>
  </si>
  <si>
    <t>info@ilcasaledimariu.it</t>
  </si>
  <si>
    <t>CORNER GARDEN B&amp;B</t>
  </si>
  <si>
    <t>contrada Torrenova  36</t>
  </si>
  <si>
    <t>www.cornergarden-bb.com</t>
  </si>
  <si>
    <t>cornergarden@libero.it</t>
  </si>
  <si>
    <t>B&amp;B LUNA ROSSA</t>
  </si>
  <si>
    <t>Via Fioretti 10</t>
  </si>
  <si>
    <t>lunarossa_BB@hotmail.it</t>
  </si>
  <si>
    <t>BEACH BOYS</t>
  </si>
  <si>
    <t>rist.beachboys@tiscali.it</t>
  </si>
  <si>
    <t>FIORENZA ZACCONI</t>
  </si>
  <si>
    <t>via Dante Alighieri  87</t>
  </si>
  <si>
    <t>zuccaccia.l@libero.it</t>
  </si>
  <si>
    <t>AGRITURISMO SOGNO D' ESTATE</t>
  </si>
  <si>
    <t>contrada San Girio  27/a</t>
  </si>
  <si>
    <t>www.sognodestate.com</t>
  </si>
  <si>
    <t>info@sognodestate.com</t>
  </si>
  <si>
    <t>LA SCALA DI SETA</t>
  </si>
  <si>
    <t>contrada Molino Vecchio  8</t>
  </si>
  <si>
    <t>potenza picena</t>
  </si>
  <si>
    <t>www.lascaladiseta.it</t>
  </si>
  <si>
    <t>info@lascaladiseta.it</t>
  </si>
  <si>
    <t>HOTEL TORRESI AFFITTACAMERE</t>
  </si>
  <si>
    <t>via Strada Regina 60</t>
  </si>
  <si>
    <t>info@hoteltorresi.it</t>
  </si>
  <si>
    <t>B&amp;B SUN SHINE</t>
  </si>
  <si>
    <t>via Montecoriolano 12/b</t>
  </si>
  <si>
    <t>www.countryhousesunshine.it</t>
  </si>
  <si>
    <t>countryhousesunshine@gmail.com</t>
  </si>
  <si>
    <t>COUNTRY RESORT PAMPERDUTO</t>
  </si>
  <si>
    <t>c.da Pamperduto 13</t>
  </si>
  <si>
    <t>Porto Potenza Picena</t>
  </si>
  <si>
    <t>www.pamperduto.it</t>
  </si>
  <si>
    <t>info@pamperduto.it</t>
  </si>
  <si>
    <t>CASALE TORRENOVA</t>
  </si>
  <si>
    <t>c.da San Girio  38</t>
  </si>
  <si>
    <t>www.casaletorrenova.it</t>
  </si>
  <si>
    <t>info@casaletorrenova.it</t>
  </si>
  <si>
    <t>B&amp;B DUE PASSI DAL MARE</t>
  </si>
  <si>
    <t>via Ettore Bocci 61</t>
  </si>
  <si>
    <t>PORTO POTENZA</t>
  </si>
  <si>
    <t>www.duepassidalmare.eu</t>
  </si>
  <si>
    <t>info@duepassidalmare.eu</t>
  </si>
  <si>
    <t>BARRACUDA BEACH</t>
  </si>
  <si>
    <t>basquiatsrl@pec.it</t>
  </si>
  <si>
    <t>B&amp;B SERENA CAPECCI</t>
  </si>
  <si>
    <t>via Dante Alighieri 31</t>
  </si>
  <si>
    <t>serenacapecci@hotmail.it</t>
  </si>
  <si>
    <t>LE ROSE E I BAMBU</t>
  </si>
  <si>
    <t>c.da Giardino 1</t>
  </si>
  <si>
    <t>www.lerosebambu.weebly.com</t>
  </si>
  <si>
    <t>info@lerosebambu.com</t>
  </si>
  <si>
    <t>B&amp;B ANTIGUA</t>
  </si>
  <si>
    <t>via Pietro Nenni 22</t>
  </si>
  <si>
    <t>www.antigua-doge.it</t>
  </si>
  <si>
    <t>info@antigua-doge.it</t>
  </si>
  <si>
    <t>IL CONTADINO E IL MARE</t>
  </si>
  <si>
    <t>contrada San Girio 65 bis</t>
  </si>
  <si>
    <t>info@ilcontadinoeilmare.com</t>
  </si>
  <si>
    <t>B&amp;B L'ORTO MARINO</t>
  </si>
  <si>
    <t>contrada alvata 24</t>
  </si>
  <si>
    <t>www.pettorossi.it/ortomarino/</t>
  </si>
  <si>
    <t>ortomarino@gmail.com</t>
  </si>
  <si>
    <t>B&amp;B TORRETTA BONAPARTE</t>
  </si>
  <si>
    <t>contrada san girio 11</t>
  </si>
  <si>
    <t>www.torrettabonaparte.com</t>
  </si>
  <si>
    <t>torrettabonaparte@libero.it</t>
  </si>
  <si>
    <t>LOCANDA DEL TAVOLO MATTO</t>
  </si>
  <si>
    <t>contrada torrenova 35</t>
  </si>
  <si>
    <t>www.tavolomatto.it</t>
  </si>
  <si>
    <t>tavolomatto@alice.it</t>
  </si>
  <si>
    <t>L'ANTICO ULIVETO</t>
  </si>
  <si>
    <t>contrada Palazzo Rosso 1</t>
  </si>
  <si>
    <t>www.anticouliveto.com</t>
  </si>
  <si>
    <t>info@anticouliveto.com</t>
  </si>
  <si>
    <t>B&amp;B DOMUS MONTESANTO</t>
  </si>
  <si>
    <t>corso Vittorio Emanuele II 35</t>
  </si>
  <si>
    <t>marche_olden_times@yahoo.it</t>
  </si>
  <si>
    <t>AREA SOSTA CAMPER PIAZZA DEL MERCATO</t>
  </si>
  <si>
    <t>contrada San Girio 49</t>
  </si>
  <si>
    <t>agriturismolafonte@hotmail.it</t>
  </si>
  <si>
    <t>IL TRANSUMANTE</t>
  </si>
  <si>
    <t>Contrada Marolino 3</t>
  </si>
  <si>
    <t>transumante@alice.it</t>
  </si>
  <si>
    <t>B&amp;B INES di MUNTEANU MIHAELA</t>
  </si>
  <si>
    <t>c.da Mandolino 2</t>
  </si>
  <si>
    <t>www.bebines.it</t>
  </si>
  <si>
    <t>bb.ines2011@yahoo.ro</t>
  </si>
  <si>
    <t>B&amp;B LA BIANCA</t>
  </si>
  <si>
    <t>APRUTINA 94</t>
  </si>
  <si>
    <t>labianca2011@gmail.com</t>
  </si>
  <si>
    <t>LIDO ASOLA</t>
  </si>
  <si>
    <t>piazza Antonio Gramsci 1</t>
  </si>
  <si>
    <t>www.campinglidoasola.it</t>
  </si>
  <si>
    <t>paolapolverigiani@libero.it</t>
  </si>
  <si>
    <t>CAMPING VILLAGE COSTA VERDE</t>
  </si>
  <si>
    <t>contrada Asola 1</t>
  </si>
  <si>
    <t>www.campingcostaverde.it</t>
  </si>
  <si>
    <t>info@campingcostaverde.it</t>
  </si>
  <si>
    <t>www.campingregina.it</t>
  </si>
  <si>
    <t>info@campingregina.it</t>
  </si>
  <si>
    <t>FRAL DI BROCCOLO LAMBERTO E C. SNC</t>
  </si>
  <si>
    <t>contrada Torrenova 14</t>
  </si>
  <si>
    <t>fbroccolo@inwind.it</t>
  </si>
  <si>
    <t>BORRONI DANTE</t>
  </si>
  <si>
    <t>via aprutina 37</t>
  </si>
  <si>
    <t>ISTITUTO FIGLIE DELL'ADDOLORATA</t>
  </si>
  <si>
    <t>viale Regina Margherita 11</t>
  </si>
  <si>
    <t>NUOVO NATURAL VILLAGE</t>
  </si>
  <si>
    <t>C.da Torrenova 1</t>
  </si>
  <si>
    <t>www.nuovonaturalvillage.com</t>
  </si>
  <si>
    <t>info@nuovonaturalvillage.com</t>
  </si>
  <si>
    <t>LA CIPOLLA D'ORO</t>
  </si>
  <si>
    <t>contrada san girio 33</t>
  </si>
  <si>
    <t>www.cipolladoro.it</t>
  </si>
  <si>
    <t>info@cipolladoro.it</t>
  </si>
  <si>
    <t>HOTEL TORRESI</t>
  </si>
  <si>
    <t>contrada strada regina 60</t>
  </si>
  <si>
    <t>www.hoteltorresi.it</t>
  </si>
  <si>
    <t>STORK</t>
  </si>
  <si>
    <t>via Dante Alighieri 57</t>
  </si>
  <si>
    <t>albergostork@libero.it</t>
  </si>
  <si>
    <t>via Dante Alighieri 131</t>
  </si>
  <si>
    <t>lido.hotel@tiscali.it</t>
  </si>
  <si>
    <t>via gioacchino rossini 86</t>
  </si>
  <si>
    <t>www.hotellaterrazza.com</t>
  </si>
  <si>
    <t>info@hotellaterrazza.com</t>
  </si>
  <si>
    <t>LA CONTRADA DEL RAGLIO</t>
  </si>
  <si>
    <t>contrada altavilla 2</t>
  </si>
  <si>
    <t>www.contradadelraglio.it</t>
  </si>
  <si>
    <t>info@contradadelraglio.it</t>
  </si>
  <si>
    <t>LE CASTELLA</t>
  </si>
  <si>
    <t>contrada Castelletta 25</t>
  </si>
  <si>
    <t>www.agriturismolecastella.it</t>
  </si>
  <si>
    <t>info@agriturismolecastella.it</t>
  </si>
  <si>
    <t>B&amp;B PIAZZA VERDE</t>
  </si>
  <si>
    <t>viale Piemonte 3</t>
  </si>
  <si>
    <t>B&amp;B A CASA DI PICI</t>
  </si>
  <si>
    <t>contrada Acquabona 7</t>
  </si>
  <si>
    <t>frazione PORTO</t>
  </si>
  <si>
    <t>www.acasadipici.it</t>
  </si>
  <si>
    <t>pici@acasadipici.it</t>
  </si>
  <si>
    <t>B&amp;B CENTRO IPPICO ANDREA</t>
  </si>
  <si>
    <t>contrada Marignano 9</t>
  </si>
  <si>
    <t>www.centro-ippico.com</t>
  </si>
  <si>
    <t>info@centro-ippico.com</t>
  </si>
  <si>
    <t>MOSQUITO</t>
  </si>
  <si>
    <t>SOLERO</t>
  </si>
  <si>
    <t>solerobeach@yahoo.it</t>
  </si>
  <si>
    <t>www.solerobeach.it</t>
  </si>
  <si>
    <t>SAN DIEGO BEACH</t>
  </si>
  <si>
    <t>lorenzo7901@alice.it</t>
  </si>
  <si>
    <t>www.stabilimentoapprodo.it</t>
  </si>
  <si>
    <t>L'ANCORA</t>
  </si>
  <si>
    <t>ancora_2009@libero.it</t>
  </si>
  <si>
    <t>GIAMIRMA</t>
  </si>
  <si>
    <t>GIRI BEACH</t>
  </si>
  <si>
    <t>b.giri@alice.it</t>
  </si>
  <si>
    <t>LO SCOGLIO</t>
  </si>
  <si>
    <t>PLAYA BOCACHICA</t>
  </si>
  <si>
    <t>BLU DI LOLLO</t>
  </si>
  <si>
    <t>IL GIARDINO DEI SAPORI</t>
  </si>
  <si>
    <t>contrada saletta 28</t>
  </si>
  <si>
    <t>RECANATI</t>
  </si>
  <si>
    <t>www.ilgiardinodeisapori.net</t>
  </si>
  <si>
    <t>giardinodeisapori@tiscali.it</t>
  </si>
  <si>
    <t>GALLERY HOTEL RECANATI</t>
  </si>
  <si>
    <t>via falleroni 85</t>
  </si>
  <si>
    <t>www.ghr.it</t>
  </si>
  <si>
    <t>info@ghr.it</t>
  </si>
  <si>
    <t>LE MERAVIGLIE COUNTRY-HOUSES</t>
  </si>
  <si>
    <t>contrada santa croce 55</t>
  </si>
  <si>
    <t>www.countryhouselemeraviglie.it</t>
  </si>
  <si>
    <t>lemeraviglie2006@libero.it</t>
  </si>
  <si>
    <t>HOTEL SOFTWOOD INFINITO</t>
  </si>
  <si>
    <t>via Capodaglio 8</t>
  </si>
  <si>
    <t>ZONA IND.LE SQUARTABUE</t>
  </si>
  <si>
    <t>hotel_softwood_infinito@alice.it</t>
  </si>
  <si>
    <t>TONINO</t>
  </si>
  <si>
    <t>via ceccaroni 1</t>
  </si>
  <si>
    <t>www.albergotonino.it</t>
  </si>
  <si>
    <t>info@albergotonino.it</t>
  </si>
  <si>
    <t>ALBERGO RISTORANTE PASSERO SOLITARIO</t>
  </si>
  <si>
    <t>via gherarducci 6</t>
  </si>
  <si>
    <t>passero.solitario@yahoo.it</t>
  </si>
  <si>
    <t>via calcagni 2</t>
  </si>
  <si>
    <t>www.hotelginestra.it</t>
  </si>
  <si>
    <t>info@hotelginestra.it</t>
  </si>
  <si>
    <t>BEATRICE BERTO</t>
  </si>
  <si>
    <t>via cirfoglio 9</t>
  </si>
  <si>
    <t>digilander.libero.it/beatriceberto/</t>
  </si>
  <si>
    <t>beatriceberto@libero.it</t>
  </si>
  <si>
    <t>ERBAIUOLA B&amp;B DI GIBELLINI FRANCA</t>
  </si>
  <si>
    <t>contrada castelnuovo 61</t>
  </si>
  <si>
    <t>www.erbaiuola.it</t>
  </si>
  <si>
    <t>info@erbaiuola.it</t>
  </si>
  <si>
    <t>B&amp;B PALAZZO DALLA CASAPICCOLA</t>
  </si>
  <si>
    <t>piazzale Gioberti 2</t>
  </si>
  <si>
    <t>www.palazzodallacasapiccola.it</t>
  </si>
  <si>
    <t>am.palaz@palazzodallacasapiccola.it</t>
  </si>
  <si>
    <t>W.W.F.  ITALIA</t>
  </si>
  <si>
    <t>via campo dei fiori 5</t>
  </si>
  <si>
    <t>cea.recanati@libero.it</t>
  </si>
  <si>
    <t>B&amp;B VILLA SCUDERI</t>
  </si>
  <si>
    <t>via Saletta 39</t>
  </si>
  <si>
    <t>edoardoscuderi-volvo@libero.it</t>
  </si>
  <si>
    <t>IL GELSO ANTICO</t>
  </si>
  <si>
    <t>contrada vallememoria 14</t>
  </si>
  <si>
    <t>www.ilgelsoantico.com</t>
  </si>
  <si>
    <t>ilgelsoantico@live.it</t>
  </si>
  <si>
    <t>SOC. AG., RAGGIO VERDE DI PAOLINI GIANMARIO, SANDRO E C.</t>
  </si>
  <si>
    <t>contrada San Pietro 77</t>
  </si>
  <si>
    <t>www.ilraggioverde.eu</t>
  </si>
  <si>
    <t>info@ilraggioverde.eu</t>
  </si>
  <si>
    <t>I TRE FILARI</t>
  </si>
  <si>
    <t>contrada bagnolo 38/A</t>
  </si>
  <si>
    <t>www.itrefilari.it</t>
  </si>
  <si>
    <t>itrefilari@virgilio.it</t>
  </si>
  <si>
    <t>AGRITURISMO "TERRA E VITA"</t>
  </si>
  <si>
    <t>contrada chiarino 62/A</t>
  </si>
  <si>
    <t>www.agriturismoterraevita.it</t>
  </si>
  <si>
    <t>coop.terraevita@email.it</t>
  </si>
  <si>
    <t>LA CASCINA DEL POETA</t>
  </si>
  <si>
    <t>contrada castelnuovo 3</t>
  </si>
  <si>
    <t>www.lacascinadelpoeta.it</t>
  </si>
  <si>
    <t>info@lacascinadelpoeta.it</t>
  </si>
  <si>
    <t>B&amp;B ITALA di CORVATTA DANIELE</t>
  </si>
  <si>
    <t>via Portorecanati 4</t>
  </si>
  <si>
    <t>www.bandbitala.it</t>
  </si>
  <si>
    <t>cor.dan@aruba.it</t>
  </si>
  <si>
    <t>B&amp;B CASTELNUOVO</t>
  </si>
  <si>
    <t>via del Risorgimento 43</t>
  </si>
  <si>
    <t>www.casavacanza-bedandbreakfast.it</t>
  </si>
  <si>
    <t>framedeo55@yahoo.it</t>
  </si>
  <si>
    <t>AGRITURISMO AL CREPUSCOLO</t>
  </si>
  <si>
    <t>frazione montefiore 55</t>
  </si>
  <si>
    <t>www.alcrepuscolo.it</t>
  </si>
  <si>
    <t>info@alcrepuscolo.it</t>
  </si>
  <si>
    <t>B&amp;B MILLEFIORI</t>
  </si>
  <si>
    <t>via N.Biagiola 4</t>
  </si>
  <si>
    <t>http://millefiori-recanati.blogspot.com/</t>
  </si>
  <si>
    <t>millefiorirecanati@email.it</t>
  </si>
  <si>
    <t>AGRITURISMO BASSARI'</t>
  </si>
  <si>
    <t>c.da Santa  Croce 6/7</t>
  </si>
  <si>
    <t>www.bassari.it</t>
  </si>
  <si>
    <t>info@bassari.it</t>
  </si>
  <si>
    <t>B&amp;B ALLA LUNA</t>
  </si>
  <si>
    <t>c.da Musone 23</t>
  </si>
  <si>
    <t>bballaluna.com</t>
  </si>
  <si>
    <t>toccaceli15@alice.it</t>
  </si>
  <si>
    <t>CAMPUS L'INFINITO</t>
  </si>
  <si>
    <t>http://www.campusinfinito.it</t>
  </si>
  <si>
    <t>info@campusinfinito.it</t>
  </si>
  <si>
    <t>LA CANTINA DI ALE</t>
  </si>
  <si>
    <t>Nazario Sauro 72</t>
  </si>
  <si>
    <t>www.palazzobello.it</t>
  </si>
  <si>
    <t>info@palazzobello.it</t>
  </si>
  <si>
    <t>IL TELAIO</t>
  </si>
  <si>
    <t>piazzuola Sabato del Villaggio 5</t>
  </si>
  <si>
    <t>casaleopardi@giacomoleopardi.it</t>
  </si>
  <si>
    <t>B&amp;B LE BELLE MARCHE</t>
  </si>
  <si>
    <t>contrada Valdice snc</t>
  </si>
  <si>
    <t>morettistudio@virgilio.it</t>
  </si>
  <si>
    <t>TERRA DEL SOLE</t>
  </si>
  <si>
    <t>contrada Castelnuovo 22</t>
  </si>
  <si>
    <t>guardabassidaniele@gmail.com</t>
  </si>
  <si>
    <t>AREA SOSTA CAMPER - VIA CESARE PERUZZI</t>
  </si>
  <si>
    <t>B&amp;B ANTICA CAMPAGNA</t>
  </si>
  <si>
    <t>C.da San Francesco 16</t>
  </si>
  <si>
    <t>www.anticacampagna.it</t>
  </si>
  <si>
    <t>info@anticacampagna.it</t>
  </si>
  <si>
    <t>B&amp;B IN PRINCIPIO VITAE</t>
  </si>
  <si>
    <t>via Bravi 3/a</t>
  </si>
  <si>
    <t>mario.tanoni@gmail.com</t>
  </si>
  <si>
    <t>B&amp;B VERDE PARADISO</t>
  </si>
  <si>
    <t>viale Amendola 16</t>
  </si>
  <si>
    <t>www.verdeparadiso.it</t>
  </si>
  <si>
    <t>info.verdeparadiso@verdeparadiso.it</t>
  </si>
  <si>
    <t>IL BARDO</t>
  </si>
  <si>
    <t>Via Valdice 9</t>
  </si>
  <si>
    <t>d.gattiventurini@gmail.com</t>
  </si>
  <si>
    <t>FOSCHI CARLO</t>
  </si>
  <si>
    <t>Viale Monte Bove 35</t>
  </si>
  <si>
    <t>carlo2010.foschi@gmail.com</t>
  </si>
  <si>
    <t>LA CASETTA DEL MURATORE GRANDE</t>
  </si>
  <si>
    <t>Viale Carancini 19</t>
  </si>
  <si>
    <t>tinoaconiti@gmail.com</t>
  </si>
  <si>
    <t>LA CASETTA DEL MURATORE PICCOLO</t>
  </si>
  <si>
    <t>LA CASA NEL VICOLO</t>
  </si>
  <si>
    <t>Vicolo Jacometti 20</t>
  </si>
  <si>
    <t>mich.vitali@tiscali.it</t>
  </si>
  <si>
    <t>RESIDENZA DEL BORGO</t>
  </si>
  <si>
    <t>piazza Umberto I 7</t>
  </si>
  <si>
    <t>RIPE SAN GINESIO</t>
  </si>
  <si>
    <t>plan.habitat@libero.it</t>
  </si>
  <si>
    <t>MICHAEL JAMES ANDREWS</t>
  </si>
  <si>
    <t>c.da Vallenzuolo 12</t>
  </si>
  <si>
    <t>cathnmikeandrews@gmail.com</t>
  </si>
  <si>
    <t>COUNTRY HOUSE FANTASIA di CICCIOLI CARLA</t>
  </si>
  <si>
    <t>contrada Grazie Fiastra 58</t>
  </si>
  <si>
    <t>countryfantasia@hotmail.it</t>
  </si>
  <si>
    <t>L'APPRODO SRL</t>
  </si>
  <si>
    <t>via Picena 62</t>
  </si>
  <si>
    <t>lapprodo@me.com</t>
  </si>
  <si>
    <t>CAMPUGIANI GIAMMARIO</t>
  </si>
  <si>
    <t>SAN LIBERATO</t>
  </si>
  <si>
    <t>ANGOLO DI PARADISO</t>
  </si>
  <si>
    <t>contrada Vallato 51</t>
  </si>
  <si>
    <t>www.angolodiparadiso.org</t>
  </si>
  <si>
    <t>info@angolodiparadiso.org</t>
  </si>
  <si>
    <t>B&amp;B PAPI</t>
  </si>
  <si>
    <t>via picena 51</t>
  </si>
  <si>
    <t>milepapi@tin.it</t>
  </si>
  <si>
    <t>VILLA SIBILLINI</t>
  </si>
  <si>
    <t>contrada collalto 1</t>
  </si>
  <si>
    <t>www.villasibillini.com</t>
  </si>
  <si>
    <t>admin@villasibillini.com</t>
  </si>
  <si>
    <t>contrada vallato 1</t>
  </si>
  <si>
    <t>MIRYAM</t>
  </si>
  <si>
    <t>SILVIA</t>
  </si>
  <si>
    <t>contrada santa croce 86</t>
  </si>
  <si>
    <t>info@agriturismosilvia.it</t>
  </si>
  <si>
    <t>BELLEBUONO</t>
  </si>
  <si>
    <t>contrada cesa cappuccini 17</t>
  </si>
  <si>
    <t>www.agriturismobellebuono.it</t>
  </si>
  <si>
    <t>marcello.lambertucci@libero.it</t>
  </si>
  <si>
    <t>LA CIOPPA</t>
  </si>
  <si>
    <t>contrada gualduccio 3</t>
  </si>
  <si>
    <t>www.lacioppa.it</t>
  </si>
  <si>
    <t>info@lacioppa.it</t>
  </si>
  <si>
    <t>IL CASOLARE</t>
  </si>
  <si>
    <t>contrada Vallimestre 1</t>
  </si>
  <si>
    <t>il.casolare@tiscali.it</t>
  </si>
  <si>
    <t>B&amp;B CASA NOSTRA</t>
  </si>
  <si>
    <t>contrada Moline 1</t>
  </si>
  <si>
    <t>www.bbcasanostra.com</t>
  </si>
  <si>
    <t>info@bbcasanostra.com</t>
  </si>
  <si>
    <t>AGRITURISMO LA TORRE</t>
  </si>
  <si>
    <t>contrada Torre di Morro 1</t>
  </si>
  <si>
    <t>LA CESA</t>
  </si>
  <si>
    <t>contrada Ferrantini s.n. snc</t>
  </si>
  <si>
    <t>comtrada Ferrantini</t>
  </si>
  <si>
    <t>www.lacesa.it</t>
  </si>
  <si>
    <t>LA QUERCIA DELLA MEMORIA</t>
  </si>
  <si>
    <t>Contrada vallato snc</t>
  </si>
  <si>
    <t>Contrada Vallato di San Ginesio</t>
  </si>
  <si>
    <t>www.querciadellamemoria.it</t>
  </si>
  <si>
    <t>crediawwf@gmail.com</t>
  </si>
  <si>
    <t>IL CASTELLANO</t>
  </si>
  <si>
    <t>contrada casagatti 32</t>
  </si>
  <si>
    <t>LE RONDINI</t>
  </si>
  <si>
    <t>contrada cerreto 20</t>
  </si>
  <si>
    <t>www.lerondinidisanginesio.it</t>
  </si>
  <si>
    <t>info@lerondinidisanginesio.it</t>
  </si>
  <si>
    <t>SHAMBALA COUNTRY HOUSE</t>
  </si>
  <si>
    <t>via C. da Nocciano 29</t>
  </si>
  <si>
    <t>info@shambala-retreat.com</t>
  </si>
  <si>
    <t>FORESTERIA COMUNALE</t>
  </si>
  <si>
    <t>zona Tinta 51</t>
  </si>
  <si>
    <t>http://www.ostellosanginesio.it/</t>
  </si>
  <si>
    <t>roberto.ostello@hotmail.it</t>
  </si>
  <si>
    <t>B&amp;B CASAGATTI</t>
  </si>
  <si>
    <t>contrada Casagatti 27</t>
  </si>
  <si>
    <t>casagatti27@alice.it</t>
  </si>
  <si>
    <t>VALLE DEL LUPO</t>
  </si>
  <si>
    <t>contrada santa maria 11</t>
  </si>
  <si>
    <t>www.lobo.it</t>
  </si>
  <si>
    <t>info@lobo.it</t>
  </si>
  <si>
    <t>www.sanginesio.sinp.net</t>
  </si>
  <si>
    <t>info@sanginesio.sinp.net</t>
  </si>
  <si>
    <t>ALBERGO CENTRALE</t>
  </si>
  <si>
    <t>piazza A.Gentili 10</t>
  </si>
  <si>
    <t>www.albergocentralesanginesio.com</t>
  </si>
  <si>
    <t>info@albergocentralesanginesio.com</t>
  </si>
  <si>
    <t>BELLA VAL'LONE</t>
  </si>
  <si>
    <t>www.bellavallone.com</t>
  </si>
  <si>
    <t>info@bellavallone.com</t>
  </si>
  <si>
    <t>COUNTRY HOUSE CERQUETO di MONICA MARIA HENRICA DE VEER</t>
  </si>
  <si>
    <t>c.da Gualduccio 1</t>
  </si>
  <si>
    <t>www.azienda-cerqueto.com</t>
  </si>
  <si>
    <t>info@azienda-cerqueto.com</t>
  </si>
  <si>
    <t>B&amp;B PHOENIX HOUSE</t>
  </si>
  <si>
    <t>via Santa Maria 45</t>
  </si>
  <si>
    <t>jennymhall@hotmail.com</t>
  </si>
  <si>
    <t>PALAZZO MORICHELLI D'ALTEMPS</t>
  </si>
  <si>
    <t>corso Scipione Gentili 37</t>
  </si>
  <si>
    <t>www.palazzomorichellidaltemps.it</t>
  </si>
  <si>
    <t>info@palazzomorichelli.it</t>
  </si>
  <si>
    <t>CASA CAROTONDO DI FOULKES VANESSA TRINA</t>
  </si>
  <si>
    <t>c.da Cerreto 47</t>
  </si>
  <si>
    <t>http://www.carotondo.com</t>
  </si>
  <si>
    <t>info@carotondo.com</t>
  </si>
  <si>
    <t>INFINITI ORIZZONTI</t>
  </si>
  <si>
    <t>contrada Torre di Morro 27</t>
  </si>
  <si>
    <t>mariateresaeleuteri@virgilio.it</t>
  </si>
  <si>
    <t>B&amp;B CASA FENICE</t>
  </si>
  <si>
    <t>via Santa Maria d'Alto Cielo 45</t>
  </si>
  <si>
    <t>petejhall33@hotmail.com</t>
  </si>
  <si>
    <t>VILLA SABRINA</t>
  </si>
  <si>
    <t>Località Collina SNC</t>
  </si>
  <si>
    <t>COLLINA</t>
  </si>
  <si>
    <t>lucillamarcozzi@gmail.com; info@bbvillasabrina.com</t>
  </si>
  <si>
    <t>DORMI DA ME</t>
  </si>
  <si>
    <t>Corso Scipione Gentili 33</t>
  </si>
  <si>
    <t>merellifranca1956@virgilio.it</t>
  </si>
  <si>
    <t>CARAVANSERRAGLIO L'ANTICO MILIARIO</t>
  </si>
  <si>
    <t>c.da Macchie  10/11</t>
  </si>
  <si>
    <t>filipacelli@libero.it</t>
  </si>
  <si>
    <t>LA LOCANDA DELLA ROCCA</t>
  </si>
  <si>
    <t>loc. Rocca</t>
  </si>
  <si>
    <t>locandadellarocca@gmail.com</t>
  </si>
  <si>
    <t>LA VILLA AFFITTACAMERE</t>
  </si>
  <si>
    <t>via della villa 20</t>
  </si>
  <si>
    <t>SAN SEVERINO MARCHE</t>
  </si>
  <si>
    <t>sandro.teloni@semplicepec.it</t>
  </si>
  <si>
    <t>B&amp;B GIOVANNI DELLACASA</t>
  </si>
  <si>
    <t>loc. Cesolo 134</t>
  </si>
  <si>
    <t>prehistoricfuture@hotmail.com</t>
  </si>
  <si>
    <t>B&amp;B EL SITO</t>
  </si>
  <si>
    <t>LOCALITA'  ELCITO  29</t>
  </si>
  <si>
    <t>LOCALITA' ELCITO</t>
  </si>
  <si>
    <t>TELONI SANDRO</t>
  </si>
  <si>
    <t>VIA DELLA VILLA  20</t>
  </si>
  <si>
    <t>SANDRO.TELONI@GMAIL.COM</t>
  </si>
  <si>
    <t>MEZZOBAIOCCO APPARTAMENTO</t>
  </si>
  <si>
    <t>via San Rocco 17</t>
  </si>
  <si>
    <t>mezzobaioccosanseverino@gmail.com</t>
  </si>
  <si>
    <t>B&amp;B SEME DI MELA</t>
  </si>
  <si>
    <t>via Monte Catria 6</t>
  </si>
  <si>
    <t>http://www.semedimela.net/</t>
  </si>
  <si>
    <t>semedimela.bb@gmail.com</t>
  </si>
  <si>
    <t>B&amp;B MEZZOBAIOCCO</t>
  </si>
  <si>
    <t>Via San Rocco  17</t>
  </si>
  <si>
    <t>PALAZZO GENTILI SUITES, APARTMENTS, WELLNESS &amp; SPA</t>
  </si>
  <si>
    <t>Piazza del Popolo 33</t>
  </si>
  <si>
    <t>www.palazzogentili.it</t>
  </si>
  <si>
    <t>info@palazzogentili.it</t>
  </si>
  <si>
    <t>MONTESI FRANCESCA</t>
  </si>
  <si>
    <t>Via Corta di Serripola 63</t>
  </si>
  <si>
    <t>francescamontesi@libero.it</t>
  </si>
  <si>
    <t>CAMPEGGIO DEL POGGIO</t>
  </si>
  <si>
    <t>Località Castel San Pietro 55</t>
  </si>
  <si>
    <t>CASTEL SAN PIETRO</t>
  </si>
  <si>
    <t>info@casadelpoggio.com</t>
  </si>
  <si>
    <t>B&amp;B IL CANTUCCIO</t>
  </si>
  <si>
    <t>Località Elcito 104</t>
  </si>
  <si>
    <t>ELCITO</t>
  </si>
  <si>
    <t>simona.cap@gmail.com</t>
  </si>
  <si>
    <t>VILLA DEL CAVALIERE</t>
  </si>
  <si>
    <t>Viale della Resistenza SNC</t>
  </si>
  <si>
    <t>info@hotelilfaro.net</t>
  </si>
  <si>
    <t>SCODERONI CRISTINA</t>
  </si>
  <si>
    <t>via San Rocco 31</t>
  </si>
  <si>
    <t>bebsanrocco@tiscali.it</t>
  </si>
  <si>
    <t>B&amp;B SAN ROCCO</t>
  </si>
  <si>
    <t>via San Rocco  31</t>
  </si>
  <si>
    <t>CICCO BIANCO di SCHWARZ WOLFANG ALFRED WILHELM</t>
  </si>
  <si>
    <t>località Cicco Bianco snc</t>
  </si>
  <si>
    <t>CICCO BIANCO</t>
  </si>
  <si>
    <t>info@cicco-bianco.de</t>
  </si>
  <si>
    <t>CASA BENESSERE</t>
  </si>
  <si>
    <t>località Ugliano 130</t>
  </si>
  <si>
    <t>UGLIANO</t>
  </si>
  <si>
    <t>VACANZE AL CASTELLO</t>
  </si>
  <si>
    <t>via Giulio Scampoli 10</t>
  </si>
  <si>
    <t>B&amp;B LA ROTONDA IN COLLINA</t>
  </si>
  <si>
    <t>via Gaglianvecchio 15</t>
  </si>
  <si>
    <t>larotondaincollina@gmail.com</t>
  </si>
  <si>
    <t>B&amp;B BIANCHINI ANTONIA</t>
  </si>
  <si>
    <t>loc. Gagliannuovo 21</t>
  </si>
  <si>
    <t>www.casaleilcerqueto.it</t>
  </si>
  <si>
    <t>meschinimaria@alice.it</t>
  </si>
  <si>
    <t>CASE ED APPARTAMENTI PER VACANZE C.DA ROCCHETTA</t>
  </si>
  <si>
    <t>loc. Rocchetta 3</t>
  </si>
  <si>
    <t>aspio@icisrl.net</t>
  </si>
  <si>
    <t>CASE ED APPARTAMENTI PER VACANZE VIA SAN MAURO (SANT'ELENA)</t>
  </si>
  <si>
    <t>via San Mauro 60</t>
  </si>
  <si>
    <t>immobiliare@sicit.com</t>
  </si>
  <si>
    <t>B&amp;B A CASA DI LUCIA</t>
  </si>
  <si>
    <t>via Giulio Scampoli 4</t>
  </si>
  <si>
    <t>Sassuglio</t>
  </si>
  <si>
    <t>www.acasadilucia.com</t>
  </si>
  <si>
    <t>info@acasadilucia.com</t>
  </si>
  <si>
    <t>BAGNI DI PITINO</t>
  </si>
  <si>
    <t>c.da Bagno snc</t>
  </si>
  <si>
    <t>loc. Pitino</t>
  </si>
  <si>
    <t>francesco.corneli@gmail.com</t>
  </si>
  <si>
    <t>B&amp;B DA SUGARI'</t>
  </si>
  <si>
    <t>viale Mazzini 6</t>
  </si>
  <si>
    <t>www.dasugari.it</t>
  </si>
  <si>
    <t>cadia.carloni@alice.it; cadia.carloni@indesit.com</t>
  </si>
  <si>
    <t>SEPTEMPEDA HILLS</t>
  </si>
  <si>
    <t>località Pieve 15</t>
  </si>
  <si>
    <t>località Pieve</t>
  </si>
  <si>
    <t>www.septempedahills.com</t>
  </si>
  <si>
    <t>info@septempedahills.com</t>
  </si>
  <si>
    <t>BRAVI NORINA</t>
  </si>
  <si>
    <t>loc. Serripola</t>
  </si>
  <si>
    <t>vaniacipolletti@libero.it</t>
  </si>
  <si>
    <t>VALLESI ENRICO</t>
  </si>
  <si>
    <t>via San Giovanni 1</t>
  </si>
  <si>
    <t>italfoodagency@gmail.com</t>
  </si>
  <si>
    <t>L'ISOLA CHE NON C'ERA</t>
  </si>
  <si>
    <t>loc. Isola 58</t>
  </si>
  <si>
    <t>www.lisolachenoncera.eu</t>
  </si>
  <si>
    <t>info@lisolachenoncera.eu</t>
  </si>
  <si>
    <t>PINO NERO</t>
  </si>
  <si>
    <t>via Brenta 1</t>
  </si>
  <si>
    <t>www.pinonero.it</t>
  </si>
  <si>
    <t>info@pinonero.it</t>
  </si>
  <si>
    <t>B&amp;B LA VILLA</t>
  </si>
  <si>
    <t>via della Villa 20</t>
  </si>
  <si>
    <t>loc.Cesolo</t>
  </si>
  <si>
    <t>www.lavillateloni.it</t>
  </si>
  <si>
    <t>teloniale@gmail.com</t>
  </si>
  <si>
    <t>LA SORGENTE DEL SOLE</t>
  </si>
  <si>
    <t>loc. Stigliano SNC</t>
  </si>
  <si>
    <t>STIGLIANO</t>
  </si>
  <si>
    <t>www.lasorgentedelsole.com</t>
  </si>
  <si>
    <t>info@lasorgentedelsole.com</t>
  </si>
  <si>
    <t>CARRUTHERS JOCELJN JUNE  MITFORD</t>
  </si>
  <si>
    <t>loc. Aliforni sn</t>
  </si>
  <si>
    <t>ALIFORNI</t>
  </si>
  <si>
    <t>B&amp;B BORGO D'ANCHISE di BASILE ANCHISE</t>
  </si>
  <si>
    <t>via Apirese strada comunale 52</t>
  </si>
  <si>
    <t>Palazzata</t>
  </si>
  <si>
    <t>www.borgoanchise.com</t>
  </si>
  <si>
    <t>a.basile@libero.it</t>
  </si>
  <si>
    <t>LE DUE ROSE</t>
  </si>
  <si>
    <t>localita' Rocchetta 41</t>
  </si>
  <si>
    <t>info@le2rose.com</t>
  </si>
  <si>
    <t>FERONIA - CASE E APPARTAMENTI PER VACANZE</t>
  </si>
  <si>
    <t>piazza del popolo 96</t>
  </si>
  <si>
    <t>PINETA COUNTRY HOUSE</t>
  </si>
  <si>
    <t>localita' serripola 22</t>
  </si>
  <si>
    <t>SERRIPOLA</t>
  </si>
  <si>
    <t>www.pinetacountryhouse.it</t>
  </si>
  <si>
    <t>info@pinetacountryhouse.it</t>
  </si>
  <si>
    <t>B&amp;B LOGGIA SERVANZI</t>
  </si>
  <si>
    <t>piazza del popolo 98</t>
  </si>
  <si>
    <t>www.loggiaservanzi.it</t>
  </si>
  <si>
    <t>info@loggiaservanzi.it</t>
  </si>
  <si>
    <t>AL TORRONE</t>
  </si>
  <si>
    <t>localita' serralta 45</t>
  </si>
  <si>
    <t>www.altorrone.it</t>
  </si>
  <si>
    <t>info@altorrone.it</t>
  </si>
  <si>
    <t>TERRE DI ORPIANO</t>
  </si>
  <si>
    <t>localita' serripola 66</t>
  </si>
  <si>
    <t>www.terrediorpiano.it</t>
  </si>
  <si>
    <t>info@terrediorpiano.it</t>
  </si>
  <si>
    <t>localita' Valle dei Grilli 1</t>
  </si>
  <si>
    <t>www.locandasalimbeni.it</t>
  </si>
  <si>
    <t>info@locandasalimbeni.it</t>
  </si>
  <si>
    <t>CASAL VILLANOVA</t>
  </si>
  <si>
    <t>localita' pitino 103</t>
  </si>
  <si>
    <t>countryhousecasalvillanova@live.it</t>
  </si>
  <si>
    <t>via o. Marziario 16</t>
  </si>
  <si>
    <t>www.hotelilfaro.net</t>
  </si>
  <si>
    <t>DUE TORRI</t>
  </si>
  <si>
    <t>via San Francesco,21 15</t>
  </si>
  <si>
    <t>www.duetorri.it</t>
  </si>
  <si>
    <t>info@duetorri.it</t>
  </si>
  <si>
    <t>HOTEL FERONIA</t>
  </si>
  <si>
    <t>massimanola@alice.it</t>
  </si>
  <si>
    <t>B&amp;B ALCE ANGELO</t>
  </si>
  <si>
    <t>localita' uvaiolo 28</t>
  </si>
  <si>
    <t>angelo.alce@alice.it</t>
  </si>
  <si>
    <t>B&amp;B LA PIEVE</t>
  </si>
  <si>
    <t>localita' pieve 42</t>
  </si>
  <si>
    <t>LA LOCANDA DEI COMACINI</t>
  </si>
  <si>
    <t>via san francesco 2</t>
  </si>
  <si>
    <t>www.turismo-marche.com; comacini</t>
  </si>
  <si>
    <t>gilla.c_@virgilio.it; gianna.pistoni@virgilio.it</t>
  </si>
  <si>
    <t>ABBADIA DI ELCITO</t>
  </si>
  <si>
    <t>localita' Elcito 1</t>
  </si>
  <si>
    <t>edo11@libero.it</t>
  </si>
  <si>
    <t>SORGENTE VERDE SILENZIO</t>
  </si>
  <si>
    <t>localita' granali 1</t>
  </si>
  <si>
    <t>www.bambingesu.org</t>
  </si>
  <si>
    <t>verdesilenzio@bambingesu.org</t>
  </si>
  <si>
    <t>VILLAROSETTA</t>
  </si>
  <si>
    <t>LOCALITA' CESOLO COLMONE</t>
  </si>
  <si>
    <t>www.villarosetta.marche.it</t>
  </si>
  <si>
    <t>giulianarapaccioni@teletu.it</t>
  </si>
  <si>
    <t>L'ANTICO  OLIVETO</t>
  </si>
  <si>
    <t>localita' cesolo 126</t>
  </si>
  <si>
    <t>www.anticooliveto.it</t>
  </si>
  <si>
    <t>info@anticooliveto.it</t>
  </si>
  <si>
    <t>FATTORIA LE ORIGINI</t>
  </si>
  <si>
    <t>Cesolo Comone 127</t>
  </si>
  <si>
    <t>www.fattorialeorigini.it</t>
  </si>
  <si>
    <t>info@fattorialeorigini.it</t>
  </si>
  <si>
    <t>localita' gaglianvecchio 51</t>
  </si>
  <si>
    <t>juriappignanesi@alice.it</t>
  </si>
  <si>
    <t>LE BORGIANELLE</t>
  </si>
  <si>
    <t>localita' gaglianvecchio 66</t>
  </si>
  <si>
    <t>www.agriturismoleborgianelle.it</t>
  </si>
  <si>
    <t>info@agriturismolaeborgianelle.it</t>
  </si>
  <si>
    <t>B&amp;B IL CAVALLINO BIANCO</t>
  </si>
  <si>
    <t>via cristoforo colombo 21</t>
  </si>
  <si>
    <t>www.bedandbreakfast-sanseverino.it</t>
  </si>
  <si>
    <t>beb.lapieve@virgilio.it</t>
  </si>
  <si>
    <t>LE VALLICELLE</t>
  </si>
  <si>
    <t>contrada Collezampone 23</t>
  </si>
  <si>
    <t>SANT'ANGELO IN PONTANO</t>
  </si>
  <si>
    <t>SANT' ANGELO IN PONTANO</t>
  </si>
  <si>
    <t>www.levallicelle.com</t>
  </si>
  <si>
    <t>levallicelle@libero.it</t>
  </si>
  <si>
    <t>AGRITURISMO IL MELOGRANO</t>
  </si>
  <si>
    <t>Contrada Pianello 17</t>
  </si>
  <si>
    <t>www.ilmelogranoagriturismo.it</t>
  </si>
  <si>
    <t>APPARTAMENTO AMMOBILIATO PER USO TURISTICO LUCCERINI BENITO</t>
  </si>
  <si>
    <t>contrada salti 125</t>
  </si>
  <si>
    <t>COLLEROVERE COUNTRY HOUSE</t>
  </si>
  <si>
    <t>c.da Collerovere 3</t>
  </si>
  <si>
    <t>www.collerovere.com</t>
  </si>
  <si>
    <t>collerovere@gmail.com</t>
  </si>
  <si>
    <t>MANNOZZI SERGIO</t>
  </si>
  <si>
    <t>SAN NICOLA  33</t>
  </si>
  <si>
    <t>mannozzi.s@libero.it</t>
  </si>
  <si>
    <t>FONTE LE CASTELLANE DI FABI CARLA</t>
  </si>
  <si>
    <t>SARNANO</t>
  </si>
  <si>
    <t>www.fontelecastellane.com</t>
  </si>
  <si>
    <t>fontelecastellane@libero.it</t>
  </si>
  <si>
    <t>DEL MEDICO GRAZIELLA</t>
  </si>
  <si>
    <t>contrada Bisio snc</t>
  </si>
  <si>
    <t>www.casavacanzesottobosco.com</t>
  </si>
  <si>
    <t>graziella.delmedico@gmail.com</t>
  </si>
  <si>
    <t>CASCINA GABBA</t>
  </si>
  <si>
    <t>c.da Gabba 324</t>
  </si>
  <si>
    <t>www.cascinagabba.com</t>
  </si>
  <si>
    <t>tisasi@libero.it</t>
  </si>
  <si>
    <t>SANTA MADDALENA  19</t>
  </si>
  <si>
    <t>SANTA MADDALENA</t>
  </si>
  <si>
    <t>lacapannina.info@gmail.com</t>
  </si>
  <si>
    <t>B&amp;B VERDEQUIETE VENANZI MAURO</t>
  </si>
  <si>
    <t>contrada vecciola 155</t>
  </si>
  <si>
    <t>maurovenanzi@alice.it</t>
  </si>
  <si>
    <t>ANGELA PESCI</t>
  </si>
  <si>
    <t>C.da Cardagnano 297</t>
  </si>
  <si>
    <t>angela.psc@gmail.com</t>
  </si>
  <si>
    <t>VILLA SAN RAFFAELLO</t>
  </si>
  <si>
    <t>contrada Case Rosse 278</t>
  </si>
  <si>
    <t>www.villasanraffaello.com</t>
  </si>
  <si>
    <t>info@villasanraffaello.com</t>
  </si>
  <si>
    <t>B&amp;B IL PORTICO DI FROLLONI GIUSEPPE</t>
  </si>
  <si>
    <t>contrada Grisciotti 389 b</t>
  </si>
  <si>
    <t>lucia.frolloni@yahoo.it</t>
  </si>
  <si>
    <t>www.antica-dimora.net</t>
  </si>
  <si>
    <t>info@antica-dimora.net</t>
  </si>
  <si>
    <t>MALAVOLPE</t>
  </si>
  <si>
    <t>contrada poggio 78</t>
  </si>
  <si>
    <t>via alcide de gasperi 28</t>
  </si>
  <si>
    <t>FONTEMARTA</t>
  </si>
  <si>
    <t>c.da Rinci 20</t>
  </si>
  <si>
    <t>t.marialuisa@email.it</t>
  </si>
  <si>
    <t>AZIENDA AGRICOLA LE BORETTE S.A.S. DI PIEROBON ARNALDO E C.</t>
  </si>
  <si>
    <t>località Schito</t>
  </si>
  <si>
    <t>info@leborette.it</t>
  </si>
  <si>
    <t>SERPANERA</t>
  </si>
  <si>
    <t>località Schito  447</t>
  </si>
  <si>
    <t>www.serpanera.com</t>
  </si>
  <si>
    <t>info@serpanera.com</t>
  </si>
  <si>
    <t>PERUGINI FIORENZO</t>
  </si>
  <si>
    <t>contrada Margani 37</t>
  </si>
  <si>
    <t>info@villadelleacacie.it</t>
  </si>
  <si>
    <t>IL RIFUGIO DEI CANTICI</t>
  </si>
  <si>
    <t>via Colle  2/b</t>
  </si>
  <si>
    <t>www.ilrifugiodeicantici.it</t>
  </si>
  <si>
    <t>info@ilrifugiodeicantici.it</t>
  </si>
  <si>
    <t>RESIDENCE IL SERAFINO</t>
  </si>
  <si>
    <t>via Oberdan 198/A</t>
  </si>
  <si>
    <t>euroimmobiliare.98@libero.it</t>
  </si>
  <si>
    <t>B&amp;B OSPITI</t>
  </si>
  <si>
    <t>via Bruno Buozzi 47/a</t>
  </si>
  <si>
    <t>CASA VACANZE DUCA SCHITO</t>
  </si>
  <si>
    <t>frazione Schito snc</t>
  </si>
  <si>
    <t>Schito</t>
  </si>
  <si>
    <t>www.casavacanzeducaschito.com</t>
  </si>
  <si>
    <t>info@casavacanzeducaschito.com</t>
  </si>
  <si>
    <t>B&amp;B IL RIFUGIO DEI CANTICI</t>
  </si>
  <si>
    <t>via Del Colle  2/b</t>
  </si>
  <si>
    <t>via Fonte Marta  400</t>
  </si>
  <si>
    <t>leo1671@tiscali.it</t>
  </si>
  <si>
    <t>TERRO</t>
  </si>
  <si>
    <t>contrada terro 1</t>
  </si>
  <si>
    <t>sites.google.com/site/casaruralevacanze/</t>
  </si>
  <si>
    <t>cecchetti@live.it</t>
  </si>
  <si>
    <t>LE BRUGNOLETE</t>
  </si>
  <si>
    <t>contrada borghetti 1</t>
  </si>
  <si>
    <t>info@immobiliarevenanzi.it</t>
  </si>
  <si>
    <t>IL SASSETTO</t>
  </si>
  <si>
    <t>contrada Sassetto 191</t>
  </si>
  <si>
    <t>www.ilsassetto.it</t>
  </si>
  <si>
    <t>ilsassetto@libero.it</t>
  </si>
  <si>
    <t>4 STAGIONI</t>
  </si>
  <si>
    <t>contrada Brilli 1</t>
  </si>
  <si>
    <t>www.camping4stagioni.it</t>
  </si>
  <si>
    <t>quattrostagioni@camping.it</t>
  </si>
  <si>
    <t>RESIDENCE IL GLICINE</t>
  </si>
  <si>
    <t>viale S. Baglioni 19</t>
  </si>
  <si>
    <t>www.residenceilglicine.com</t>
  </si>
  <si>
    <t>info@residenceilglicine.com</t>
  </si>
  <si>
    <t>HOTEL BRUNFORTE</t>
  </si>
  <si>
    <t>via B. Costa 38</t>
  </si>
  <si>
    <t>www.hotel-brunforte.it</t>
  </si>
  <si>
    <t>info@hotel-brunforte.it</t>
  </si>
  <si>
    <t>CENTRO TURISTICO MONTANARIA</t>
  </si>
  <si>
    <t>contrada marinella 1</t>
  </si>
  <si>
    <t>www.montanaria.it</t>
  </si>
  <si>
    <t>info@montanaria.it</t>
  </si>
  <si>
    <t>LA MARCHIGIANA</t>
  </si>
  <si>
    <t>contrada Campanotico 199</t>
  </si>
  <si>
    <t>www.la-marchigiana.it</t>
  </si>
  <si>
    <t>info@la-marchigiana.it</t>
  </si>
  <si>
    <t>TERME</t>
  </si>
  <si>
    <t>piazza della Liberta' 82</t>
  </si>
  <si>
    <t>www.hoteltermesarnano.it</t>
  </si>
  <si>
    <t>info@hoteltermesarnano.it</t>
  </si>
  <si>
    <t>LA SIBILLA</t>
  </si>
  <si>
    <t>frazione Sassotetto 1</t>
  </si>
  <si>
    <t>www.hotelsibilla.com</t>
  </si>
  <si>
    <t>info@hotelsibilla.com</t>
  </si>
  <si>
    <t>via Alcide De Gasperi 26</t>
  </si>
  <si>
    <t>www.novidra.com</t>
  </si>
  <si>
    <t>hotel@novidra.com</t>
  </si>
  <si>
    <t>LA CASTELLANA</t>
  </si>
  <si>
    <t>RESIDENCE IL GLICINE - VIA DEL COLLE</t>
  </si>
  <si>
    <t>via del Colle 31</t>
  </si>
  <si>
    <t>RESIDENZE VERDEQUIETE</t>
  </si>
  <si>
    <t>www.residenzeverdequiete.it</t>
  </si>
  <si>
    <t>info@residenzeverdequiete.it</t>
  </si>
  <si>
    <t>HOTEL HERMITAGE</t>
  </si>
  <si>
    <t>www.albergohermitage.eu</t>
  </si>
  <si>
    <t>hotel.hermitage@virgilio.it</t>
  </si>
  <si>
    <t>HOTEL RISTORANTE AI PINI</t>
  </si>
  <si>
    <t>via Filippo Corridoni 101</t>
  </si>
  <si>
    <t>ANTICO PALAZZO DAL PERO</t>
  </si>
  <si>
    <t>via Oberdan 197</t>
  </si>
  <si>
    <t>www.anticopalazzodalpero.com</t>
  </si>
  <si>
    <t>anticopalazzodalpero@gmail.com</t>
  </si>
  <si>
    <t>B&amp;B LA FONTE</t>
  </si>
  <si>
    <t>c.da Campanotico 240</t>
  </si>
  <si>
    <t>portofranco.sx@gmail.com</t>
  </si>
  <si>
    <t>LA CASCATA</t>
  </si>
  <si>
    <t>via Roma 58</t>
  </si>
  <si>
    <t>SEFRO</t>
  </si>
  <si>
    <t>www.camerelacascata.it</t>
  </si>
  <si>
    <t>astolf@libero.it</t>
  </si>
  <si>
    <t>DA FAUSTINA (DIPENDENZA)</t>
  </si>
  <si>
    <t>via roma 3</t>
  </si>
  <si>
    <t>studiocedan@gmail.com</t>
  </si>
  <si>
    <t>DA FAUSTINA</t>
  </si>
  <si>
    <t>B&amp;B VILLA ANNA</t>
  </si>
  <si>
    <t>via Castello 2</t>
  </si>
  <si>
    <t>temperilligiancarlo@alice.it</t>
  </si>
  <si>
    <t>via Butino 1</t>
  </si>
  <si>
    <t>AGRITURISMO COLLI DI SERRAPETRONA</t>
  </si>
  <si>
    <t>via colli 7/8</t>
  </si>
  <si>
    <t>SERRAPETRONA</t>
  </si>
  <si>
    <t>www.tenutacollidiserrapetrona.it</t>
  </si>
  <si>
    <t>info@tenutacollidiserrapetrona.it</t>
  </si>
  <si>
    <t>via Case Sparse 25</t>
  </si>
  <si>
    <t>caccamo sul lago</t>
  </si>
  <si>
    <t>www.soleelunabb.it</t>
  </si>
  <si>
    <t>emanuela.seri@libero.it</t>
  </si>
  <si>
    <t>BAGLIO DELLA LUNA</t>
  </si>
  <si>
    <t>via colli 84</t>
  </si>
  <si>
    <t>www.ilbagliodellaluna.com</t>
  </si>
  <si>
    <t>ilbagliodellaluna@ilbagliodellaluna.com</t>
  </si>
  <si>
    <t>AGRITURISMO L' ARENARIA</t>
  </si>
  <si>
    <t>via borgo 15</t>
  </si>
  <si>
    <t>agriturismo.arenaria@live.it</t>
  </si>
  <si>
    <t>ALBERGO RISTORANTE BAR DA LORE'</t>
  </si>
  <si>
    <t>via Nazionale 34</t>
  </si>
  <si>
    <t>gionat.ma@tiscali.it</t>
  </si>
  <si>
    <t>FERRANTI</t>
  </si>
  <si>
    <t>via Nazionale 60</t>
  </si>
  <si>
    <t>www.hotelferranti.it</t>
  </si>
  <si>
    <t>hotelferranti@yahoo.it</t>
  </si>
  <si>
    <t>CARAVANSERRAGLIO</t>
  </si>
  <si>
    <t>via Colli 10</t>
  </si>
  <si>
    <t>www.caravanserraglio.com</t>
  </si>
  <si>
    <t>info@caravanserraglio.com</t>
  </si>
  <si>
    <t>OLTRE LA SIEPE</t>
  </si>
  <si>
    <t>via villa d' aria 16</t>
  </si>
  <si>
    <t>oltrelasiepe@tiscali.it</t>
  </si>
  <si>
    <t>Lucrezia &amp; Cesare Borgia di Sandro Marchionni</t>
  </si>
  <si>
    <t>via cameraldo 38</t>
  </si>
  <si>
    <t>lucreziacesareborgia@libero.it</t>
  </si>
  <si>
    <t>PAOLO TALLEI</t>
  </si>
  <si>
    <t>via Colli 128</t>
  </si>
  <si>
    <t>paolotallei@gmail.com</t>
  </si>
  <si>
    <t>B&amp;B VILLA CAPPELLETTI</t>
  </si>
  <si>
    <t>SERRAVALLE DI CHIENTI</t>
  </si>
  <si>
    <t>vicino Colfiorito</t>
  </si>
  <si>
    <t>http://nuke.villacappelletti.it</t>
  </si>
  <si>
    <t>biandbi@villacappelletti.it; maxkap57@yahoo.it</t>
  </si>
  <si>
    <t>B&amp;B FONTE DELL'ARIA</t>
  </si>
  <si>
    <t>loc. Dignano</t>
  </si>
  <si>
    <t>federicabartolibabu@yahoo.it</t>
  </si>
  <si>
    <t>B&amp;B L'ALBERGO DI IERI</t>
  </si>
  <si>
    <t>corso Giacomo Leopardi 19</t>
  </si>
  <si>
    <t>www.albergodieri.it</t>
  </si>
  <si>
    <t>giomaros@alice.it; info@albergodieri.it</t>
  </si>
  <si>
    <t>B&amp;B IL MULINO DI GELAGNA</t>
  </si>
  <si>
    <t>frazione Gelagna Bassa 1</t>
  </si>
  <si>
    <t>www.ilmulinodigelagna.it</t>
  </si>
  <si>
    <t>fausto.barboni@gmail.com</t>
  </si>
  <si>
    <t>LA CONTRADA</t>
  </si>
  <si>
    <t>contrada rancia 2</t>
  </si>
  <si>
    <t>TOLENTINO</t>
  </si>
  <si>
    <t>www.lacontradacountryhouse.com</t>
  </si>
  <si>
    <t>lacontrada@lacontradacountryhouse.com</t>
  </si>
  <si>
    <t>AGRITURISMO NONNO GIRO'</t>
  </si>
  <si>
    <t>contrada Rambona 7</t>
  </si>
  <si>
    <t>www.agriturismononnogiro.it</t>
  </si>
  <si>
    <t>info@agriturismononnogiro.it</t>
  </si>
  <si>
    <t>B&amp;B LA CORTE</t>
  </si>
  <si>
    <t>via Laura Zampeschi 22</t>
  </si>
  <si>
    <t>www.residencelacorte.eu</t>
  </si>
  <si>
    <t>info@residencelacorte.eu</t>
  </si>
  <si>
    <t>B&amp;B RUSTICO di TOLA PERLA CRISTINA</t>
  </si>
  <si>
    <t>via beato tommaso  20</t>
  </si>
  <si>
    <t>B&amp;B IL CASALE DEGLI INCANTI</t>
  </si>
  <si>
    <t>www.ilcasaledegliincanti.com</t>
  </si>
  <si>
    <t>giemmenne@gmail.com</t>
  </si>
  <si>
    <t>ADRIAN ARTHUR THOMAS GARDNER</t>
  </si>
  <si>
    <t>C.DA REGNANO SNC</t>
  </si>
  <si>
    <t>AGRITURISMO PONZI-ORFINI</t>
  </si>
  <si>
    <t>B&amp;B CASA TOURING SAN NICOLA</t>
  </si>
  <si>
    <t>piazza D. Silveri 1</t>
  </si>
  <si>
    <t>adaborgiani@virgilio.it</t>
  </si>
  <si>
    <t>B&amp;B LINA BATTELLINI</t>
  </si>
  <si>
    <t>VIA LA BASTIDE MURAT 10</t>
  </si>
  <si>
    <t>B&amp;B L'AGRIFOGLIO</t>
  </si>
  <si>
    <t>Viale Trento e Trieste 30</t>
  </si>
  <si>
    <t>info@beblagrifoglio.it</t>
  </si>
  <si>
    <t>HOTEL CLUENTUM</t>
  </si>
  <si>
    <t>contrada san martino 103</t>
  </si>
  <si>
    <t>www.hotelcluentum.it</t>
  </si>
  <si>
    <t>info@hotelcluentum.it</t>
  </si>
  <si>
    <t>LA CORTE</t>
  </si>
  <si>
    <t>ANGELINA URBAN LODGE</t>
  </si>
  <si>
    <t>via della Pace 36</t>
  </si>
  <si>
    <t>www.angelina.it/urbanlodge/it</t>
  </si>
  <si>
    <t>info@angelina.it</t>
  </si>
  <si>
    <t>124 AFFITTACAMERE</t>
  </si>
  <si>
    <t>via Sandro Pertini 55</t>
  </si>
  <si>
    <t>info@124tolentino.it.</t>
  </si>
  <si>
    <t>AGRITURISMO MAMMA ROSA</t>
  </si>
  <si>
    <t>contrada Divina Pastora 107</t>
  </si>
  <si>
    <t>www.ristorantemammarosa.it</t>
  </si>
  <si>
    <t>info@ristorantemammarosa.it</t>
  </si>
  <si>
    <t>GREEN PLANET</t>
  </si>
  <si>
    <t>Contrada Abbadia di Fiastra snc</t>
  </si>
  <si>
    <t>siro1981@libero.it</t>
  </si>
  <si>
    <t>B&amp;B VILLA D'ARIA</t>
  </si>
  <si>
    <t>contrada abbadia di fiastra 30</t>
  </si>
  <si>
    <t>www.bbmarche.it</t>
  </si>
  <si>
    <t>villadaria@bbmarche.it</t>
  </si>
  <si>
    <t>ALBERGO RISTORANTE MILANO ***</t>
  </si>
  <si>
    <t>www.hotelmilanotolentino.it</t>
  </si>
  <si>
    <t>info@hotelmilanotolentino.it</t>
  </si>
  <si>
    <t>HOTEL RISTORANTE LA FORESTERIA</t>
  </si>
  <si>
    <t>contrada Abbadia di Fiastra  11</t>
  </si>
  <si>
    <t>ABBADIA DI FIASTRA - TOLENTINO</t>
  </si>
  <si>
    <t>www.laforesteria.it</t>
  </si>
  <si>
    <t>info@laforesteria.it</t>
  </si>
  <si>
    <t>HOTEL 77</t>
  </si>
  <si>
    <t>viale Bruno Buozzi 90</t>
  </si>
  <si>
    <t>www.hotel77.com</t>
  </si>
  <si>
    <t>daniele@hotel77.com</t>
  </si>
  <si>
    <t>B&amp;B FONTEBIGONCIO</t>
  </si>
  <si>
    <t>contrada Fontebigoncio 1</t>
  </si>
  <si>
    <t>www.bbfontebigoncio.it</t>
  </si>
  <si>
    <t>bbfontebigoncio@tiscali.it</t>
  </si>
  <si>
    <t>AGRITURISMO COLLE REGNANO</t>
  </si>
  <si>
    <t>contrada casadicristo 11</t>
  </si>
  <si>
    <t>www.colleregnano.it</t>
  </si>
  <si>
    <t>agriturismo@colleregnano.it</t>
  </si>
  <si>
    <t>B&amp;B PODERE DEL FAGIANO</t>
  </si>
  <si>
    <t>contrada rofanello 28</t>
  </si>
  <si>
    <t>www.poderedelfagiano.it</t>
  </si>
  <si>
    <t>gustavog63@tiscali.it</t>
  </si>
  <si>
    <t>B&amp;B SONIA MINNICI</t>
  </si>
  <si>
    <t>contrada parruccia 11</t>
  </si>
  <si>
    <t>www.bbsolevento.it</t>
  </si>
  <si>
    <t>bbsolevento@bbsolevento.it</t>
  </si>
  <si>
    <t>AZIENDA AGRICOLA DI BRECCIA GIUSEPPINA &amp; FIGLI</t>
  </si>
  <si>
    <t>B&amp;B IL TEATRO</t>
  </si>
  <si>
    <t>via Antonio Gramsci 34</t>
  </si>
  <si>
    <t>beb-il.teatro@libero.it</t>
  </si>
  <si>
    <t>AZIENDA AGRITURISTICA TERRE DEL CHIENTI</t>
  </si>
  <si>
    <t>contrada pianarucci 19</t>
  </si>
  <si>
    <t>www.terredelchienti.it</t>
  </si>
  <si>
    <t>info@terredelchienti.it</t>
  </si>
  <si>
    <t>AGRITURISMO LE QUATTRO STAGIONI - SOCIETA' AGRICOLA S.S.</t>
  </si>
  <si>
    <t>Contrada San Bartolomeo 7</t>
  </si>
  <si>
    <t>www.agriturismolequattrostagioni.com</t>
  </si>
  <si>
    <t>info@agriturismolequattrostagioni.com</t>
  </si>
  <si>
    <t>B&amp;B LE FOGLIE RIDENTI</t>
  </si>
  <si>
    <t>c.da Sant'Angelo 59</t>
  </si>
  <si>
    <t>localcure@yahoo.de</t>
  </si>
  <si>
    <t>B&amp;B SAN NICOLA</t>
  </si>
  <si>
    <t>via del Popolo 38</t>
  </si>
  <si>
    <t>Tolentino</t>
  </si>
  <si>
    <t>www.bb-san-nicola-tolentino.it</t>
  </si>
  <si>
    <t>robertosforzini@tiscalinet.it</t>
  </si>
  <si>
    <t>B&amp;B DA EZIO</t>
  </si>
  <si>
    <t>contrada Abbadia di Fiastra 15</t>
  </si>
  <si>
    <t>gustodopedoc@gmail.com</t>
  </si>
  <si>
    <t>B&amp;B STANZA DEL COMMEDIANTE</t>
  </si>
  <si>
    <t>via dell'Aquila 25</t>
  </si>
  <si>
    <t>stanzadelcommediante@gmail.com</t>
  </si>
  <si>
    <t>SOCIETA' AGRICOLA PASCUCCI</t>
  </si>
  <si>
    <t>Contrada Panibianchi 55</t>
  </si>
  <si>
    <t>www.agriturismopascucci.it</t>
  </si>
  <si>
    <t>info@agriturismopascucci.it</t>
  </si>
  <si>
    <t>CASALE DELLE RONDINI</t>
  </si>
  <si>
    <t>Contrada Sant'Angelo 5</t>
  </si>
  <si>
    <t>sudtyrol@hotmail.com</t>
  </si>
  <si>
    <t>AGRITURISMO MERLINI</t>
  </si>
  <si>
    <t>Contrada Pianarucci 30</t>
  </si>
  <si>
    <t>luigi.merlini@rematarlazzi.it</t>
  </si>
  <si>
    <t>HOTEL IL BOSCHETTO</t>
  </si>
  <si>
    <t>via Sandro Pertini  55</t>
  </si>
  <si>
    <t>info@hotel-il-boschetto.it</t>
  </si>
  <si>
    <t>AGRITURISMO POGGIO AJANO</t>
  </si>
  <si>
    <t>Contrada S. Maria in Selva 31</t>
  </si>
  <si>
    <t>TREIA</t>
  </si>
  <si>
    <t>S. MARIA IN SELVA</t>
  </si>
  <si>
    <t>lorpettinari@tiscali.it</t>
  </si>
  <si>
    <t>B&amp;B LA SORGENTE DEI SALI</t>
  </si>
  <si>
    <t>via Vallonica 23</t>
  </si>
  <si>
    <t>compagniadellazandella@gmail.com</t>
  </si>
  <si>
    <t>COUNTRY HOUSE LA FATTORIA</t>
  </si>
  <si>
    <t>c.da Carreggiano 24</t>
  </si>
  <si>
    <t>www.lafattoriadipaolo.it</t>
  </si>
  <si>
    <t>COUNTRY HOUSE IL VILLINO</t>
  </si>
  <si>
    <t>c.da San Carlo 29</t>
  </si>
  <si>
    <t>www.ilvillinoristorante.it, www.villino.it</t>
  </si>
  <si>
    <t>info@ilvillinoristorante.it; info@villino.it</t>
  </si>
  <si>
    <t>CONCE di ROGANTI SPOLETINI ENRICO</t>
  </si>
  <si>
    <t>C.da Conce 1</t>
  </si>
  <si>
    <t>http://www.agriturismoconce.it/</t>
  </si>
  <si>
    <t>info@agriturismoconce.it</t>
  </si>
  <si>
    <t>IL VECCHIO GRANAIO</t>
  </si>
  <si>
    <t>c.da Chiaravalle 47/B</t>
  </si>
  <si>
    <t>www.ilvecchiogranaio.it</t>
  </si>
  <si>
    <t>ilvecchiogranaio@alice.it</t>
  </si>
  <si>
    <t>B&amp;B CASAL DE PINI</t>
  </si>
  <si>
    <t>c.da Camporota 65</t>
  </si>
  <si>
    <t>www.casaldepini.it</t>
  </si>
  <si>
    <t>alex13@libero.it</t>
  </si>
  <si>
    <t>B&amp;B PALAZZO RUFFINI</t>
  </si>
  <si>
    <t>via Roma 2</t>
  </si>
  <si>
    <t>I DUE PINI</t>
  </si>
  <si>
    <t>C.da Vallonica 7</t>
  </si>
  <si>
    <t>CATIGNANO</t>
  </si>
  <si>
    <t>c.da Vallonica 35</t>
  </si>
  <si>
    <t>www.agriturismocatignano.it</t>
  </si>
  <si>
    <t>agriturismocatignano@tiscalinet.it</t>
  </si>
  <si>
    <t>GOLF DI SCHITO di RAPACCINI PASQUALE</t>
  </si>
  <si>
    <t>c.da Schito 35</t>
  </si>
  <si>
    <t>LA VALLE DEL VENTO di FARABOLLINI FRANCESCO</t>
  </si>
  <si>
    <t>c.da Vallonica 17</t>
  </si>
  <si>
    <t>www.agriturismo-lavalledelvento.it</t>
  </si>
  <si>
    <t>f.farabollini@libero.it</t>
  </si>
  <si>
    <t>LA MATTORA</t>
  </si>
  <si>
    <t>c.da San Marco Vecchio 71/A</t>
  </si>
  <si>
    <t>VILLA FIORITA di RAPACCINI PASQUALE</t>
  </si>
  <si>
    <t>c.da Schito 29</t>
  </si>
  <si>
    <t>coopat@libero.it</t>
  </si>
  <si>
    <t>VALCAMPANA di MANCINELLI LUCIANA</t>
  </si>
  <si>
    <t>c.da Schito 71</t>
  </si>
  <si>
    <t>LA GRANCIA</t>
  </si>
  <si>
    <t>C.da Santa Maria in Selva 51</t>
  </si>
  <si>
    <t>www.lagrancia.it</t>
  </si>
  <si>
    <t>info@lagrancia.it</t>
  </si>
  <si>
    <t>FONTECHIARA</t>
  </si>
  <si>
    <t>C.da Santa Maria in Paterno 19</t>
  </si>
  <si>
    <t>www.fontechiara.com</t>
  </si>
  <si>
    <t>pinonastasi@alice.it</t>
  </si>
  <si>
    <t>LA SIESTA</t>
  </si>
  <si>
    <t>Contrada San Lorenzo 11</t>
  </si>
  <si>
    <t>San Lorenzo</t>
  </si>
  <si>
    <t>http://www.farmhouselasiesta.com/it/</t>
  </si>
  <si>
    <t>info@farmhouselasiesta.com</t>
  </si>
  <si>
    <t>B&amp;B VILLA TRINA</t>
  </si>
  <si>
    <t>c.da Paterno 6</t>
  </si>
  <si>
    <t>www.villatrina.com</t>
  </si>
  <si>
    <t>djsullivan4000@gmail.com</t>
  </si>
  <si>
    <t>B&amp;B ANTICHI GELSI</t>
  </si>
  <si>
    <t>contrada Schito 54</t>
  </si>
  <si>
    <t>info@antichigelsi.it</t>
  </si>
  <si>
    <t>CASA ED APPARTAMENTI PER VACANZE VALCERASA SAS</t>
  </si>
  <si>
    <t>contrada Chiaravalle 39</t>
  </si>
  <si>
    <t>HOTEL GRIMALDI</t>
  </si>
  <si>
    <t>corso Italia Libera 9</t>
  </si>
  <si>
    <t>www.hotelgrimalditreia.it</t>
  </si>
  <si>
    <t>info@hotelgrimalditreia.it</t>
  </si>
  <si>
    <t>SWEET HOME</t>
  </si>
  <si>
    <t>c.da Piangiano 4/a</t>
  </si>
  <si>
    <t>fabriziobartolacci@icloud.com</t>
  </si>
  <si>
    <t>via Cassara 1</t>
  </si>
  <si>
    <t>IL CONFINE</t>
  </si>
  <si>
    <t>contrada Schito 85/A</t>
  </si>
  <si>
    <t>contrada Schito</t>
  </si>
  <si>
    <t>www.agriturismoilconfine.it</t>
  </si>
  <si>
    <t>agriturismoilconfine@gmail.com</t>
  </si>
  <si>
    <t>AZIENDA AGRITURISTICA RIO TORBIDO 101</t>
  </si>
  <si>
    <t>c.da Chiaravalle 47B</t>
  </si>
  <si>
    <t>LE TAMERICI</t>
  </si>
  <si>
    <t>c.da Carreggiano 4</t>
  </si>
  <si>
    <t>maco.fx@libero.it</t>
  </si>
  <si>
    <t>CASE LEONORI</t>
  </si>
  <si>
    <t>contrada Santa Maria in Piana 81</t>
  </si>
  <si>
    <t>tatyana.walther@alice.it</t>
  </si>
  <si>
    <t>B&amp;B DEI CESARI</t>
  </si>
  <si>
    <t>via Monsignor Campetti 21</t>
  </si>
  <si>
    <t>cesari55@libero.it</t>
  </si>
  <si>
    <t>CASA GEMMA</t>
  </si>
  <si>
    <t>cotrada San Lorenzo 24</t>
  </si>
  <si>
    <t>ang.manzoni@gmail.com</t>
  </si>
  <si>
    <t>VILLA SARA</t>
  </si>
  <si>
    <t>via Santissimo Crocifisso 48</t>
  </si>
  <si>
    <t>enzoangeletti@live.it</t>
  </si>
  <si>
    <t>CASA RUFFINI MAGGIOLINI</t>
  </si>
  <si>
    <t>via Roma 4</t>
  </si>
  <si>
    <t>a.ruffini@mail.com</t>
  </si>
  <si>
    <t>B&amp;B BIBIANO 38</t>
  </si>
  <si>
    <t>c.da Bibiano  38</t>
  </si>
  <si>
    <t>bibiano38.wix.com</t>
  </si>
  <si>
    <t>federicagrande@alice.it</t>
  </si>
  <si>
    <t>LOC. FONTELCI</t>
  </si>
  <si>
    <t>B&amp;B TRANSITA A TREIA</t>
  </si>
  <si>
    <t>Via Carlo Didimi 31</t>
  </si>
  <si>
    <t>martero89@hotmail.it</t>
  </si>
  <si>
    <t>IL ROCCOLO</t>
  </si>
  <si>
    <t>c.da Valcerasa 60</t>
  </si>
  <si>
    <t>info@gitanos.it</t>
  </si>
  <si>
    <t>B&amp;B DENOPOPE</t>
  </si>
  <si>
    <t>c.da San Carlo 18</t>
  </si>
  <si>
    <t>denopope@gmail.com</t>
  </si>
  <si>
    <t>FORESTALE LUTI</t>
  </si>
  <si>
    <t>c.da Chiaravalle 63</t>
  </si>
  <si>
    <t>luigi.rosini@alice.it; antonio.nessuno@libero.it</t>
  </si>
  <si>
    <t>PIAN DI GIANO</t>
  </si>
  <si>
    <t>C.da Chiaravalle 51/A</t>
  </si>
  <si>
    <t>CASALE DEL GIGLIO</t>
  </si>
  <si>
    <t>C.da Carreggiano 11</t>
  </si>
  <si>
    <t>www.casaledelgigliomarche.it</t>
  </si>
  <si>
    <t>info@casaledelgigliomarche.it</t>
  </si>
  <si>
    <t>COUNTRY HOUSE IL CASALE</t>
  </si>
  <si>
    <t>c.da Chiaravalle 39/a</t>
  </si>
  <si>
    <t>www.gitanos.it</t>
  </si>
  <si>
    <t>COUNTRY HOUSE DI FEDERICI ANNA</t>
  </si>
  <si>
    <t>c.da Carreggiano 4/a</t>
  </si>
  <si>
    <t>loc. Convento 2</t>
  </si>
  <si>
    <t>URBISAGLIA</t>
  </si>
  <si>
    <t>CONVENTO</t>
  </si>
  <si>
    <t>giovasoldado90@hotmail.it</t>
  </si>
  <si>
    <t>COTTAGE LA VOLPE E IL FAGIANO</t>
  </si>
  <si>
    <t>via Selva 6</t>
  </si>
  <si>
    <t>info@cottagemc.it</t>
  </si>
  <si>
    <t>LA MAESTA'</t>
  </si>
  <si>
    <t>contrada montedoro 35</t>
  </si>
  <si>
    <t>LOCANDA CAFFE' LE LOGGE</t>
  </si>
  <si>
    <t>corso Alessandro Giannelli 34</t>
  </si>
  <si>
    <t>www.locandalelogge.it</t>
  </si>
  <si>
    <t>info@locandalelogge.it</t>
  </si>
  <si>
    <t>CASA LEONI B&amp;B</t>
  </si>
  <si>
    <t>CORSO GIANNELLI  31</t>
  </si>
  <si>
    <t>casaleonirooms.wix.com/bedandbreakfasturbis</t>
  </si>
  <si>
    <t>casaleoni.rooms@gmail.com</t>
  </si>
  <si>
    <t>B&amp;B S. ERCOLANO COUNTRY</t>
  </si>
  <si>
    <t>Via S. Ercolano 24</t>
  </si>
  <si>
    <t>USSITA</t>
  </si>
  <si>
    <t>TEMPORI</t>
  </si>
  <si>
    <t>s.ercolano.country@gmail.com</t>
  </si>
  <si>
    <t>RIFUGIO CASALI</t>
  </si>
  <si>
    <t>Via Sant'Anastasio SNC</t>
  </si>
  <si>
    <t>CASALI</t>
  </si>
  <si>
    <t>RIFUGIO ALPINO DEL FARGNO</t>
  </si>
  <si>
    <t>loc. Casali</t>
  </si>
  <si>
    <t>www.rifugiodelfargno.it</t>
  </si>
  <si>
    <t>rifugiodelfargno@gmail.com</t>
  </si>
  <si>
    <t>B&amp;B L'OCCHIO DELLA MONTAGNA</t>
  </si>
  <si>
    <t>via Santa Croce 38/a</t>
  </si>
  <si>
    <t>loc. Sorbo</t>
  </si>
  <si>
    <t>f.vita58@libero.it</t>
  </si>
  <si>
    <t>B&amp;B CHALET IL CERBIATTO</t>
  </si>
  <si>
    <t>ilcerbiattoussita@gmail.com</t>
  </si>
  <si>
    <t>B&amp;B LA FINESTRA SUI MONTI</t>
  </si>
  <si>
    <t>via S.Ercolano snc</t>
  </si>
  <si>
    <t>Tempori</t>
  </si>
  <si>
    <t>archettavisso@yahoo.it</t>
  </si>
  <si>
    <t>B&amp;B IL CONVENTINO</t>
  </si>
  <si>
    <t>via Monsignor Amici 1</t>
  </si>
  <si>
    <t>laura.marciani@libero.it</t>
  </si>
  <si>
    <t>MONTE BOVE</t>
  </si>
  <si>
    <t>montebovenori@gmail.com</t>
  </si>
  <si>
    <t>CRYSTAL</t>
  </si>
  <si>
    <t>via Pie' la Costa 1</t>
  </si>
  <si>
    <t>www.hotel-crystal.it</t>
  </si>
  <si>
    <t>hotel-crystal@tiscali.it</t>
  </si>
  <si>
    <t>HOTEL USSITA</t>
  </si>
  <si>
    <t>piazza dei Cavallari 1</t>
  </si>
  <si>
    <t>www.hotelussita.it</t>
  </si>
  <si>
    <t>amministrazione@hotelussita.it</t>
  </si>
  <si>
    <t>FELYCITA</t>
  </si>
  <si>
    <t>FRONTIGNANO-USSITA</t>
  </si>
  <si>
    <t>www.hotelfelycita.com</t>
  </si>
  <si>
    <t>info@hotelfelycita.com</t>
  </si>
  <si>
    <t>DOMUS LAETITIAE</t>
  </si>
  <si>
    <t>Montebove 1</t>
  </si>
  <si>
    <t>www.domusfrontignano.it</t>
  </si>
  <si>
    <t>info@domuslaetitiae.it</t>
  </si>
  <si>
    <t>OSTELLO PER LA GIOVENTU' COLORITO</t>
  </si>
  <si>
    <t>COLORITO - USSITA</t>
  </si>
  <si>
    <t>SOGGIORNO DON BOSCO</t>
  </si>
  <si>
    <t>frazione Calcara</t>
  </si>
  <si>
    <t>n.cupaiolo@tin.it</t>
  </si>
  <si>
    <t>B&amp;B LA CASA DELL'ORTIGIANA</t>
  </si>
  <si>
    <t>via Santa Croce 38</t>
  </si>
  <si>
    <t>www.lacasadellortigiana.it</t>
  </si>
  <si>
    <t>info@lacasadellortigiana.it</t>
  </si>
  <si>
    <t>CAMPING ESTATE INVERNO</t>
  </si>
  <si>
    <t>via Pratolungo snc</t>
  </si>
  <si>
    <t>info@verdefiastra.it</t>
  </si>
  <si>
    <t>B&amp;B LA COPPARA</t>
  </si>
  <si>
    <t>c.da Capovallazza snc</t>
  </si>
  <si>
    <t>frazione Vallazza</t>
  </si>
  <si>
    <t>temp.caterina@tiscali.it</t>
  </si>
  <si>
    <t>BAITA GIOIOSA</t>
  </si>
  <si>
    <t>loc. Frontignano</t>
  </si>
  <si>
    <t>www.baitagioiosa.com</t>
  </si>
  <si>
    <t>info@baitagioiosa.com</t>
  </si>
  <si>
    <t>DOMUS MONTE BOVE</t>
  </si>
  <si>
    <t>frazione calcara 1</t>
  </si>
  <si>
    <t>VISSO</t>
  </si>
  <si>
    <t>SANTUARIO DI MACERETO (Locali Palazzo delle Guaite)</t>
  </si>
  <si>
    <t>localita' Macereto 1</t>
  </si>
  <si>
    <t>www.santuariomacereto.it</t>
  </si>
  <si>
    <t>macereto@libero.it</t>
  </si>
  <si>
    <t>B&amp;B IL CANTO DEL NERA</t>
  </si>
  <si>
    <t>via Pietro Toselli 2</t>
  </si>
  <si>
    <t>http://ilcantodelnera.blogspot.it/</t>
  </si>
  <si>
    <t>cantodelnera@gmail.com</t>
  </si>
  <si>
    <t>B&amp;B GALLIANO</t>
  </si>
  <si>
    <t>via Galliano  18</t>
  </si>
  <si>
    <t>smeaconsulsrl@libero.it</t>
  </si>
  <si>
    <t>B&amp;B LA MANSARDINA</t>
  </si>
  <si>
    <t>via Ussita 5/A</t>
  </si>
  <si>
    <t>manishika@email.it</t>
  </si>
  <si>
    <t>via borgo SantAntonio 11/a</t>
  </si>
  <si>
    <t>info@ilborgovisso.it</t>
  </si>
  <si>
    <t>B&amp;B DUE TORRI</t>
  </si>
  <si>
    <t>via Cesare Battisti 51</t>
  </si>
  <si>
    <t>vissoimmobiliare.com</t>
  </si>
  <si>
    <t>visso83@email.it</t>
  </si>
  <si>
    <t>AFFITTACAMERE VILLACOLLE</t>
  </si>
  <si>
    <t>via Macereto 5</t>
  </si>
  <si>
    <t>www.villacollevisso.com</t>
  </si>
  <si>
    <t>dominici.federica@tiscali.it</t>
  </si>
  <si>
    <t>HOTEL RISTORANTE ELENA</t>
  </si>
  <si>
    <t>via g. rosi 14</t>
  </si>
  <si>
    <t>www.hotelristorantelena.com</t>
  </si>
  <si>
    <t>info@hotelristorantelena</t>
  </si>
  <si>
    <t>RIFUGIO ESCURSIONISTICO DI CUPI</t>
  </si>
  <si>
    <t>via Piana  1</t>
  </si>
  <si>
    <t>FRAZIONE CUPI</t>
  </si>
  <si>
    <t>www.rifugiocupi.it</t>
  </si>
  <si>
    <t>rifugiocupi@gmail.com</t>
  </si>
  <si>
    <t>SANTUARIO DI MACERETO (Locali Foresteria)</t>
  </si>
  <si>
    <t>MACERETO</t>
  </si>
  <si>
    <t>B&amp;B VIA DEL POGGIO</t>
  </si>
  <si>
    <t>BORGO SANT ANTONIO  17</t>
  </si>
  <si>
    <t>cappatonino@gmail.com</t>
  </si>
  <si>
    <t>B&amp;B IL RUSCELLO</t>
  </si>
  <si>
    <t>via del Vettore 8</t>
  </si>
  <si>
    <t>claudio.mazzotti@hotmail.it</t>
  </si>
  <si>
    <t>APPARTAMENTI TRE MONTI</t>
  </si>
  <si>
    <t>b.go Sant'Antonio 17</t>
  </si>
  <si>
    <t>SANT' ANTONIO  5</t>
  </si>
  <si>
    <t>i.gatti@hotmail.it</t>
  </si>
  <si>
    <t>ALTAROCCA MARIA CRISTINA</t>
  </si>
  <si>
    <t>VICOLO ANGELINI 1</t>
  </si>
  <si>
    <t>TRE MONTI</t>
  </si>
  <si>
    <t>VIA VALCANUTA 11</t>
  </si>
  <si>
    <t>VIA DEL BORGO</t>
  </si>
  <si>
    <t>VIA BORGO SANT'ANTONIO 17</t>
  </si>
  <si>
    <t>LO ZAFFERANO</t>
  </si>
  <si>
    <t>Capo Cervara 20</t>
  </si>
  <si>
    <t>FEMATRE</t>
  </si>
  <si>
    <t>B&amp;B VIA USSITA</t>
  </si>
  <si>
    <t>B&amp;B IL CASTELLANO</t>
  </si>
  <si>
    <t>FRAZ. VALLECCHIA MONTECOLVO 14</t>
  </si>
  <si>
    <t>ACQUASANTA TERME</t>
  </si>
  <si>
    <t>ilcastellano@gmail.it</t>
  </si>
  <si>
    <t>B&amp;B VILLA FIORITA</t>
  </si>
  <si>
    <t>via roma 1</t>
  </si>
  <si>
    <t>STALLO</t>
  </si>
  <si>
    <t>LA VALLE VERDE</t>
  </si>
  <si>
    <t>localita' Valledacqua 11</t>
  </si>
  <si>
    <t>agrivalleverde@libero.it</t>
  </si>
  <si>
    <t>CASTEL DI LUCO</t>
  </si>
  <si>
    <t>localita' Castel di Luco 1</t>
  </si>
  <si>
    <t>www.casteldiluco.com</t>
  </si>
  <si>
    <t>casteldiluco@tiscali.it</t>
  </si>
  <si>
    <t>HOTEL ITALIA</t>
  </si>
  <si>
    <t>via del Bagno 59</t>
  </si>
  <si>
    <t>www.termeacquasanta.it</t>
  </si>
  <si>
    <t>info@termeacquasanta.it</t>
  </si>
  <si>
    <t>HOTEL RISTORANTE IL PASSO</t>
  </si>
  <si>
    <t>via salaria 96</t>
  </si>
  <si>
    <t>www.hotelilpasso.it</t>
  </si>
  <si>
    <t>scrivimi@hotelilpasso.it</t>
  </si>
  <si>
    <t>ALBERGO RISTORANTE TERME</t>
  </si>
  <si>
    <t>piazza Terme 20</t>
  </si>
  <si>
    <t>www.albergoterme.it</t>
  </si>
  <si>
    <t>info@albergoterme.it</t>
  </si>
  <si>
    <t>HOTEL RISTORANTE TRE LANTERNE</t>
  </si>
  <si>
    <t>frazione cagnano 1</t>
  </si>
  <si>
    <t>info@trelanterne.it</t>
  </si>
  <si>
    <t>AGRITURISMO IL ROCCOLO</t>
  </si>
  <si>
    <t>frazione Pomaro 15</t>
  </si>
  <si>
    <t>www.laterradellemeraviglie.it</t>
  </si>
  <si>
    <t>agriturismo@ilroccolo.com</t>
  </si>
  <si>
    <t>B&amp;B TORRE COLOMBAIA</t>
  </si>
  <si>
    <t>frazione Cagnano 4/a</t>
  </si>
  <si>
    <t>torrecolombaia@virgilio.it</t>
  </si>
  <si>
    <t>B&amp;B ZEPPILLI DOMENICO</t>
  </si>
  <si>
    <t>PITO</t>
  </si>
  <si>
    <t>B&amp;B NEPI MARIA ASSUNTA</t>
  </si>
  <si>
    <t>frazione santa maria 115</t>
  </si>
  <si>
    <t>guaiani@itol.it</t>
  </si>
  <si>
    <t>B&amp;B CUORE</t>
  </si>
  <si>
    <t>frazione Collefalciano 19</t>
  </si>
  <si>
    <t>www.bb-cuore.it</t>
  </si>
  <si>
    <t>info@bb-cuore.it</t>
  </si>
  <si>
    <t>B&amp;B ARIA PULITA</t>
  </si>
  <si>
    <t>corso Gregorio Schiavi 8</t>
  </si>
  <si>
    <t>mauriall@yahoo.it</t>
  </si>
  <si>
    <t>B&amp;B VILLA SILVIA</t>
  </si>
  <si>
    <t>c.da Santa Maria 172/h</t>
  </si>
  <si>
    <t>Santa Maria</t>
  </si>
  <si>
    <t>silvia.palanca@libero.it</t>
  </si>
  <si>
    <t>B&amp;B LA PIAZZETTA</t>
  </si>
  <si>
    <t>piazza Emidio Collina 1</t>
  </si>
  <si>
    <t>Acquasanta Terme</t>
  </si>
  <si>
    <t>https://www.facebook.com/lapiazzettabb</t>
  </si>
  <si>
    <t>lapiazzettabb@hotmail.it</t>
  </si>
  <si>
    <t>B&amp;B DA TEMPERI'</t>
  </si>
  <si>
    <t>loc. Quintodecimo 2</t>
  </si>
  <si>
    <t>Quintodecimo</t>
  </si>
  <si>
    <t>www.datemperi.com</t>
  </si>
  <si>
    <t>biebidatemperi@libero.it</t>
  </si>
  <si>
    <t>LAGA NORD</t>
  </si>
  <si>
    <t>via Umito 53</t>
  </si>
  <si>
    <t>loc.Umito</t>
  </si>
  <si>
    <t>www.agriturismo-laganord.it</t>
  </si>
  <si>
    <t>agriturismo-laganord@libero.it</t>
  </si>
  <si>
    <t>OSTELLO DI CAGNANO</t>
  </si>
  <si>
    <t>frazione Cagnano 1</t>
  </si>
  <si>
    <t>http://www.coloniacagnano.it/</t>
  </si>
  <si>
    <t>parrocchiasgennaro@libero.it</t>
  </si>
  <si>
    <t>HOTEL RISTORANTE MONASTERO  VALLEDACQUA</t>
  </si>
  <si>
    <t>Localita' Valledacqua 18</t>
  </si>
  <si>
    <t>www.hotelmonasterovalledacqua.it</t>
  </si>
  <si>
    <t>info@hotelmonasterovalledacqua.it</t>
  </si>
  <si>
    <t>AFFITTACAMERE ELIA EMMA</t>
  </si>
  <si>
    <t>frazione San Martino 27</t>
  </si>
  <si>
    <t>CASADUNA</t>
  </si>
  <si>
    <t>B&amp;B EMILIA MARILYN TROLI</t>
  </si>
  <si>
    <t>frazione Pozza 100</t>
  </si>
  <si>
    <t>POZZA</t>
  </si>
  <si>
    <t>emily75t@live.it</t>
  </si>
  <si>
    <t>B&amp;B NONNA PIA</t>
  </si>
  <si>
    <t>frazione Favalanciata 5</t>
  </si>
  <si>
    <t>www.nonnapia.it</t>
  </si>
  <si>
    <t>info@nonnapia.it</t>
  </si>
  <si>
    <t>B&amp;B TOCCHI SESTILIA</t>
  </si>
  <si>
    <t>Fraz. Pozza 88</t>
  </si>
  <si>
    <t>giulio_deangelis@libero.it</t>
  </si>
  <si>
    <t>B&amp;B DI MALLONI FERDINANDO</t>
  </si>
  <si>
    <t>via bagno 10</t>
  </si>
  <si>
    <t>AGRITURISMO "LA VALLE DELL'ORSO"</t>
  </si>
  <si>
    <t>via salaria 1</t>
  </si>
  <si>
    <t>UMITO</t>
  </si>
  <si>
    <t>B&amp;B CASA FILIPPO</t>
  </si>
  <si>
    <t>via Roma 33/A</t>
  </si>
  <si>
    <t>ACQUAVIVA PICENA</t>
  </si>
  <si>
    <t>micio.elia@libero.it</t>
  </si>
  <si>
    <t>B&amp;B SEIGNEUR HILL</t>
  </si>
  <si>
    <t>contrada abbadetta 79</t>
  </si>
  <si>
    <t>www.bbseigneurhill.it</t>
  </si>
  <si>
    <t>info@bbseigneurhill.it</t>
  </si>
  <si>
    <t>B&amp;B LE ANTICHE VOLTE</t>
  </si>
  <si>
    <t>VIA DELL'ORNATO 32</t>
  </si>
  <si>
    <t>www.leantichevolte.com</t>
  </si>
  <si>
    <t>info@leantichevolte.com</t>
  </si>
  <si>
    <t>B&amp;B LA CASA DEL MELOCOTOGNO</t>
  </si>
  <si>
    <t>contrada Forola 17</t>
  </si>
  <si>
    <t>www.lacasadelmelocotogno.it</t>
  </si>
  <si>
    <t>info@lacasadelmelocotogno.it</t>
  </si>
  <si>
    <t>B&amp;B CIELO APERTO di IVEY CLARE</t>
  </si>
  <si>
    <t>via del cavaliere 44</t>
  </si>
  <si>
    <t>www.cieloaperto.com</t>
  </si>
  <si>
    <t>clareivey@alice.it</t>
  </si>
  <si>
    <t>B&amp;B VERDEMARE di MARZETTI ANTONELLA</t>
  </si>
  <si>
    <t>C.da Casarica 29</t>
  </si>
  <si>
    <t>info@bb-verdemare.com</t>
  </si>
  <si>
    <t>AGRITURISMO AQUA VIVA</t>
  </si>
  <si>
    <t>via santa caterina 8</t>
  </si>
  <si>
    <t>www.agriturismoaquaviva.net</t>
  </si>
  <si>
    <t>info@lapaesana.net</t>
  </si>
  <si>
    <t>COUNTRY HOUSE LA FOROLA 1923</t>
  </si>
  <si>
    <t>nicolinocameli@gmail.com</t>
  </si>
  <si>
    <t>HOTEL RISTORANTE O'VIV</t>
  </si>
  <si>
    <t>via Marziale 43</t>
  </si>
  <si>
    <t>oviv.acquavivapicena@gmail.com</t>
  </si>
  <si>
    <t>B&amp;B DELLA TARTANA</t>
  </si>
  <si>
    <t>via della Tartana 17</t>
  </si>
  <si>
    <t>www.bbdellatartana.it</t>
  </si>
  <si>
    <t>info@bbdellatartana.it</t>
  </si>
  <si>
    <t>B&amp;B IL COLLE</t>
  </si>
  <si>
    <t>via dell'Ornato 15</t>
  </si>
  <si>
    <t>gasparrini.giorgio@virgilio.it</t>
  </si>
  <si>
    <t>B&amp;B GIARDINO MEDITERRANEO</t>
  </si>
  <si>
    <t>via Carlo Alberto Dalla Chiesa 58</t>
  </si>
  <si>
    <t>Acquaviva Picena</t>
  </si>
  <si>
    <t>www.giardinomediterraneo.altervista.org</t>
  </si>
  <si>
    <t>bbilgiardinomediterraneo@outlook.it</t>
  </si>
  <si>
    <t>B&amp;B SANTA CATERINA</t>
  </si>
  <si>
    <t>contrada Santa Caterina  21</t>
  </si>
  <si>
    <t>www.bbsantacaterina.it</t>
  </si>
  <si>
    <t>info@bbsantacaterina.it</t>
  </si>
  <si>
    <t>B&amp;B MARIA ROSA SCICOLONE</t>
  </si>
  <si>
    <t>via G.Panelli 3</t>
  </si>
  <si>
    <t>www.bbmari.it</t>
  </si>
  <si>
    <t>maribb@gmail.com</t>
  </si>
  <si>
    <t>B&amp;B ANGELOTTI SERINO</t>
  </si>
  <si>
    <t>via g. panelli 3</t>
  </si>
  <si>
    <t>B&amp;B MAMMA GINA</t>
  </si>
  <si>
    <t>cda valle apparignano  16</t>
  </si>
  <si>
    <t>www.mammagina.info</t>
  </si>
  <si>
    <t>gina.marchetti@tin.it</t>
  </si>
  <si>
    <t>ABBADETTA RESORT</t>
  </si>
  <si>
    <t>via Abbadetta  36</t>
  </si>
  <si>
    <t>www.abbadetta.it</t>
  </si>
  <si>
    <t>sabrina-riccioni@hotmail.com</t>
  </si>
  <si>
    <t>HOTEL RISTORANTE IL GRILLO</t>
  </si>
  <si>
    <t>contrada colle in su 29</t>
  </si>
  <si>
    <t>www.hotelilgrillo.it</t>
  </si>
  <si>
    <t>info@hotelilgrillo.it</t>
  </si>
  <si>
    <t>B&amp;B LA LUNA E LA FORTEZZA</t>
  </si>
  <si>
    <t>contrada S. Maria in accubitu  14</t>
  </si>
  <si>
    <t>www.lalunaelafortezza.com</t>
  </si>
  <si>
    <t>info@lalunaelafortezza.com</t>
  </si>
  <si>
    <t>via Vallechifenti 75</t>
  </si>
  <si>
    <t>APPIGNANO DEL TRONTO</t>
  </si>
  <si>
    <t>www.bedandbreakfastlequerce.it</t>
  </si>
  <si>
    <t>ice661@hotmail.it</t>
  </si>
  <si>
    <t>AGRITURISMO CONCA D'ORO</t>
  </si>
  <si>
    <t>via Valle Chifenti 142</t>
  </si>
  <si>
    <t>www.concadoro.com</t>
  </si>
  <si>
    <t>agriturismo@concadoro.com</t>
  </si>
  <si>
    <t>contrada valle san martino 11</t>
  </si>
  <si>
    <t>s.martinoagriturism@libero.it</t>
  </si>
  <si>
    <t>VALLE SAN MARTINO (4)</t>
  </si>
  <si>
    <t>Valle San Martino 4</t>
  </si>
  <si>
    <t>gabrielegalli1@libero.it</t>
  </si>
  <si>
    <t>CENTRO DEI DUE PARCHI</t>
  </si>
  <si>
    <t>ARQUATA DEL TRONTO</t>
  </si>
  <si>
    <t>FRAZIONE BORGO</t>
  </si>
  <si>
    <t>www.centrodueparchi.it; www.forestalp.it;</t>
  </si>
  <si>
    <t>info@centrodueparchi.it</t>
  </si>
  <si>
    <t>B&amp;B CAPPELLI CORRADO</t>
  </si>
  <si>
    <t>frazione Borgo 1</t>
  </si>
  <si>
    <t>info@laterradellemeraviglie.it</t>
  </si>
  <si>
    <t>B&amp;B FORTUNA EMANUELA</t>
  </si>
  <si>
    <t>frazione Capodacqua 9d</t>
  </si>
  <si>
    <t>loc. Capodacqua</t>
  </si>
  <si>
    <t>emanuela.fortuna@tin.it</t>
  </si>
  <si>
    <t>B&amp;B GIARDINO DELLE FATE</t>
  </si>
  <si>
    <t>Frazione Pretare 1</t>
  </si>
  <si>
    <t>PRETARE</t>
  </si>
  <si>
    <t>www.giardinodellefate.it</t>
  </si>
  <si>
    <t>bbgiardinodellefate@libero.it</t>
  </si>
  <si>
    <t>B&amp;B TRENTA ROMOLO</t>
  </si>
  <si>
    <t>B&amp;B ORSINI ELISABETTA</t>
  </si>
  <si>
    <t>via Vicolo Brandi  142B</t>
  </si>
  <si>
    <t>Trisungo</t>
  </si>
  <si>
    <t>www.bbtrisungo.it</t>
  </si>
  <si>
    <t>orsini.el@libero.it</t>
  </si>
  <si>
    <t>B&amp;B IL NIDO</t>
  </si>
  <si>
    <t>Piedilama</t>
  </si>
  <si>
    <t>www.ilnidodipiedilama.com</t>
  </si>
  <si>
    <t>RIFUGIO ESCURSIONISTICO DI COLLE LE CESE</t>
  </si>
  <si>
    <t>frazione Forca Canapine 1</t>
  </si>
  <si>
    <t>FORCA CANAPINE</t>
  </si>
  <si>
    <t>www.rifugiocollelecese.it</t>
  </si>
  <si>
    <t>info@rifugiocollelecese.it</t>
  </si>
  <si>
    <t>B&amp;B ARCO DI FILIPPO'</t>
  </si>
  <si>
    <t>frazione Spelonga 103</t>
  </si>
  <si>
    <t>B&amp;B LA CASA DEL CONTE</t>
  </si>
  <si>
    <t>via gallo 6</t>
  </si>
  <si>
    <t>cantalamessafmavv@libero.it</t>
  </si>
  <si>
    <t>www.arquatadeltronto.com</t>
  </si>
  <si>
    <t>B&amp;B CLAUDIO TASSI</t>
  </si>
  <si>
    <t>piazza pretare 9</t>
  </si>
  <si>
    <t>arquatadeltronto.com</t>
  </si>
  <si>
    <t>villacaponi@libero.it</t>
  </si>
  <si>
    <t>B&amp;B VILLA CAPONI di FEDERICA TASSI</t>
  </si>
  <si>
    <t>ruffini  9</t>
  </si>
  <si>
    <t>B&amp;B MARIA POLISIA CIABATTONI</t>
  </si>
  <si>
    <t>ANGELO PERLA</t>
  </si>
  <si>
    <t>piazza pretare 10</t>
  </si>
  <si>
    <t>B&amp;B GIOVANNA EUPIZI</t>
  </si>
  <si>
    <t>viale saladini 2</t>
  </si>
  <si>
    <t>B&amp;B GIANFRANCO FALCONETTI</t>
  </si>
  <si>
    <t>Via della rocca 7</t>
  </si>
  <si>
    <t>g.falcon@tiscali.it</t>
  </si>
  <si>
    <t>B&amp;B CIARABONITTE</t>
  </si>
  <si>
    <t>frazione Vezzano 8</t>
  </si>
  <si>
    <t>mbenfatti54@libero.it</t>
  </si>
  <si>
    <t>RIFUGIO DEGLI ALPINI G. GIACOMINI</t>
  </si>
  <si>
    <t>via Forca di Presta 1</t>
  </si>
  <si>
    <t>rifugiomontisibillini@gmail.com</t>
  </si>
  <si>
    <t>CAMARTINA</t>
  </si>
  <si>
    <t>contrada camartina 8</t>
  </si>
  <si>
    <t>www.hotelcamartina.it</t>
  </si>
  <si>
    <t>camartina@libero.it</t>
  </si>
  <si>
    <t>AL KAPRIOL</t>
  </si>
  <si>
    <t>frazione Forca Canapine 4</t>
  </si>
  <si>
    <t>ARQUATA</t>
  </si>
  <si>
    <t>frazione Piedilama 11</t>
  </si>
  <si>
    <t>OSTELLO DEI LONGOBARDI</t>
  </si>
  <si>
    <t>via dei Soderini, 26 26</t>
  </si>
  <si>
    <t>ASCOLI PICENO</t>
  </si>
  <si>
    <t>www.ostelloascoli.it</t>
  </si>
  <si>
    <t>longobardoascoli@libero.it</t>
  </si>
  <si>
    <t>MARIA IMMACOLATA</t>
  </si>
  <si>
    <t>via Kennedy 13</t>
  </si>
  <si>
    <t>B&amp;B CASA DE ANGELIS</t>
  </si>
  <si>
    <t>Ascoli Piceno</t>
  </si>
  <si>
    <t>lino21@libero.it</t>
  </si>
  <si>
    <t>B&amp;B IL PICCHIO</t>
  </si>
  <si>
    <t>via luigi mercantini 45</t>
  </si>
  <si>
    <t>www.ilpicchiobnb.it</t>
  </si>
  <si>
    <t>info@ilpicchiobnb.it</t>
  </si>
  <si>
    <t>B&amp;B CAPONI SILVANA</t>
  </si>
  <si>
    <t>via Piave 8</t>
  </si>
  <si>
    <t>picenohouse@topnet.it</t>
  </si>
  <si>
    <t>B&amp;B LE DUNE di ALESIANI ANDREA</t>
  </si>
  <si>
    <t>viale del Commercio 210/a</t>
  </si>
  <si>
    <t>ledune.ap@alice.it</t>
  </si>
  <si>
    <t>B&amp;B LANGUAGE AND ART</t>
  </si>
  <si>
    <t>via dei Soderini 16</t>
  </si>
  <si>
    <t>www.languageandart.com</t>
  </si>
  <si>
    <t>info@languageandart.com</t>
  </si>
  <si>
    <t>ASCOLICENTRO B&amp;B DI HEIDI STIPA</t>
  </si>
  <si>
    <t>via Tito Afranio 34</t>
  </si>
  <si>
    <t>heidi.stipa@poste.it</t>
  </si>
  <si>
    <t>B&amp;B VILLA FORTEZZA</t>
  </si>
  <si>
    <t>via della Fortezza Pia 5</t>
  </si>
  <si>
    <t>www.villafortezza.it</t>
  </si>
  <si>
    <t>info@villafortezza.it</t>
  </si>
  <si>
    <t>B&amp;B L'ARA VECCHIA</t>
  </si>
  <si>
    <t>frazione Giustimana 90</t>
  </si>
  <si>
    <t>bivio Giustimana</t>
  </si>
  <si>
    <t>www.musicanelmondo.it</t>
  </si>
  <si>
    <t>musicanelmondo@gmail.com</t>
  </si>
  <si>
    <t>LE SORGENTI</t>
  </si>
  <si>
    <t>frazione lago castel trotino 1</t>
  </si>
  <si>
    <t>www.agriturismolesorgenti.org</t>
  </si>
  <si>
    <t>info@agriturismolesorgenti.org</t>
  </si>
  <si>
    <t>AGRITURISMO VILLA CICCHI</t>
  </si>
  <si>
    <t>via Salaria 137</t>
  </si>
  <si>
    <t>www.villacicchi.it</t>
  </si>
  <si>
    <t>info@villacicchi.it</t>
  </si>
  <si>
    <t>CANTINA DELL'ARTE</t>
  </si>
  <si>
    <t>rua della Lupa 8</t>
  </si>
  <si>
    <t>www.cantinadellarte.it</t>
  </si>
  <si>
    <t>hotel@cantinadellarte.it</t>
  </si>
  <si>
    <t>HOTEL MARCHE</t>
  </si>
  <si>
    <t>via Kennedy 34</t>
  </si>
  <si>
    <t>hotelmarche.ap@virgilio.it</t>
  </si>
  <si>
    <t>HOTEL PENNILE</t>
  </si>
  <si>
    <t>via Gaetano Spalvieri 13/a</t>
  </si>
  <si>
    <t>www.hotelpennile.it</t>
  </si>
  <si>
    <t>info@hotelpennile.it</t>
  </si>
  <si>
    <t>B&amp;B IL POZZO INCANTATO</t>
  </si>
  <si>
    <t>c.da Sassari snc</t>
  </si>
  <si>
    <t>fraz Venagrande</t>
  </si>
  <si>
    <t>www.ilpozzoincantato.it</t>
  </si>
  <si>
    <t>michettisilvia76@gmail.com</t>
  </si>
  <si>
    <t>CENTRO TURISTICO RURALE IL POGGIO</t>
  </si>
  <si>
    <t>frazione Campolungo 162</t>
  </si>
  <si>
    <t>www.ilpoggioristorante.com</t>
  </si>
  <si>
    <t>ilpoggio.ristorante@libero.it</t>
  </si>
  <si>
    <t>B&amp;B FIORAVANTI EMIDIO</t>
  </si>
  <si>
    <t>viale Treviri 212</t>
  </si>
  <si>
    <t>IL CASTAGNETO</t>
  </si>
  <si>
    <t>frazione colle 71</t>
  </si>
  <si>
    <t>elisabetta.ranelli@libero.it</t>
  </si>
  <si>
    <t>B&amp;B ASCOLI ANTICA</t>
  </si>
  <si>
    <t>Corso Trento e Trieste 6</t>
  </si>
  <si>
    <t>www.ascolianticabb.it</t>
  </si>
  <si>
    <t>info@ascolianticabb.it</t>
  </si>
  <si>
    <t>B&amp;B CHARTARIA</t>
  </si>
  <si>
    <t>via Adriatico 4</t>
  </si>
  <si>
    <t>www.chartaria.it</t>
  </si>
  <si>
    <t>info@chartaria.it</t>
  </si>
  <si>
    <t>frazione Piagge 333</t>
  </si>
  <si>
    <t>www.ilgiardinodegliulivi.org</t>
  </si>
  <si>
    <t>posta@ilgiardinodegliulivi.org</t>
  </si>
  <si>
    <t>IL CASALE DEGLI ULIVI</t>
  </si>
  <si>
    <t>via Abbazia di Rosara 126</t>
  </si>
  <si>
    <t>frazione Rosara</t>
  </si>
  <si>
    <t>www.ilcasaledegliulivi.com</t>
  </si>
  <si>
    <t>info@ilcasaledegliulivi.com</t>
  </si>
  <si>
    <t>B&amp;B ANTICA DIMORA di ANNA MARIA CAUCCI</t>
  </si>
  <si>
    <t>via xx settembre 13</t>
  </si>
  <si>
    <t>www.dimorantica.altervista.org</t>
  </si>
  <si>
    <t>dimorantica@gmail.com</t>
  </si>
  <si>
    <t>B&amp;B TRA LE TORRI</t>
  </si>
  <si>
    <t>via dei Soderini 23</t>
  </si>
  <si>
    <t>www.traletorri.com</t>
  </si>
  <si>
    <t>sandraalbanesi@libero.it</t>
  </si>
  <si>
    <t>B&amp;B 2GABRI</t>
  </si>
  <si>
    <t>via delle Primule 43</t>
  </si>
  <si>
    <t>peroni.gabriella@gmail.com</t>
  </si>
  <si>
    <t>RESIDENCE TRE TORRI</t>
  </si>
  <si>
    <t>via Torino 4</t>
  </si>
  <si>
    <t>gruppo-brandimarte@libero.it</t>
  </si>
  <si>
    <t>CORTE DEL SOLE</t>
  </si>
  <si>
    <t>rua sant' antonio 1</t>
  </si>
  <si>
    <t>www.lacortedelsole.com</t>
  </si>
  <si>
    <t>info@lacortedelsole.com</t>
  </si>
  <si>
    <t>AZ. AGRITURISTICA LA CANTINA DI PIZI FIORELLA</t>
  </si>
  <si>
    <t>frazione Colonnata 85</t>
  </si>
  <si>
    <t>località Colonnata</t>
  </si>
  <si>
    <t>www.paginegialle.it/agriturismolacantina</t>
  </si>
  <si>
    <t>flavia.cic@libero.it</t>
  </si>
  <si>
    <t>B&amp;B ROSA SPINA</t>
  </si>
  <si>
    <t>via San Germano 3</t>
  </si>
  <si>
    <t>centro giardini pub.</t>
  </si>
  <si>
    <t>www.rosaspina.ap.it</t>
  </si>
  <si>
    <t>salettarosaspina@libero.it</t>
  </si>
  <si>
    <t>RIFUGIO ESCURSIONISTICO MARIO PACI</t>
  </si>
  <si>
    <t>strada provinciale 76 Colle San Marco 76</t>
  </si>
  <si>
    <t>COLLE LA PELERA</t>
  </si>
  <si>
    <t>www.rifugiopaci.it</t>
  </si>
  <si>
    <t>info@rifugiopaci.it</t>
  </si>
  <si>
    <t>B&amp;B ANNA MARIA DI MARCO</t>
  </si>
  <si>
    <t>via Giacinto Cantalamessa 32</t>
  </si>
  <si>
    <t>amdm1964@libero.it; lorenzoascoli@hotmail.it</t>
  </si>
  <si>
    <t>HOTEL VILLA SGARIGLIA RESORT</t>
  </si>
  <si>
    <t>via Salaria 1</t>
  </si>
  <si>
    <t>www.villasgariglia.com</t>
  </si>
  <si>
    <t>info@villasgariglia.com</t>
  </si>
  <si>
    <t>B&amp;B LA ROSA DI ANTONIO</t>
  </si>
  <si>
    <t>via Monticelli 183</t>
  </si>
  <si>
    <t>antonellabevini@yahoo.it; larosadiantonio@yahoo.it</t>
  </si>
  <si>
    <t>RESIDENZA UNIVERSITARIA C.CRIVELLI</t>
  </si>
  <si>
    <t>loc. Brecciarolo 42</t>
  </si>
  <si>
    <t>Brecciarolo</t>
  </si>
  <si>
    <t>RESIDENZA UNIVERSITARIA RUFO</t>
  </si>
  <si>
    <t>via Quinto Curzio Rufo 4</t>
  </si>
  <si>
    <t>RESORT DI SABATINO</t>
  </si>
  <si>
    <t>via A. Vipera 30</t>
  </si>
  <si>
    <t>www.disabatino.it</t>
  </si>
  <si>
    <t>comunicazioni@disabatino.it</t>
  </si>
  <si>
    <t>B&amp;B UN POSTO AL SOLE</t>
  </si>
  <si>
    <t>via Fonte di Campo 36</t>
  </si>
  <si>
    <t>B&amp;B VILLA MARGHERITA</t>
  </si>
  <si>
    <t>via della Costa 15</t>
  </si>
  <si>
    <t>FRAZIONE POGGIO DI BRETTA</t>
  </si>
  <si>
    <t>isabellaperoni@virgilio.it</t>
  </si>
  <si>
    <t>RESIDENCE GLI ULIVI di SILVESTRI ROSINA</t>
  </si>
  <si>
    <t>via 234 snc</t>
  </si>
  <si>
    <t>frazione Villa S. Antonio</t>
  </si>
  <si>
    <t>info@residencegliulivi.it</t>
  </si>
  <si>
    <t>B&amp;B APOLLO 26</t>
  </si>
  <si>
    <t>via Rua D'Apollo 26</t>
  </si>
  <si>
    <t>www.bbapollo26.it</t>
  </si>
  <si>
    <t>info@bbapollo26.it</t>
  </si>
  <si>
    <t>B&amp;B ASCOLI E'...</t>
  </si>
  <si>
    <t>corso Mazzini 84</t>
  </si>
  <si>
    <t>info@bebdeimerletti.it</t>
  </si>
  <si>
    <t>kiara0105@hotmail.it</t>
  </si>
  <si>
    <t>HOTEL PALAZZO GUIDEROCCHI</t>
  </si>
  <si>
    <t>via Cesare Battisti 3</t>
  </si>
  <si>
    <t>www.palazzoguiderocchi.com</t>
  </si>
  <si>
    <t>info@palazzoguiderocchi.com</t>
  </si>
  <si>
    <t>RESIDENZA DEI CAPITANI</t>
  </si>
  <si>
    <t>via dei Tibaldeschi 3</t>
  </si>
  <si>
    <t>B&amp;B AMADIO FRANCESCO</t>
  </si>
  <si>
    <t>via Faiano 84</t>
  </si>
  <si>
    <t>ANTICO BORGO PICENO</t>
  </si>
  <si>
    <t>via San Serafino da Montegranaro 73</t>
  </si>
  <si>
    <t>ascoli piceno</t>
  </si>
  <si>
    <t>www.anticoborgopiceno.it</t>
  </si>
  <si>
    <t>info@anticoborgopiceno.it</t>
  </si>
  <si>
    <t>B&amp;B CASA GIOIA</t>
  </si>
  <si>
    <t>via dei Peschi 16</t>
  </si>
  <si>
    <t>MARINO DEL TRONTO</t>
  </si>
  <si>
    <t>www.casagioia.it</t>
  </si>
  <si>
    <t>ivan742008@hotmail.it</t>
  </si>
  <si>
    <t>B&amp;B MIMI' E COCO'</t>
  </si>
  <si>
    <t>via Umberto Giordano 9</t>
  </si>
  <si>
    <t>fraz.ne Monterocco</t>
  </si>
  <si>
    <t>www.mimiecocobb.it</t>
  </si>
  <si>
    <t>mimi@mimiecocobb.it</t>
  </si>
  <si>
    <t>via Firenze 11</t>
  </si>
  <si>
    <t>mar24nar@libero.it</t>
  </si>
  <si>
    <t>B&amp;B CASALE GIOVANNOZZI</t>
  </si>
  <si>
    <t>Frazione Monte Rosara 60</t>
  </si>
  <si>
    <t>peppegiovannozzi@libero.it</t>
  </si>
  <si>
    <t>B&amp;B MOSCA BIANCA</t>
  </si>
  <si>
    <t>fraz.Castel Trosino 9</t>
  </si>
  <si>
    <t>info@bebmoscabianca.it</t>
  </si>
  <si>
    <t>B&amp;B OEHL GLORIA WILHELMINE</t>
  </si>
  <si>
    <t>via Abbazia Rosara 131</t>
  </si>
  <si>
    <t>B&amp;B SOLESTA'</t>
  </si>
  <si>
    <t>via Gaspare Spontini 12</t>
  </si>
  <si>
    <t>solestapiceno@gmail.com</t>
  </si>
  <si>
    <t>ROSARA RELAX di PRETELLI PATRIZIA</t>
  </si>
  <si>
    <t>frazione Venerosse di Rosara 5</t>
  </si>
  <si>
    <t>RESIDENZA UNIVERSITARIA PAPAVERO</t>
  </si>
  <si>
    <t>via Rua del Papavero 6</t>
  </si>
  <si>
    <t>ersu.camerino@ersucam.it</t>
  </si>
  <si>
    <t>B&amp;B ALBANESI CLAUDIA</t>
  </si>
  <si>
    <t>via Nicola Monti 28</t>
  </si>
  <si>
    <t>B&amp;B IL BATTISTERO di FIORAVANTI EUROSIA</t>
  </si>
  <si>
    <t>piazza Arringo  19</t>
  </si>
  <si>
    <t>www.battisteroascoli.it</t>
  </si>
  <si>
    <t>info@battisteroascoli.it</t>
  </si>
  <si>
    <t>B&amp;B DIMORA GIOSAFATTI</t>
  </si>
  <si>
    <t>via Tito Betuzio Barro 11</t>
  </si>
  <si>
    <t>manolo861985@libero.it</t>
  </si>
  <si>
    <t>IL CASALE SUL LAGO</t>
  </si>
  <si>
    <t>frazione Coperso</t>
  </si>
  <si>
    <t>antonellabartolini67@gmail.com</t>
  </si>
  <si>
    <t>B&amp;B LA FORMICA</t>
  </si>
  <si>
    <t>via Aosta 1</t>
  </si>
  <si>
    <t>www.bblaformica.it</t>
  </si>
  <si>
    <t>info@bblaformica.it</t>
  </si>
  <si>
    <t>RESIDENZA UNIVERSITARIA MERCANTINI</t>
  </si>
  <si>
    <t>via L. Mercantini 51</t>
  </si>
  <si>
    <t>B&amp;B CENTRO CENTRO</t>
  </si>
  <si>
    <t>via Minucia 8</t>
  </si>
  <si>
    <t>bnbcentrocentro@gmail.com</t>
  </si>
  <si>
    <t>ATELIER B&amp;B DI POLI ELENA</t>
  </si>
  <si>
    <t>via Rua del Labirinto 2</t>
  </si>
  <si>
    <t>Centro Storico</t>
  </si>
  <si>
    <t>www.artelierbb.it</t>
  </si>
  <si>
    <t>info@artelierbb.it</t>
  </si>
  <si>
    <t>CESARI PIERLUIGI</t>
  </si>
  <si>
    <t>corso G.Mazzini 157</t>
  </si>
  <si>
    <t>FERRETTI FAUSTA</t>
  </si>
  <si>
    <t>B&amp;B PALAZZO MIGLIANI</t>
  </si>
  <si>
    <t>via dei Bonaccorsi  11</t>
  </si>
  <si>
    <t>www.palazzomigliani.it</t>
  </si>
  <si>
    <t>valerionovelli.ap@gmail.com</t>
  </si>
  <si>
    <t>B&amp;B AL CASTELLANO</t>
  </si>
  <si>
    <t>via Mediterraneo 8</t>
  </si>
  <si>
    <t>B&amp;B LA PETRELLA DI LORENZO MARIA RITA</t>
  </si>
  <si>
    <t>via Salaria  236</t>
  </si>
  <si>
    <t>VILLA S. ANTONIO</t>
  </si>
  <si>
    <t>www.lapetrellabb.altervista.org</t>
  </si>
  <si>
    <t>matir57@hotmail.it</t>
  </si>
  <si>
    <t>B&amp;B LA FONTANA DEI CANI</t>
  </si>
  <si>
    <t>via giuseppe sacconi 15</t>
  </si>
  <si>
    <t>http://lafontanadeicanibedandbreakfast.it</t>
  </si>
  <si>
    <t>info@lafontanadeicanibedandbreakfast.it</t>
  </si>
  <si>
    <t>B&amp;B DOMUS FLOREA</t>
  </si>
  <si>
    <t>via Achille Argenti 29</t>
  </si>
  <si>
    <t>www.bbascolidomusflorea.it</t>
  </si>
  <si>
    <t>massettipierpaolo@libero.it</t>
  </si>
  <si>
    <t>B&amp;B MONTEROCCO</t>
  </si>
  <si>
    <t>via Monterocco 58</t>
  </si>
  <si>
    <t>www.bbmonterocco.it</t>
  </si>
  <si>
    <t>info@bbmonterocco.it</t>
  </si>
  <si>
    <t>B&amp;B DAFNE</t>
  </si>
  <si>
    <t>rua Spino Talucci 9</t>
  </si>
  <si>
    <t>www.dafneascoli.blogspot.com</t>
  </si>
  <si>
    <t>camillodilorenzo@libero.it</t>
  </si>
  <si>
    <t>B&amp;B FIL DI FUMO</t>
  </si>
  <si>
    <t>via Tozzano 52/a</t>
  </si>
  <si>
    <t>frazione Castagneti Alto</t>
  </si>
  <si>
    <t>www.benale.net</t>
  </si>
  <si>
    <t>info@benale.net</t>
  </si>
  <si>
    <t>B&amp;B AUSSIE HOME di FIORAVANTI ANNARITA</t>
  </si>
  <si>
    <t>via Vincenzo Gioberti 5</t>
  </si>
  <si>
    <t>www.aussiehome.eu</t>
  </si>
  <si>
    <t>aussiehome@hotmail.it</t>
  </si>
  <si>
    <t>OSTELLO SAN MARCO</t>
  </si>
  <si>
    <t>Colle SAN MARCO</t>
  </si>
  <si>
    <t>http://www.pioistituto.it/san%20marco/index.htm</t>
  </si>
  <si>
    <t>istitutoscuore@pioistituto.it</t>
  </si>
  <si>
    <t>B&amp;B AL TRIVIO</t>
  </si>
  <si>
    <t>via del Trivio 36</t>
  </si>
  <si>
    <t>www.altrivio.biz</t>
  </si>
  <si>
    <t>info@altrivio.biz</t>
  </si>
  <si>
    <t>B&amp;B LA CHIARINA</t>
  </si>
  <si>
    <t>via d'Argillano 3</t>
  </si>
  <si>
    <t>www.lachiarina.com</t>
  </si>
  <si>
    <t>lachiarinabedbreak@libero.it</t>
  </si>
  <si>
    <t>B&amp;B PLATEOLA DI DE ANGELIS ROSA</t>
  </si>
  <si>
    <t>via della Piazzarola 52</t>
  </si>
  <si>
    <t>B&amp;B DELLE STELLE DI BORZACCHINI VALERIO E PERONI CARLA</t>
  </si>
  <si>
    <t>corso di Sotto 22</t>
  </si>
  <si>
    <t>valerioborzacchini@securemail.it</t>
  </si>
  <si>
    <t>B&amp;B PREVIGNANO LUIGI</t>
  </si>
  <si>
    <t>Frazione Piagge 390</t>
  </si>
  <si>
    <t>luigiprevignano@libero.it</t>
  </si>
  <si>
    <t>B&amp;B TERRA DI MEZZO</t>
  </si>
  <si>
    <t>C.da Sassari 279</t>
  </si>
  <si>
    <t>frazione Venagrande</t>
  </si>
  <si>
    <t>www.terradimezzo.marche.it</t>
  </si>
  <si>
    <t>terradi12@yahoo.it</t>
  </si>
  <si>
    <t>B&amp;B LA SCALETTA</t>
  </si>
  <si>
    <t>via dei Sabini 33</t>
  </si>
  <si>
    <t>HOTEL RESIDENZA CENTO TORRI</t>
  </si>
  <si>
    <t>via Costanzo Mazzoni 4</t>
  </si>
  <si>
    <t>www.centotorri.com</t>
  </si>
  <si>
    <t>info@centotorri.com</t>
  </si>
  <si>
    <t>B&amp;B IL CICLAMINO</t>
  </si>
  <si>
    <t>via delle Convertite 15</t>
  </si>
  <si>
    <t>www.ilciclaminobnb.it</t>
  </si>
  <si>
    <t>marcellavespa@hotmail.it</t>
  </si>
  <si>
    <t>HOTEL RISTORANTE VILLA SGARIGLIA</t>
  </si>
  <si>
    <t>frazione Piagge 395</t>
  </si>
  <si>
    <t>www.villasgariglia.it</t>
  </si>
  <si>
    <t>info@villasgariglia.it</t>
  </si>
  <si>
    <t>B&amp;B BELLA ASCOLI</t>
  </si>
  <si>
    <t>via delle Zeppelle 87</t>
  </si>
  <si>
    <t>www.bellaascoli.it</t>
  </si>
  <si>
    <t>info@bellaascoli.it</t>
  </si>
  <si>
    <t>B&amp;B IL GIARDINO SEGRETO</t>
  </si>
  <si>
    <t>via Pretoriana 55</t>
  </si>
  <si>
    <t>www.ilgiardinosegreto.eu</t>
  </si>
  <si>
    <t>info@ilgiardinosegreto.eu</t>
  </si>
  <si>
    <t>B&amp;B DEI MERLETTI</t>
  </si>
  <si>
    <t>via III Ottobre 8</t>
  </si>
  <si>
    <t>B&amp;B TISI MARIO</t>
  </si>
  <si>
    <t>via Salaria Inferiore 23</t>
  </si>
  <si>
    <t>B&amp;B GRAN CASO</t>
  </si>
  <si>
    <t>via Pantelleria 1</t>
  </si>
  <si>
    <t>bbgrancaso@gmail.com</t>
  </si>
  <si>
    <t>B&amp;B LA CULLA DEI SABINI</t>
  </si>
  <si>
    <t>via dei Sabini 6</t>
  </si>
  <si>
    <t>www.laculladeisabini.it</t>
  </si>
  <si>
    <t>culla.sabini@yahoo.it</t>
  </si>
  <si>
    <t>B&amp;B LE MONACHETTE di ROMAGNOLI CARLA</t>
  </si>
  <si>
    <t>via Fonte di Campo 20</t>
  </si>
  <si>
    <t>www.lemonachette.com</t>
  </si>
  <si>
    <t>lemonachette@gmail.com</t>
  </si>
  <si>
    <t>PARNASO</t>
  </si>
  <si>
    <t>Rua del Parnaso 14</t>
  </si>
  <si>
    <t>centro storico di Ascoli Piceno</t>
  </si>
  <si>
    <t>www.parnaso.eu</t>
  </si>
  <si>
    <t>info@parnaso.eu</t>
  </si>
  <si>
    <t>B&amp;B PIAZZA DEL POPOLO</t>
  </si>
  <si>
    <t>via Cesare Battisti 16</t>
  </si>
  <si>
    <t>www.bbpiazzadelpopolo.it</t>
  </si>
  <si>
    <t>info@bbpiazzadelpopolo.it</t>
  </si>
  <si>
    <t>B&amp;B IL TRATTO di KATIA E GIANCARLO</t>
  </si>
  <si>
    <t>via Nazario Sauro 19/A</t>
  </si>
  <si>
    <t>loc.Campo Parignano</t>
  </si>
  <si>
    <t>giancarlo.silvestri62@gmail.com</t>
  </si>
  <si>
    <t>B&amp;B PICCIONI GIUSEPPINA</t>
  </si>
  <si>
    <t>via Dino Angelini 64</t>
  </si>
  <si>
    <t>B&amp;B ANTICO BORGO PICENO</t>
  </si>
  <si>
    <t>panichimancini@tin.it</t>
  </si>
  <si>
    <t>B&amp;B APPARTAMENTI OLEANDRO</t>
  </si>
  <si>
    <t>viale Guglielmo Marconi 8</t>
  </si>
  <si>
    <t>www.casa-adriana.it</t>
  </si>
  <si>
    <t>info@casa-adriana.it</t>
  </si>
  <si>
    <t>B&amp;B APPARTAMENTI ORTENSIA</t>
  </si>
  <si>
    <t>www.casa-adriana.it/</t>
  </si>
  <si>
    <t>B&amp;B LA PIAZZETTA DI SISTI VITTORIA</t>
  </si>
  <si>
    <t>via Montello 10</t>
  </si>
  <si>
    <t>giovannozzi.marco@gmail.com</t>
  </si>
  <si>
    <t>B&amp;B NONNO DINO</t>
  </si>
  <si>
    <t>via Sassari 31</t>
  </si>
  <si>
    <t>nonnodinoaffittacamere@gmail.com</t>
  </si>
  <si>
    <t>B&amp;B LE BEGONIE</t>
  </si>
  <si>
    <t>via 424/ma 1</t>
  </si>
  <si>
    <t>Monticelli</t>
  </si>
  <si>
    <t>www.lebegonie.it</t>
  </si>
  <si>
    <t>info@lebegonie.it</t>
  </si>
  <si>
    <t>B&amp;B REGGIMENTO</t>
  </si>
  <si>
    <t>via Fabriano 12</t>
  </si>
  <si>
    <t>reggimentoascoli.blogspot.com</t>
  </si>
  <si>
    <t>corradetti.stefano@gmail.com</t>
  </si>
  <si>
    <t>DIMORA DI MORGIANO</t>
  </si>
  <si>
    <t>MORGIANO</t>
  </si>
  <si>
    <t>www.dimoradimorgiano.it</t>
  </si>
  <si>
    <t>info@dimoradimorgiano.it</t>
  </si>
  <si>
    <t>CENTRO VACANZE OASI CARPINETO</t>
  </si>
  <si>
    <t>Castellano di Lisciano</t>
  </si>
  <si>
    <t>www.oasicarpineto.it</t>
  </si>
  <si>
    <t>info@oasicarpineto.it</t>
  </si>
  <si>
    <t>B&amp;B LA DOLCE VIA DI CIOTTI CLAUDIA</t>
  </si>
  <si>
    <t>Corso Giuseppe Mazzini 194</t>
  </si>
  <si>
    <t>claudiaciotti@hotmail.it</t>
  </si>
  <si>
    <t>LA CASETTA</t>
  </si>
  <si>
    <t>Via SS. Filippo e Giacomo 31</t>
  </si>
  <si>
    <t>lacasetta31beb@libero.it</t>
  </si>
  <si>
    <t>MERAVILLA</t>
  </si>
  <si>
    <t>Frazione Castagneti 54</t>
  </si>
  <si>
    <t>CASTAGNETI</t>
  </si>
  <si>
    <t>cannellagianluca@libero.it</t>
  </si>
  <si>
    <t>B&amp;B ALBERTINI ALESSIO</t>
  </si>
  <si>
    <t>Via Francesco Ricci 45</t>
  </si>
  <si>
    <t>B&amp;B LUCIO ACCIACCAFERRI</t>
  </si>
  <si>
    <t>FRAZ. PIAGGE</t>
  </si>
  <si>
    <t>PRINCIPIA CHARMING SUITE</t>
  </si>
  <si>
    <t>Delle sette soglie  12</t>
  </si>
  <si>
    <t>B&amp;B RASPINO MASSIMILANO</t>
  </si>
  <si>
    <t>Via d'Argillano 13</t>
  </si>
  <si>
    <t>B&amp;B DI CRISTOFARO FIORENZA</t>
  </si>
  <si>
    <t>Frazione Colonnata 101</t>
  </si>
  <si>
    <t>COLONNATA</t>
  </si>
  <si>
    <t>FERRETTI ROSANNA</t>
  </si>
  <si>
    <t>Via del Ponte Vecchio 2</t>
  </si>
  <si>
    <t>rosanna.ferretti@alice.it</t>
  </si>
  <si>
    <t>B&amp;B CASA PERRY di PERICO GIUSEPPINA</t>
  </si>
  <si>
    <t>Via degli Studi 13</t>
  </si>
  <si>
    <t>info@casaperry.it</t>
  </si>
  <si>
    <t>B&amp;B GRAZIELLA NICOLAI</t>
  </si>
  <si>
    <t>PIAGGE 240</t>
  </si>
  <si>
    <t>sedo.ascoli@gmail.com</t>
  </si>
  <si>
    <t>B&amp;B ANNA MONINI</t>
  </si>
  <si>
    <t>DEI SODERINI 10</t>
  </si>
  <si>
    <t>studiomonini@tin.it</t>
  </si>
  <si>
    <t>B&amp;B GALIE'</t>
  </si>
  <si>
    <t>Rua dei Falconieri 6</t>
  </si>
  <si>
    <t>B&amp;B TUFILLA</t>
  </si>
  <si>
    <t>VIA ASIAGO 2</t>
  </si>
  <si>
    <t>B&amp;B IL TRATTO IN CENTRO</t>
  </si>
  <si>
    <t>VIA ANTONIO ORSINI 5</t>
  </si>
  <si>
    <t>B&amp;B MAISON RUA</t>
  </si>
  <si>
    <t>VIA DEI LEGNAIUOLI 4</t>
  </si>
  <si>
    <t>info@bbmaisonruà.it</t>
  </si>
  <si>
    <t>B&amp;B FIORAVANTI SANDRA</t>
  </si>
  <si>
    <t>CORSO G.MAZZINI 335</t>
  </si>
  <si>
    <t>C. Saccoccia 6</t>
  </si>
  <si>
    <t>info@aduepassi.eu</t>
  </si>
  <si>
    <t>B&amp;B MERCURI SILVIA</t>
  </si>
  <si>
    <t>DELLE PRIMULE 43</t>
  </si>
  <si>
    <t>info@bbilgattoelavolpe.it</t>
  </si>
  <si>
    <t>B&amp;B IL TEMPO RITROVATO</t>
  </si>
  <si>
    <t>via dei Filodrammatici 4</t>
  </si>
  <si>
    <t>marinagalosi48@gmail.com</t>
  </si>
  <si>
    <t>rua dei Vestini 2</t>
  </si>
  <si>
    <t>silirica@gmail.com</t>
  </si>
  <si>
    <t>PALAZZO DEI MERCANTI</t>
  </si>
  <si>
    <t>corso Trento e Trieste 35</t>
  </si>
  <si>
    <t>www.palazzodeimercanti.it</t>
  </si>
  <si>
    <t>info@palazzodeimercanti.it</t>
  </si>
  <si>
    <t>B&amp;B ARCO ANTICO di CIARALLI FLAVIO EMANUELE</t>
  </si>
  <si>
    <t>rua dell'Arco 5</t>
  </si>
  <si>
    <t>www.bebarcoantico.com</t>
  </si>
  <si>
    <t>bebarcoantico@gmail.com</t>
  </si>
  <si>
    <t>B&amp;B CENSORI MARIA VINCENZA</t>
  </si>
  <si>
    <t>viale M. Federici 87</t>
  </si>
  <si>
    <t>censorimariavincenza@alice.it</t>
  </si>
  <si>
    <t>STRACCI GIANLUCA</t>
  </si>
  <si>
    <t>via D'Ancaria 30</t>
  </si>
  <si>
    <t>cls.stracci@libero.it</t>
  </si>
  <si>
    <t>CARBONE DANIELA</t>
  </si>
  <si>
    <t>via Ancaria 30</t>
  </si>
  <si>
    <t>www.atticodancaria.it</t>
  </si>
  <si>
    <t>carboned@libero.it</t>
  </si>
  <si>
    <t>LUCA GIUSEPPE GENTILE</t>
  </si>
  <si>
    <t>corso Vittorio Emanuele 2</t>
  </si>
  <si>
    <t>lucagentile@email.it</t>
  </si>
  <si>
    <t>GUIDOTTI ANNALISA MARIA</t>
  </si>
  <si>
    <t>via Caduti della Resistenza  2</t>
  </si>
  <si>
    <t>clp56@libero.it</t>
  </si>
  <si>
    <t>B&amp;B VILLA MIMOSA</t>
  </si>
  <si>
    <t>via Napoli 3</t>
  </si>
  <si>
    <t>amatucci.silvano@gmail.com</t>
  </si>
  <si>
    <t>B&amp;B L'USIGNOLO</t>
  </si>
  <si>
    <t>via Loreto 244</t>
  </si>
  <si>
    <t>FRAZIONE VALLI</t>
  </si>
  <si>
    <t>marianna@usignolobb.it</t>
  </si>
  <si>
    <t>ALBERGO SANT'EMIDIO</t>
  </si>
  <si>
    <t>via Minucia 10</t>
  </si>
  <si>
    <t>www.albergosantemidio.it</t>
  </si>
  <si>
    <t>info@albergosantemidio.it</t>
  </si>
  <si>
    <t>B&amp;B SCALINATA LEOPARDI</t>
  </si>
  <si>
    <t>Scalinata Giacomo Leopardi  9</t>
  </si>
  <si>
    <t>ventura@alice.it</t>
  </si>
  <si>
    <t>DIETRO LA PIAZZA</t>
  </si>
  <si>
    <t>Rua del Macello 1</t>
  </si>
  <si>
    <t>nonmimettereansia@libero.it</t>
  </si>
  <si>
    <t>TEMPERA ANNA MARIA</t>
  </si>
  <si>
    <t>Frazione Cavignano 200</t>
  </si>
  <si>
    <t>CAVIGNANO</t>
  </si>
  <si>
    <t>annamariatempera@virgilio.it</t>
  </si>
  <si>
    <t>TRAVAGLIA MARIA ANTONIETTA</t>
  </si>
  <si>
    <t>Via Elisabetta Trebbiani 37</t>
  </si>
  <si>
    <t>COLLINA GIUSEPPE</t>
  </si>
  <si>
    <t>Via Delle Convertite 10</t>
  </si>
  <si>
    <t>florilandia@libero.it</t>
  </si>
  <si>
    <t>ANGELETTI ANTONELLA</t>
  </si>
  <si>
    <t>Via San Serafino da Montegranaro 53</t>
  </si>
  <si>
    <t>antonella.angeletti@libero.it</t>
  </si>
  <si>
    <t>B.B. SWEET HOME TRILLI</t>
  </si>
  <si>
    <t>Rua degli Albanesi 7</t>
  </si>
  <si>
    <t>sweethomeascolipiceno@gmail.com</t>
  </si>
  <si>
    <t>D'AURIA EMILIANO</t>
  </si>
  <si>
    <t>Corso di Sotto 44</t>
  </si>
  <si>
    <t>HOME SWEET HOME</t>
  </si>
  <si>
    <t>Via Luigi Mercantini 45</t>
  </si>
  <si>
    <t>Via Quinto Curzio Rufo 22</t>
  </si>
  <si>
    <t>ascoli.anticamaison@gmail.com</t>
  </si>
  <si>
    <t>MONTI ROBERTO</t>
  </si>
  <si>
    <t>Via Erasmo Mari 59/i</t>
  </si>
  <si>
    <t>FORMAGIU NINA</t>
  </si>
  <si>
    <t>Via Urbino 16</t>
  </si>
  <si>
    <t>LA TERRAZZA E LA LUNA</t>
  </si>
  <si>
    <t>Via Dino Angelini 129</t>
  </si>
  <si>
    <t>alessandracicchi@gmail.com</t>
  </si>
  <si>
    <t>B&amp;B CHARTARIA II</t>
  </si>
  <si>
    <t>Via Adriatico 4</t>
  </si>
  <si>
    <t>B&amp;B GIRASOLI</t>
  </si>
  <si>
    <t>FRAZIONE MOZZANO 65/D</t>
  </si>
  <si>
    <t>donatella_bollentini@hotmail.it</t>
  </si>
  <si>
    <t>B&amp;B RIVER</t>
  </si>
  <si>
    <t>Via della Bonifica 40</t>
  </si>
  <si>
    <t>MARINO DEL TRONTO - ASCOLI PICENO</t>
  </si>
  <si>
    <t>domenico.angelini@geopec.it</t>
  </si>
  <si>
    <t>PICENO SUITE</t>
  </si>
  <si>
    <t>Frazione Pescara 186</t>
  </si>
  <si>
    <t>OLIVIERI SAMANTHA</t>
  </si>
  <si>
    <t>Via Gorizia  8</t>
  </si>
  <si>
    <t>o.sam@libero.it</t>
  </si>
  <si>
    <t>ASCOLI ENJOY</t>
  </si>
  <si>
    <t>Via Capitolina 1</t>
  </si>
  <si>
    <t>m.laurantonelli78@gmail.com</t>
  </si>
  <si>
    <t>VAGNONI ALVARO</t>
  </si>
  <si>
    <t>Corso di Sotto 59</t>
  </si>
  <si>
    <t>IL BEDROOMS DI PORTA MAGGIORE</t>
  </si>
  <si>
    <t>Via Milano 2</t>
  </si>
  <si>
    <t>DIMORA NEL CENTRO STORICO</t>
  </si>
  <si>
    <t>Via G. Sacconi 51</t>
  </si>
  <si>
    <t>giorgioproietti88@gmail.com</t>
  </si>
  <si>
    <t>IL PANORAMA</t>
  </si>
  <si>
    <t>Via dei Biancospini  1</t>
  </si>
  <si>
    <t>agolor@live.it</t>
  </si>
  <si>
    <t>Via Dei Biancospini 3</t>
  </si>
  <si>
    <t>ANNARELLA</t>
  </si>
  <si>
    <t>Via Molino Vecchio 6</t>
  </si>
  <si>
    <t>CARASSAI</t>
  </si>
  <si>
    <t>agriturismoannarella@gmail.com</t>
  </si>
  <si>
    <t>LA ROSA E LA VIOLA</t>
  </si>
  <si>
    <t>Via montevarmine 28</t>
  </si>
  <si>
    <t>pieroniemanuela@gmail.com</t>
  </si>
  <si>
    <t>LAVANDA BLU AGRITURISMO</t>
  </si>
  <si>
    <t>contrada Casali 19</t>
  </si>
  <si>
    <t>www.lavandablu.com</t>
  </si>
  <si>
    <t>info@lavandablu.com</t>
  </si>
  <si>
    <t>B&amp;B DOLCE MIELE</t>
  </si>
  <si>
    <t>contrada menocchia crocefisso 105</t>
  </si>
  <si>
    <t>www.bedandbreakfastdolcemiele.it</t>
  </si>
  <si>
    <t>bbdolcemiele@hotmail.it</t>
  </si>
  <si>
    <t>LA CASA DEL VECCHIO MULINO</t>
  </si>
  <si>
    <t>contrada di la' di Menocchia 1</t>
  </si>
  <si>
    <t>www.casavecchiomulino.it</t>
  </si>
  <si>
    <t>info@casavecchiomulino.it</t>
  </si>
  <si>
    <t>APPARTAMENTI PER VACANZE BIZZARRI IVANA</t>
  </si>
  <si>
    <t>chiara.rasty@libero.it</t>
  </si>
  <si>
    <t>AGRITURISMO LA CICALA</t>
  </si>
  <si>
    <t>contrada Menocchia 22</t>
  </si>
  <si>
    <t>www.lacicalagriturismo.it</t>
  </si>
  <si>
    <t>info@lacicalagriturismo.it</t>
  </si>
  <si>
    <t>VIA MONTEVARMINE  42</t>
  </si>
  <si>
    <t>IL MONTICELLO</t>
  </si>
  <si>
    <t>contrada menocchia 8</t>
  </si>
  <si>
    <t>mauro.fioroni@postaraffaello.it</t>
  </si>
  <si>
    <t>RISTORANTE PENSIONE MARCHETTI</t>
  </si>
  <si>
    <t>via xx Settembre 153</t>
  </si>
  <si>
    <t>www.ristorantepensionemarchetti.it</t>
  </si>
  <si>
    <t>info@ristorantepensionemarchetti.it</t>
  </si>
  <si>
    <t>VECCHIA SALARIA</t>
  </si>
  <si>
    <t>via salaria 72</t>
  </si>
  <si>
    <t>CASTEL DI LAMA</t>
  </si>
  <si>
    <t>AMADIO MARY</t>
  </si>
  <si>
    <t>via salaria 92</t>
  </si>
  <si>
    <t>B&amp;B MARCONI MARISA</t>
  </si>
  <si>
    <t>info@marisamarconi.com</t>
  </si>
  <si>
    <t>B&amp;B PICENO</t>
  </si>
  <si>
    <t>via Collecchio 1</t>
  </si>
  <si>
    <t>info@bbpiceno.it</t>
  </si>
  <si>
    <t>B&amp;B SCARAMUCCI</t>
  </si>
  <si>
    <t>via Roma 119</t>
  </si>
  <si>
    <t>bandbscaramucci.com</t>
  </si>
  <si>
    <t>segreteriascaramucci@libero.it</t>
  </si>
  <si>
    <t>MAISON DIAMANTI</t>
  </si>
  <si>
    <t>Via Roma 134</t>
  </si>
  <si>
    <t>diamantimassimo@tin.it</t>
  </si>
  <si>
    <t>BORGO STORICO SEGHETTI PANICHI</t>
  </si>
  <si>
    <t>via San Pancrazio 1</t>
  </si>
  <si>
    <t>Castel di Lama</t>
  </si>
  <si>
    <t>www.seghettipanichi.it</t>
  </si>
  <si>
    <t>info@seghettipanichi.it</t>
  </si>
  <si>
    <t>B&amp;B PIANE DI ENEA</t>
  </si>
  <si>
    <t>C.da Piane 4</t>
  </si>
  <si>
    <t>CASTIGNANO</t>
  </si>
  <si>
    <t>Ripaberarda</t>
  </si>
  <si>
    <t>mariaelvira63@gmail.com</t>
  </si>
  <si>
    <t>AGRITURISMO ZUCCHERA</t>
  </si>
  <si>
    <t>C.da Sant'Angelo 74</t>
  </si>
  <si>
    <t>agrizucchera@gmail.com</t>
  </si>
  <si>
    <t>VIA GALVONI sn</t>
  </si>
  <si>
    <t>http://www.comune.castignano.ap.it</t>
  </si>
  <si>
    <t>AGRITURISMO CASA VECCHIA</t>
  </si>
  <si>
    <t>CONTRADA MOGLIE 3</t>
  </si>
  <si>
    <t>luigisiliquini@virgilio.it</t>
  </si>
  <si>
    <t>B&amp;B IL VICOLO di VALENTINI FRANCO</t>
  </si>
  <si>
    <t>Via Castello Nuovo 4</t>
  </si>
  <si>
    <t>B&amp;B CASA LAURA</t>
  </si>
  <si>
    <t>C.da Pachierno 10</t>
  </si>
  <si>
    <t>www.bedebreakfastcastignano.it</t>
  </si>
  <si>
    <t>simonetta.lucidi@libero.it</t>
  </si>
  <si>
    <t>B&amp;B SAN MARTINO</t>
  </si>
  <si>
    <t>C.da San Martino 1</t>
  </si>
  <si>
    <t>info@sanmartinobeb.it; sanmartinobb@gmail.com</t>
  </si>
  <si>
    <t>MONTE ANDREA</t>
  </si>
  <si>
    <t>C.da San Venanzo 2</t>
  </si>
  <si>
    <t>LA CASA DEGLI ULIVI</t>
  </si>
  <si>
    <t>c.da San Venanzio 86</t>
  </si>
  <si>
    <t>www.lacasadegliulivi.com</t>
  </si>
  <si>
    <t>lacasadegliulivi@libero.it</t>
  </si>
  <si>
    <t>B&amp;B PRINCIVALLI MARIA STELLA</t>
  </si>
  <si>
    <t>CONTRADA FILETTE 30</t>
  </si>
  <si>
    <t>COLLE RUFIANO</t>
  </si>
  <si>
    <t>C.da Rufiano 15</t>
  </si>
  <si>
    <t>web.tiscali.it/collerufiano/</t>
  </si>
  <si>
    <t>nicolapasqualini@inwind.it</t>
  </si>
  <si>
    <t>FIORENIRE</t>
  </si>
  <si>
    <t>C.da Filette 9</t>
  </si>
  <si>
    <t>Castignano</t>
  </si>
  <si>
    <t>www.fiorenire.it</t>
  </si>
  <si>
    <t>fiorenire@fiorenire.it</t>
  </si>
  <si>
    <t>TETA</t>
  </si>
  <si>
    <t>Via Borgo Garibaldi 122</t>
  </si>
  <si>
    <t>www.hotelteta.it</t>
  </si>
  <si>
    <t>hrteta@libero.it</t>
  </si>
  <si>
    <t>HOTEL TERENZIO</t>
  </si>
  <si>
    <t>C.da San Martino 24</t>
  </si>
  <si>
    <t>corradettigiampiero@tiscali.it</t>
  </si>
  <si>
    <t>IL FOCOLARE</t>
  </si>
  <si>
    <t>contrada san silvestro 1</t>
  </si>
  <si>
    <t>CASTORANO</t>
  </si>
  <si>
    <t>marti.dga@libero.it</t>
  </si>
  <si>
    <t>B&amp;B PERONI ALESSANDRA</t>
  </si>
  <si>
    <t>contrada palazzi 15</t>
  </si>
  <si>
    <t>B&amp;B VILLA MAGNOLIA</t>
  </si>
  <si>
    <t>contrada palazzi 41</t>
  </si>
  <si>
    <t>AGRITURISMO CASTRUM DI MAOLONI GIUSEPPINA</t>
  </si>
  <si>
    <t>contrada Gaico 3</t>
  </si>
  <si>
    <t>www.agriturismocastrum.it</t>
  </si>
  <si>
    <t>info@agriturismocastrum.it</t>
  </si>
  <si>
    <t>IL CRINALE</t>
  </si>
  <si>
    <t>ferretti 28</t>
  </si>
  <si>
    <t>castorano</t>
  </si>
  <si>
    <t>www.ilcrinale.it</t>
  </si>
  <si>
    <t>info@ilcrinale.it</t>
  </si>
  <si>
    <t>FERRI ENRICO</t>
  </si>
  <si>
    <t>contrada Padulo 5</t>
  </si>
  <si>
    <t>aziendaagricolaferri@alice.it</t>
  </si>
  <si>
    <t>B&amp;B TERRAMARE</t>
  </si>
  <si>
    <t>c.da Pescolla 7</t>
  </si>
  <si>
    <t>loc. Pescolla</t>
  </si>
  <si>
    <t>www.picenoterramare.it</t>
  </si>
  <si>
    <t>info@picenoterramare.it</t>
  </si>
  <si>
    <t>B&amp;B PEOPLE</t>
  </si>
  <si>
    <t>Via Pescolla 27</t>
  </si>
  <si>
    <t>www.bed-and-breakfast.it</t>
  </si>
  <si>
    <t>rossana_1977@libero.it</t>
  </si>
  <si>
    <t>B&amp;B VILLA DEI VIGNALI</t>
  </si>
  <si>
    <t>via cavour 9</t>
  </si>
  <si>
    <t>COLLI DEL TRONTO</t>
  </si>
  <si>
    <t>www.villadeivignali.too.it</t>
  </si>
  <si>
    <t>legaltrading@gmail.com</t>
  </si>
  <si>
    <t>HOTEL CASALE</t>
  </si>
  <si>
    <t>contrada casale superiore 146</t>
  </si>
  <si>
    <t>www.hotelcasale.it</t>
  </si>
  <si>
    <t>info@hotelcasale.it</t>
  </si>
  <si>
    <t>HOTEL VILLA PICENA</t>
  </si>
  <si>
    <t>via salaria 66</t>
  </si>
  <si>
    <t>www.villapicena.it</t>
  </si>
  <si>
    <t>info@villapicena.it</t>
  </si>
  <si>
    <t>B&amp;B MELLON</t>
  </si>
  <si>
    <t>Via Salaria Inferiore SNC</t>
  </si>
  <si>
    <t>VILLA SAN GIUSEPPE</t>
  </si>
  <si>
    <t>www.bebmellon.com</t>
  </si>
  <si>
    <t>bebmellon@gmail.com</t>
  </si>
  <si>
    <t>AGRITURISMO ALLA SOLAGNA</t>
  </si>
  <si>
    <t>contrada La Rocca 29</t>
  </si>
  <si>
    <t>Colli del Tronto</t>
  </si>
  <si>
    <t>www.allasolagna.it</t>
  </si>
  <si>
    <t>info-agriturismo@allasolagna.it</t>
  </si>
  <si>
    <t>AGRITURISMO IL GELSO ROSSO</t>
  </si>
  <si>
    <t>c.da Cucciole snc</t>
  </si>
  <si>
    <t>COMUNANZA</t>
  </si>
  <si>
    <t>scilla23@tiscali.it</t>
  </si>
  <si>
    <t>CASA ROME'</t>
  </si>
  <si>
    <t>fraz. Vindola</t>
  </si>
  <si>
    <t>IL BORGO DEL VENTO</t>
  </si>
  <si>
    <t>VILLA MONTEGENCO</t>
  </si>
  <si>
    <t>VIA MONTEGENCO 1</t>
  </si>
  <si>
    <t>villamontegenco@gmail.com</t>
  </si>
  <si>
    <t>DA ROVERINO</t>
  </si>
  <si>
    <t>viale Ascoli 10</t>
  </si>
  <si>
    <t>www.ristoranteroverino.it</t>
  </si>
  <si>
    <t>info@ristoranteroverino.it</t>
  </si>
  <si>
    <t>DA ROVERINO DIPENDENZA</t>
  </si>
  <si>
    <t>viale ascoli 9</t>
  </si>
  <si>
    <t>LA DIGA S.N.C. (LUCIANI GIORGIO)</t>
  </si>
  <si>
    <t>contrada croce di casale 50</t>
  </si>
  <si>
    <t>TASSI di Lorella De Luca</t>
  </si>
  <si>
    <t>piazza Garibaldi 7</t>
  </si>
  <si>
    <t>affittacameretassi@libero.it</t>
  </si>
  <si>
    <t>AGRITURISMO LE SELVE</t>
  </si>
  <si>
    <t>contrada Piane Vecchie 1</t>
  </si>
  <si>
    <t>www.leselve.net</t>
  </si>
  <si>
    <t>info@leselve.net</t>
  </si>
  <si>
    <t>PALAZZO PASCALI ART HOTEL</t>
  </si>
  <si>
    <t>piazza santa caterina 1</t>
  </si>
  <si>
    <t>www.palazzopascali.com</t>
  </si>
  <si>
    <t>info@palazzopascali.com</t>
  </si>
  <si>
    <t>PIANTABETE</t>
  </si>
  <si>
    <t>localita' Osteria Nuova 1</t>
  </si>
  <si>
    <t>www.piantabete.it</t>
  </si>
  <si>
    <t>info@piantabete.it</t>
  </si>
  <si>
    <t>PALAZZO GALANTI</t>
  </si>
  <si>
    <t>largo a. n. bernabei 1</t>
  </si>
  <si>
    <t>COSSIGNANO</t>
  </si>
  <si>
    <t>www.palazzogalanti.it</t>
  </si>
  <si>
    <t>info@palazzogalanti.it</t>
  </si>
  <si>
    <t>B&amp;B AMADIO ROSA</t>
  </si>
  <si>
    <t>contrada Crocifisso 2</t>
  </si>
  <si>
    <t>infocollesavoia@gmail.com</t>
  </si>
  <si>
    <t>CHIARODILUNA</t>
  </si>
  <si>
    <t>strada san Fiorano 26</t>
  </si>
  <si>
    <t>fiorano</t>
  </si>
  <si>
    <t>info@chiarodiluna.info</t>
  </si>
  <si>
    <t>SAN MICHELE</t>
  </si>
  <si>
    <t>contrada san michele 5</t>
  </si>
  <si>
    <t>www.agriturismosanmichele.info</t>
  </si>
  <si>
    <t>agriturismomichele@libero.it</t>
  </si>
  <si>
    <t>AGRITURISMO LANCIOTTI</t>
  </si>
  <si>
    <t>c.da Corneto 16</t>
  </si>
  <si>
    <t>orianalanciotti@alice.it</t>
  </si>
  <si>
    <t>B&amp;B CASTELLO DE MARTE</t>
  </si>
  <si>
    <t>piazza Umberto I 9</t>
  </si>
  <si>
    <t>castellodemarte.com</t>
  </si>
  <si>
    <t>castellodemarte@gmail.com</t>
  </si>
  <si>
    <t>CONTRADA GALLO snc</t>
  </si>
  <si>
    <t>PROSSIMITA' IMPIANTI SPORTIVI</t>
  </si>
  <si>
    <t>comune.cossignano.ap.it</t>
  </si>
  <si>
    <t>pmcossignano@libero.it</t>
  </si>
  <si>
    <t>Contrada Tesino 11</t>
  </si>
  <si>
    <t>r.talamonti@alice.it</t>
  </si>
  <si>
    <t>B&amp;B PALAZZO FASSITELLI</t>
  </si>
  <si>
    <t>piazza umberto I 5</t>
  </si>
  <si>
    <t>www.palazzofassitelli.com</t>
  </si>
  <si>
    <t>info@palazzofassitelli.com</t>
  </si>
  <si>
    <t>COLLE SAVOIA</t>
  </si>
  <si>
    <t>contrada crocifisso 2</t>
  </si>
  <si>
    <t>ALBERGO RISTORANTE ELVIRA</t>
  </si>
  <si>
    <t>via Borgo San Paolo 41</t>
  </si>
  <si>
    <t>giovannix@libero.it</t>
  </si>
  <si>
    <t>B&amp;B LA CASA SUL FIUME</t>
  </si>
  <si>
    <t>contrada tesino 29</t>
  </si>
  <si>
    <t>www.unmarediaccoglienza.com</t>
  </si>
  <si>
    <t>paola.nardinocchi@libero.it</t>
  </si>
  <si>
    <t>AGRITURISMO FIORANO</t>
  </si>
  <si>
    <t>CONTRADA FIORANO 19</t>
  </si>
  <si>
    <t>www.agrifiorano.it</t>
  </si>
  <si>
    <t>info@agrifiorano.it</t>
  </si>
  <si>
    <t>D'ANGELO GINO</t>
  </si>
  <si>
    <t>CONTRADA FIORANO 22</t>
  </si>
  <si>
    <t>andcsg@libero.it</t>
  </si>
  <si>
    <t>ANTICA SELVA</t>
  </si>
  <si>
    <t>CONTRADA SELVE  4</t>
  </si>
  <si>
    <t>chiara@mycountrynest.org</t>
  </si>
  <si>
    <t>B&amp;B CASA PANSONI</t>
  </si>
  <si>
    <t>LARGO D'ENRICO  2</t>
  </si>
  <si>
    <t>luca.pecoraro@ptfpa.it</t>
  </si>
  <si>
    <t>DELLE GRAZIE</t>
  </si>
  <si>
    <t>Contrada Grazie 22</t>
  </si>
  <si>
    <t>residenzadellegrazie@libero.it</t>
  </si>
  <si>
    <t>CONTRADA GALLO 16</t>
  </si>
  <si>
    <t>contrada Gallo</t>
  </si>
  <si>
    <t>www.bblacasaincampagna.it</t>
  </si>
  <si>
    <t>info@bblacasaincampagna.it</t>
  </si>
  <si>
    <t>FORTUNA VERDE</t>
  </si>
  <si>
    <t>C.da Fiorano 20</t>
  </si>
  <si>
    <t>Cossignano</t>
  </si>
  <si>
    <t>www.fortunaverde.com</t>
  </si>
  <si>
    <t>info@fortunaverde.com</t>
  </si>
  <si>
    <t>PENSIONE RISTORANTE CASTELLO</t>
  </si>
  <si>
    <t>via Castello 67</t>
  </si>
  <si>
    <t>CUPRA MARITTIMA</t>
  </si>
  <si>
    <t>castello.hotelristorante@gmail.com</t>
  </si>
  <si>
    <t>CASA ALEXIS B&amp;B AND WEDDING LOCATION</t>
  </si>
  <si>
    <t>Via San Giacomo della Marca,11 11</t>
  </si>
  <si>
    <t>www.casalexis.it</t>
  </si>
  <si>
    <t>info@casalexis.it</t>
  </si>
  <si>
    <t>HOTEL LA PERLA</t>
  </si>
  <si>
    <t>viale Nazario Sauro 68</t>
  </si>
  <si>
    <t>info@hotellaperlacupra.it</t>
  </si>
  <si>
    <t>BORGO MARANO</t>
  </si>
  <si>
    <t>Via Castello 35</t>
  </si>
  <si>
    <t>www.borgomarano.it</t>
  </si>
  <si>
    <t>info@borgomarano.it</t>
  </si>
  <si>
    <t>RESORT CUPRA</t>
  </si>
  <si>
    <t>Via Alcide de Gasperi 14</t>
  </si>
  <si>
    <t>info@disabatino.it</t>
  </si>
  <si>
    <t>AFFITTACAMERE CIVICO 28</t>
  </si>
  <si>
    <t>Via Minniti 28</t>
  </si>
  <si>
    <t>cupracivico28@gmail.com</t>
  </si>
  <si>
    <t>VILLA BOCCABIANCA</t>
  </si>
  <si>
    <t>Contrada Bocca Bianca 29</t>
  </si>
  <si>
    <t>CUPRAMARITTIMA</t>
  </si>
  <si>
    <t>www.villaboccabianca.it</t>
  </si>
  <si>
    <t>info@villaboccabianca.it</t>
  </si>
  <si>
    <t>DE ANGELIS NATALINA</t>
  </si>
  <si>
    <t>Via Adriatica 13</t>
  </si>
  <si>
    <t>ANITA</t>
  </si>
  <si>
    <t>via romita 6 6</t>
  </si>
  <si>
    <t>Torsten Bergmark isola pedonale nord snc</t>
  </si>
  <si>
    <t>portobello</t>
  </si>
  <si>
    <t>seavacanze@gmail.com</t>
  </si>
  <si>
    <t>OASI DI CUPRA</t>
  </si>
  <si>
    <t>via romita 70 70</t>
  </si>
  <si>
    <t>via Nazario Sauro 7 7</t>
  </si>
  <si>
    <t>stefano.abbadini@libero.it</t>
  </si>
  <si>
    <t>via Cesare Battisti 7a,7b</t>
  </si>
  <si>
    <t>www.stellamarinavacanze.it</t>
  </si>
  <si>
    <t>info@stellamarinavacanze.it</t>
  </si>
  <si>
    <t>B&amp;B BELLEGGIA</t>
  </si>
  <si>
    <t>contrada san michele 47</t>
  </si>
  <si>
    <t>www.bebdegliangeli.it</t>
  </si>
  <si>
    <t>studiopatriziocapriotti@tin.it</t>
  </si>
  <si>
    <t>AGRITURISMO CASA DEL SOLE</t>
  </si>
  <si>
    <t>Contrada Sant' Andrea 85</t>
  </si>
  <si>
    <t>www.casadelsoleap.it</t>
  </si>
  <si>
    <t>PENSIONE RESIDENCE PATRIZIA</t>
  </si>
  <si>
    <t>via Minniti 10</t>
  </si>
  <si>
    <t>www.residencepatrizia.it</t>
  </si>
  <si>
    <t>info@residencepatrizia.it</t>
  </si>
  <si>
    <t>LA PERLA - Conc. n. 12</t>
  </si>
  <si>
    <t>Viale Nazario Sauro 11-13 11-13</t>
  </si>
  <si>
    <t>info@hotelaperla.net</t>
  </si>
  <si>
    <t>www.hotelaperla.net</t>
  </si>
  <si>
    <t>GIOSUE' ALDO  CONC. N. 15B</t>
  </si>
  <si>
    <t>viale nazario sauro 1 1</t>
  </si>
  <si>
    <t>postamarco93@gmail.com</t>
  </si>
  <si>
    <t>GIOSUE' ALDO CONC. N. 17</t>
  </si>
  <si>
    <t>viale nazario sauro 2 2</t>
  </si>
  <si>
    <t>SIRENELLA</t>
  </si>
  <si>
    <t>viale nazario sauro 11 11</t>
  </si>
  <si>
    <t>FLAMMINI STEFANO N.2</t>
  </si>
  <si>
    <t>viale nazario sauro 14 14</t>
  </si>
  <si>
    <t>FLAMMINI STEFANO 1</t>
  </si>
  <si>
    <t>GIOSUE' DORIANA CONC. N. 19</t>
  </si>
  <si>
    <t>CRISTAL  BEACH</t>
  </si>
  <si>
    <t>viale giuseppe romita 26 26</t>
  </si>
  <si>
    <t>info@cristalhotel.it</t>
  </si>
  <si>
    <t>LA PERLA - Conc. n. 13</t>
  </si>
  <si>
    <t>Viale Nazario Sauro 1 1</t>
  </si>
  <si>
    <t>BAGNI HOTEL EUROPA DI SPLENDIANI G.</t>
  </si>
  <si>
    <t>viale giuseppe romita 1 1</t>
  </si>
  <si>
    <t>hoteleuropacupra@virgilio.it</t>
  </si>
  <si>
    <t>PAPA ORSO</t>
  </si>
  <si>
    <t>marcomariam@teletu.it</t>
  </si>
  <si>
    <t>MARINAI</t>
  </si>
  <si>
    <t>aria7676@hotmail.it</t>
  </si>
  <si>
    <t>LA RIVA</t>
  </si>
  <si>
    <t>ricci_matteo2@virgilio.it</t>
  </si>
  <si>
    <t>BAGNI RESIDENCE PATRIZIA</t>
  </si>
  <si>
    <t>GABRY</t>
  </si>
  <si>
    <t>Via Adriatica Sud  6/A</t>
  </si>
  <si>
    <t>info@terrazzasulmare.it</t>
  </si>
  <si>
    <t>LA CUNA</t>
  </si>
  <si>
    <t>SOLE E MARE</t>
  </si>
  <si>
    <t>viale nazario sauro 7 7</t>
  </si>
  <si>
    <t>MARE MARANO</t>
  </si>
  <si>
    <t>maranhotel@ibero.it</t>
  </si>
  <si>
    <t>www.cupramarittima.com/marano</t>
  </si>
  <si>
    <t>LED ZEPPELIN</t>
  </si>
  <si>
    <t>c.da Boccabianca 5</t>
  </si>
  <si>
    <t>www.campingledzeppelin.it</t>
  </si>
  <si>
    <t>info@campingledzeppelin.it</t>
  </si>
  <si>
    <t>via Gramsci 8</t>
  </si>
  <si>
    <t>www.hoteleuropaweb.it</t>
  </si>
  <si>
    <t>direzione@hoteleuropaweb.it</t>
  </si>
  <si>
    <t>via Adriatica Nord 127</t>
  </si>
  <si>
    <t>www.hotelanita.it</t>
  </si>
  <si>
    <t>info@hotelanita.it</t>
  </si>
  <si>
    <t>viale giuseppe romita 70</t>
  </si>
  <si>
    <t>CRISTAL srl</t>
  </si>
  <si>
    <t>viale giuseppe romita 26</t>
  </si>
  <si>
    <t>www.cristalhotel.it</t>
  </si>
  <si>
    <t>IDEAL</t>
  </si>
  <si>
    <t>viale Nazario Sauro 50</t>
  </si>
  <si>
    <t>www.hotelideal-cupra.it</t>
  </si>
  <si>
    <t>info@hotelideal-cupra.it</t>
  </si>
  <si>
    <t>MARANO</t>
  </si>
  <si>
    <t>via adriatica nord 84</t>
  </si>
  <si>
    <t>maranhotel@libero.it</t>
  </si>
  <si>
    <t>www.campingilfrutteto.it</t>
  </si>
  <si>
    <t>info@campingilfrutteto.it</t>
  </si>
  <si>
    <t>PRIMO SOLE</t>
  </si>
  <si>
    <t>contrada San Michele 10</t>
  </si>
  <si>
    <t>cupramarittima.com/primosole/</t>
  </si>
  <si>
    <t>primosole@siscom.it</t>
  </si>
  <si>
    <t>OASI DEGLI ANGELI</t>
  </si>
  <si>
    <t>contrada sant' egidio 50</t>
  </si>
  <si>
    <t>MARCHETTI TOMMASO</t>
  </si>
  <si>
    <t>Cupra Marittima</t>
  </si>
  <si>
    <t>http://users.skynet.be/fa242092/farmhouse/farmHouseIt.html</t>
  </si>
  <si>
    <t>ettoretommasomarchetti@gmail.com</t>
  </si>
  <si>
    <t>LA CASTELLETTA</t>
  </si>
  <si>
    <t>contrada sant' andrea 17</t>
  </si>
  <si>
    <t>www.agriturismolacastelletta.com</t>
  </si>
  <si>
    <t>info@agriturismolacastelletta.com</t>
  </si>
  <si>
    <t>CALYPSO</t>
  </si>
  <si>
    <t>contrada boccabianca 7</t>
  </si>
  <si>
    <t>www.campingcalypso.it</t>
  </si>
  <si>
    <t>info@campingcalypso.it</t>
  </si>
  <si>
    <t>LED ZEPPELIN (BIS)</t>
  </si>
  <si>
    <t>contrada Boccabianca 99</t>
  </si>
  <si>
    <t>VILLAGGIO VERDE CUPRA</t>
  </si>
  <si>
    <t>via Lazio 2</t>
  </si>
  <si>
    <t>www.villaggioverdecupra.it</t>
  </si>
  <si>
    <t>info@verdecupra.it</t>
  </si>
  <si>
    <t>CASE APPARTAMENTI VAGNONI (FORTUNA ALESSANDRA)</t>
  </si>
  <si>
    <t>viale Stazione 3</t>
  </si>
  <si>
    <t>www.appartamentivagnoni.it</t>
  </si>
  <si>
    <t>info@appartamentivagnoni.it</t>
  </si>
  <si>
    <t>TERRAZZO SUL MARE</t>
  </si>
  <si>
    <t>via adriatica nord 109</t>
  </si>
  <si>
    <t>WWW.CAMPINGTERRAZZOSULMARE.IT</t>
  </si>
  <si>
    <t>info@campingterrazzosulmare.it</t>
  </si>
  <si>
    <t>B&amp;B LA SELVA FESTEGGIANTE</t>
  </si>
  <si>
    <t>via S. Vincenzo 57</t>
  </si>
  <si>
    <t>chiappini.loredana@fastwebnet.it</t>
  </si>
  <si>
    <t>HOTEL CAPITAL</t>
  </si>
  <si>
    <t>viale Nazario Sauro 18</t>
  </si>
  <si>
    <t>www.capitalhotel.net</t>
  </si>
  <si>
    <t>info@capitalhotel.net</t>
  </si>
  <si>
    <t>DEA CUPRA</t>
  </si>
  <si>
    <t>via Adriatica Sud 44</t>
  </si>
  <si>
    <t>www.deacupra.com</t>
  </si>
  <si>
    <t>info@deacupra.com</t>
  </si>
  <si>
    <t>B&amp;B VERDEROSA</t>
  </si>
  <si>
    <t>via San Gregorio Magno 46</t>
  </si>
  <si>
    <t>bbverderosa@gmail.com</t>
  </si>
  <si>
    <t>DA ALDO N 8</t>
  </si>
  <si>
    <t>www.daaldo.net</t>
  </si>
  <si>
    <t>RESIDENZA MARANO</t>
  </si>
  <si>
    <t>via Nico Ceccarelli 2</t>
  </si>
  <si>
    <t>info@residenzamarano.it</t>
  </si>
  <si>
    <t>via Sabotino 15</t>
  </si>
  <si>
    <t>www.mariaimmacolataresort.it</t>
  </si>
  <si>
    <t>casa-mariaimmacolata@libero.it</t>
  </si>
  <si>
    <t>BAIA MARINA</t>
  </si>
  <si>
    <t>Via Nazario Sauro 15 15</t>
  </si>
  <si>
    <t>hotelbaiamarina@gmail.com</t>
  </si>
  <si>
    <t>www.baiamarinahotel.it</t>
  </si>
  <si>
    <t>BA BEACH</t>
  </si>
  <si>
    <t>Lungomare Romita snc snc</t>
  </si>
  <si>
    <t>info@conquistacostruzioni.it</t>
  </si>
  <si>
    <t>HOTEL BAIA MARINA</t>
  </si>
  <si>
    <t>via Nazario Sauro 52</t>
  </si>
  <si>
    <t>CAMPING OASI</t>
  </si>
  <si>
    <t>viale Giuseppe Romita 1</t>
  </si>
  <si>
    <t>B&amp;B LA DOGARESSA</t>
  </si>
  <si>
    <t>via colle dei pini 8</t>
  </si>
  <si>
    <t>GIOUSE' ALDO CONC. N. 20</t>
  </si>
  <si>
    <t>viale nazario sauro 3 3</t>
  </si>
  <si>
    <t>CHALET PINE</t>
  </si>
  <si>
    <t>strada statale adriatica sud 1 1</t>
  </si>
  <si>
    <t>I DELFINI</t>
  </si>
  <si>
    <t>via Kennedy 32</t>
  </si>
  <si>
    <t>www.residencecupra.it</t>
  </si>
  <si>
    <t>info@residencecupra.it</t>
  </si>
  <si>
    <t>ATTIVITA' RICETTIVA RURALE UNA</t>
  </si>
  <si>
    <t>contrada Sant' Andrea 66</t>
  </si>
  <si>
    <t>www.countryhouseuna.com</t>
  </si>
  <si>
    <t>info@countryhouseuna.com</t>
  </si>
  <si>
    <t>IL BORGHETTO BEACH</t>
  </si>
  <si>
    <t>ALTA MAREA</t>
  </si>
  <si>
    <t>via Torsten Bergmark  1</t>
  </si>
  <si>
    <t>maxsportime@libero.it</t>
  </si>
  <si>
    <t>www.chaletaltamarea.com</t>
  </si>
  <si>
    <t>HOTEL VILLA PIGNA</t>
  </si>
  <si>
    <t>viale Assisi 33</t>
  </si>
  <si>
    <t>FOLIGNANO</t>
  </si>
  <si>
    <t>www.hotelvillapigna.it</t>
  </si>
  <si>
    <t>reception@hotelvillapigna.it</t>
  </si>
  <si>
    <t>PARCO DEI TIGLI</t>
  </si>
  <si>
    <t>Via Piane di Morro 68</t>
  </si>
  <si>
    <t>www.parcodeitigli.it</t>
  </si>
  <si>
    <t>info@parcodeitigli.it</t>
  </si>
  <si>
    <t>VIA MAZZINI 30</t>
  </si>
  <si>
    <t>PIANE DI MORRO</t>
  </si>
  <si>
    <t>pikkio94@libero.it</t>
  </si>
  <si>
    <t>B&amp;B DA GIULIANA</t>
  </si>
  <si>
    <t>Piazza Costantino Rozzi 3</t>
  </si>
  <si>
    <t>AGRITURISMO RAMUSE di CICCIOLI PAOLO</t>
  </si>
  <si>
    <t>LOCALITA' CASETTE 3</t>
  </si>
  <si>
    <t>FORCE</t>
  </si>
  <si>
    <t>CASETTE</t>
  </si>
  <si>
    <t>www.ramuse.it</t>
  </si>
  <si>
    <t>paolociccioli@ramuse.it</t>
  </si>
  <si>
    <t>LA VECCHIA POSTA</t>
  </si>
  <si>
    <t>piazza Guglielmo Marconi 10</t>
  </si>
  <si>
    <t>www.albergolavecchiaposta.it</t>
  </si>
  <si>
    <t>info@albergolavecchiaposta.it</t>
  </si>
  <si>
    <t>B&amp;B GUSTISSIMO</t>
  </si>
  <si>
    <t>loc. Fontedonne 5</t>
  </si>
  <si>
    <t>FONTEDONNE</t>
  </si>
  <si>
    <t>www.gustissimo.com</t>
  </si>
  <si>
    <t>info@gustissimo.com</t>
  </si>
  <si>
    <t>B&amp;B THE RETREAT</t>
  </si>
  <si>
    <t>via San Taddeo 12</t>
  </si>
  <si>
    <t>www.lemarcheretreat.com</t>
  </si>
  <si>
    <t>info@lemarcheretreat.com</t>
  </si>
  <si>
    <t>IL SETTECENTO di Servili Francesco</t>
  </si>
  <si>
    <t>via Collericcardo 18</t>
  </si>
  <si>
    <t>San Giovanni</t>
  </si>
  <si>
    <t>www.ilsettecento.it</t>
  </si>
  <si>
    <t>info@ilsettecento.it</t>
  </si>
  <si>
    <t>segreteria@comune.force.ap.it</t>
  </si>
  <si>
    <t>B&amp;B LA CASA DI TINA</t>
  </si>
  <si>
    <t>via Marche 2</t>
  </si>
  <si>
    <t>GROTTAMMARE</t>
  </si>
  <si>
    <t>lacasaditina@libero.it</t>
  </si>
  <si>
    <t>MAMA LULU' VILLAGE</t>
  </si>
  <si>
    <t>viale Alcide de Gasperi 42 42</t>
  </si>
  <si>
    <t>B&amp;B LO SQUALO</t>
  </si>
  <si>
    <t>via Marconi 75</t>
  </si>
  <si>
    <t>info@hotellosqualo.it</t>
  </si>
  <si>
    <t>B&amp;B TRE FINESTRE SUL MARE - CASABAGNARA</t>
  </si>
  <si>
    <t>via Santa Lucia 10</t>
  </si>
  <si>
    <t>www.casabagnara.it</t>
  </si>
  <si>
    <t>caterina@casabagnara.it</t>
  </si>
  <si>
    <t>B&amp;B SOTTO GLI ULIVI</t>
  </si>
  <si>
    <t>via degli Olivi 3</t>
  </si>
  <si>
    <t>giuseppe.paccasassi@virgilio.it</t>
  </si>
  <si>
    <t>AZZURRAMARE BED &amp; BREAKFAST</t>
  </si>
  <si>
    <t>via Tirreno 13</t>
  </si>
  <si>
    <t>info@azzurramare.it</t>
  </si>
  <si>
    <t>LE NEREIDI APPARTAMENTI</t>
  </si>
  <si>
    <t>via Mediterraneo  10</t>
  </si>
  <si>
    <t>http://www.appartamenti-grottammare.it/it</t>
  </si>
  <si>
    <t>DIMORA DI MARE</t>
  </si>
  <si>
    <t>via Parini 9</t>
  </si>
  <si>
    <t>www.dimoradimare.com</t>
  </si>
  <si>
    <t>info@dimoradimare.com</t>
  </si>
  <si>
    <t>VILLA LUCREZIA</t>
  </si>
  <si>
    <t>via Monti 1</t>
  </si>
  <si>
    <t>pamegg.consultants@yahoo.com</t>
  </si>
  <si>
    <t>B&amp;B RIBECA'S</t>
  </si>
  <si>
    <t>viale Garibaldi 14</t>
  </si>
  <si>
    <t>massi.todisco@gmail.com</t>
  </si>
  <si>
    <t>VILLA ARIETE</t>
  </si>
  <si>
    <t>c.da Granaro  3</t>
  </si>
  <si>
    <t>nadia.antoniani@yahoo.it</t>
  </si>
  <si>
    <t>EUROTEL</t>
  </si>
  <si>
    <t>Lungomare Alcide de Gasperi 26</t>
  </si>
  <si>
    <t>www.eurhotel.it</t>
  </si>
  <si>
    <t>info@eurhotel.it</t>
  </si>
  <si>
    <t>B&amp;B LOLU</t>
  </si>
  <si>
    <t>via Ballestra 69</t>
  </si>
  <si>
    <t>acasadilolu@gmail.com</t>
  </si>
  <si>
    <t>B&amp;B A CASA DI..</t>
  </si>
  <si>
    <t>B&amp;B LE PALME</t>
  </si>
  <si>
    <t>via San Martino 43/3</t>
  </si>
  <si>
    <t>verzilli@hotmail.com</t>
  </si>
  <si>
    <t>B&amp;B 43</t>
  </si>
  <si>
    <t>via XX settembre 105</t>
  </si>
  <si>
    <t>www.bb43.it</t>
  </si>
  <si>
    <t>info@bb43.it</t>
  </si>
  <si>
    <t>B&amp;B ACQUA MARINA</t>
  </si>
  <si>
    <t>via Frana 32</t>
  </si>
  <si>
    <t>iobbidomenico@libero.it</t>
  </si>
  <si>
    <t>B&amp;B VALLE DELL'EDEN</t>
  </si>
  <si>
    <t>via F.lli Rosselli 55</t>
  </si>
  <si>
    <t>www.valledelleden.com</t>
  </si>
  <si>
    <t>info@valledelleden.com</t>
  </si>
  <si>
    <t>B&amp;B CASA ADELE</t>
  </si>
  <si>
    <t>via Copernico N.17 63066 Grottammare (AP) 17</t>
  </si>
  <si>
    <t>vicino uscita GROTTAMMARE autostrada A14</t>
  </si>
  <si>
    <t>http://bbcasaadele.altervista.org</t>
  </si>
  <si>
    <t>gcacciurri@yahoo.it</t>
  </si>
  <si>
    <t>ISTITUTO VIRGO LAURETANA</t>
  </si>
  <si>
    <t>via G. Parini 69/73</t>
  </si>
  <si>
    <t>www.virgolauretana.it</t>
  </si>
  <si>
    <t>info@virgolauretana.it</t>
  </si>
  <si>
    <t>B&amp;B STRAMENGA VINCENZO</t>
  </si>
  <si>
    <t>via frana 33a</t>
  </si>
  <si>
    <t>www.activebroker.agenzie.casa.it</t>
  </si>
  <si>
    <t>stramengaenzo@email.it</t>
  </si>
  <si>
    <t>B&amp;B GUARNERI IVANA</t>
  </si>
  <si>
    <t>www.activebroker.agenzie.cas.it</t>
  </si>
  <si>
    <t>ivanaguarneri@email.it</t>
  </si>
  <si>
    <t>RESIDENCE MAREAMARE</t>
  </si>
  <si>
    <t>viale lungomare Repubblica 14</t>
  </si>
  <si>
    <t>www.mareamareresidence.it</t>
  </si>
  <si>
    <t>info@mareamareresidence.it</t>
  </si>
  <si>
    <t>B&amp;B CANTINE CAMELI</t>
  </si>
  <si>
    <t>strada provinciale valtesino 350</t>
  </si>
  <si>
    <t>www.bebcantinecameli.it</t>
  </si>
  <si>
    <t>info@bebcantinecameli.it</t>
  </si>
  <si>
    <t>RESIDENCE COSTA SMERALDA</t>
  </si>
  <si>
    <t>Via Malta 16</t>
  </si>
  <si>
    <t>www.costasmeraldaresidence.it</t>
  </si>
  <si>
    <t>info@costasmeraldaresidence.it</t>
  </si>
  <si>
    <t>LA TORRETTA SUL BORGO</t>
  </si>
  <si>
    <t>via c. peretti 2</t>
  </si>
  <si>
    <t>www.latorrettasulborgo.it</t>
  </si>
  <si>
    <t>info@latorrettasulborgo.it</t>
  </si>
  <si>
    <t>BRICIOLA DI SOLE</t>
  </si>
  <si>
    <t>contrada granaro 19</t>
  </si>
  <si>
    <t>www.bricioladisole.it</t>
  </si>
  <si>
    <t>info@bricioladisole.it</t>
  </si>
  <si>
    <t>CASA DEL MARE</t>
  </si>
  <si>
    <t>via Cantiere 7</t>
  </si>
  <si>
    <t>vicolopineta@gmail.com</t>
  </si>
  <si>
    <t>CASA PREZIOSA</t>
  </si>
  <si>
    <t>via natale capriotti 39</t>
  </si>
  <si>
    <t>www.casapreziosa.it</t>
  </si>
  <si>
    <t>info@casapreziosa.it</t>
  </si>
  <si>
    <t>B&amp;B A CASA DI PAOLO</t>
  </si>
  <si>
    <t>contrada san francesco 26</t>
  </si>
  <si>
    <t>www.acasadipaolo.it</t>
  </si>
  <si>
    <t>amadiopaolo@libero.it</t>
  </si>
  <si>
    <t>FISCALS COMPUTERS di PEROTTI ENRICO SNC</t>
  </si>
  <si>
    <t>viale Alcide de Gasperi 16</t>
  </si>
  <si>
    <t>ramona@studioenricoperotti.it</t>
  </si>
  <si>
    <t>B&amp;B PROFUMO DI NARDO</t>
  </si>
  <si>
    <t>strada provinciale valtesino 242</t>
  </si>
  <si>
    <t>www.profumodinardo.it</t>
  </si>
  <si>
    <t>emanuela_torquati@yahoo.it</t>
  </si>
  <si>
    <t>B&amp;B LA SIGNORA CASA</t>
  </si>
  <si>
    <t>viale Alcide de Gasperi 182</t>
  </si>
  <si>
    <t>www.lasignoracasa.com</t>
  </si>
  <si>
    <t>info@lasignoracasa.com</t>
  </si>
  <si>
    <t>B&amp;B CANTINE CAMELI VINI 1890</t>
  </si>
  <si>
    <t>strada provinciale valtesino 352</t>
  </si>
  <si>
    <t>via Cagliata 4</t>
  </si>
  <si>
    <t>www.villapaolabb.it</t>
  </si>
  <si>
    <t>info@villapaolabb.it</t>
  </si>
  <si>
    <t>B&amp;B LADY D</t>
  </si>
  <si>
    <t>via Ischia Prima 203</t>
  </si>
  <si>
    <t>www.bbladyd.altervista.org</t>
  </si>
  <si>
    <t>bbladyd@gmail.com</t>
  </si>
  <si>
    <t>B&amp;B SAPORE DI MARE</t>
  </si>
  <si>
    <t>PONZA 91</t>
  </si>
  <si>
    <t>info@bbsaporedimare.it</t>
  </si>
  <si>
    <t>degaetanovincenzo@gmail.com</t>
  </si>
  <si>
    <t>B&amp;B LA CASA DEI GERANI VACANZE</t>
  </si>
  <si>
    <t>via G. Bruno 34</t>
  </si>
  <si>
    <t>Grottammare</t>
  </si>
  <si>
    <t>casadeigeranei@gmail.com</t>
  </si>
  <si>
    <t>via Malta 2</t>
  </si>
  <si>
    <t>www.costazzurraresidence.it</t>
  </si>
  <si>
    <t>info@costazzurraresidence.it</t>
  </si>
  <si>
    <t>ADA</t>
  </si>
  <si>
    <t>lungomare alcide de gasperi 76</t>
  </si>
  <si>
    <t>www.residenceada.com</t>
  </si>
  <si>
    <t>info@residenceada.com</t>
  </si>
  <si>
    <t>Lungomare Alcide De Gasperi 172</t>
  </si>
  <si>
    <t>www.hotelcaraibi.it</t>
  </si>
  <si>
    <t>info@hotelcaraibi.it</t>
  </si>
  <si>
    <t>viale lungomare Repubblica 86</t>
  </si>
  <si>
    <t>www.paradisogrottammare.it</t>
  </si>
  <si>
    <t>info@ambassadorgrottammare.it</t>
  </si>
  <si>
    <t>lungomare Alcide de Gasperi 160</t>
  </si>
  <si>
    <t>www.residencelepalme.it</t>
  </si>
  <si>
    <t>info@residencelepalme.it</t>
  </si>
  <si>
    <t>VILLA HELVETIA</t>
  </si>
  <si>
    <t>via vincenzo salvi 9</t>
  </si>
  <si>
    <t>www.villahelvetia.it</t>
  </si>
  <si>
    <t>info@villahelvetia.it</t>
  </si>
  <si>
    <t>HOTEL PARCO DEI PRINCIPI</t>
  </si>
  <si>
    <t>lungomare Alcide de Gasperi 90</t>
  </si>
  <si>
    <t>www.hotelparcodeiprincipi.it</t>
  </si>
  <si>
    <t>htlparcodeiprincipi@tiscalinet.it</t>
  </si>
  <si>
    <t>VELIA</t>
  </si>
  <si>
    <t>viale Alcide de Gasperi 20</t>
  </si>
  <si>
    <t>www.hotelvelia.it</t>
  </si>
  <si>
    <t>velia@grottammare.it</t>
  </si>
  <si>
    <t>RELAIS CONCORDE</t>
  </si>
  <si>
    <t>via G.Parini 34</t>
  </si>
  <si>
    <t>www.relaisconcorde.it</t>
  </si>
  <si>
    <t>info@relaisconcorde.it</t>
  </si>
  <si>
    <t>LO SQUALO</t>
  </si>
  <si>
    <t>via Guglielmo Marconi 71</t>
  </si>
  <si>
    <t>www.hotellosqualo.it</t>
  </si>
  <si>
    <t>viale Alcide de Gasperi 60</t>
  </si>
  <si>
    <t>www.hotelromagrottammare.com</t>
  </si>
  <si>
    <t>info@hotelromagrottammare.com</t>
  </si>
  <si>
    <t>Viale C. Colombo 83</t>
  </si>
  <si>
    <t>www.hotelsylvia.net</t>
  </si>
  <si>
    <t>info@hotelsylvia.net</t>
  </si>
  <si>
    <t>viale Alcide de Gasperi 146</t>
  </si>
  <si>
    <t>www.hoteledengrottammare.it</t>
  </si>
  <si>
    <t>info@hoteledengrottammare.it</t>
  </si>
  <si>
    <t>MARCONI</t>
  </si>
  <si>
    <t>viale Alcide de Gasperi 6</t>
  </si>
  <si>
    <t>marconi.hotel@alice.it</t>
  </si>
  <si>
    <t>viale Alcide de Gasperi 130</t>
  </si>
  <si>
    <t>info@paradisogrottammare.it</t>
  </si>
  <si>
    <t>PENSIONE MIRAMARE</t>
  </si>
  <si>
    <t>via Cagliata 44</t>
  </si>
  <si>
    <t>daniele.ubaldi@tin.it</t>
  </si>
  <si>
    <t>VAGNOZZI</t>
  </si>
  <si>
    <t>via Francesco Cilea 113</t>
  </si>
  <si>
    <t>www.pensionevagnozzi.com</t>
  </si>
  <si>
    <t>pensionevagnozzi@gmail.com</t>
  </si>
  <si>
    <t>PRATER</t>
  </si>
  <si>
    <t>via Malta 18</t>
  </si>
  <si>
    <t>www.hotelprater.it</t>
  </si>
  <si>
    <t>info@hotelprater.it</t>
  </si>
  <si>
    <t>HOTEL LA PERLA PREZIOSA DEPENDANCE</t>
  </si>
  <si>
    <t>via Mediterraneo 14</t>
  </si>
  <si>
    <t>www.laperlapreziosa.com</t>
  </si>
  <si>
    <t>info@laperlapreziosa.com</t>
  </si>
  <si>
    <t>HOTEL LA PERLA PREZIOSA</t>
  </si>
  <si>
    <t>PIERGALLINI RITA</t>
  </si>
  <si>
    <t>Alcide De Gasperi 120</t>
  </si>
  <si>
    <t>pl.massi@gmail.com</t>
  </si>
  <si>
    <t>DON DIEGO</t>
  </si>
  <si>
    <t>lungomare Alcide de Gasperi 128</t>
  </si>
  <si>
    <t>www.campingdondiego.it</t>
  </si>
  <si>
    <t>info@dondiegocamping.it</t>
  </si>
  <si>
    <t>A CASA DA ANGELO</t>
  </si>
  <si>
    <t>contrada San Giacomo 26</t>
  </si>
  <si>
    <t>agriturismoacasadaangelo@alice.it</t>
  </si>
  <si>
    <t>LA PRIORA</t>
  </si>
  <si>
    <t>via francesco cilea 194</t>
  </si>
  <si>
    <t>B&amp;B IMBRESCIA</t>
  </si>
  <si>
    <t>via san paterniano 16</t>
  </si>
  <si>
    <t>simoelori@alice.it</t>
  </si>
  <si>
    <t>CASA DEI PESCI</t>
  </si>
  <si>
    <t>vicolo pineta 7</t>
  </si>
  <si>
    <t>B&amp;B CAMELI EMIDIO</t>
  </si>
  <si>
    <t>strada Comunale San Biagio 1</t>
  </si>
  <si>
    <t>trade77@hotmail.com</t>
  </si>
  <si>
    <t>B&amp;B CASA VACANZE</t>
  </si>
  <si>
    <t>via Frana 27</t>
  </si>
  <si>
    <t>sbtluca@gmail.com</t>
  </si>
  <si>
    <t>VALENTINO RESORT</t>
  </si>
  <si>
    <t>via dante alighieri 99</t>
  </si>
  <si>
    <t>www.valentinoresort.com</t>
  </si>
  <si>
    <t>info@valentinoresort.com</t>
  </si>
  <si>
    <t>CASA PAZZI</t>
  </si>
  <si>
    <t>via sotto le mura 8</t>
  </si>
  <si>
    <t>www.casapazzi.com</t>
  </si>
  <si>
    <t>info@casapazzi.com</t>
  </si>
  <si>
    <t>B&amp;B AMURRI DOMENICA</t>
  </si>
  <si>
    <t>strada comunale san biagio 9</t>
  </si>
  <si>
    <t>sandro.esposito@gmail.com</t>
  </si>
  <si>
    <t>B&amp;B I GIRASOLI di ANTONINI DANIELA</t>
  </si>
  <si>
    <t>via dei Piceni 64</t>
  </si>
  <si>
    <t>daniela.antonini2@gmail.com</t>
  </si>
  <si>
    <t>BAGNO HOTEL EUROPA N° 30/31</t>
  </si>
  <si>
    <t>viale alcide de gasperi 1 1</t>
  </si>
  <si>
    <t>SAN BENEDETTO DEL TRONTO</t>
  </si>
  <si>
    <t>info@eurotel.it</t>
  </si>
  <si>
    <t>ELISEI STELLINA</t>
  </si>
  <si>
    <t>FLORIDA</t>
  </si>
  <si>
    <t>lungomare cristoforo colombo 6 6</t>
  </si>
  <si>
    <t>ROSA DEI VENTI</t>
  </si>
  <si>
    <t>viale alcide de gasperi 71 71</t>
  </si>
  <si>
    <t>viale alcide de gasperi 59 59</t>
  </si>
  <si>
    <t>ristorantetropical@alice.it</t>
  </si>
  <si>
    <t>www.ristorantetropical.com</t>
  </si>
  <si>
    <t>COLIBRI BEACH</t>
  </si>
  <si>
    <t>NOA'</t>
  </si>
  <si>
    <t>DA MARIO</t>
  </si>
  <si>
    <t>viale de Gasperi 1 1</t>
  </si>
  <si>
    <t>SABIA</t>
  </si>
  <si>
    <t>viale alcide de gasperi 79 79</t>
  </si>
  <si>
    <t>www.valentinoresort.it</t>
  </si>
  <si>
    <t>SAARI BEACH</t>
  </si>
  <si>
    <t>viale alcide de gasperi 75 75</t>
  </si>
  <si>
    <t>RAGNO VERDE</t>
  </si>
  <si>
    <t>viale Alcide de Gasperi  1</t>
  </si>
  <si>
    <t>winisa@tin.it</t>
  </si>
  <si>
    <t>NORD EST</t>
  </si>
  <si>
    <t>viale alcide de gasperi 23 23</t>
  </si>
  <si>
    <t>acfirst@hotmail.it</t>
  </si>
  <si>
    <t>ACQUARIUS</t>
  </si>
  <si>
    <t>VELA</t>
  </si>
  <si>
    <t>via colombo 10 10</t>
  </si>
  <si>
    <t>LE TERRAZZE</t>
  </si>
  <si>
    <t>viale alcide de gasperi 40 40</t>
  </si>
  <si>
    <t>leterrazze@libero.it</t>
  </si>
  <si>
    <t>www.orovacanze.it</t>
  </si>
  <si>
    <t>4 SORELLE</t>
  </si>
  <si>
    <t>BAGNO PEPPINA</t>
  </si>
  <si>
    <t>viale lungomare repubblica 3 3</t>
  </si>
  <si>
    <t>nanni57@alice.it</t>
  </si>
  <si>
    <t>it.geocities.com/bagnopeppina</t>
  </si>
  <si>
    <t>viale alcide de gasperi 65 65</t>
  </si>
  <si>
    <t>nicolino.cameli@libero.it</t>
  </si>
  <si>
    <t>BAGNI DIANA</t>
  </si>
  <si>
    <t>BAGNO FELICITA</t>
  </si>
  <si>
    <t>felicita38@libero.it</t>
  </si>
  <si>
    <t>BAGNI ANDREA</t>
  </si>
  <si>
    <t>BAGNI MARIA FIORI</t>
  </si>
  <si>
    <t>viale della repubblica 1 1</t>
  </si>
  <si>
    <t>CHALET DELLE STELLE</t>
  </si>
  <si>
    <t>CANTU'</t>
  </si>
  <si>
    <t>viale alcide de gasperi 81 81</t>
  </si>
  <si>
    <t>viale alcide de gasperi  1</t>
  </si>
  <si>
    <t>BAGNI HOTEL ROMA - Bahia Blanca</t>
  </si>
  <si>
    <t>PECCATO SOLO D'ESTATE</t>
  </si>
  <si>
    <t>CALIFORNIA</t>
  </si>
  <si>
    <t>BAGNI PAOLONI</t>
  </si>
  <si>
    <t>CHALET IL GABBIANO ( LU CUCALE)</t>
  </si>
  <si>
    <t>viale alcide de gasperi 1 41</t>
  </si>
  <si>
    <t>via colombo 16 16</t>
  </si>
  <si>
    <t>TENENTE</t>
  </si>
  <si>
    <t>viale della Repubblica 7 7</t>
  </si>
  <si>
    <t>LA RISACCA</t>
  </si>
  <si>
    <t>viale Alcide de Gasperi 1 1</t>
  </si>
  <si>
    <t>KOH I NOOR</t>
  </si>
  <si>
    <t>egisto.palmitesta@gmail.com</t>
  </si>
  <si>
    <t>BAGNI LELII</t>
  </si>
  <si>
    <t>BAGNO EDEN</t>
  </si>
  <si>
    <t>hoteledensb@insinet.it</t>
  </si>
  <si>
    <t>hoteleden-ap.it</t>
  </si>
  <si>
    <t>loscoglio@tin.it</t>
  </si>
  <si>
    <t>MIMOSA</t>
  </si>
  <si>
    <t>BAGNI FABIO (1)</t>
  </si>
  <si>
    <t>viale della repubblica 17 17</t>
  </si>
  <si>
    <t>BAGNI FABIO (2)</t>
  </si>
  <si>
    <t>SAVANA CLUB</t>
  </si>
  <si>
    <t>glascani@virgilio.it</t>
  </si>
  <si>
    <t>HOTEL VELIA</t>
  </si>
  <si>
    <t>viale alcide de gasperi 20 20</t>
  </si>
  <si>
    <t>WWW.grottammare.it/velia</t>
  </si>
  <si>
    <t>CHALET SYLVIA</t>
  </si>
  <si>
    <t>viale cristoforo colombo  1</t>
  </si>
  <si>
    <t>sonssnc@hostingtoo.it</t>
  </si>
  <si>
    <t>IL LIDO DI ANNA</t>
  </si>
  <si>
    <t>viale Colombo 12 12</t>
  </si>
  <si>
    <t>margio26@libero.it</t>
  </si>
  <si>
    <t>BAGNI HOTEL MARCONI</t>
  </si>
  <si>
    <t>viale alcide de gasperi 7 7</t>
  </si>
  <si>
    <t>GRILLO</t>
  </si>
  <si>
    <t>DELFINO BLU</t>
  </si>
  <si>
    <t>IL TUCANO</t>
  </si>
  <si>
    <t>viale alcide de gasperi 73 73</t>
  </si>
  <si>
    <t>BAGNI VIAREGGIO</t>
  </si>
  <si>
    <t>BAGNO DELLE SIRENE</t>
  </si>
  <si>
    <t>Viale Cristoforo Colombo 8</t>
  </si>
  <si>
    <t>PIZZACCIA ON THE BEACH</t>
  </si>
  <si>
    <t>via Colombo 4 4</t>
  </si>
  <si>
    <t>info@ilgrecaleancona.it</t>
  </si>
  <si>
    <t>CHALET ADRIATICO</t>
  </si>
  <si>
    <t>viale della Repubblica 15 -concessione n.39 15</t>
  </si>
  <si>
    <t>Riviera Adriatica</t>
  </si>
  <si>
    <t>http://www.chaletadriatico.it/</t>
  </si>
  <si>
    <t>chaletadriatico1960@gmail.com</t>
  </si>
  <si>
    <t>LE SIRENETTE</t>
  </si>
  <si>
    <t>firstlady@libero.it</t>
  </si>
  <si>
    <t>PARCO DEI PRINCIPI</t>
  </si>
  <si>
    <t>B&amp;B GIANLUIGI SPAZIANI</t>
  </si>
  <si>
    <t>via dei Ligustri 1</t>
  </si>
  <si>
    <t>B&amp;B LA TERRAZZA SUL MARE</t>
  </si>
  <si>
    <t>viale alcide de gasperi 7</t>
  </si>
  <si>
    <t>www.laterrazzasulmare.eu</t>
  </si>
  <si>
    <t>info@laterrazzasulmare.eu</t>
  </si>
  <si>
    <t>CHALET SIESTA NORD</t>
  </si>
  <si>
    <t>Viale A. De Gasperi 43</t>
  </si>
  <si>
    <t>B&amp;B FERMATA 135</t>
  </si>
  <si>
    <t>FRATELLI ROSSELLI  135</t>
  </si>
  <si>
    <t>www.fermata135.it</t>
  </si>
  <si>
    <t>info@fermata135.it</t>
  </si>
  <si>
    <t>B&amp;B CASA DI MARY</t>
  </si>
  <si>
    <t>via Marche 47</t>
  </si>
  <si>
    <t>casadimary@yahoo.it</t>
  </si>
  <si>
    <t>CHALET CLUB SEVEN</t>
  </si>
  <si>
    <t>CHALET BAIA BLANCA</t>
  </si>
  <si>
    <t>viale De Gasperi 28</t>
  </si>
  <si>
    <t>www.baiablanca.it</t>
  </si>
  <si>
    <t>info@baiablanca.it</t>
  </si>
  <si>
    <t>B&amp;B BRIC E BRAC</t>
  </si>
  <si>
    <t>via Brasile 9</t>
  </si>
  <si>
    <t>simona.cocci@libero.it</t>
  </si>
  <si>
    <t>GIN'G BEACH</t>
  </si>
  <si>
    <t>B&amp;B ER COLOSSEO</t>
  </si>
  <si>
    <t>via fratelli rosselli 126bis</t>
  </si>
  <si>
    <t>l.bresciani55@gmail.com</t>
  </si>
  <si>
    <t>HOTEL LA MAESTRA</t>
  </si>
  <si>
    <t>via Baleari 6</t>
  </si>
  <si>
    <t>www.hotellamaestra.it</t>
  </si>
  <si>
    <t>info@hotellamaestra.it</t>
  </si>
  <si>
    <t>JERRY</t>
  </si>
  <si>
    <t>viale alcide de gasperi 1</t>
  </si>
  <si>
    <t>www.jerryhotel.com</t>
  </si>
  <si>
    <t>info@jerryhotel.com</t>
  </si>
  <si>
    <t>DEPENDANCE JERRY HOTEL</t>
  </si>
  <si>
    <t>via Ponza 96</t>
  </si>
  <si>
    <t>www.residencejerrygrottammare.it</t>
  </si>
  <si>
    <t>IL VECCHIO ED IL MARE</t>
  </si>
  <si>
    <t>ittiturismo@tiscali.it</t>
  </si>
  <si>
    <t>HOTEL RISTORANTE VILLA FANINI</t>
  </si>
  <si>
    <t>via G. Sacconi 52</t>
  </si>
  <si>
    <t>MALTIGNANO</t>
  </si>
  <si>
    <t>info@villafanini.it</t>
  </si>
  <si>
    <t>B&amp;B L'ANTICO E LA QUERCIA</t>
  </si>
  <si>
    <t>via colle Cervinara 8</t>
  </si>
  <si>
    <t>www.bbdormire.com; www.lanticoelaquercia.it</t>
  </si>
  <si>
    <t>emidiolegno@libero.it</t>
  </si>
  <si>
    <t>AGRITURISMO OASI</t>
  </si>
  <si>
    <t>contrada san pietro 3</t>
  </si>
  <si>
    <t>www.oasi.weebly.it</t>
  </si>
  <si>
    <t>adriana.dalboni@alice.it</t>
  </si>
  <si>
    <t>CASA DI GINO</t>
  </si>
  <si>
    <t>contrada san pietro 101</t>
  </si>
  <si>
    <t>www.casadigino.it</t>
  </si>
  <si>
    <t>info@casadigino.it</t>
  </si>
  <si>
    <t>B&amp;B NORMA</t>
  </si>
  <si>
    <t>contrada piana santi 89</t>
  </si>
  <si>
    <t>norma.steca@alice.it</t>
  </si>
  <si>
    <t>AGRITURISMO COLLELAGO</t>
  </si>
  <si>
    <t>contrada Montecantino 3</t>
  </si>
  <si>
    <t>Massignano</t>
  </si>
  <si>
    <t>www.collelago.it</t>
  </si>
  <si>
    <t>info@collelago.it</t>
  </si>
  <si>
    <t>AGRITURISMO BONU' GABRIELE</t>
  </si>
  <si>
    <t>contrada Santa Giuliana 12/a</t>
  </si>
  <si>
    <t>bonugabriele@hotmail.it</t>
  </si>
  <si>
    <t>RESIDENCE L'AGAVE</t>
  </si>
  <si>
    <t>c.da Fonte Trufo 12</t>
  </si>
  <si>
    <t>loc.Massignano</t>
  </si>
  <si>
    <t>info@agave-residence.it</t>
  </si>
  <si>
    <t>IL CONTADINO</t>
  </si>
  <si>
    <t>via Montecatino 72 72</t>
  </si>
  <si>
    <t>ristcontadino@libero.it</t>
  </si>
  <si>
    <t>www.hotelilcontadino.it</t>
  </si>
  <si>
    <t>LOTTO N.2</t>
  </si>
  <si>
    <t>MARINA DI MASSIGNANO</t>
  </si>
  <si>
    <t>LOTTO N.4</t>
  </si>
  <si>
    <t>LOTTO N.3</t>
  </si>
  <si>
    <t>LA SORGENTE</t>
  </si>
  <si>
    <t>contrada marezi 16/A</t>
  </si>
  <si>
    <t>www.lasorgente-massignano.it</t>
  </si>
  <si>
    <t>giorgia.pelliccioni@yahoo.it</t>
  </si>
  <si>
    <t>contrada San Pietro 61</t>
  </si>
  <si>
    <t>hotel.lepalme@libero.it</t>
  </si>
  <si>
    <t>B&amp;B IL MELOGRANO</t>
  </si>
  <si>
    <t>contrada fonte trufo 13</t>
  </si>
  <si>
    <t>www.ilmelogranobb.it</t>
  </si>
  <si>
    <t>atochry@gmail.com</t>
  </si>
  <si>
    <t>AGRITURISMO DA FIORO' LA COLLINA DEI SAPORI</t>
  </si>
  <si>
    <t>C/da S. Pietro 36</t>
  </si>
  <si>
    <t>agriturismo.fioro@alice.it</t>
  </si>
  <si>
    <t>c.da Montecantino 83</t>
  </si>
  <si>
    <t>www.residenceclubazzurro.it</t>
  </si>
  <si>
    <t>info@residenceclubazzurro.it</t>
  </si>
  <si>
    <t>COUNTRY HOUSE CHIARALUCE</t>
  </si>
  <si>
    <t>contrada fonte trufo 34</t>
  </si>
  <si>
    <t>www.countryhouseonline.it</t>
  </si>
  <si>
    <t>info@countryhouseonline.it</t>
  </si>
  <si>
    <t>via Montecantino 66</t>
  </si>
  <si>
    <t>RIVAMARE</t>
  </si>
  <si>
    <t>via Montecatino - Statale 16 Adriatica km 373 59</t>
  </si>
  <si>
    <t>www.rivamare.it</t>
  </si>
  <si>
    <t>hotel@rivamare.it - info@rivamare.it</t>
  </si>
  <si>
    <t>VILLA ANIANA</t>
  </si>
  <si>
    <t>contrada san pietro 23</t>
  </si>
  <si>
    <t>www.hotelvillaniana.it</t>
  </si>
  <si>
    <t>info@hotelvillaniana.it</t>
  </si>
  <si>
    <t>IL GIARDINO AROMATICO</t>
  </si>
  <si>
    <t>Via Piane Santi 75</t>
  </si>
  <si>
    <t>lampa611@gmail.com</t>
  </si>
  <si>
    <t>COUNTRY HOUSE IL GIRASOLE</t>
  </si>
  <si>
    <t>Contrada S. Pietro 38</t>
  </si>
  <si>
    <t>countryhouseilgirasole@gmail.com</t>
  </si>
  <si>
    <t>B&amp;B LA CASA DI CLELIA</t>
  </si>
  <si>
    <t>VIA MONTEBELLO 10</t>
  </si>
  <si>
    <t>dimoraclelia@gmail.com</t>
  </si>
  <si>
    <t>B&amp;B VILLA DEI PRIORI</t>
  </si>
  <si>
    <t>via Salaria 4</t>
  </si>
  <si>
    <t>MONSAMPOLO DEL TRONTO</t>
  </si>
  <si>
    <t>www.villadeipriori.it</t>
  </si>
  <si>
    <t>info@villadeipriori.com</t>
  </si>
  <si>
    <t>B&amp;B IL GIARDINO ERBOSO</t>
  </si>
  <si>
    <t>contrada collelungo 6</t>
  </si>
  <si>
    <t>www.ilgiardinoerboso.it</t>
  </si>
  <si>
    <t>info@ilgiardinoerboso.it</t>
  </si>
  <si>
    <t>LEMON B&amp;B</t>
  </si>
  <si>
    <t>contrada monte carrello 1</t>
  </si>
  <si>
    <t>amadio.carlini@gmail.com</t>
  </si>
  <si>
    <t>STELLA GEMELLA S.R.L.</t>
  </si>
  <si>
    <t>via Salaria 11</t>
  </si>
  <si>
    <t>HOTEL PHILOSOPHY</t>
  </si>
  <si>
    <t>via Nino Bixio 1</t>
  </si>
  <si>
    <t>www.albergophilosophy.com</t>
  </si>
  <si>
    <t>hotelphilosophy@gmail.com</t>
  </si>
  <si>
    <t>B&amp;B LA PINETA DI BINNI MARIA COLOMBA</t>
  </si>
  <si>
    <t>corso vittorio emanuele iii 3</t>
  </si>
  <si>
    <t>annamaria.leonetti@gmail.com</t>
  </si>
  <si>
    <t>LA TANA DEI LEONI</t>
  </si>
  <si>
    <t>contrada Sant'Egidio 18</t>
  </si>
  <si>
    <t>contrada Sant'Egidio</t>
  </si>
  <si>
    <t>www.latanadeileoni.it</t>
  </si>
  <si>
    <t>info@latanadeileoni.it</t>
  </si>
  <si>
    <t>B&amp;B DA CRISTINA</t>
  </si>
  <si>
    <t>via Pretarolo 14</t>
  </si>
  <si>
    <t>www.dacristina.it</t>
  </si>
  <si>
    <t>info@dacristina.it</t>
  </si>
  <si>
    <t>FIOR DI LOTO</t>
  </si>
  <si>
    <t>c.da Comunanza 7</t>
  </si>
  <si>
    <t>AGRITURISMO TENUTA SOLALTO</t>
  </si>
  <si>
    <t>contrada Vallone  17</t>
  </si>
  <si>
    <t>www.tenutasolalto.com</t>
  </si>
  <si>
    <t>info@tenutasolalto.com</t>
  </si>
  <si>
    <t>B&amp;B A CASA DI MEG</t>
  </si>
  <si>
    <t>contrada Piane di Trocco 1</t>
  </si>
  <si>
    <t>acasadimeg@ymail.com OK</t>
  </si>
  <si>
    <t>mariana_gereda@yahoo.com</t>
  </si>
  <si>
    <t>AGRITURISMO VILLA BUSSOLA</t>
  </si>
  <si>
    <t>contrada pagliare 17</t>
  </si>
  <si>
    <t>info@villabussola.com</t>
  </si>
  <si>
    <t>B&amp;B VILLA BUSSOLA</t>
  </si>
  <si>
    <t>contrada Pagliare 17</t>
  </si>
  <si>
    <t>MONTALTO DELLE MARCHE</t>
  </si>
  <si>
    <t>c.da Sant'Alberto</t>
  </si>
  <si>
    <t>B&amp;B VILLA DELLA VALLE di BONNIER ANUSCKA PETRONELLA</t>
  </si>
  <si>
    <t>c.da Rigo 7</t>
  </si>
  <si>
    <t>Montalto delle Marche</t>
  </si>
  <si>
    <t>www.villadellavalle.com</t>
  </si>
  <si>
    <t>info@villadellavalle.com</t>
  </si>
  <si>
    <t>CERQUATONDA</t>
  </si>
  <si>
    <t>c.da Cerquatonda 4</t>
  </si>
  <si>
    <t>www.agriturismocerquatonda.it</t>
  </si>
  <si>
    <t>info@agriturismocerquatonda.it</t>
  </si>
  <si>
    <t>TERRE VINEATE</t>
  </si>
  <si>
    <t>c.da Sant'Alberto 8/9</t>
  </si>
  <si>
    <t>www.terrevineate.it</t>
  </si>
  <si>
    <t>info@terrevineate.it</t>
  </si>
  <si>
    <t>AGRITURISMO DOLIUM</t>
  </si>
  <si>
    <t>contrada Valle 2</t>
  </si>
  <si>
    <t>APPARTAMENTO DEI FIORI</t>
  </si>
  <si>
    <t>c.da Valle 11</t>
  </si>
  <si>
    <t>liliana@villa-geminiani.com</t>
  </si>
  <si>
    <t>VILLA GEMINIANI DEPENDANCE</t>
  </si>
  <si>
    <t>contrada Moglie 31</t>
  </si>
  <si>
    <t>www.villa-geminiani.com</t>
  </si>
  <si>
    <t>LA VIA SISTINA</t>
  </si>
  <si>
    <t>http://www.tenutarecchifranceschini.it/</t>
  </si>
  <si>
    <t>Info@tenutarecchifranceschini.it</t>
  </si>
  <si>
    <t>AGRITURISMO IL VECCHIO ACERO</t>
  </si>
  <si>
    <t>contrada SS. Annunziata 7</t>
  </si>
  <si>
    <t>www.ilvecchioacero.it</t>
  </si>
  <si>
    <t>info.ilvecchioacero@gmail.com</t>
  </si>
  <si>
    <t>B&amp;B CASA MONTALTO</t>
  </si>
  <si>
    <t>CONTRADA FONTE ARRIGO 31</t>
  </si>
  <si>
    <t>www.casamontalto.com</t>
  </si>
  <si>
    <t>info@casamontalto.com</t>
  </si>
  <si>
    <t>LE PRATOLE</t>
  </si>
  <si>
    <t>c.da Ss Annunziata 1</t>
  </si>
  <si>
    <t>SS. ANNUNZIATA</t>
  </si>
  <si>
    <t>www.lepratole.it</t>
  </si>
  <si>
    <t>info@lepratole.it</t>
  </si>
  <si>
    <t>IL PALOMBACCIO</t>
  </si>
  <si>
    <t>via Valle 7</t>
  </si>
  <si>
    <t>CONTRADA VALLE</t>
  </si>
  <si>
    <t>www.ilpalombaccio.it</t>
  </si>
  <si>
    <t>infotiscali@ilpalombaccio.it</t>
  </si>
  <si>
    <t>AGRITURISMO COPPO 1873</t>
  </si>
  <si>
    <t>c.da Maliscia 50/1</t>
  </si>
  <si>
    <t>loc.Porchia</t>
  </si>
  <si>
    <t>www.fattoriamarchetti.it</t>
  </si>
  <si>
    <t>info@fattoriamarchetti.it</t>
  </si>
  <si>
    <t>c.da Fonte d' Ercole 11</t>
  </si>
  <si>
    <t>www.bbilsentiero.it</t>
  </si>
  <si>
    <t>info@bbilsentiero.it</t>
  </si>
  <si>
    <t>c.da Monti 11</t>
  </si>
  <si>
    <t>MONTALTO MARCHE</t>
  </si>
  <si>
    <t>www.agriturismosanfrancesco.it</t>
  </si>
  <si>
    <t>informazioni@agriturismosanfrancesco.it</t>
  </si>
  <si>
    <t>B&amp;B FONTE D'ERCOLE</t>
  </si>
  <si>
    <t>via Fonte d'Ercole 9</t>
  </si>
  <si>
    <t>tassotti.raffaele@libero.it</t>
  </si>
  <si>
    <t>B&amp;B CASANNUNZIATA</t>
  </si>
  <si>
    <t>vicolo del Gufo 1</t>
  </si>
  <si>
    <t>www.casannunziata.com</t>
  </si>
  <si>
    <t>casannunziata@gmail.com</t>
  </si>
  <si>
    <t>DOLCI MARCHE</t>
  </si>
  <si>
    <t>CONTRADA MOGLIE 32</t>
  </si>
  <si>
    <t>www.agriturismo-dolci-marche.it</t>
  </si>
  <si>
    <t>gem.agostino@yahoo.it</t>
  </si>
  <si>
    <t>SAN FRANCESCO</t>
  </si>
  <si>
    <t>VILLA CERQUETO di CAUCCI MARIA PIA</t>
  </si>
  <si>
    <t>CONTRADA CERQUETO 18/a</t>
  </si>
  <si>
    <t>PORCHIA</t>
  </si>
  <si>
    <t>stefania.agostini79@gmail.com</t>
  </si>
  <si>
    <t>LA CURTIS</t>
  </si>
  <si>
    <t>c.da Lago 120</t>
  </si>
  <si>
    <t>contrada lago</t>
  </si>
  <si>
    <t>vincecurti@gmail.com</t>
  </si>
  <si>
    <t>VILLA GEMINIANI</t>
  </si>
  <si>
    <t>DI SILVESTRO ROSANNA</t>
  </si>
  <si>
    <t>CONTRADA MALISCIA 7</t>
  </si>
  <si>
    <t>rosannadisilvestro1961@gmail.com</t>
  </si>
  <si>
    <t>OASI BIOLOGICA</t>
  </si>
  <si>
    <t>contrada del Pignotto 1</t>
  </si>
  <si>
    <t>MONTEDINOVE</t>
  </si>
  <si>
    <t>www.oasibiologica.it</t>
  </si>
  <si>
    <t>info@oasibiologica.it</t>
  </si>
  <si>
    <t>AGRITURISMO LA PRIORA DI VALLORANI MARIA LUIGINA</t>
  </si>
  <si>
    <t>contrada Dragone 26</t>
  </si>
  <si>
    <t>www.agriturismopriora.com</t>
  </si>
  <si>
    <t>LA VALLE DEI PICENI</t>
  </si>
  <si>
    <t>Montedinove</t>
  </si>
  <si>
    <t>IL FIENILE</t>
  </si>
  <si>
    <t>il.fienile@tiscali.it</t>
  </si>
  <si>
    <t>B&amp;B LE GROTTE</t>
  </si>
  <si>
    <t>c.da.S.Maria 1</t>
  </si>
  <si>
    <t>www.legrotte.net</t>
  </si>
  <si>
    <t>legrotte.montedinove@libero.it</t>
  </si>
  <si>
    <t>B&amp;B ANNA MARIA PALLOTTINI</t>
  </si>
  <si>
    <t>corso umberto i 55</t>
  </si>
  <si>
    <t>gialima@tiscali.it</t>
  </si>
  <si>
    <t>HOTEL DEL DUCA</t>
  </si>
  <si>
    <t>piazza del Duca 102</t>
  </si>
  <si>
    <t>www.hoteldelduca.com</t>
  </si>
  <si>
    <t>info@hoteldelduca.com</t>
  </si>
  <si>
    <t>LA COLLINA DEGLI ULIVI</t>
  </si>
  <si>
    <t>contrada Franile 9</t>
  </si>
  <si>
    <t>collina.degli.ulivi@gmail.com</t>
  </si>
  <si>
    <t>LA CASETTA AL SOLE</t>
  </si>
  <si>
    <t>via Franile  snc</t>
  </si>
  <si>
    <t>studioadrianomecozzi@libero.it</t>
  </si>
  <si>
    <t>BORGO SAN TOMMASO</t>
  </si>
  <si>
    <t>comune.montedinove@gmail.com</t>
  </si>
  <si>
    <t>LA QUERCIA DI CHECCO</t>
  </si>
  <si>
    <t>via Lapedosa 8</t>
  </si>
  <si>
    <t>www.laquerciadichecco.it</t>
  </si>
  <si>
    <t>info@laquerciadichecco.it</t>
  </si>
  <si>
    <t>B&amp;B IL CAMPANILE</t>
  </si>
  <si>
    <t>corso umberto i 1</t>
  </si>
  <si>
    <t>AGRITURISMO LA CASETTA DELLE MARCHE</t>
  </si>
  <si>
    <t>contrada Menocchia 190</t>
  </si>
  <si>
    <t>MONTEFIORE DELL'ASO</t>
  </si>
  <si>
    <t>MONTEFIORE DELL' ASO</t>
  </si>
  <si>
    <t>www.lacasettadellemarche.it</t>
  </si>
  <si>
    <t>postmaster@lacasettadellemarche.it</t>
  </si>
  <si>
    <t>B&amp;B CASALE DEL LEVRIERO</t>
  </si>
  <si>
    <t>contrada menocchia 23</t>
  </si>
  <si>
    <t>www.casaledellevriero.com</t>
  </si>
  <si>
    <t>casaledellevriero@gmail.com</t>
  </si>
  <si>
    <t>B&amp;B CASA DELLE SORGENTI di LESLEY DORIN</t>
  </si>
  <si>
    <t>contrada  San Giovanni 57/58</t>
  </si>
  <si>
    <t>www.casadellesorgenti.com</t>
  </si>
  <si>
    <t>lesleydorin@gmail.com</t>
  </si>
  <si>
    <t>IL PODERINO DELLA NONNA</t>
  </si>
  <si>
    <t>contrada San Giovanni 30</t>
  </si>
  <si>
    <t>www.ilpoderinodellanonna.it</t>
  </si>
  <si>
    <t>info@ilpoderinodellanonna.it</t>
  </si>
  <si>
    <t>corso xx settembre 10</t>
  </si>
  <si>
    <t>COUNTRY HOUSE SOLE E LUNA</t>
  </si>
  <si>
    <t>c.da San Giovanni 54</t>
  </si>
  <si>
    <t>www.countryhousesoleeluna.com</t>
  </si>
  <si>
    <t>info@countryhousesoleeluna.com</t>
  </si>
  <si>
    <t>B&amp;B CASA NOLLY</t>
  </si>
  <si>
    <t>via San Giovanni 54</t>
  </si>
  <si>
    <t>info@casanolly.it</t>
  </si>
  <si>
    <t>GOLF CLUB - COUNTRY HOUSE I LAURI</t>
  </si>
  <si>
    <t>c.da San Giovanni 2</t>
  </si>
  <si>
    <t>www.countryhouseilauri.it</t>
  </si>
  <si>
    <t>info@countryhouseilauri.it</t>
  </si>
  <si>
    <t>AGRITURISMO IL ROCCHETTO</t>
  </si>
  <si>
    <t>contrada Aso 63</t>
  </si>
  <si>
    <t>www.ilrocchetto.it</t>
  </si>
  <si>
    <t>ilrocchetto@libero.it</t>
  </si>
  <si>
    <t>HOTEL DEL PARCO</t>
  </si>
  <si>
    <t>via Molino 48</t>
  </si>
  <si>
    <t>www.hoteldelparco.info</t>
  </si>
  <si>
    <t>hotel_delparco@libero.it</t>
  </si>
  <si>
    <t>LA FAVELLA</t>
  </si>
  <si>
    <t>contrada Menocchia 54</t>
  </si>
  <si>
    <t>www.biomarche.com/lafavella</t>
  </si>
  <si>
    <t>favelagr@tin.it</t>
  </si>
  <si>
    <t>LA CAMPANA</t>
  </si>
  <si>
    <t>contrada Menocchia 39</t>
  </si>
  <si>
    <t>www.lacampana.it</t>
  </si>
  <si>
    <t>info@lacampana.it</t>
  </si>
  <si>
    <t>I CIGNI</t>
  </si>
  <si>
    <t>c.da San Giovanni 1</t>
  </si>
  <si>
    <t>www.agriturismoicigni.it</t>
  </si>
  <si>
    <t>info@agriturismoicigni.it</t>
  </si>
  <si>
    <t>CASA CENTANNI</t>
  </si>
  <si>
    <t>Contrada Aso 146</t>
  </si>
  <si>
    <t>www.casacentanni.it</t>
  </si>
  <si>
    <t>info@vinicentanni.it</t>
  </si>
  <si>
    <t>via Mazzini 9</t>
  </si>
  <si>
    <t>ilcastello.montefiore@gmail.com</t>
  </si>
  <si>
    <t>DEA FLORA</t>
  </si>
  <si>
    <t>c.da San Giovanni 48/a</t>
  </si>
  <si>
    <t>www.deaflora.it</t>
  </si>
  <si>
    <t>info@deaflora.it</t>
  </si>
  <si>
    <t>CASALE MAGNOLIA</t>
  </si>
  <si>
    <t>contrada Menocchia 212</t>
  </si>
  <si>
    <t>info@boutiquehotelmagnolia.com</t>
  </si>
  <si>
    <t>B&amp;B CASA MALAVOLTA</t>
  </si>
  <si>
    <t>via Ghibellina 17</t>
  </si>
  <si>
    <t>info@studiomalavolta.com</t>
  </si>
  <si>
    <t>B&amp;B DAI RAGAZZI PAZZI</t>
  </si>
  <si>
    <t>C.DA MENOCCHIA 98</t>
  </si>
  <si>
    <t>www.dairagazzipazzi.com</t>
  </si>
  <si>
    <t>info@dairagazzipazzi.com</t>
  </si>
  <si>
    <t>B&amp;B VILLA ROSA BIANCA</t>
  </si>
  <si>
    <t>c.da Aso  68</t>
  </si>
  <si>
    <t>www.villarosabianca.com</t>
  </si>
  <si>
    <t>info@villarosabianca.com</t>
  </si>
  <si>
    <t>IL CASALE DEL GALLO</t>
  </si>
  <si>
    <t>ANGELI DI MONTEFIORE</t>
  </si>
  <si>
    <t>contrada Aso 108</t>
  </si>
  <si>
    <t>www.angeli-di-montefiore.de</t>
  </si>
  <si>
    <t>info@angeli-di-montefiore.de</t>
  </si>
  <si>
    <t>B&amp;B GUERRIERI ALESSANDRO</t>
  </si>
  <si>
    <t>frazione Abetito 111</t>
  </si>
  <si>
    <t>MONTEGALLO</t>
  </si>
  <si>
    <t>annabastiani@outlook.com</t>
  </si>
  <si>
    <t>VETTORE</t>
  </si>
  <si>
    <t>via San Nicola 15</t>
  </si>
  <si>
    <t>BALZO</t>
  </si>
  <si>
    <t>www.campingvettore.it</t>
  </si>
  <si>
    <t>campingvettore@gmail.com</t>
  </si>
  <si>
    <t>via Piane Ascolane 1</t>
  </si>
  <si>
    <t>www.albergovettore.it</t>
  </si>
  <si>
    <t>albergovettore@hotmail.com</t>
  </si>
  <si>
    <t>AGRITURISMO CASAVECCHIA di VENTILI TERESA</t>
  </si>
  <si>
    <t>frazione Abetito 32,34</t>
  </si>
  <si>
    <t>frazione Abetito</t>
  </si>
  <si>
    <t>www.agriturismocasavecchia.info</t>
  </si>
  <si>
    <t>agriturismocasavecchia@gmail.com</t>
  </si>
  <si>
    <t>RIFUGIO ESCURSIONISTICO SOTTO VENTO</t>
  </si>
  <si>
    <t>frazione Colle 12</t>
  </si>
  <si>
    <t>www.rifugiocollesibillini.it</t>
  </si>
  <si>
    <t>sibillini.colle@libero.it</t>
  </si>
  <si>
    <t>COUNTRY HOUSE SOTTO VENTO</t>
  </si>
  <si>
    <t>frazione Colle 14</t>
  </si>
  <si>
    <t>B&amp;B ASTOLFI MARCO</t>
  </si>
  <si>
    <t>frazione castro 70</t>
  </si>
  <si>
    <t>OSTELLO SANTA MARIA IN LAPIDE</t>
  </si>
  <si>
    <t>frazione Santa Maria in Lapide 4</t>
  </si>
  <si>
    <t>B&amp;B CASA VACANZE LO SPUNTINO</t>
  </si>
  <si>
    <t>via roma 13</t>
  </si>
  <si>
    <t>www.casavacanzelospuntino.it</t>
  </si>
  <si>
    <t>info@casavacanzelospuntino.it</t>
  </si>
  <si>
    <t>LE TOFE</t>
  </si>
  <si>
    <t>frazione tofe 1</t>
  </si>
  <si>
    <t>MONTEMONACO</t>
  </si>
  <si>
    <t>AGRITURISMO VILLA VITTORIA</t>
  </si>
  <si>
    <t>loc. Colleregnone  8</t>
  </si>
  <si>
    <t>LA FONTE di CORBELLI CAROLINA RITA</t>
  </si>
  <si>
    <t>frazione rascio  21</t>
  </si>
  <si>
    <t>RIFUGIO ALTINO</t>
  </si>
  <si>
    <t>frazione Altino 1</t>
  </si>
  <si>
    <t>CASA PER FERIE ALTINO</t>
  </si>
  <si>
    <t>www.rifugioaltino.it</t>
  </si>
  <si>
    <t>info@studiocensori.it</t>
  </si>
  <si>
    <t>CASA PER FERIE SAN GIORGIO ALL' ISOLA</t>
  </si>
  <si>
    <t>S. Giorgio all'Isola</t>
  </si>
  <si>
    <t>idscsbt@virgilio.it</t>
  </si>
  <si>
    <t>ALFONSO VETRI BURATTI</t>
  </si>
  <si>
    <t>frazione Altino</t>
  </si>
  <si>
    <t>alfonsovetriburatti@gmail.com</t>
  </si>
  <si>
    <t>LE OREADI</t>
  </si>
  <si>
    <t>frazione isola san biagio 52</t>
  </si>
  <si>
    <t>www.leoreadi.com</t>
  </si>
  <si>
    <t>info@leoreadi.com</t>
  </si>
  <si>
    <t>LA LOCANDA DI ULISSE</t>
  </si>
  <si>
    <t>FRAZ. VALLEFIUME</t>
  </si>
  <si>
    <t>www.lalocandadiulisse.it</t>
  </si>
  <si>
    <t>info@lalocandadiulisse.it</t>
  </si>
  <si>
    <t>LA PRIMULA</t>
  </si>
  <si>
    <t>FRAZIONE ARICONI</t>
  </si>
  <si>
    <t>www.laprimula.it</t>
  </si>
  <si>
    <t>laprimula.lago@libero.it</t>
  </si>
  <si>
    <t>LA FATTORIA</t>
  </si>
  <si>
    <t>via Colleregnone 6</t>
  </si>
  <si>
    <t>COLLEREGNONE</t>
  </si>
  <si>
    <t>www.fattoriadeisibillini.com</t>
  </si>
  <si>
    <t>info@fattoriadeisibillini.com</t>
  </si>
  <si>
    <t>LA CITTADELLA</t>
  </si>
  <si>
    <t>cittadella</t>
  </si>
  <si>
    <t>www.cittadelladeisibillini.it</t>
  </si>
  <si>
    <t>informa@cittadelladeisibillini.it</t>
  </si>
  <si>
    <t>LA COLOMBELLA</t>
  </si>
  <si>
    <t>viale Stradone 86</t>
  </si>
  <si>
    <t>lacolombella@sibillini.com</t>
  </si>
  <si>
    <t>TAVERNA DELLA MONTAGNA</t>
  </si>
  <si>
    <t>frazione foce 33</t>
  </si>
  <si>
    <t>www.tavernadellamontagna.net</t>
  </si>
  <si>
    <t>tavernadellamontagna@gmail.com</t>
  </si>
  <si>
    <t>GUERRIN MESCHINO</t>
  </si>
  <si>
    <t>frazione rocca 1</t>
  </si>
  <si>
    <t>www.guerrinmeschino.com</t>
  </si>
  <si>
    <t>infoguerrinmeschino@libero.it</t>
  </si>
  <si>
    <t>HOTEL MONTI AZZURRI</t>
  </si>
  <si>
    <t>via Roma 25</t>
  </si>
  <si>
    <t>www.hotelmontiazzurri.com</t>
  </si>
  <si>
    <t>info@hotelmontiazzurri.com</t>
  </si>
  <si>
    <t>IL TIGLIO DI MAZZARONI ENRICO</t>
  </si>
  <si>
    <t>frazione Isola San Biagio 1</t>
  </si>
  <si>
    <t>ristoranteiltiglio@yahoo.it</t>
  </si>
  <si>
    <t>LA BAITA DI PILATO S.A.S.</t>
  </si>
  <si>
    <t>localita' pignotti 8</t>
  </si>
  <si>
    <t>www.labaitadipilato.it</t>
  </si>
  <si>
    <t>info@labaitadipilato.it</t>
  </si>
  <si>
    <t>ISOLA SAN BIAGIO</t>
  </si>
  <si>
    <t>RIVOROSSO</t>
  </si>
  <si>
    <t>VALLEGRASCIA</t>
  </si>
  <si>
    <t>CASA GIOIOSA</t>
  </si>
  <si>
    <t>FOCE 1</t>
  </si>
  <si>
    <t>FERRA'</t>
  </si>
  <si>
    <t>marchigiana@unitalsi.it</t>
  </si>
  <si>
    <t>RIFUGIO SIBILLA 1540</t>
  </si>
  <si>
    <t>LE FATE DI SESTINI ELISA</t>
  </si>
  <si>
    <t>LOCALITA' ISOLA SAN BIAGIO 1</t>
  </si>
  <si>
    <t>localita' cittadella 1</t>
  </si>
  <si>
    <t>LE CASTELLARE</t>
  </si>
  <si>
    <t>frazione Colleregnone 1</t>
  </si>
  <si>
    <t>www.lecastellare.it</t>
  </si>
  <si>
    <t>info@lecastellare.it</t>
  </si>
  <si>
    <t>VILLA FIOR</t>
  </si>
  <si>
    <t>localita' rivo rosso 1</t>
  </si>
  <si>
    <t>www.villafior.it</t>
  </si>
  <si>
    <t>info@villafior.it</t>
  </si>
  <si>
    <t>STELLA ALPINA</t>
  </si>
  <si>
    <t>Frazione Vallegrascia 106</t>
  </si>
  <si>
    <t>www.stellaalpinabb.it</t>
  </si>
  <si>
    <t>info@stellaalpinabb.it</t>
  </si>
  <si>
    <t>SOLE LUNA</t>
  </si>
  <si>
    <t>Via Bitossi 43</t>
  </si>
  <si>
    <t>MONTEPRANDONE</t>
  </si>
  <si>
    <t>laura.cardinali@gmail.com</t>
  </si>
  <si>
    <t>CASA ADRIATICA</t>
  </si>
  <si>
    <t>Contrada Fonte Vecchia 22</t>
  </si>
  <si>
    <t>casaadriatica.nl</t>
  </si>
  <si>
    <t>casaadriatica@gmail.com</t>
  </si>
  <si>
    <t>VILLA CICCHI</t>
  </si>
  <si>
    <t>Contrada Colle S. Angelo 18</t>
  </si>
  <si>
    <t>info@bedandbreakfastvillacicchi.it</t>
  </si>
  <si>
    <t>ilaria_28@live.it;</t>
  </si>
  <si>
    <t>IL GIARDINO DI SAN GIACOMO</t>
  </si>
  <si>
    <t>Via Monterone 33</t>
  </si>
  <si>
    <t>persianicristian1965@gmail.com</t>
  </si>
  <si>
    <t>GLI ORTI DI SAN GIACOMO</t>
  </si>
  <si>
    <t>www.bbgliortidisangiacomo.it</t>
  </si>
  <si>
    <t>ortidisangiacomo@gmail.com</t>
  </si>
  <si>
    <t>HOSTARIA DEL CAVALIERE</t>
  </si>
  <si>
    <t>via antonio gramsci 7</t>
  </si>
  <si>
    <t>www.hoteldelcavaliere.it</t>
  </si>
  <si>
    <t>info@hoteldelcavaliere.it</t>
  </si>
  <si>
    <t>5 COLLI</t>
  </si>
  <si>
    <t>COLLE SANT'ANGELO  32A</t>
  </si>
  <si>
    <t>cinquecolli.bnb@hotmail.com</t>
  </si>
  <si>
    <t>bruni.cinzia@hotmail.it</t>
  </si>
  <si>
    <t>CONTRADA ISOLA 32</t>
  </si>
  <si>
    <t>Monteprandone</t>
  </si>
  <si>
    <t>peppe.giostra@gmail.com</t>
  </si>
  <si>
    <t>SAN GIACOMO</t>
  </si>
  <si>
    <t>via Giacomo Leopardi 7</t>
  </si>
  <si>
    <t>info@hotel-sangiacomo.it</t>
  </si>
  <si>
    <t>HOTEL BELVEDERE</t>
  </si>
  <si>
    <t>via Indipendenza 26</t>
  </si>
  <si>
    <t>http://www.hrbelvedere.it</t>
  </si>
  <si>
    <t>info@hrbelvedere.it</t>
  </si>
  <si>
    <t>IL SAPORE DELLA LUNA</t>
  </si>
  <si>
    <t>contrada Spiagge 23</t>
  </si>
  <si>
    <t>www.ilsaporedellaluna.it</t>
  </si>
  <si>
    <t>info@ilsaporedellaluna.it</t>
  </si>
  <si>
    <t>RESIDENCE BORGO DA MARE</t>
  </si>
  <si>
    <t>via Allegretti 13</t>
  </si>
  <si>
    <t>www.borgodamare.it</t>
  </si>
  <si>
    <t>info@borgodamare.it</t>
  </si>
  <si>
    <t>LA TANA DEL SERPENTE di DESANTIS TIZIANA</t>
  </si>
  <si>
    <t>via Garibaldi 27</t>
  </si>
  <si>
    <t>OFFIDA</t>
  </si>
  <si>
    <t>Offida - Centro Storico</t>
  </si>
  <si>
    <t>www.latanadelserpente.com</t>
  </si>
  <si>
    <t>tiziana.des@libero.it</t>
  </si>
  <si>
    <t>AREA DI SOSTA</t>
  </si>
  <si>
    <t>borgo Leopardi</t>
  </si>
  <si>
    <t>poliziamunicipale@comune.offida.ap.it</t>
  </si>
  <si>
    <t>AGRITURISMO CASA ROSA</t>
  </si>
  <si>
    <t>c.da Tesino 243/b</t>
  </si>
  <si>
    <t>www.agriturismocasarosa.it</t>
  </si>
  <si>
    <t>info@agriturismocasarosa.it</t>
  </si>
  <si>
    <t>B&amp;B CASA AMABILI</t>
  </si>
  <si>
    <t>via palmiro togliatti 41</t>
  </si>
  <si>
    <t>B&amp;B LA NEVIERA NEL POZZO</t>
  </si>
  <si>
    <t>via San Martino 33</t>
  </si>
  <si>
    <t>www.offidanelpozzo.it</t>
  </si>
  <si>
    <t>info@offidanelpozzo.it</t>
  </si>
  <si>
    <t>LA CASA DI MARINELLA</t>
  </si>
  <si>
    <t>contrada lava 6</t>
  </si>
  <si>
    <t>bbmarinella@vodafone.it</t>
  </si>
  <si>
    <t>B&amp;B PALAZZO NICOLETTI BALLATI BONAFFINI</t>
  </si>
  <si>
    <t>corso serpente aureo 58</t>
  </si>
  <si>
    <t>www.baronedellolmo.com</t>
  </si>
  <si>
    <t>info@baronedellolmo.it</t>
  </si>
  <si>
    <t>AGRITURISMO NONNO PIO</t>
  </si>
  <si>
    <t>c.da Tesino 58</t>
  </si>
  <si>
    <t>c.da Tesino</t>
  </si>
  <si>
    <t>info@nonnopio.it</t>
  </si>
  <si>
    <t>B&amp;B MARE E MONTI</t>
  </si>
  <si>
    <t>VIA SAN FRANCESCO  20</t>
  </si>
  <si>
    <t>www.bbmareemonti.it</t>
  </si>
  <si>
    <t>info@bbmareemonti.it</t>
  </si>
  <si>
    <t>CASALE ROSY</t>
  </si>
  <si>
    <t>contrada Ciafone 4/b</t>
  </si>
  <si>
    <t>mimros76@hotmail.com</t>
  </si>
  <si>
    <t>PIERANTONELLI MARCO APP.TO 1</t>
  </si>
  <si>
    <t>Contrada Testino 187</t>
  </si>
  <si>
    <t>marcopierantonelli@yahoo.it</t>
  </si>
  <si>
    <t>B&amp;B CASA CARDUCCI</t>
  </si>
  <si>
    <t>Piazza Forlini 4</t>
  </si>
  <si>
    <t>www.casacarduccioffida.it</t>
  </si>
  <si>
    <t>luciaancillai@gmail.com</t>
  </si>
  <si>
    <t>CASALE DEGLI ULIVI</t>
  </si>
  <si>
    <t>contrada Ciafone</t>
  </si>
  <si>
    <t>casaleulivi@gmail.com</t>
  </si>
  <si>
    <t>LUCIA PELLEI</t>
  </si>
  <si>
    <t>via Macelli 8</t>
  </si>
  <si>
    <t>l.pellei.arch@gmail.com</t>
  </si>
  <si>
    <t>B&amp;B VILLA HARVEY</t>
  </si>
  <si>
    <t>c.da Lava 125</t>
  </si>
  <si>
    <t>Lava (vicino ex-Fornace di Offida)</t>
  </si>
  <si>
    <t>patriciaharvey@btinternet.com</t>
  </si>
  <si>
    <t>B&amp;B SAN BARNABA</t>
  </si>
  <si>
    <t>c.da Tesino 232</t>
  </si>
  <si>
    <t>San Barnaba</t>
  </si>
  <si>
    <t>www.bbsanbarnaba.com</t>
  </si>
  <si>
    <t>bbsanbarnaba@bbsanbarnaba.com</t>
  </si>
  <si>
    <t>B&amp;B LA CASA DI LUCY</t>
  </si>
  <si>
    <t>c.da Tesino 78</t>
  </si>
  <si>
    <t>www.lacasadilucy.it</t>
  </si>
  <si>
    <t>luciagabrielli@alice.it</t>
  </si>
  <si>
    <t>via Cavour 118</t>
  </si>
  <si>
    <t>www.iltramontoffida.it</t>
  </si>
  <si>
    <t>info@iltramontoffida.it</t>
  </si>
  <si>
    <t>B&amp;B DIMORA ROSSO PICENO</t>
  </si>
  <si>
    <t>c.da Tesino 99/a</t>
  </si>
  <si>
    <t>www.dimorarossopiceno.it</t>
  </si>
  <si>
    <t>info@dimorarossopiceno.it</t>
  </si>
  <si>
    <t>AFFITTACAMERE ALBACHIARA</t>
  </si>
  <si>
    <t>p.zza f.lli Cervi 13</t>
  </si>
  <si>
    <t>www.affittacamerealbachiara.it</t>
  </si>
  <si>
    <t>affittacamerealbachiara@gmail.com</t>
  </si>
  <si>
    <t>CASA VANNICOLA</t>
  </si>
  <si>
    <t>borgo Cappuccini 47</t>
  </si>
  <si>
    <t>gianmarcocapecci@gmail.com</t>
  </si>
  <si>
    <t>via Tesino 72/a</t>
  </si>
  <si>
    <t>www.hotelristorantelafonte.it</t>
  </si>
  <si>
    <t>info@hotelristorantelafonte.it</t>
  </si>
  <si>
    <t>borgo Miriam 51</t>
  </si>
  <si>
    <t>www.hotellabotte.com</t>
  </si>
  <si>
    <t>hotel_labotte@libero.it</t>
  </si>
  <si>
    <t>HOTEL CAROLINE</t>
  </si>
  <si>
    <t>viale Giuseppe Mazzini 7</t>
  </si>
  <si>
    <t>www.hotelcaroline.it</t>
  </si>
  <si>
    <t>info@hotelcaroline.it</t>
  </si>
  <si>
    <t>SAN LAZZARO 46</t>
  </si>
  <si>
    <t>Offida</t>
  </si>
  <si>
    <t>www.lavalledelsoleoffida.com</t>
  </si>
  <si>
    <t>valledelsoleoffida@gmail.com</t>
  </si>
  <si>
    <t>via Tesino 261/b</t>
  </si>
  <si>
    <t>CONTRADA CIAFONE 98</t>
  </si>
  <si>
    <t>www.viniaurora.it</t>
  </si>
  <si>
    <t>enrico@viniaurora.it</t>
  </si>
  <si>
    <t>IL GUFO</t>
  </si>
  <si>
    <t>S. BARNABA</t>
  </si>
  <si>
    <t>AGRITURISMO IL CHIERICO</t>
  </si>
  <si>
    <t>IL NASCONDIGLIO DI BACCO</t>
  </si>
  <si>
    <t>c.da Ciafone 79</t>
  </si>
  <si>
    <t>Borgo Miriam</t>
  </si>
  <si>
    <t>www.nascondigliodibacco.it</t>
  </si>
  <si>
    <t>info@nascondigliodibacco.it</t>
  </si>
  <si>
    <t>CIABATTONI IDA</t>
  </si>
  <si>
    <t>c.da Tesino 104</t>
  </si>
  <si>
    <t>casaleborgomiriam@gmail.com</t>
  </si>
  <si>
    <t>B&amp;B DIMORA NEL BORGO</t>
  </si>
  <si>
    <t>corso Serpente Aureo 27</t>
  </si>
  <si>
    <t>offida</t>
  </si>
  <si>
    <t>guidolo@msn.com</t>
  </si>
  <si>
    <t>B&amp;B D'ANGELO DANIELE</t>
  </si>
  <si>
    <t>via Lava 60</t>
  </si>
  <si>
    <t>fideas.tonino@fideas.it</t>
  </si>
  <si>
    <t>AFFITTACAMERE DOLCI COLLINE</t>
  </si>
  <si>
    <t>via San Lazzaro 124/b</t>
  </si>
  <si>
    <t>paperino124b@alice.it</t>
  </si>
  <si>
    <t>NESPECA SILVIO</t>
  </si>
  <si>
    <t>borgo Leopardi 30-4 30</t>
  </si>
  <si>
    <t>paolo@nespeca.it</t>
  </si>
  <si>
    <t>borgo Leopardi 35-B 35/b</t>
  </si>
  <si>
    <t>AI 2 GELSI</t>
  </si>
  <si>
    <t>c.da Ciafone 17</t>
  </si>
  <si>
    <t>PIT LANE</t>
  </si>
  <si>
    <t>PALMIRO TOGLIATTI  137</t>
  </si>
  <si>
    <t>tfs.tarquini@libero.it</t>
  </si>
  <si>
    <t>RESIDENZA IDA</t>
  </si>
  <si>
    <t>Via Roma 5</t>
  </si>
  <si>
    <t>nespeca.nerio@alice.it</t>
  </si>
  <si>
    <t>CICCHI ANNA</t>
  </si>
  <si>
    <t>Via Garibaldi  80</t>
  </si>
  <si>
    <t>DE CAROLIS GIORGIO</t>
  </si>
  <si>
    <t>Via Roma 11</t>
  </si>
  <si>
    <t>GIOSTRA LUISA</t>
  </si>
  <si>
    <t>Contrada Ciafone 114</t>
  </si>
  <si>
    <t>MASSI PATRIZIO</t>
  </si>
  <si>
    <t>Via San Lazzaro 145</t>
  </si>
  <si>
    <t>mollteo@alice.it</t>
  </si>
  <si>
    <t>CASA VACANZE MADONNA DELLA SANTITA'</t>
  </si>
  <si>
    <t>Via Lava 43</t>
  </si>
  <si>
    <t>strjo@libero.it</t>
  </si>
  <si>
    <t>PIERANTONELLI MARCO APP.TO 2</t>
  </si>
  <si>
    <t>contrada Castel San Pietro 1</t>
  </si>
  <si>
    <t>PALMIANO</t>
  </si>
  <si>
    <t>www.belvedereap.it</t>
  </si>
  <si>
    <t>info@belvedereap.it</t>
  </si>
  <si>
    <t>IL TUO CORBEZZOLO</t>
  </si>
  <si>
    <t>via Sant'Egidio 25</t>
  </si>
  <si>
    <t>RIPATRANSONE</t>
  </si>
  <si>
    <t>www.hotel-corbezzolo.com</t>
  </si>
  <si>
    <t>info@hotel-corbezzolo.com</t>
  </si>
  <si>
    <t>via Fonte Abeceto 30</t>
  </si>
  <si>
    <t>LA CASCINA DEI CILIEGI</t>
  </si>
  <si>
    <t>via Piannacciole 4</t>
  </si>
  <si>
    <t>S. SAVINO-RIPATRANSONE</t>
  </si>
  <si>
    <t>www.lacascinadeiciliegi.com</t>
  </si>
  <si>
    <t>info@lacascinadeiciliegi.com</t>
  </si>
  <si>
    <t>contrada magazzini 9</t>
  </si>
  <si>
    <t>www.lacontrada.com</t>
  </si>
  <si>
    <t>info@lacontrada.com</t>
  </si>
  <si>
    <t>B&amp;B MONTE GUSCIO</t>
  </si>
  <si>
    <t>cazippi@it</t>
  </si>
  <si>
    <t>B&amp;B FAMIGLIA DE ANGELIS</t>
  </si>
  <si>
    <t>via Canali 10</t>
  </si>
  <si>
    <t>www.bbfamigliadeangelis.it</t>
  </si>
  <si>
    <t>teresa.pierantozzi@alice.it</t>
  </si>
  <si>
    <t>SANTA TERESA</t>
  </si>
  <si>
    <t>piazzale Adolfo Cellini 5</t>
  </si>
  <si>
    <t>teresiane.ripa@yahoo.com</t>
  </si>
  <si>
    <t>COUNTRY HOTEL &amp; RESTAURANT I CALANCHI</t>
  </si>
  <si>
    <t>c.da Verrame 1</t>
  </si>
  <si>
    <t>www.i-calanchi.com</t>
  </si>
  <si>
    <t>info@i-calanchi.com</t>
  </si>
  <si>
    <t>B&amp;B IL ROCCOLO</t>
  </si>
  <si>
    <t>contrada Petrella 32</t>
  </si>
  <si>
    <t>www.bb-ilroccolo.it</t>
  </si>
  <si>
    <t>arch.anelli@libero.it</t>
  </si>
  <si>
    <t>LA TORRE DEL GALLO</t>
  </si>
  <si>
    <t>c.da Sant' Egidio 1</t>
  </si>
  <si>
    <t>www.torredelgallo.it</t>
  </si>
  <si>
    <t>info@torredelgallo.it</t>
  </si>
  <si>
    <t>VILLA BELSITO</t>
  </si>
  <si>
    <t>contrada colle di guardia 20</t>
  </si>
  <si>
    <t>www.villabelsito.it</t>
  </si>
  <si>
    <t>info@villabelsito.it</t>
  </si>
  <si>
    <t>AZIENDA AGRICOLA AGRITURISTICA IERVASCIO'</t>
  </si>
  <si>
    <t>contrada s. michele18 12</t>
  </si>
  <si>
    <t>B&amp;B I .. GATTI DI RIPA</t>
  </si>
  <si>
    <t>via Attone Bonaparte 1</t>
  </si>
  <si>
    <t>igattidiripa@gmail.com</t>
  </si>
  <si>
    <t>B&amp;B VILLA PATRIZIA</t>
  </si>
  <si>
    <t>via Petrella 13</t>
  </si>
  <si>
    <t>c.da Petrella</t>
  </si>
  <si>
    <t>www.villapatriziabb.it</t>
  </si>
  <si>
    <t>villapatriziabb@virgilio.it</t>
  </si>
  <si>
    <t>B&amp;B BELVEDERE</t>
  </si>
  <si>
    <t>via Fratelli Picchi 3</t>
  </si>
  <si>
    <t>www.belvederebnb.it</t>
  </si>
  <si>
    <t>info@belvederebnb.it</t>
  </si>
  <si>
    <t>via Acquarola 6</t>
  </si>
  <si>
    <t>maurideangelis@libero.it</t>
  </si>
  <si>
    <t>BED &amp; BREAKFAST SILENT VALLEY</t>
  </si>
  <si>
    <t>contrada San Salvatore 1</t>
  </si>
  <si>
    <t>Ripatransone</t>
  </si>
  <si>
    <t>www.silentvalley.it</t>
  </si>
  <si>
    <t>info@silentvalley.it</t>
  </si>
  <si>
    <t>LU CUCCELO' HOUSE</t>
  </si>
  <si>
    <t>via Don Augusto Camei  3</t>
  </si>
  <si>
    <t>info@lucuccelo.it</t>
  </si>
  <si>
    <t>contrada sant' imero 4</t>
  </si>
  <si>
    <t>www.ilpoderedelnonno.it</t>
  </si>
  <si>
    <t>info@ilpoderedelnonno.it</t>
  </si>
  <si>
    <t>AGRITURISMO PIETRA ANTICA</t>
  </si>
  <si>
    <t>www.agriturismopietrantica.com</t>
  </si>
  <si>
    <t>agrit.pietrantica@alice.it</t>
  </si>
  <si>
    <t>B&amp;B L'APE REGINA</t>
  </si>
  <si>
    <t>c.da Verrame 3</t>
  </si>
  <si>
    <t>loc. San Savino di Ripatransone</t>
  </si>
  <si>
    <t>www.bbaperegina.it</t>
  </si>
  <si>
    <t>info@bbaperegina.it</t>
  </si>
  <si>
    <t>B&amp;B LAETITIA</t>
  </si>
  <si>
    <t>c.da Messieri 49</t>
  </si>
  <si>
    <t>www.beblaetitia.altervista.org</t>
  </si>
  <si>
    <t>deangelisanna1@libero.it</t>
  </si>
  <si>
    <t>B&amp;B IL MERLO</t>
  </si>
  <si>
    <t>strada provinciale valtesino 5</t>
  </si>
  <si>
    <t>www.ilmerlo.eu</t>
  </si>
  <si>
    <t>info@ilmerlo.eu</t>
  </si>
  <si>
    <t>B&amp;B COLLE SANTANDREA</t>
  </si>
  <si>
    <t>contrada colle santandrea 6</t>
  </si>
  <si>
    <t>www.collesantandrea.it</t>
  </si>
  <si>
    <t>info@collesantandrea.it</t>
  </si>
  <si>
    <t>AGRITURISMO RELAIS DEL COLLE</t>
  </si>
  <si>
    <t>contrada San Gregorio 16</t>
  </si>
  <si>
    <t>www.relaisdelcolle.it</t>
  </si>
  <si>
    <t>info@relaisdelcolle.it</t>
  </si>
  <si>
    <t>B&amp;B L'ARTISTA di MOSCARDELLI PATRIZIO</t>
  </si>
  <si>
    <t>contrada Colle di Vecchio 5</t>
  </si>
  <si>
    <t>www.artistabb.com</t>
  </si>
  <si>
    <t>artistabb@gmail.com</t>
  </si>
  <si>
    <t>B&amp;B CASALE DEI PATRIZI</t>
  </si>
  <si>
    <t>contrada Petrella 71</t>
  </si>
  <si>
    <t>B&amp;B LA CASA DEL PRETE</t>
  </si>
  <si>
    <t>Corso Vittorio Emanuele II 26</t>
  </si>
  <si>
    <t>Centro</t>
  </si>
  <si>
    <t>www.invacanzanellemarche.eu</t>
  </si>
  <si>
    <t>info@invacanzanellemarche.eu</t>
  </si>
  <si>
    <t>B&amp;B GECO di FARES GIANCARLO</t>
  </si>
  <si>
    <t>VIA CABIANO  32</t>
  </si>
  <si>
    <t>www.bebgeco.it</t>
  </si>
  <si>
    <t>info@bebgeco.com</t>
  </si>
  <si>
    <t>LOCALITA' SANT'ANGELO</t>
  </si>
  <si>
    <t>HOTEL IL PICENO</t>
  </si>
  <si>
    <t>via Leopardi  12</t>
  </si>
  <si>
    <t>www.ilpiceno.eu</t>
  </si>
  <si>
    <t>info@hotelpiceno.eu</t>
  </si>
  <si>
    <t>DOMUS PETRAE</t>
  </si>
  <si>
    <t>Contrada Magazzini 11</t>
  </si>
  <si>
    <t>CONTRADA MAGAZZINI</t>
  </si>
  <si>
    <t>www.domuspetrae.it</t>
  </si>
  <si>
    <t>info@domuspetrae.it; scabroso@yahoo.it</t>
  </si>
  <si>
    <t>B&amp;B LA CASA DI GAETANO E VITTORIA</t>
  </si>
  <si>
    <t>via Garibaldi 38</t>
  </si>
  <si>
    <t>www.lacasadigaetanoevittoria.it</t>
  </si>
  <si>
    <t>casagaetanovittoria@gmail.com</t>
  </si>
  <si>
    <t>ROSADIPEPE</t>
  </si>
  <si>
    <t>CONTRADA SAN SALVATORE 18</t>
  </si>
  <si>
    <t>SAN SALVATORE</t>
  </si>
  <si>
    <t>gabrytizi@gmail.com</t>
  </si>
  <si>
    <t>VILLA CHATOE'</t>
  </si>
  <si>
    <t>Contrada Colle S. Andrea 6</t>
  </si>
  <si>
    <t>www.villachatoe.com</t>
  </si>
  <si>
    <t>info@villachatoe.com</t>
  </si>
  <si>
    <t>LA CASA NEL BOSCO APP.TO</t>
  </si>
  <si>
    <t>Contrada Ciapella 13</t>
  </si>
  <si>
    <t>B&amp;B LA SPASELLA</t>
  </si>
  <si>
    <t>sp 89 70</t>
  </si>
  <si>
    <t>ROCCAFLUVIONE</t>
  </si>
  <si>
    <t>Ponte Paoletti Strada Provinciale SP89</t>
  </si>
  <si>
    <t>vinicioferracuti@libero.it</t>
  </si>
  <si>
    <t>IL VIRGINIA</t>
  </si>
  <si>
    <t>Via Picena Superiore 25</t>
  </si>
  <si>
    <t>B&amp;B LA LOCANDA DELLA CIVETTA PAOLA PARASECOLI</t>
  </si>
  <si>
    <t>via Caserine 1</t>
  </si>
  <si>
    <t>B&amp;B VILLA FILETTA</t>
  </si>
  <si>
    <t>frazione Casacagnano 53</t>
  </si>
  <si>
    <t>www.villafiletta.it</t>
  </si>
  <si>
    <t>info@villafiletta.it</t>
  </si>
  <si>
    <t>IL RIFUGIO DEI MARSI</t>
  </si>
  <si>
    <t>frazione Caserine 8</t>
  </si>
  <si>
    <t>www.bedandbreakfastascolipiceno.eu</t>
  </si>
  <si>
    <t>info@ilrifugiodeimarsi.it</t>
  </si>
  <si>
    <t>B&amp;B MAREMONTI</t>
  </si>
  <si>
    <t>Via Picena Superiore 17</t>
  </si>
  <si>
    <t>www.roccafluvione.net</t>
  </si>
  <si>
    <t>bedandbreakfast@roccafluvione.net</t>
  </si>
  <si>
    <t>strada Casebianche 91</t>
  </si>
  <si>
    <t>CASEBIANCHE</t>
  </si>
  <si>
    <t>www.agrituristlarocca.it</t>
  </si>
  <si>
    <t>bblarocca@libero.it</t>
  </si>
  <si>
    <t>B&amp;B SILVI STEFANO</t>
  </si>
  <si>
    <t>vicolo della Madonnina 8</t>
  </si>
  <si>
    <t>B&amp;B IL PASSETTO</t>
  </si>
  <si>
    <t>vicolo del Passetto 2</t>
  </si>
  <si>
    <t>www.passetto.eu</t>
  </si>
  <si>
    <t>info@passetto.eu</t>
  </si>
  <si>
    <t>AGRITURISMO ARCERA</t>
  </si>
  <si>
    <t>frazione Forcella 35</t>
  </si>
  <si>
    <t>FORCELLA</t>
  </si>
  <si>
    <t>www.arcera.it</t>
  </si>
  <si>
    <t>larcera@libero.it</t>
  </si>
  <si>
    <t>CASA PAOLA RENATA CARBONI</t>
  </si>
  <si>
    <t>MESCHIA</t>
  </si>
  <si>
    <t>B&amp;B MA IDA</t>
  </si>
  <si>
    <t>Frazione Casaregnano 12</t>
  </si>
  <si>
    <t>perozzi.v@libero.it; autoper4x4@libero.it</t>
  </si>
  <si>
    <t>B&amp;B LA CASA DI SABRINA</t>
  </si>
  <si>
    <t>viale della Repubblica 19</t>
  </si>
  <si>
    <t>www.lacollinadeltartufo.it</t>
  </si>
  <si>
    <t>bbrina@hotmail.it; info@lacollinadeltartufo.it</t>
  </si>
  <si>
    <t>LA COLLINA DEL TARTUFO</t>
  </si>
  <si>
    <t>strade Casebianche 73</t>
  </si>
  <si>
    <t>info@lacollinadeltartufo.it</t>
  </si>
  <si>
    <t>BED &amp; BREAKFAST I MASSI di SALVI PIETRO</t>
  </si>
  <si>
    <t>DONNAROSA HOTEL RISTORANTE</t>
  </si>
  <si>
    <t>via Antonio Gramsci 5</t>
  </si>
  <si>
    <t>donnarosa.grottino@libero.it</t>
  </si>
  <si>
    <t>IL RUSPANTE</t>
  </si>
  <si>
    <t>via Picena Inferiore 87</t>
  </si>
  <si>
    <t>via Umberto I 1</t>
  </si>
  <si>
    <t>ROTELLA</t>
  </si>
  <si>
    <t>www.ostellodellascensione.it</t>
  </si>
  <si>
    <t>info@ostellodellascensione.it</t>
  </si>
  <si>
    <t>LA CANOSA SRL AGROFORESTALE di Reina Riccardo</t>
  </si>
  <si>
    <t>Contrada San Pietro 6</t>
  </si>
  <si>
    <t>Contrada San Pietro</t>
  </si>
  <si>
    <t>amministrazione@lacanosaagricola.it</t>
  </si>
  <si>
    <t>B&amp;B LE FATE</t>
  </si>
  <si>
    <t>via della Repubblica 11</t>
  </si>
  <si>
    <t>com.rotella@tiscali.it</t>
  </si>
  <si>
    <t>B&amp;B FIOCCO</t>
  </si>
  <si>
    <t>via delle Frazioni 17</t>
  </si>
  <si>
    <t>www.fioccobb.weebly.com</t>
  </si>
  <si>
    <t>andreafiocco@hotmail.it</t>
  </si>
  <si>
    <t>IL PALMARONE</t>
  </si>
  <si>
    <t>ilpalmarone@libero.it</t>
  </si>
  <si>
    <t>B&amp;B POGGIO VERDE</t>
  </si>
  <si>
    <t>C.DA COLLE 25</t>
  </si>
  <si>
    <t>mara.clementi@gmail.com</t>
  </si>
  <si>
    <t>B&amp;B SANTA LUCIA</t>
  </si>
  <si>
    <t>via Santa Lucia  6</t>
  </si>
  <si>
    <t>www.bbsantaluciasbt.com</t>
  </si>
  <si>
    <t>bbsantaluciasbt@gmail.com</t>
  </si>
  <si>
    <t>BERTOLOTTI LILIANA</t>
  </si>
  <si>
    <t>via del Sangallo 4</t>
  </si>
  <si>
    <t>CAMPANELLI TIZIANO</t>
  </si>
  <si>
    <t>via Torino  13</t>
  </si>
  <si>
    <t>B&amp;BELVEDERE</t>
  </si>
  <si>
    <t>via Belvedere 11</t>
  </si>
  <si>
    <t>www.bandbelvedere.eu</t>
  </si>
  <si>
    <t>bandbelvedere@libero.it</t>
  </si>
  <si>
    <t>ACQUAPAZZA ROOM</t>
  </si>
  <si>
    <t>via San Martino 58</t>
  </si>
  <si>
    <t>info@acquapazzaristorante.it</t>
  </si>
  <si>
    <t>B&amp;B DA NONNA TERESA</t>
  </si>
  <si>
    <t>C.so G.Mazzini 170</t>
  </si>
  <si>
    <t>danonnateresa@aol.fr</t>
  </si>
  <si>
    <t>B&amp;B ERIKA</t>
  </si>
  <si>
    <t>VIA A.MURRI 15/A</t>
  </si>
  <si>
    <t>bberika_sbt@outlook.it</t>
  </si>
  <si>
    <t>SOLE &amp; SALE</t>
  </si>
  <si>
    <t>via L. Luciani 46/b</t>
  </si>
  <si>
    <t>solesalesbt@gmail.com</t>
  </si>
  <si>
    <t>QUADRIFOGLIO</t>
  </si>
  <si>
    <t>via Pasubio 160</t>
  </si>
  <si>
    <t>www.fata.it</t>
  </si>
  <si>
    <t>quadrifoglio@fata.it</t>
  </si>
  <si>
    <t>B&amp;B ALBA SUL MARE</t>
  </si>
  <si>
    <t>via Monte Conero 90</t>
  </si>
  <si>
    <t>www.bbalbasulmare.it</t>
  </si>
  <si>
    <t>albasulmare@email.it</t>
  </si>
  <si>
    <t>B&amp;B PIANOZERO di ROSATI NICOLETTA</t>
  </si>
  <si>
    <t>via Santa maria Goretti 3</t>
  </si>
  <si>
    <t>www.pianozerobb.it</t>
  </si>
  <si>
    <t>shianico67@gmail.com</t>
  </si>
  <si>
    <t>B&amp;B OASI 83</t>
  </si>
  <si>
    <t>via Sabotino 83</t>
  </si>
  <si>
    <t>www.oasi83.it</t>
  </si>
  <si>
    <t>info@oasi83.it</t>
  </si>
  <si>
    <t>B&amp;B CASA ANTONELLI</t>
  </si>
  <si>
    <t>via Santa Maria Goretti 13</t>
  </si>
  <si>
    <t>www.casaantonelli.it</t>
  </si>
  <si>
    <t>bbcasaantonelli@gmail.com</t>
  </si>
  <si>
    <t>Viale dello Sport 60</t>
  </si>
  <si>
    <t>http://www.ostellosanbenedettodeltronto.it/</t>
  </si>
  <si>
    <t>ostellosbt@gmail.com</t>
  </si>
  <si>
    <t>B&amp;B LA MARINA</t>
  </si>
  <si>
    <t>via Pascoli 14/a</t>
  </si>
  <si>
    <t>bblamarina@gmail.com</t>
  </si>
  <si>
    <t>CASA MIA di ATTRICE ANDREA</t>
  </si>
  <si>
    <t>via Fusinato 25</t>
  </si>
  <si>
    <t>info@casamiabb.it</t>
  </si>
  <si>
    <t>B&amp;B SAN BENEDETTO</t>
  </si>
  <si>
    <t>m.luisaurbani@gmail.com</t>
  </si>
  <si>
    <t>B&amp;B DOLCE BUONGIORNO</t>
  </si>
  <si>
    <t>Via S. Formentini 89</t>
  </si>
  <si>
    <t>giovannimenzietti@libero.it</t>
  </si>
  <si>
    <t>CAPOLLI GIAMPIETRO - APP.TO VIA FOSSE ARDEATINE</t>
  </si>
  <si>
    <t>Via Fosse Ardeatine 8</t>
  </si>
  <si>
    <t>hferrara@katamail.com</t>
  </si>
  <si>
    <t>TREVISANI GIUSEPPE</t>
  </si>
  <si>
    <t>Via R. Zandonai 6</t>
  </si>
  <si>
    <t>studio@patriziapalestini.it</t>
  </si>
  <si>
    <t>PANELLA GIANLUCA</t>
  </si>
  <si>
    <t>Via Gaspare Spontini 3</t>
  </si>
  <si>
    <t>SAN BENEDETTO DELTRONTO</t>
  </si>
  <si>
    <t>irenepazzaglia@studiodps.it</t>
  </si>
  <si>
    <t>HOSTAL AL PORTO</t>
  </si>
  <si>
    <t>VIA CRISTOFORO COLOMBO 109</t>
  </si>
  <si>
    <t>hostalalporto@gmail.com</t>
  </si>
  <si>
    <t>MARIO AL BORGO "LU MEDECHE PICCIONE" GUEST HOUSE</t>
  </si>
  <si>
    <t>via Labirinto 11</t>
  </si>
  <si>
    <t>www.marioalborgo.it</t>
  </si>
  <si>
    <t>piccionigraziano@libero.it</t>
  </si>
  <si>
    <t>HOTEL IL MAESTRALE</t>
  </si>
  <si>
    <t>via Fosse Ardeatine 12</t>
  </si>
  <si>
    <t>www.hotelmaestrale.it</t>
  </si>
  <si>
    <t>info@maestralehotel.it</t>
  </si>
  <si>
    <t>LARGO FILENI 7</t>
  </si>
  <si>
    <t>Largo Elio Fileni 7</t>
  </si>
  <si>
    <t>mariapiamascioli@gmail.com</t>
  </si>
  <si>
    <t>B&amp;B ALBATROS</t>
  </si>
  <si>
    <t>via Todaro 18 18</t>
  </si>
  <si>
    <t>frisoli.ernesto@gmail.com</t>
  </si>
  <si>
    <t>via G. Voltattorni 128</t>
  </si>
  <si>
    <t>lumarinelli@virgilio.it</t>
  </si>
  <si>
    <t>B&amp;B ARCOBALENO</t>
  </si>
  <si>
    <t>Via Due Giugno 9</t>
  </si>
  <si>
    <t>federica.perozzi@gmail.com</t>
  </si>
  <si>
    <t>LA BARCHETTA</t>
  </si>
  <si>
    <t>Via Monfalcone 23</t>
  </si>
  <si>
    <t>labarchettasbt@gmail.com</t>
  </si>
  <si>
    <t>CAPOLLI GIAMPIETRO - APP.TO VIA FANFULLA</t>
  </si>
  <si>
    <t>Via Fanfulla da Lodi 21</t>
  </si>
  <si>
    <t>DREAM FISH</t>
  </si>
  <si>
    <t>Via G. Spontini 1</t>
  </si>
  <si>
    <t>bbdreamfish.com</t>
  </si>
  <si>
    <t>eleanora.colagiacomi@gmail.com</t>
  </si>
  <si>
    <t>SANTRONI EMIDIO APP.TO</t>
  </si>
  <si>
    <t>Via Lombardia 64</t>
  </si>
  <si>
    <t>kellysbtappartamento@gmail.com</t>
  </si>
  <si>
    <t>INCANTO SOTTO IL MARE</t>
  </si>
  <si>
    <t>Via Faustina Maratta 1</t>
  </si>
  <si>
    <t>www.incantosottoilmare.it</t>
  </si>
  <si>
    <t>info@incantosottoilmare.it</t>
  </si>
  <si>
    <t>B&amp;B CASA FELICIA II</t>
  </si>
  <si>
    <t>Via Conquiste, 54/A 54/a</t>
  </si>
  <si>
    <t>San Benedetto del Tronto, 63074, AP-italia</t>
  </si>
  <si>
    <t>www.casafelicia.net</t>
  </si>
  <si>
    <t>italiaposadacasafelicia@gmail.com</t>
  </si>
  <si>
    <t>ACQUAMARINA</t>
  </si>
  <si>
    <t>via C. Maffei 68</t>
  </si>
  <si>
    <t>www.residenceacquamarina.com</t>
  </si>
  <si>
    <t>info@appartamentiacquamarina.it</t>
  </si>
  <si>
    <t>BED AND BREAKFAST VITTORIO EMANUELE</t>
  </si>
  <si>
    <t>via Luciano Manara 10</t>
  </si>
  <si>
    <t>bbvittorioemanuele@hotmail.it</t>
  </si>
  <si>
    <t>SMERALDO SUITES &amp; SPA</t>
  </si>
  <si>
    <t>viale Rinascimento 141</t>
  </si>
  <si>
    <t>www.smeraldosuitehotel.com</t>
  </si>
  <si>
    <t>info@smeraldosuitehotel.com</t>
  </si>
  <si>
    <t>BREZZA MARINA</t>
  </si>
  <si>
    <t>via Pio IX 10</t>
  </si>
  <si>
    <t>RIVIERA DELLE PALME</t>
  </si>
  <si>
    <t>www.brezzamarinabb.com</t>
  </si>
  <si>
    <t>ferrara.adele70@libero.it</t>
  </si>
  <si>
    <t>B&amp;B IL FARO</t>
  </si>
  <si>
    <t>via del Correggio, 27 27</t>
  </si>
  <si>
    <t>www.bbilfaro.net</t>
  </si>
  <si>
    <t>bebilfaro@gmail.com</t>
  </si>
  <si>
    <t>RESIDENCE SETTEBELLO di ANGELLOTTI LEOPOLDO</t>
  </si>
  <si>
    <t>via dei Mille 21/23</t>
  </si>
  <si>
    <t>www.residencesettebello.it</t>
  </si>
  <si>
    <t>info@residencesettebello.it</t>
  </si>
  <si>
    <t>piazza del Redentore 1</t>
  </si>
  <si>
    <t>www.bblerondini.com</t>
  </si>
  <si>
    <t>bblerondini@gmail.com</t>
  </si>
  <si>
    <t>B&amp;B ZIA ELVIRA</t>
  </si>
  <si>
    <t>largo Esperanto 5</t>
  </si>
  <si>
    <t>www.ziaelvira.it</t>
  </si>
  <si>
    <t>info@ziaelvira.it</t>
  </si>
  <si>
    <t>B&amp;B IDIANA</t>
  </si>
  <si>
    <t>via S. Voltattorni 3</t>
  </si>
  <si>
    <t>bbidiana.weebly.com</t>
  </si>
  <si>
    <t>bbidiana@libero.it</t>
  </si>
  <si>
    <t>B&amp;B LA VILLETTA</t>
  </si>
  <si>
    <t>via del Caravaggio 13</t>
  </si>
  <si>
    <t>www.bblavillettasbt.it</t>
  </si>
  <si>
    <t>bb.lavilletta@yahoo.it</t>
  </si>
  <si>
    <t>B&amp;B DREAMTIME</t>
  </si>
  <si>
    <t>via dei Laureati 86</t>
  </si>
  <si>
    <t>www.dreamtimebb.com</t>
  </si>
  <si>
    <t>info@dreamtimebb.com</t>
  </si>
  <si>
    <t>RESIDENCE ELISA</t>
  </si>
  <si>
    <t>viale Europa 72/74</t>
  </si>
  <si>
    <t>www.residenceelisa.it</t>
  </si>
  <si>
    <t>info@residenceelisa.it</t>
  </si>
  <si>
    <t>B&amp;B FUORI ROTTA</t>
  </si>
  <si>
    <t>via Calatafimi 16</t>
  </si>
  <si>
    <t>www.bbfuorirotta.it</t>
  </si>
  <si>
    <t>carlo.chiaromonte@tin.it</t>
  </si>
  <si>
    <t>B&amp;B OCCHI DI MARE</t>
  </si>
  <si>
    <t>via Nicola Copernico 34</t>
  </si>
  <si>
    <t>san benedetto del tronto</t>
  </si>
  <si>
    <t>bbocchidimare@gmail.com</t>
  </si>
  <si>
    <t>B&amp;B VILLA CRI CRI</t>
  </si>
  <si>
    <t>c.da Santa Lucia 15</t>
  </si>
  <si>
    <t>info@villacricri.it</t>
  </si>
  <si>
    <t>LE 3 CARAVELLE</t>
  </si>
  <si>
    <t>TRATTORIA DEL MARE</t>
  </si>
  <si>
    <t>via dei Laureati 4</t>
  </si>
  <si>
    <t>marisaruggieri@gmail.com</t>
  </si>
  <si>
    <t>B&amp;B CASA D'AMARE</t>
  </si>
  <si>
    <t>viale De Gasperi 46</t>
  </si>
  <si>
    <t>www.casadamarebb.com</t>
  </si>
  <si>
    <t>postmaster@casadamarebb.com</t>
  </si>
  <si>
    <t>B&amp;B IL POZZO (LU PòZZE)</t>
  </si>
  <si>
    <t>via Tronto 21/b</t>
  </si>
  <si>
    <t>santangelo.annalisa@gmail.com</t>
  </si>
  <si>
    <t>B&amp;B SUNBEACH</t>
  </si>
  <si>
    <t>via Sardegna 1/c</t>
  </si>
  <si>
    <t>http://bbsunbeach.it</t>
  </si>
  <si>
    <t>lusantori@gmail.com</t>
  </si>
  <si>
    <t>BED AND BREAKFAST SAN BENEDETTO DEL TRONTO</t>
  </si>
  <si>
    <t>via Monte Verde 2</t>
  </si>
  <si>
    <t>bebsanbenedettodeltronto@gmail.com</t>
  </si>
  <si>
    <t>B&amp;B HAPPY FAMILY</t>
  </si>
  <si>
    <t>via Monte San Michele 30</t>
  </si>
  <si>
    <t>happyfamily.italy@gmail.com</t>
  </si>
  <si>
    <t>MAVIP RESIDENCE</t>
  </si>
  <si>
    <t>via Sgambati 8</t>
  </si>
  <si>
    <t>www.mavipresidence.it</t>
  </si>
  <si>
    <t>info@mavip.it</t>
  </si>
  <si>
    <t>B&amp;B LA CANOA</t>
  </si>
  <si>
    <t>via guglielmo oberdan 38</t>
  </si>
  <si>
    <t>www.bblacanoa.com</t>
  </si>
  <si>
    <t>violinoo@gmail.com</t>
  </si>
  <si>
    <t>B&amp;B RENALBA</t>
  </si>
  <si>
    <t>contrada  santa lucia alta 48</t>
  </si>
  <si>
    <t>www.renalba.it</t>
  </si>
  <si>
    <t>info@renalba.it</t>
  </si>
  <si>
    <t>B&amp;B PALME IN RIVIERA</t>
  </si>
  <si>
    <t>via S. Formentini 74</t>
  </si>
  <si>
    <t>GOOD TRUCK LA SOSTA</t>
  </si>
  <si>
    <t>contrada San Giovanni 1</t>
  </si>
  <si>
    <t>www.lasostaspa.it</t>
  </si>
  <si>
    <t>info@truckone.org</t>
  </si>
  <si>
    <t>B&amp;B PATRIZIO</t>
  </si>
  <si>
    <t>corso Camillo Benso Conte di Cavour 8</t>
  </si>
  <si>
    <t>http://patrizio.it</t>
  </si>
  <si>
    <t>bb@patrizio.it</t>
  </si>
  <si>
    <t>B&amp;B IL CIELO IN UNA STANZA</t>
  </si>
  <si>
    <t>via l. luciani 76</t>
  </si>
  <si>
    <t>www.cieloinunastanza.com</t>
  </si>
  <si>
    <t>np@cieloinunastanza.com</t>
  </si>
  <si>
    <t>B&amp;B SKIPPER di PAGLIARINI MICHELE</t>
  </si>
  <si>
    <t>via sabotino 42</t>
  </si>
  <si>
    <t>www.bbskipper.it</t>
  </si>
  <si>
    <t>info@bbskipper.it</t>
  </si>
  <si>
    <t>B&amp;B PANORAMA</t>
  </si>
  <si>
    <t>via c. lombroso 7</t>
  </si>
  <si>
    <t>liberi57@tiscali.it</t>
  </si>
  <si>
    <t>via San Giacomo 20</t>
  </si>
  <si>
    <t>www.residencecristallosbt.it</t>
  </si>
  <si>
    <t>residencecristallosbt@gmail.com</t>
  </si>
  <si>
    <t>CONDOMINIO THECA UNO</t>
  </si>
  <si>
    <t>via v. tedeschi 15</t>
  </si>
  <si>
    <t>ing.calcagni@tecacostruzioni.it</t>
  </si>
  <si>
    <t>B&amp;B ALESI SAVERIO</t>
  </si>
  <si>
    <t>saverio.alesi@gmail.com</t>
  </si>
  <si>
    <t>B&amp;B del CASTELLO</t>
  </si>
  <si>
    <t>via e. fileni 30</t>
  </si>
  <si>
    <t>www.bbdelcastello.it</t>
  </si>
  <si>
    <t>mail@bbdelcastello.it</t>
  </si>
  <si>
    <t>RESIDENCE DOLCEMARE</t>
  </si>
  <si>
    <t>via R. Zandonai 3</t>
  </si>
  <si>
    <t>www.residencedolcemare.it</t>
  </si>
  <si>
    <t>info@residencedolcemare.it</t>
  </si>
  <si>
    <t>VILLA SPINA</t>
  </si>
  <si>
    <t>via alessandro volta 72</t>
  </si>
  <si>
    <t>www.villaspina.it</t>
  </si>
  <si>
    <t>info@villaspina.it</t>
  </si>
  <si>
    <t>RESIDENCE TAORMINA</t>
  </si>
  <si>
    <t>via g. battista pergolesi 30</t>
  </si>
  <si>
    <t>www.hoteltaormina.it</t>
  </si>
  <si>
    <t>info@hoteltaormina.it</t>
  </si>
  <si>
    <t>CAMPEGGIO CLUB RIVIERA PICENA</t>
  </si>
  <si>
    <t>Zona Ragnola</t>
  </si>
  <si>
    <t>ccrivierapicena.com</t>
  </si>
  <si>
    <t>TAORMINA</t>
  </si>
  <si>
    <t>via Sacchini 1</t>
  </si>
  <si>
    <t>ACCOMODATION CASA CAVOUR</t>
  </si>
  <si>
    <t>G.MORETTI 1</t>
  </si>
  <si>
    <t>www.casacavoursanbenedetto.it</t>
  </si>
  <si>
    <t>info@casacavoursanbenedetto.it</t>
  </si>
  <si>
    <t>VALENTINA B&amp;B di SPALETRA FRANCO</t>
  </si>
  <si>
    <t>via Sabotino 135</t>
  </si>
  <si>
    <t>San Benedetto del Tronto</t>
  </si>
  <si>
    <t>francospaletra@libero.it</t>
  </si>
  <si>
    <t>B&amp;B ATTICO MARE I</t>
  </si>
  <si>
    <t>via Marconi 60</t>
  </si>
  <si>
    <t>www.atticomare.it</t>
  </si>
  <si>
    <t>info@atticomare.it</t>
  </si>
  <si>
    <t>B&amp;B IN CENTRO di LUIGINO DE LAURENTIS</t>
  </si>
  <si>
    <t>via Mameli 6</t>
  </si>
  <si>
    <t>https://www.facebook.com/pages/B-B-IN-CENTRO/317172258297449</t>
  </si>
  <si>
    <t>bbincentrosbt@gmail.com</t>
  </si>
  <si>
    <t>B&amp;B ON THE BEACH</t>
  </si>
  <si>
    <t>via dei Laureati 115</t>
  </si>
  <si>
    <t>PORTO D' ASCOLI</t>
  </si>
  <si>
    <t>valerioisopi@gmail.com</t>
  </si>
  <si>
    <t>CASA VACANZE VALENTINA</t>
  </si>
  <si>
    <t>Via Sallustio 8</t>
  </si>
  <si>
    <t>www.hotel-mario.com</t>
  </si>
  <si>
    <t>info@hotel-mario.com</t>
  </si>
  <si>
    <t>GALILEO RESIDENCE</t>
  </si>
  <si>
    <t>www.residencegalileo.it</t>
  </si>
  <si>
    <t>info@residence-galileo.it</t>
  </si>
  <si>
    <t>via tonale 11</t>
  </si>
  <si>
    <t>mariaimmacolatasbt@libero.it</t>
  </si>
  <si>
    <t>RESIDENCE BEAURIVAGE</t>
  </si>
  <si>
    <t>viale Europa 94</t>
  </si>
  <si>
    <t>www.residencebeaurivage.it</t>
  </si>
  <si>
    <t>info@residencebeaurivage.it</t>
  </si>
  <si>
    <t>RESIDENCE BOOMERANG</t>
  </si>
  <si>
    <t>via gaspare spontini 2</t>
  </si>
  <si>
    <t>www.residenceboomerang.it</t>
  </si>
  <si>
    <t>info@residenceboomerang.it</t>
  </si>
  <si>
    <t>SEA CLUB - VESUVIO</t>
  </si>
  <si>
    <t>viale Rinascimento 10 10</t>
  </si>
  <si>
    <t>PORTO D'ASCOLI</t>
  </si>
  <si>
    <t>B&amp;B CASA FELICIA</t>
  </si>
  <si>
    <t>Conquiste 54 54/A</t>
  </si>
  <si>
    <t>San Benedetto del Tronto I-63074 AP</t>
  </si>
  <si>
    <t>SEVEN ROOMS</t>
  </si>
  <si>
    <t>Via Legnago 52</t>
  </si>
  <si>
    <t>www.7rooms.it</t>
  </si>
  <si>
    <t>info@7rooms.it</t>
  </si>
  <si>
    <t>RESIDENCE MENTANA</t>
  </si>
  <si>
    <t>via Mentana 30</t>
  </si>
  <si>
    <t>residencementanasbt@libero.it</t>
  </si>
  <si>
    <t>B&amp;B LA TORRETTA BIANCA</t>
  </si>
  <si>
    <t>Via Col di Tenda 60</t>
  </si>
  <si>
    <t>www.bebtorre.com</t>
  </si>
  <si>
    <t>tchristel@bebtorre.com; info@bebtorre.com</t>
  </si>
  <si>
    <t>B&amp;B ADRIATICO</t>
  </si>
  <si>
    <t>largo E. Fileni 13</t>
  </si>
  <si>
    <t>bbadriatico.altervista.org</t>
  </si>
  <si>
    <t>tatianacharnina@libero.it</t>
  </si>
  <si>
    <t>CASA ANTONELLA</t>
  </si>
  <si>
    <t>via vittorio alfieri 22</t>
  </si>
  <si>
    <t>B&amp;B LA SOFFITTA</t>
  </si>
  <si>
    <t>via g. moretti 36</t>
  </si>
  <si>
    <t>silviascrem@yahoo.it</t>
  </si>
  <si>
    <t>rosalba.rossi@laconchiglia.eu</t>
  </si>
  <si>
    <t>viale trieste 13 13</t>
  </si>
  <si>
    <t>ANTARES - DA GINO (SNC)</t>
  </si>
  <si>
    <t>ANTARES</t>
  </si>
  <si>
    <t>BASCIU'</t>
  </si>
  <si>
    <t>viale a. scipioni 33 33</t>
  </si>
  <si>
    <t>danieltroli@hotmail.it</t>
  </si>
  <si>
    <t>BAGNI DORIA</t>
  </si>
  <si>
    <t>info@hoteldoria.com</t>
  </si>
  <si>
    <t>BIJEOUX</t>
  </si>
  <si>
    <t>lungomare marconi 35 35</t>
  </si>
  <si>
    <t>CLUB 23</t>
  </si>
  <si>
    <t>lungomare marconi 9 9</t>
  </si>
  <si>
    <t>DA FEDERICO</t>
  </si>
  <si>
    <t>viale trieste 11 11</t>
  </si>
  <si>
    <t>ANTARES SRL</t>
  </si>
  <si>
    <t>miriam.sgariglia@alice.it</t>
  </si>
  <si>
    <t>ANTARES da Rosetti</t>
  </si>
  <si>
    <t>ALBA CHIARA</t>
  </si>
  <si>
    <t>viale Rinascimento 32</t>
  </si>
  <si>
    <t>BAGNI HOTEL HOLIDAY</t>
  </si>
  <si>
    <t>viale trieste 23 23</t>
  </si>
  <si>
    <t>giuseppe.ricci54@tin.it</t>
  </si>
  <si>
    <t>BAGNI HOTEL HAITI</t>
  </si>
  <si>
    <t>viale a. scipioni 68 68</t>
  </si>
  <si>
    <t>IMPERIAL BEACH</t>
  </si>
  <si>
    <t>info@hotelimperial.it</t>
  </si>
  <si>
    <t>lungomare marconi 41 41</t>
  </si>
  <si>
    <t>piersac@alice.it</t>
  </si>
  <si>
    <t>info@hotelhauscharlotte.it</t>
  </si>
  <si>
    <t>LE ANFORE</t>
  </si>
  <si>
    <t>viale marconi 1 1</t>
  </si>
  <si>
    <t>alessandro_capriotti@libero.it</t>
  </si>
  <si>
    <t>www.hotelgioia.it</t>
  </si>
  <si>
    <t>ABBADETTA MARE</t>
  </si>
  <si>
    <t>lungomare marconi 5 5</t>
  </si>
  <si>
    <t>info@lapacehotel.it</t>
  </si>
  <si>
    <t>www.lapacehotel.it</t>
  </si>
  <si>
    <t>SUD-EST</t>
  </si>
  <si>
    <t>lungomare marconi 29 29</t>
  </si>
  <si>
    <t>IL TRITONE</t>
  </si>
  <si>
    <t>PICCOLO LIDO</t>
  </si>
  <si>
    <t>viale Scipioni 47 47</t>
  </si>
  <si>
    <t>vporte@tin.it</t>
  </si>
  <si>
    <t>IL FARFALLONE</t>
  </si>
  <si>
    <t>BAGNI ZAPPA'</t>
  </si>
  <si>
    <t>swamii_rb@hotmail.com</t>
  </si>
  <si>
    <t>BRASIL</t>
  </si>
  <si>
    <t>lungomare marconi 43 43</t>
  </si>
  <si>
    <t>pp.flammini@sambenedettoggi.it</t>
  </si>
  <si>
    <t>www.brasil39.com</t>
  </si>
  <si>
    <t>IL LIDO DEL PESCATORE</t>
  </si>
  <si>
    <t>viale trieste 27 27</t>
  </si>
  <si>
    <t>info@deangelisgomme.it; aldimeriomaria@gmail.com</t>
  </si>
  <si>
    <t>HAPPY SUN BEACH</t>
  </si>
  <si>
    <t>VIALE RINASCIMENTO 79 79</t>
  </si>
  <si>
    <t>ANTARES - DA GINO  (SAS)</t>
  </si>
  <si>
    <t>ANTARES Da Nadia</t>
  </si>
  <si>
    <t>ANTARES di Falaschetti Nadia Snc</t>
  </si>
  <si>
    <t>RENO'S 54</t>
  </si>
  <si>
    <t>viale Scipioni 21</t>
  </si>
  <si>
    <t>IL PESCATORE</t>
  </si>
  <si>
    <t>info@ilpescatore.info</t>
  </si>
  <si>
    <t>www.ilpescatore.info</t>
  </si>
  <si>
    <t>AMERICO VILLAGE</t>
  </si>
  <si>
    <t>viale Rinascimento 16 16</t>
  </si>
  <si>
    <t>info@americovillage.com</t>
  </si>
  <si>
    <t>viale trieste 7 7</t>
  </si>
  <si>
    <t>SABBIA</t>
  </si>
  <si>
    <t>PETIT HOTEL</t>
  </si>
  <si>
    <t>petit@petithotel.info</t>
  </si>
  <si>
    <t>www.petithotel.info</t>
  </si>
  <si>
    <t>LA TELLINA</t>
  </si>
  <si>
    <t>lungomare marconi 11 11</t>
  </si>
  <si>
    <t>DA VINCENZO</t>
  </si>
  <si>
    <t>OLTREMARE CASA PER VACANZE</t>
  </si>
  <si>
    <t>via Domenico Cimarosa 5</t>
  </si>
  <si>
    <t>www.residenceoltremare.com</t>
  </si>
  <si>
    <t>info@residencemediterraneo.it</t>
  </si>
  <si>
    <t>SORAYA</t>
  </si>
  <si>
    <t>viale Rinascimento 31 31</t>
  </si>
  <si>
    <t>info@albergosoraya.it</t>
  </si>
  <si>
    <t>www.albergosoraya.it</t>
  </si>
  <si>
    <t>BAGNI EXCELSIOR</t>
  </si>
  <si>
    <t>BAGNI BEAURIVAGE</t>
  </si>
  <si>
    <t>viale a. scipioni 1 1</t>
  </si>
  <si>
    <t>BAGNI FORTUNA</t>
  </si>
  <si>
    <t>viale Marconi, 41 1</t>
  </si>
  <si>
    <t>EREDI LAGALLA ROSSANA DI RICCI ENRICO E C. SAS</t>
  </si>
  <si>
    <t>viale europa 31 31</t>
  </si>
  <si>
    <t>HOTEL SOLARIUM SRL</t>
  </si>
  <si>
    <t>VIALE EUROPA 102 102</t>
  </si>
  <si>
    <t>info@hotelsolarium.it</t>
  </si>
  <si>
    <t>www.hotelsolarium.it</t>
  </si>
  <si>
    <t>IL DIAMANTE</t>
  </si>
  <si>
    <t>via San Giacomo 5 5</t>
  </si>
  <si>
    <t>info@ildiamantevacanze.it</t>
  </si>
  <si>
    <t>www.ildiamantevacanze.it</t>
  </si>
  <si>
    <t>CLAUDIA</t>
  </si>
  <si>
    <t>lungomare marconi 36 36</t>
  </si>
  <si>
    <t>CHALET " LA SIESTA"</t>
  </si>
  <si>
    <t>viale europa  1</t>
  </si>
  <si>
    <t>info@chaletlasiesta.it</t>
  </si>
  <si>
    <t>www.chaletlasiesta.it</t>
  </si>
  <si>
    <t>CHALET IL GAMBERO</t>
  </si>
  <si>
    <t>CHALET ALEX</t>
  </si>
  <si>
    <t>VIALE RINASCIMENTO  18</t>
  </si>
  <si>
    <t>alexbeach@libero.it</t>
  </si>
  <si>
    <t>www.chaletalex.it</t>
  </si>
  <si>
    <t>HAWAII</t>
  </si>
  <si>
    <t>RESIDENCE ELLE</t>
  </si>
  <si>
    <t>lungomare Rinascimento 73</t>
  </si>
  <si>
    <t>www.residenceelle.it</t>
  </si>
  <si>
    <t>info@residenceelle.it</t>
  </si>
  <si>
    <t>RESIDENCE BREZZA DI MARE</t>
  </si>
  <si>
    <t>via dei laureati 119</t>
  </si>
  <si>
    <t>www.brezzadimare.com</t>
  </si>
  <si>
    <t>info@brezzadimare.com</t>
  </si>
  <si>
    <t>L'ETOILE</t>
  </si>
  <si>
    <t>viale Europa 35 35</t>
  </si>
  <si>
    <t>LIDO SABBIADORO</t>
  </si>
  <si>
    <t>VIALE EUROPA 29 29</t>
  </si>
  <si>
    <t>ZODIACO</t>
  </si>
  <si>
    <t>lungomare marconi   1</t>
  </si>
  <si>
    <t>elivagn@alice.it</t>
  </si>
  <si>
    <t>BAGNI HOTEL MICHELANGELO</t>
  </si>
  <si>
    <t>VIALE RINASCIMENTO 4 4</t>
  </si>
  <si>
    <t>BOOBIE'S BAR</t>
  </si>
  <si>
    <t>viale Rinascimento 24 24</t>
  </si>
  <si>
    <t>VITADAMARE</t>
  </si>
  <si>
    <t>viale Rinascimento 14 14</t>
  </si>
  <si>
    <t>BAGNI PERSICO</t>
  </si>
  <si>
    <t>viale Rinascimento 5 5</t>
  </si>
  <si>
    <t>BAGNI OLTREMARE</t>
  </si>
  <si>
    <t>lungomare Rinascimento 18 18</t>
  </si>
  <si>
    <t>www.residencemediterraneo.it</t>
  </si>
  <si>
    <t>BAGNI MARCONI</t>
  </si>
  <si>
    <t>viale europa 21 21</t>
  </si>
  <si>
    <t>marconi@hotel-marconi.it</t>
  </si>
  <si>
    <t>www.hotel-marconi.it</t>
  </si>
  <si>
    <t>BAGNI HOTEL OLIMPO</t>
  </si>
  <si>
    <t>viale europa 78 78</t>
  </si>
  <si>
    <t>PAGODA BEACH</t>
  </si>
  <si>
    <t>viale Rinascimento 21 21</t>
  </si>
  <si>
    <t>LA PROMENADE</t>
  </si>
  <si>
    <t>nellotizzoni@insinet.it</t>
  </si>
  <si>
    <t>BLUMARINE  S.N.C .</t>
  </si>
  <si>
    <t>www.hotelriviera.ap.it</t>
  </si>
  <si>
    <t>CHALET POKER</t>
  </si>
  <si>
    <t>VIALE EUROPA  19 19</t>
  </si>
  <si>
    <t>CHALET RIVAMARE di GABRIELLI STEFANO E C SAS</t>
  </si>
  <si>
    <t>via san giacomo 13 13</t>
  </si>
  <si>
    <t>chaletrivamare106@gmail.com</t>
  </si>
  <si>
    <t>HOTEL SUNRISE</t>
  </si>
  <si>
    <t>via san giacomo 25 25</t>
  </si>
  <si>
    <t>mail@hotelsunrise.it</t>
  </si>
  <si>
    <t>www.hotelsunrise.it</t>
  </si>
  <si>
    <t>TOURIST RESIDENCE</t>
  </si>
  <si>
    <t>via san giacomo 67 67</t>
  </si>
  <si>
    <t>info@touristresidence.it</t>
  </si>
  <si>
    <t>www.touristresidence.it</t>
  </si>
  <si>
    <t>STELLA</t>
  </si>
  <si>
    <t>viale Rinascimento  2</t>
  </si>
  <si>
    <t>info@chaletstella.it</t>
  </si>
  <si>
    <t>www.chaletstella.it</t>
  </si>
  <si>
    <t>RIVABELLA</t>
  </si>
  <si>
    <t>VIALE EUROPA   17</t>
  </si>
  <si>
    <t>RESIDENCE OLTREMARE</t>
  </si>
  <si>
    <t>RIVIERA</t>
  </si>
  <si>
    <t>via orazio 8</t>
  </si>
  <si>
    <t>www.hotelriviera.ap.it; www.hotelrivierasanbenedetto.it</t>
  </si>
  <si>
    <t>info@hotelriviera.ap.it;info@hotelrivierasanbene</t>
  </si>
  <si>
    <t>MOCAMBO</t>
  </si>
  <si>
    <t>via domenico cimarosa 4</t>
  </si>
  <si>
    <t>www.hotelmocambo.it</t>
  </si>
  <si>
    <t>info@hotelmocambo.it</t>
  </si>
  <si>
    <t>BERNARD</t>
  </si>
  <si>
    <t>via dei Mille 113</t>
  </si>
  <si>
    <t>www.hotelbernard.it</t>
  </si>
  <si>
    <t>info@hotelbernard.it</t>
  </si>
  <si>
    <t>BOLIVAR</t>
  </si>
  <si>
    <t>via ovidio 8</t>
  </si>
  <si>
    <t>www.hotelbolivar.it</t>
  </si>
  <si>
    <t>info@hotelbolivar.it</t>
  </si>
  <si>
    <t>FERRARA</t>
  </si>
  <si>
    <t>via cola di rienzo 25</t>
  </si>
  <si>
    <t>www.hotelferrara.net</t>
  </si>
  <si>
    <t>hotelferrara@virgilio.it</t>
  </si>
  <si>
    <t>via dei Mille 103</t>
  </si>
  <si>
    <t>www.hotel-pineta.it</t>
  </si>
  <si>
    <t>info@hotel-pineta.it</t>
  </si>
  <si>
    <t>SYDNEY</t>
  </si>
  <si>
    <t>viale Guglielmo Marconi 1</t>
  </si>
  <si>
    <t>www.hotelsydney.it</t>
  </si>
  <si>
    <t>info@hotelsydney.it</t>
  </si>
  <si>
    <t>HOTEL LA PACE DEPENDANCE</t>
  </si>
  <si>
    <t>viale Guglielmo Marconi 26</t>
  </si>
  <si>
    <t>B&amp;B RIVER - EMIDIO SANTRONI</t>
  </si>
  <si>
    <t>via lombardia 64</t>
  </si>
  <si>
    <t>bbriversbt@gmail.com</t>
  </si>
  <si>
    <t>IL CEDRO AZZURRO</t>
  </si>
  <si>
    <t>VIA MONTERENZO 13</t>
  </si>
  <si>
    <t>www.bed&amp;breakfast.it</t>
  </si>
  <si>
    <t>pie.nes@libero.it</t>
  </si>
  <si>
    <t>PIETRO</t>
  </si>
  <si>
    <t>ORCA DA MINGE'</t>
  </si>
  <si>
    <t>viale Scipioni 35 35</t>
  </si>
  <si>
    <t>giciaba@hotmail.com</t>
  </si>
  <si>
    <t>45.COM</t>
  </si>
  <si>
    <t>CAVALLUCCIO MARINO</t>
  </si>
  <si>
    <t>viale a. scipioni 15 15</t>
  </si>
  <si>
    <t>BAGNI RESIDENCE CRISTALLO</t>
  </si>
  <si>
    <t>BOSSANOVA</t>
  </si>
  <si>
    <t>SPIAGGIA 75</t>
  </si>
  <si>
    <t>CIAO !!!!</t>
  </si>
  <si>
    <t>BAGNI NIK</t>
  </si>
  <si>
    <t>chaletnik@libero.it</t>
  </si>
  <si>
    <t>DA LUIGI</t>
  </si>
  <si>
    <t>viale trieste 3 3</t>
  </si>
  <si>
    <t>chaletdaluigi@gmail.com</t>
  </si>
  <si>
    <t>www.daluigi.it</t>
  </si>
  <si>
    <t>BAGNI SPIAGGIA D'ORO</t>
  </si>
  <si>
    <t>lungomare marconi 12 12</t>
  </si>
  <si>
    <t>LA CROISETTE</t>
  </si>
  <si>
    <t>viale trieste 37 37</t>
  </si>
  <si>
    <t>andrea.conti.5@alice.it</t>
  </si>
  <si>
    <t>MIRAMARE BEACH</t>
  </si>
  <si>
    <t>LA SERENELLA</t>
  </si>
  <si>
    <t>JOSE'</t>
  </si>
  <si>
    <t>viale Rinascimento 28 28</t>
  </si>
  <si>
    <t>info@chaletjose.com</t>
  </si>
  <si>
    <t>www.chaletjose.com</t>
  </si>
  <si>
    <t>MALIBU</t>
  </si>
  <si>
    <t>sebastianisilvio@gmail.com</t>
  </si>
  <si>
    <t>LA LANCETTE</t>
  </si>
  <si>
    <t>viale Scipioni 37 37</t>
  </si>
  <si>
    <t>Lungomare di S.Benedetto</t>
  </si>
  <si>
    <t>franco@lalancette.it</t>
  </si>
  <si>
    <t>www.lalancette.it</t>
  </si>
  <si>
    <t>SAPORE DI MARE</t>
  </si>
  <si>
    <t>viale trieste 29 29</t>
  </si>
  <si>
    <t>BACIO DELL'ONDA</t>
  </si>
  <si>
    <t>isabella.ricci23@gmail.com</t>
  </si>
  <si>
    <t>GOLDEN BEACH</t>
  </si>
  <si>
    <t>PINGUINO</t>
  </si>
  <si>
    <t>viale Rinascimento 6 6</t>
  </si>
  <si>
    <t>addolorata.bizzarri@alice.it</t>
  </si>
  <si>
    <t>BAGNI 007</t>
  </si>
  <si>
    <t>viale trieste 21 21</t>
  </si>
  <si>
    <t>BAGNI CAMISCIONI</t>
  </si>
  <si>
    <t>viale trieste 19 19</t>
  </si>
  <si>
    <t>DA ANDREA</t>
  </si>
  <si>
    <t>viale trieste 17 17</t>
  </si>
  <si>
    <t>viale Rinascimento 22 22</t>
  </si>
  <si>
    <t>chaletcalypso84hotmail.it</t>
  </si>
  <si>
    <t>MONELLO</t>
  </si>
  <si>
    <t>MARINA DI NICO'</t>
  </si>
  <si>
    <t>via San Giacomo 69 69</t>
  </si>
  <si>
    <t>BAGNI HOTEL FAUSTO</t>
  </si>
  <si>
    <t>via san giacomo 43 43</t>
  </si>
  <si>
    <t>hotelfausto@aliceposta.it</t>
  </si>
  <si>
    <t>CHALET DEGLI ANGELI</t>
  </si>
  <si>
    <t>via san giacomo 51 51</t>
  </si>
  <si>
    <t>San Giacomo 37</t>
  </si>
  <si>
    <t>info@hotelposeidon.it</t>
  </si>
  <si>
    <t>www.hotelposeidon.it</t>
  </si>
  <si>
    <t>CHALET CASABLANCA</t>
  </si>
  <si>
    <t>viale Rinascimento 8 8</t>
  </si>
  <si>
    <t>VELA CLUB</t>
  </si>
  <si>
    <t>www.residencealexander.it</t>
  </si>
  <si>
    <t>NEDIO</t>
  </si>
  <si>
    <t>via San Giacomo 53 53</t>
  </si>
  <si>
    <t>IGUANA</t>
  </si>
  <si>
    <t>viale Marconi 27 27</t>
  </si>
  <si>
    <t>info@zautte.it</t>
  </si>
  <si>
    <t>DOMUS MATER GRATIAE</t>
  </si>
  <si>
    <t>via del mare 222</t>
  </si>
  <si>
    <t>www.domussanbenedetto.it</t>
  </si>
  <si>
    <t>domusmg@13maggio.com</t>
  </si>
  <si>
    <t>MADONNA DEL SS. SACRAMENTO</t>
  </si>
  <si>
    <t>via Tagliamento 9</t>
  </si>
  <si>
    <t>www.casaperferiesbt.eu</t>
  </si>
  <si>
    <t>casa.per.ferie@libero.it</t>
  </si>
  <si>
    <t>ISTITUTO SUORE SAN GIOVANNI BATTISTA</t>
  </si>
  <si>
    <t>via San Martino 143</t>
  </si>
  <si>
    <t>comunitasbt@gmail.com</t>
  </si>
  <si>
    <t>RESIDENCE LAS VEGAS</t>
  </si>
  <si>
    <t>via V. Tedeschi 5</t>
  </si>
  <si>
    <t>www.centroitalia.com</t>
  </si>
  <si>
    <t>info@centroitalia.com</t>
  </si>
  <si>
    <t>via San Giacomo 67</t>
  </si>
  <si>
    <t>RESIDENCE DANUBIO</t>
  </si>
  <si>
    <t>via dei mille 91</t>
  </si>
  <si>
    <t>www.residencedanubio.com</t>
  </si>
  <si>
    <t>info@residencedanubio.com</t>
  </si>
  <si>
    <t>RESIDENCE ALEXANDER</t>
  </si>
  <si>
    <t>via P. Mascagni 3</t>
  </si>
  <si>
    <t>sergio@residencealexander.it</t>
  </si>
  <si>
    <t>RESIDENCE HAWAI - MASCITTI UMBERTO</t>
  </si>
  <si>
    <t>via A.Ponchielli 4</t>
  </si>
  <si>
    <t>HOLIDAY HOUSE - F.LLI DESIATI E SCAFETTA A. SNC</t>
  </si>
  <si>
    <t>via Cefalonia 55</t>
  </si>
  <si>
    <t>Porto d'Ascoli</t>
  </si>
  <si>
    <t>petrapokorna@libero.it</t>
  </si>
  <si>
    <t>IL DIAMANTE S.R.L.</t>
  </si>
  <si>
    <t>via san giacomo 5</t>
  </si>
  <si>
    <t>OCEANO RESIDENCE</t>
  </si>
  <si>
    <t>via r. zandonai 13</t>
  </si>
  <si>
    <t>spinozzialessandro@libero.it</t>
  </si>
  <si>
    <t>RESIDENCE IMPERIAL</t>
  </si>
  <si>
    <t>via Indipendenza 25</t>
  </si>
  <si>
    <t>www.residenceimperial.it</t>
  </si>
  <si>
    <t>RESIDENCE DOLCE VITA - PERAZZOLI GEOM. GIANNI S.N.C.</t>
  </si>
  <si>
    <t>via Grazia Deledda 10</t>
  </si>
  <si>
    <t>www.residencedolcevita.it</t>
  </si>
  <si>
    <t>info@residencedolcevita.it</t>
  </si>
  <si>
    <t>CAMPING SEASIDE</t>
  </si>
  <si>
    <t>via dei mille 127</t>
  </si>
  <si>
    <t>info@seaside.it</t>
  </si>
  <si>
    <t>RESIDENCE IL LAURO</t>
  </si>
  <si>
    <t>viale Rinascimento 57</t>
  </si>
  <si>
    <t>www.residencedeimille.it</t>
  </si>
  <si>
    <t>raffaelalau@tiscali.it</t>
  </si>
  <si>
    <t>RESIDENCE MAJESTIC</t>
  </si>
  <si>
    <t>via Giovanni XXIII 37</t>
  </si>
  <si>
    <t>www.residencehotelmajestic.it</t>
  </si>
  <si>
    <t>info@residencehotelmajestic.it</t>
  </si>
  <si>
    <t>via dei Mille 56</t>
  </si>
  <si>
    <t>RESIDENCE MEDITERRANEO 2</t>
  </si>
  <si>
    <t>via dei Mille 77</t>
  </si>
  <si>
    <t>RESIDENCE DEI MILLE</t>
  </si>
  <si>
    <t>viale Rinascimento, 35 1</t>
  </si>
  <si>
    <t>RESIDENCE SEASIDE</t>
  </si>
  <si>
    <t>Via dei Mille 127</t>
  </si>
  <si>
    <t>HOTEL BAHIA</t>
  </si>
  <si>
    <t>Viale A.Scipioni 98</t>
  </si>
  <si>
    <t>www.hotelbahia.it</t>
  </si>
  <si>
    <t>info@hotelbahia.it</t>
  </si>
  <si>
    <t>CALABRESI</t>
  </si>
  <si>
    <t>viale Marinai d'Italia 1</t>
  </si>
  <si>
    <t>www.hotelcalabresi.it</t>
  </si>
  <si>
    <t>calabresiufficio@gmail.com</t>
  </si>
  <si>
    <t>v.le Rinascimento 137</t>
  </si>
  <si>
    <t>www.grandhotelexcelsior.com</t>
  </si>
  <si>
    <t>info@grandhotelexcelsior.com</t>
  </si>
  <si>
    <t>www.hotelimperial.it</t>
  </si>
  <si>
    <t>HOTEL INTERNATIONAL</t>
  </si>
  <si>
    <t>viale Rinascimento 47</t>
  </si>
  <si>
    <t>www.internationalhotel.it</t>
  </si>
  <si>
    <t>info@internationalhotel.it</t>
  </si>
  <si>
    <t>REGENT</t>
  </si>
  <si>
    <t>via antonio gramsci 31</t>
  </si>
  <si>
    <t>www.hotelregent.it</t>
  </si>
  <si>
    <t>info@hotelregent.it</t>
  </si>
  <si>
    <t>viale Europa 102</t>
  </si>
  <si>
    <t>via Nicolo' Paganini 23</t>
  </si>
  <si>
    <t>www.hsporting.com</t>
  </si>
  <si>
    <t>info@hsporting.com</t>
  </si>
  <si>
    <t>VILLA CORALLO</t>
  </si>
  <si>
    <t>viale europa 50</t>
  </si>
  <si>
    <t>www.hotelvillacorallo.com</t>
  </si>
  <si>
    <t>info@hotelvillacorallo.com</t>
  </si>
  <si>
    <t>HOTEL ARLECCHINO</t>
  </si>
  <si>
    <t>viale Trieste 22</t>
  </si>
  <si>
    <t>www.hotelarlecchino.it</t>
  </si>
  <si>
    <t>info@hotelarlecchino.it</t>
  </si>
  <si>
    <t>via r. zandonai 1</t>
  </si>
  <si>
    <t>www.hotelblumen.com</t>
  </si>
  <si>
    <t>info@hotelblumen.com</t>
  </si>
  <si>
    <t>CANGURO</t>
  </si>
  <si>
    <t>via san giacomo 52</t>
  </si>
  <si>
    <t>www.hotelcanguro.it</t>
  </si>
  <si>
    <t>info@hotelcanguro.it</t>
  </si>
  <si>
    <t>HOTEL CAPRI</t>
  </si>
  <si>
    <t>via c. maffei 81</t>
  </si>
  <si>
    <t>www.htcapri.com</t>
  </si>
  <si>
    <t>info@htcapri.com</t>
  </si>
  <si>
    <t>viale europa 66</t>
  </si>
  <si>
    <t>www.hotel-continental.net</t>
  </si>
  <si>
    <t>info@hotel-continental.net</t>
  </si>
  <si>
    <t>DINO</t>
  </si>
  <si>
    <t>viale europa 106</t>
  </si>
  <si>
    <t>www.hoteldino.it</t>
  </si>
  <si>
    <t>info@hoteldino.it</t>
  </si>
  <si>
    <t>DOMINGO</t>
  </si>
  <si>
    <t>Via A. Ristori, 14 14</t>
  </si>
  <si>
    <t>www.hoteldomingo.com</t>
  </si>
  <si>
    <t>info@hoteldomingo.com</t>
  </si>
  <si>
    <t>DORIA</t>
  </si>
  <si>
    <t>via C. Maffei 93</t>
  </si>
  <si>
    <t>www.hoteldoria.it</t>
  </si>
  <si>
    <t>info@hoteldoria.it</t>
  </si>
  <si>
    <t>FENIX</t>
  </si>
  <si>
    <t>via Martucci 2</t>
  </si>
  <si>
    <t>www.hotelfenix.eu</t>
  </si>
  <si>
    <t>info@hotelfenix.eu</t>
  </si>
  <si>
    <t>FLORENCE</t>
  </si>
  <si>
    <t>via grado 5</t>
  </si>
  <si>
    <t>www.hotelflorencemare.it</t>
  </si>
  <si>
    <t>info@hotelflorencemare.it</t>
  </si>
  <si>
    <t>viale bruno buozzi 8</t>
  </si>
  <si>
    <t>www.edentourhotels.it</t>
  </si>
  <si>
    <t>hotelgarden@edentour.it</t>
  </si>
  <si>
    <t>HOTEL GIANCARLO</t>
  </si>
  <si>
    <t>www.hotelgiancarlo.it</t>
  </si>
  <si>
    <t>info@hotelgiancarlo.it</t>
  </si>
  <si>
    <t>viale europa 126</t>
  </si>
  <si>
    <t>www.albergogirasole.com</t>
  </si>
  <si>
    <t>girasole@libero.it</t>
  </si>
  <si>
    <t>HAUS CHARLOTTE</t>
  </si>
  <si>
    <t>via g. milli 10</t>
  </si>
  <si>
    <t>www.hotelhausecharlotte.it</t>
  </si>
  <si>
    <t>via Alessandro Volta 196</t>
  </si>
  <si>
    <t>www.holidaysbt.it</t>
  </si>
  <si>
    <t>info@holidaysbt.it</t>
  </si>
  <si>
    <t>HOLIDAY DEPENDANCE</t>
  </si>
  <si>
    <t>via Alessandro Volta 194</t>
  </si>
  <si>
    <t>holidaysbt@hotmail.it</t>
  </si>
  <si>
    <t>HOTEL CRISTALL</t>
  </si>
  <si>
    <t>via Orazio 3</t>
  </si>
  <si>
    <t>www.hotelcristall.it</t>
  </si>
  <si>
    <t>info@hotelcristall.it</t>
  </si>
  <si>
    <t>HOTEL LA PACE</t>
  </si>
  <si>
    <t>viale guglielmo marconi 26</t>
  </si>
  <si>
    <t>via Premuda 7</t>
  </si>
  <si>
    <t>www.palazzinahotel.it</t>
  </si>
  <si>
    <t>info@palazzinahotel.it</t>
  </si>
  <si>
    <t>HOTEL ALTIS</t>
  </si>
  <si>
    <t>viale Europa 64</t>
  </si>
  <si>
    <t>www.hotelaltis.it</t>
  </si>
  <si>
    <t>info@hotelaltis.it</t>
  </si>
  <si>
    <t>HOTEL MARCONI</t>
  </si>
  <si>
    <t>via c. maffei 114</t>
  </si>
  <si>
    <t>MARIO</t>
  </si>
  <si>
    <t>via Alessandro Volta 190</t>
  </si>
  <si>
    <t>RESIDENCE MICHELANGELO</t>
  </si>
  <si>
    <t>Viale Rinascimento  27</t>
  </si>
  <si>
    <t>www.residencemichelangelo.it</t>
  </si>
  <si>
    <t>info@residencemichelangelo.it</t>
  </si>
  <si>
    <t>OLIMPO</t>
  </si>
  <si>
    <t>viale europa 78</t>
  </si>
  <si>
    <t>www.hotelolimpo.com</t>
  </si>
  <si>
    <t>info@hotelolimpo.com</t>
  </si>
  <si>
    <t>PARCO</t>
  </si>
  <si>
    <t>via Virgilio 2</t>
  </si>
  <si>
    <t>www.hparco.it</t>
  </si>
  <si>
    <t>info@hparco.it</t>
  </si>
  <si>
    <t>PERSICO</t>
  </si>
  <si>
    <t>v.le Rinascimento 5</t>
  </si>
  <si>
    <t>www.hotelpersico.com</t>
  </si>
  <si>
    <t>info@hotelpersico.com</t>
  </si>
  <si>
    <t>PETIT</t>
  </si>
  <si>
    <t>VIALE RINASCIMENTO  113</t>
  </si>
  <si>
    <t>POSEIDON</t>
  </si>
  <si>
    <t>via san giacomo 34</t>
  </si>
  <si>
    <t>PRESIDENT</t>
  </si>
  <si>
    <t>via San Francesco 14</t>
  </si>
  <si>
    <t>www.hpresident.it</t>
  </si>
  <si>
    <t>info@hpresident.it</t>
  </si>
  <si>
    <t>PROGRESSO</t>
  </si>
  <si>
    <t>viale Trieste 40</t>
  </si>
  <si>
    <t>www.hotelprogresso.it</t>
  </si>
  <si>
    <t>info@hotelprogresso.it</t>
  </si>
  <si>
    <t>RELAX</t>
  </si>
  <si>
    <t>via a. tibullo 2</t>
  </si>
  <si>
    <t>www.hotel-relax.it</t>
  </si>
  <si>
    <t>info@hotel-relax.it</t>
  </si>
  <si>
    <t xml:space="preserve"> Rinascimento 121 121</t>
  </si>
  <si>
    <t>www.hotelsayonara.it</t>
  </si>
  <si>
    <t>info@hotelsayonara.it</t>
  </si>
  <si>
    <t>ALBERGO SORAYA</t>
  </si>
  <si>
    <t>viale Rinascimento 31</t>
  </si>
  <si>
    <t>SUNRISE</t>
  </si>
  <si>
    <t>via San Giacomo 25</t>
  </si>
  <si>
    <t>webmail@hotelsunrise.it</t>
  </si>
  <si>
    <t>TAMANACO</t>
  </si>
  <si>
    <t>viale Rinascimento 105</t>
  </si>
  <si>
    <t>info@tamanacohotel.it</t>
  </si>
  <si>
    <t>HOTEL TAORMINA</t>
  </si>
  <si>
    <t>via dei Mille 93</t>
  </si>
  <si>
    <t>HOTEL WELCOME srl</t>
  </si>
  <si>
    <t>via A. Ponchielli 5</t>
  </si>
  <si>
    <t>www.hotelwelcome.it</t>
  </si>
  <si>
    <t>info@hotelwelcome.it</t>
  </si>
  <si>
    <t>via francesco cilea 4</t>
  </si>
  <si>
    <t>www.hotel-antares.it</t>
  </si>
  <si>
    <t>info@hotel-antares.it</t>
  </si>
  <si>
    <t>via cicerone 12</t>
  </si>
  <si>
    <t>www.hotelbolognapinko.it</t>
  </si>
  <si>
    <t>info@hotelbolognapinko.it</t>
  </si>
  <si>
    <t>ALBERGO-RISTORANTE DESIREE</t>
  </si>
  <si>
    <t>via alessandro volta 125</t>
  </si>
  <si>
    <t>www.hoteldesireesbt.it</t>
  </si>
  <si>
    <t>info@hoteldesireesbt.it</t>
  </si>
  <si>
    <t>GIOIA</t>
  </si>
  <si>
    <t>via Alessandro Volta 168</t>
  </si>
  <si>
    <t>www.hotelgioia.org</t>
  </si>
  <si>
    <t>hotelgioia@libero.it</t>
  </si>
  <si>
    <t>HAITI</t>
  </si>
  <si>
    <t>viale europa 68</t>
  </si>
  <si>
    <t>www.haiti.it</t>
  </si>
  <si>
    <t>info@haiti.it</t>
  </si>
  <si>
    <t>FAUSTO</t>
  </si>
  <si>
    <t>via san giacomo, 43 43</t>
  </si>
  <si>
    <t>www.hotelfausto.com</t>
  </si>
  <si>
    <t>info@hotelfausto.com</t>
  </si>
  <si>
    <t>HOTEL ZAMPILLO</t>
  </si>
  <si>
    <t>via F. Maratta 14</t>
  </si>
  <si>
    <t>www.hotelzampillo.it</t>
  </si>
  <si>
    <t>direzione@hotelzampillo.it</t>
  </si>
  <si>
    <t>CAPRETTI</t>
  </si>
  <si>
    <t>via Francesco Ferrucci 14</t>
  </si>
  <si>
    <t>www.hotelcapretti.it</t>
  </si>
  <si>
    <t>Info@hotelcapretti.it</t>
  </si>
  <si>
    <t>CENTRALE</t>
  </si>
  <si>
    <t>via balilla 12</t>
  </si>
  <si>
    <t>www.hotelcentralesbt.com</t>
  </si>
  <si>
    <t>info@hotelcentralesbt.com</t>
  </si>
  <si>
    <t>HOTEL MEUBLE' LA PLAYA</t>
  </si>
  <si>
    <t>via Cola di Rienzo 25</t>
  </si>
  <si>
    <t>http://web.tiscali.it/hotel.laplaya</t>
  </si>
  <si>
    <t>meuble.playa@tiscali.it</t>
  </si>
  <si>
    <t>LA SFINGE</t>
  </si>
  <si>
    <t>via San Giacomo 48</t>
  </si>
  <si>
    <t>www.hotellasfinge.com</t>
  </si>
  <si>
    <t>info@hotellasfinge.com</t>
  </si>
  <si>
    <t>via san giacomo 37</t>
  </si>
  <si>
    <t>RINA</t>
  </si>
  <si>
    <t>via Tacito 20</t>
  </si>
  <si>
    <t>hotelpensionerina.it</t>
  </si>
  <si>
    <t>hotelrina@virgilio.it</t>
  </si>
  <si>
    <t>TIZIANA</t>
  </si>
  <si>
    <t>via Piemonte 107</t>
  </si>
  <si>
    <t>HOTEL MADISON</t>
  </si>
  <si>
    <t>www.hotelmadison.it</t>
  </si>
  <si>
    <t>info@hotelmadison.it</t>
  </si>
  <si>
    <t>HOTEL LE SOLEIL</t>
  </si>
  <si>
    <t>via Alessandro Volta 119</t>
  </si>
  <si>
    <t>www.lesoleil.it</t>
  </si>
  <si>
    <t>rb@insinet.it</t>
  </si>
  <si>
    <t>ROYAL  HOTEL</t>
  </si>
  <si>
    <t>via A. Ristori 30</t>
  </si>
  <si>
    <t>www.hotelroyalsbt.it</t>
  </si>
  <si>
    <t>info@hotelroyalsbt.it</t>
  </si>
  <si>
    <t>B&amp;B ALFRED CHATELAIN</t>
  </si>
  <si>
    <t>sciarramassimo@aliceposta.it</t>
  </si>
  <si>
    <t>B&amp;B ALBERTO DEL ZOMPO</t>
  </si>
  <si>
    <t>via piemonte 147</t>
  </si>
  <si>
    <t>B&amp;B EMMA DEL ZOMPO</t>
  </si>
  <si>
    <t>B&amp;B ROMA</t>
  </si>
  <si>
    <t>via roma 22</t>
  </si>
  <si>
    <t>http://www.bbromasanbenedetto.it/</t>
  </si>
  <si>
    <t>TURISMO RURALE LA PANORAMICA</t>
  </si>
  <si>
    <t>via Panoramica 20</t>
  </si>
  <si>
    <t>www.la-panoramica.it</t>
  </si>
  <si>
    <t>info@la-panoramica.it</t>
  </si>
  <si>
    <t>RISTORANTE SANPAOLO SRL</t>
  </si>
  <si>
    <t>viale Antonio Gramsci 27</t>
  </si>
  <si>
    <t>SPINETOLI</t>
  </si>
  <si>
    <t>loc.Pagliare</t>
  </si>
  <si>
    <t>www.hotelcountry.it</t>
  </si>
  <si>
    <t>info@hotelcountry.it</t>
  </si>
  <si>
    <t>IMPRESA AGRICOLA CALVARESI MARIA</t>
  </si>
  <si>
    <t>via pallino 1</t>
  </si>
  <si>
    <t>HOTEL CARLO</t>
  </si>
  <si>
    <t>via salaria 193</t>
  </si>
  <si>
    <t>hotelcarlo@libero.it</t>
  </si>
  <si>
    <t>IMPRESA AGRICOLA MASSI GIOVANNI</t>
  </si>
  <si>
    <t>B&amp;B SEA WEIV</t>
  </si>
  <si>
    <t>via G. Marconi 38</t>
  </si>
  <si>
    <t>B&amp;B NARDONI</t>
  </si>
  <si>
    <t>via Palazzi 26</t>
  </si>
  <si>
    <t>www.bbnardoni.it</t>
  </si>
  <si>
    <t>info@bbnardoni.it</t>
  </si>
  <si>
    <t>B&amp;B CASA ZIO GUIDO</t>
  </si>
  <si>
    <t>Via Ferretti 15</t>
  </si>
  <si>
    <t>http://www.bbcasazioguido.it/</t>
  </si>
  <si>
    <t>ornellafrascarelli@hotmail.it</t>
  </si>
  <si>
    <t>L'ANTICA FONTE</t>
  </si>
  <si>
    <t>Via Fonte 1</t>
  </si>
  <si>
    <t>SABBIANO</t>
  </si>
  <si>
    <t>fabperozzi@alice.it</t>
  </si>
  <si>
    <t>B&amp;B PANTORANO</t>
  </si>
  <si>
    <t>via del Pozzo 11</t>
  </si>
  <si>
    <t>massimiliano.dimichele@istruzione.it</t>
  </si>
  <si>
    <t>B&amp;B SPINE'OLA</t>
  </si>
  <si>
    <t>via Pio La Torre 5</t>
  </si>
  <si>
    <t>RC1958@hotmail.it</t>
  </si>
  <si>
    <t>AGRITURISMO TENUTA BORGIO</t>
  </si>
  <si>
    <t>FRAZIONE OLIBRA 55</t>
  </si>
  <si>
    <t>VENAROTTA</t>
  </si>
  <si>
    <t>tenutaborgio@libero.it</t>
  </si>
  <si>
    <t>via Case Sparse 31</t>
  </si>
  <si>
    <t>www.ristoranteilcasolare.com</t>
  </si>
  <si>
    <t>ristoranteilcasolaresas@pec.it</t>
  </si>
  <si>
    <t>LA CAMBRA</t>
  </si>
  <si>
    <t>CONTRADA CAMBRA 75</t>
  </si>
  <si>
    <t>FRAZ. OLIBRA</t>
  </si>
  <si>
    <t>www.angellozzi.it</t>
  </si>
  <si>
    <t>info@angellozzi.it</t>
  </si>
  <si>
    <t>GARDEN RIVER</t>
  </si>
  <si>
    <t>via Ottorino Respighi  snc</t>
  </si>
  <si>
    <t>ALTIDONA</t>
  </si>
  <si>
    <t>www.camping.it/marche/gardenriver</t>
  </si>
  <si>
    <t>centrovacanzegardenriver@gmail.com</t>
  </si>
  <si>
    <t>B&amp;B ALL'INFINITO</t>
  </si>
  <si>
    <t>c.da Barbolano 31</t>
  </si>
  <si>
    <t>missjole@libero.it</t>
  </si>
  <si>
    <t>MIRAGE</t>
  </si>
  <si>
    <t>via Aprutina, c.da San Biagio 1</t>
  </si>
  <si>
    <t>www.centrovacanzemirage.it</t>
  </si>
  <si>
    <t>info@centrovacanzemirage.it</t>
  </si>
  <si>
    <t>RIVA VERDE</t>
  </si>
  <si>
    <t>Statale Adriatica snc</t>
  </si>
  <si>
    <t>www.rivaverde.it</t>
  </si>
  <si>
    <t>info@rivaverde.it</t>
  </si>
  <si>
    <t>contrada calcara 6</t>
  </si>
  <si>
    <t>www.ristorantecasalealtidona.it</t>
  </si>
  <si>
    <t>info@ristorantecasale.it</t>
  </si>
  <si>
    <t>CAPRICE</t>
  </si>
  <si>
    <t>via Aprutina 43</t>
  </si>
  <si>
    <t>AGRITURISMO LA VERGARA</t>
  </si>
  <si>
    <t>contrada svarchi 12</t>
  </si>
  <si>
    <t>www.agriturismolavergara.it</t>
  </si>
  <si>
    <t>info@agriturismolavergara.it</t>
  </si>
  <si>
    <t>LA PIEVE</t>
  </si>
  <si>
    <t>Contrada Latrocella  11</t>
  </si>
  <si>
    <t>www.agriturismolapieve.net</t>
  </si>
  <si>
    <t>info@agriturismolapieve.net</t>
  </si>
  <si>
    <t>B&amp;B LA CASA DI ANGELICA</t>
  </si>
  <si>
    <t>via Roma 19</t>
  </si>
  <si>
    <t>maurogiommetti@tin.it</t>
  </si>
  <si>
    <t>RIVA VERDE 1</t>
  </si>
  <si>
    <t>via aprutina 75 75</t>
  </si>
  <si>
    <t>MARINA DI ALTIDONA</t>
  </si>
  <si>
    <t>RIVA VERDE 2</t>
  </si>
  <si>
    <t>BAGNI MADAI</t>
  </si>
  <si>
    <t>TENUTA BARBOLANO B&amp;B</t>
  </si>
  <si>
    <t>Contrada Barbolano 9</t>
  </si>
  <si>
    <t>CONTRADA BARBOLANO</t>
  </si>
  <si>
    <t>www.tenutabarbolano.com</t>
  </si>
  <si>
    <t>info@tenutabarbolano.com</t>
  </si>
  <si>
    <t>BORGO DELLE FATE</t>
  </si>
  <si>
    <t>GUGLIELMUCCI  2</t>
  </si>
  <si>
    <t>AMANDOLA</t>
  </si>
  <si>
    <t>borgodellefate@virgilio.it</t>
  </si>
  <si>
    <t>B&amp;B IL COLIBRI'</t>
  </si>
  <si>
    <t>Località Villa Scagnoli SNC</t>
  </si>
  <si>
    <t>francescadiiorio@hotmail.com</t>
  </si>
  <si>
    <t>COLLINS JAMES PAUL</t>
  </si>
  <si>
    <t>LA MIRABELLA</t>
  </si>
  <si>
    <t>c.da Friano 5</t>
  </si>
  <si>
    <t>www.lamirabella.com</t>
  </si>
  <si>
    <t>cfeuth@gmail.com</t>
  </si>
  <si>
    <t>AZIENDA AGRICOLA VITALI PINO E MASSIMO</t>
  </si>
  <si>
    <t>C:DA PINO DI CONTRO sn</t>
  </si>
  <si>
    <t>inestitente@regione.it</t>
  </si>
  <si>
    <t>DIMORA DELLA SIBILLA</t>
  </si>
  <si>
    <t>griffiths.tamara@gmail.com</t>
  </si>
  <si>
    <t>COUNTRY HOUSE LA QUERCETA DI MARNACCHIA</t>
  </si>
  <si>
    <t>Villa Marnacchia 2</t>
  </si>
  <si>
    <t>www.laquercetadimarnacchia.it</t>
  </si>
  <si>
    <t>gio@la quercetadimarnacchia.it</t>
  </si>
  <si>
    <t>B&amp;B CASA CHIOCCIOLA DI BERNHARD WARNER</t>
  </si>
  <si>
    <t>contrada Sant' Ippolito 15</t>
  </si>
  <si>
    <t>bwarner@gmail.com</t>
  </si>
  <si>
    <t>AGRITURISMO ALTO TENNA</t>
  </si>
  <si>
    <t>Contr. Collicelli 10</t>
  </si>
  <si>
    <t>Piazza Umberto I 7</t>
  </si>
  <si>
    <t>sibillinihotels.it</t>
  </si>
  <si>
    <t>hparadiso@inwind.it</t>
  </si>
  <si>
    <t>AGRITURISMO I GELSI</t>
  </si>
  <si>
    <t>selandari.marco@libero.it</t>
  </si>
  <si>
    <t>AGRITURISMO SAN LORENZO</t>
  </si>
  <si>
    <t>contrada San Lorenzo 3</t>
  </si>
  <si>
    <t>www.agriturismo-nelle-marche.net</t>
  </si>
  <si>
    <t>graziella.pelloni@libero.it</t>
  </si>
  <si>
    <t>AGRITURISMO MADONNA DI PIANA</t>
  </si>
  <si>
    <t>contrada Piana 4</t>
  </si>
  <si>
    <t>gabriele.marini@coldiretti.it</t>
  </si>
  <si>
    <t>TENUTA LE PIANE</t>
  </si>
  <si>
    <t>Villa Piane 21</t>
  </si>
  <si>
    <t>www.anticatenutalepiane.com</t>
  </si>
  <si>
    <t>info@anticatenutalepiane.com</t>
  </si>
  <si>
    <t>IL CONVENTO  (BIANCATELLI GIUSEPPINA)</t>
  </si>
  <si>
    <t>via Zoccolanti 2</t>
  </si>
  <si>
    <t>www.camereilconvento.it</t>
  </si>
  <si>
    <t>info@camereilconvento.it</t>
  </si>
  <si>
    <t>VAN EGMOND JOHANNES</t>
  </si>
  <si>
    <t>c.da Cerrara 1</t>
  </si>
  <si>
    <t>c.da Cerrara</t>
  </si>
  <si>
    <t>wanne_van_egmond@hotmail.com</t>
  </si>
  <si>
    <t>c.da Lera 5</t>
  </si>
  <si>
    <t>assistant_studiolegale@yahoo.it</t>
  </si>
  <si>
    <t>GERIG ROBERT ANTHONY</t>
  </si>
  <si>
    <t>contrada Scheggia 11</t>
  </si>
  <si>
    <t>robertgerig@gmail.com</t>
  </si>
  <si>
    <t>VILLA FLO</t>
  </si>
  <si>
    <t>b.flo@libero.it</t>
  </si>
  <si>
    <t>LA MELA ROSA</t>
  </si>
  <si>
    <t>località Villa Caccianebbia 4</t>
  </si>
  <si>
    <t>località Villa Caccianebbia</t>
  </si>
  <si>
    <t>randpbetts@gmail.com</t>
  </si>
  <si>
    <t>B&amp;B LA VENA DI SACCUTI COSTANTINO</t>
  </si>
  <si>
    <t>via villa la vena 24</t>
  </si>
  <si>
    <t>giuliosaccuti@live.com</t>
  </si>
  <si>
    <t>B&amp;B LA CASETTA ROSSA 1840</t>
  </si>
  <si>
    <t>villa rustici 24</t>
  </si>
  <si>
    <t>casettarossa1840@hotmail.it</t>
  </si>
  <si>
    <t>AGRITURISMO TERRA DI MAGIE</t>
  </si>
  <si>
    <t>c.da Cerrara 2</t>
  </si>
  <si>
    <t>www.terradimagie.it</t>
  </si>
  <si>
    <t>noi@terradimagie.it</t>
  </si>
  <si>
    <t>AREA SOSTA CAMPER I SIBILLINI</t>
  </si>
  <si>
    <t>Zona Piandicontro</t>
  </si>
  <si>
    <t>B&amp;B IL NASCONDIGLIO DI FAYERS MARK ANDREW</t>
  </si>
  <si>
    <t>Villa Conti 21</t>
  </si>
  <si>
    <t>nascondiglio.com</t>
  </si>
  <si>
    <t>hideawayamandola@aol.com</t>
  </si>
  <si>
    <t>AGRITURISMO DIMENSIONE NATURA</t>
  </si>
  <si>
    <t>C.da San Lorenzo 17</t>
  </si>
  <si>
    <t>Amandola</t>
  </si>
  <si>
    <t>BELMONTE PICENO</t>
  </si>
  <si>
    <t>CASA PER FERIE BELMONTE PICENO</t>
  </si>
  <si>
    <t>via tommaso rubei 6</t>
  </si>
  <si>
    <t>com.belmonte@provincia.ap.it</t>
  </si>
  <si>
    <t>LA CASETTA DELL'ORTO</t>
  </si>
  <si>
    <t>contrada castellarso ete 33</t>
  </si>
  <si>
    <t>madeleine_david@hotmail.com</t>
  </si>
  <si>
    <t>B&amp;B SCHWEMMER REINHOLD</t>
  </si>
  <si>
    <t>via marino lucido 27</t>
  </si>
  <si>
    <t>BELMONTE INN</t>
  </si>
  <si>
    <t>contrada colle tenna 1</t>
  </si>
  <si>
    <t>LA CASA DEL MIRTO</t>
  </si>
  <si>
    <t>c.da Colle Ete 33</t>
  </si>
  <si>
    <t>casadelmirto@libero.it</t>
  </si>
  <si>
    <t>MALAVOLTA MARTINA</t>
  </si>
  <si>
    <t>Contrada Montecamauro 55</t>
  </si>
  <si>
    <t>CAMPOFILONE</t>
  </si>
  <si>
    <t>vinciguerralorenzo@yahoo.it</t>
  </si>
  <si>
    <t>B&amp;B MAREMURO'</t>
  </si>
  <si>
    <t>contrada Marina 47</t>
  </si>
  <si>
    <t>www.maremuro.it</t>
  </si>
  <si>
    <t>voinotna@libero.it</t>
  </si>
  <si>
    <t>B&amp;B CIARROCCHI NAZZARENO</t>
  </si>
  <si>
    <t>contrada Marina 52</t>
  </si>
  <si>
    <t>info@bbdazare.it</t>
  </si>
  <si>
    <t>VECCHIA MONTA</t>
  </si>
  <si>
    <t>contrada Montecamauro 1</t>
  </si>
  <si>
    <t>www.vecchiamonta.it</t>
  </si>
  <si>
    <t>info@vecchiamonta.it</t>
  </si>
  <si>
    <t>NINA</t>
  </si>
  <si>
    <t>localita' ponte nina 1 1</t>
  </si>
  <si>
    <t>PONTE NINA</t>
  </si>
  <si>
    <t>CASA DE MAR</t>
  </si>
  <si>
    <t>Tre Camini 24</t>
  </si>
  <si>
    <t>Tre Camini</t>
  </si>
  <si>
    <t>info@casademar.it</t>
  </si>
  <si>
    <t>www.casademar.it</t>
  </si>
  <si>
    <t>AGRITURISMO  VILLA EUGENIA di CIARROCCHI EMIDIO</t>
  </si>
  <si>
    <t>contrada Marina 51</t>
  </si>
  <si>
    <t>www.mareincampagna.it/</t>
  </si>
  <si>
    <t>bbvillaeugenia@mareincampagna.it</t>
  </si>
  <si>
    <t>B&amp;B DAL CAPO</t>
  </si>
  <si>
    <t>contrada Marina 3</t>
  </si>
  <si>
    <t>www.bb-dalcapo.it</t>
  </si>
  <si>
    <t>lucia-mat@libero.it</t>
  </si>
  <si>
    <t>FONTANA MARINA</t>
  </si>
  <si>
    <t>localita' Tre Camini 1</t>
  </si>
  <si>
    <t>www.fontanamarina.it</t>
  </si>
  <si>
    <t>fontana@camping.it; info@fontanamarina.it</t>
  </si>
  <si>
    <t>B&amp;B LAND &amp; SEA</t>
  </si>
  <si>
    <t>via Marina 14</t>
  </si>
  <si>
    <t>Campofilone</t>
  </si>
  <si>
    <t>www.bblandandsea.it</t>
  </si>
  <si>
    <t>info@bblandandsea.it</t>
  </si>
  <si>
    <t>B&amp;B AL MARE</t>
  </si>
  <si>
    <t>Loc. Ponte Nina 22</t>
  </si>
  <si>
    <t>loc. Ponte Nina</t>
  </si>
  <si>
    <t>IL MARE IN CAMPAGNA</t>
  </si>
  <si>
    <t>contrada Marina 54</t>
  </si>
  <si>
    <t>www.mareincampagna.it</t>
  </si>
  <si>
    <t>info@mareincampagna.it</t>
  </si>
  <si>
    <t>CUMANA BLU</t>
  </si>
  <si>
    <t>contrada marina 27</t>
  </si>
  <si>
    <t>www.cumanabluresidence.com</t>
  </si>
  <si>
    <t>info@cumanabluresidence.com</t>
  </si>
  <si>
    <t>B&amp;B SOTTO LA ROCCA</t>
  </si>
  <si>
    <t>vicolo degli orti 11</t>
  </si>
  <si>
    <t>mstagnari@gmail.com</t>
  </si>
  <si>
    <t>CASA ULIVETO</t>
  </si>
  <si>
    <t>via Molino 11</t>
  </si>
  <si>
    <t>www.ulivetovacanze.com</t>
  </si>
  <si>
    <t>iommi.patrizia@gmail.com</t>
  </si>
  <si>
    <t>LA RESIDENZA DEGLI ULIVI</t>
  </si>
  <si>
    <t>contrada Valdaso 22</t>
  </si>
  <si>
    <t>www.leresidenzedegliulivi.com</t>
  </si>
  <si>
    <t>info@leresidenzedegliulivi.com</t>
  </si>
  <si>
    <t>PONTENINA-CAMPOFILONE</t>
  </si>
  <si>
    <t>www.vacanzelaperla.it</t>
  </si>
  <si>
    <t>info@vacanzelaperla.it</t>
  </si>
  <si>
    <t>B&amp;B A CASA DI MAX</t>
  </si>
  <si>
    <t>località Ponte Nina 14</t>
  </si>
  <si>
    <t>Marina di Campofilone</t>
  </si>
  <si>
    <t>www.acasadimax.org</t>
  </si>
  <si>
    <t>acasadimax@hotmail.com</t>
  </si>
  <si>
    <t>AGRITURISMO AZIENDA AGRARIA BONFIGLI</t>
  </si>
  <si>
    <t>via Piagge 2</t>
  </si>
  <si>
    <t>FALERONE</t>
  </si>
  <si>
    <t>www.aziendabonfigli.it</t>
  </si>
  <si>
    <t>info@aziendabonfigli.it</t>
  </si>
  <si>
    <t>B&amp;B CATALANO LUISA</t>
  </si>
  <si>
    <t>strada Faleriense a Valle 58</t>
  </si>
  <si>
    <t>AREA DI SOSTA CAMPER CAMPER SERVICE</t>
  </si>
  <si>
    <t>PIANE DI FALERONE</t>
  </si>
  <si>
    <t>IL LEONE ROSSO B&amp;B</t>
  </si>
  <si>
    <t>contrada patrignone 11</t>
  </si>
  <si>
    <t>http://www.illeonerosso.com</t>
  </si>
  <si>
    <t>fra.guglielmi@gmail.com; info@illeonerosso.com</t>
  </si>
  <si>
    <t>B&amp;B LE ORTENZIE DI GAUDENZI ANGELA MARIA</t>
  </si>
  <si>
    <t>via vincenzo bellini 56</t>
  </si>
  <si>
    <t>COUNTRY HOUSE FALERIA</t>
  </si>
  <si>
    <t>via delle Terme 4</t>
  </si>
  <si>
    <t>www.countryhousefaleria.it</t>
  </si>
  <si>
    <t>info@countryhousefaleria.it</t>
  </si>
  <si>
    <t>B&amp;B CASA FALERONE DI MARINOZZI GIANCARLO</t>
  </si>
  <si>
    <t>c.da Bascione 25</t>
  </si>
  <si>
    <t>http://www.casafalerone.it</t>
  </si>
  <si>
    <t>info.adiemme@gmail.com</t>
  </si>
  <si>
    <t>B&amp;B VISTA SUL MARE</t>
  </si>
  <si>
    <t>c.da Abbadetta ss 16 Agro Palmense 5</t>
  </si>
  <si>
    <t>FERMO</t>
  </si>
  <si>
    <t xml:space="preserve"> Torre di Palme</t>
  </si>
  <si>
    <t>www.vistasulmare.net</t>
  </si>
  <si>
    <t>claudiadelgatto@hotmail.it</t>
  </si>
  <si>
    <t>B&amp;B IL PONTE DI LEGNO</t>
  </si>
  <si>
    <t>via Noce 6</t>
  </si>
  <si>
    <t>em.dangelo@libero.it</t>
  </si>
  <si>
    <t>PASCALI TEA</t>
  </si>
  <si>
    <t>VIA MAZZINI 13</t>
  </si>
  <si>
    <t>thea.pascali@libero.it</t>
  </si>
  <si>
    <t>COLEFFI MARIA VITTORIA</t>
  </si>
  <si>
    <t>PREZIOTTI 7</t>
  </si>
  <si>
    <t>giuseppe@mediapixel.it</t>
  </si>
  <si>
    <t>B&amp;B IL FICO GENTILE</t>
  </si>
  <si>
    <t>C/DA FONTANA II 21</t>
  </si>
  <si>
    <t>www.ilficogentile.it</t>
  </si>
  <si>
    <t>danidea.cellamare@gmail.com</t>
  </si>
  <si>
    <t>B&amp;B FERMO STORICA</t>
  </si>
  <si>
    <t>CESARE BATTISTI 14</t>
  </si>
  <si>
    <t>www.fermostorica.com</t>
  </si>
  <si>
    <t>info@fermostorica.com</t>
  </si>
  <si>
    <t>B&amp;B BERKOVITS</t>
  </si>
  <si>
    <t>VIA SAN BIAGIO 8</t>
  </si>
  <si>
    <t>andrea.gallucci1@geopec.it</t>
  </si>
  <si>
    <t>B&amp;B PIAZZETTA</t>
  </si>
  <si>
    <t>CORSO MARCONI 9</t>
  </si>
  <si>
    <t>tizianagrillo@micso.it</t>
  </si>
  <si>
    <t>B&amp;B CASA CAPPONI</t>
  </si>
  <si>
    <t>piazza Sereni 2</t>
  </si>
  <si>
    <t>se.capponi@gmail.com</t>
  </si>
  <si>
    <t>B&amp;B SUITE SPA</t>
  </si>
  <si>
    <t>via a. Diaz 64</t>
  </si>
  <si>
    <t>gismondimassimiliano@gmail.com</t>
  </si>
  <si>
    <t>B&amp;B A CASA DI ILARIA</t>
  </si>
  <si>
    <t>via Ciccolungo 102</t>
  </si>
  <si>
    <t>assuntam51@libero.it</t>
  </si>
  <si>
    <t>B&amp;B GLI ALBERELLI</t>
  </si>
  <si>
    <t>C.da Paludi 344</t>
  </si>
  <si>
    <t>renren_2@libero.it</t>
  </si>
  <si>
    <t>PALMENSIS HOTEL RESIDENCE</t>
  </si>
  <si>
    <t>Via Stazione  56</t>
  </si>
  <si>
    <t>info@palmensis.it</t>
  </si>
  <si>
    <t>Via del Molino 17</t>
  </si>
  <si>
    <t>www.ilterrazzino.wordpress.com</t>
  </si>
  <si>
    <t>ilterrazzinobb@gmail.com</t>
  </si>
  <si>
    <t>L'ULIVETO</t>
  </si>
  <si>
    <t>Via San Girolamo  70</t>
  </si>
  <si>
    <t>B&amp;B ANTICA BIBLIOTECA DI MICHELE BERNETTI EVANGELISTA</t>
  </si>
  <si>
    <t>GOFFREDO MAMELI  5</t>
  </si>
  <si>
    <t>bernettiev@gmail.com</t>
  </si>
  <si>
    <t>PORTA SANTA LUCIA</t>
  </si>
  <si>
    <t>CORSO MARCONI 48</t>
  </si>
  <si>
    <t>www.portasantaluciafermo.it</t>
  </si>
  <si>
    <t>pina.rubinetti@gmail.com</t>
  </si>
  <si>
    <t>B&amp;B MONTANINI ROBERTO</t>
  </si>
  <si>
    <t>CONTRADA SAN MARTINO 95</t>
  </si>
  <si>
    <t>B&amp;B LA CORTE UNO</t>
  </si>
  <si>
    <t>VIA POMPEIANA 390</t>
  </si>
  <si>
    <t>Fermo</t>
  </si>
  <si>
    <t>www.lacortefermo.it</t>
  </si>
  <si>
    <t>info@lacortefermo.it</t>
  </si>
  <si>
    <t>B&amp;B CRIVELLI</t>
  </si>
  <si>
    <t>Via Duca D'Aosta 2</t>
  </si>
  <si>
    <t>TORRE DI PALME</t>
  </si>
  <si>
    <t>mtbtorre@tiscalinet.it</t>
  </si>
  <si>
    <t>CASA VACANZE BORGO CASAL CRISTIANA</t>
  </si>
  <si>
    <t>Contrada Cugnolo 16</t>
  </si>
  <si>
    <t>www.homeholidaymarche.com</t>
  </si>
  <si>
    <t>borghiantichi.srl@gmail.com</t>
  </si>
  <si>
    <t>PATRIZIA ROOM</t>
  </si>
  <si>
    <t>Via della Carriera 26</t>
  </si>
  <si>
    <t>patlibe66@vodafone.it</t>
  </si>
  <si>
    <t>AGRITURISMO MONTEROSATO</t>
  </si>
  <si>
    <t>c.da Lavandara 7</t>
  </si>
  <si>
    <t>fbertone@gmail.com</t>
  </si>
  <si>
    <t>PRIMA COLONNA DEL LOGGIATO</t>
  </si>
  <si>
    <t>Piazza del Popolo 9</t>
  </si>
  <si>
    <t>www.primacolonna.it</t>
  </si>
  <si>
    <t>luzi.francesco@gmail.com</t>
  </si>
  <si>
    <t>LA CHIAVE DI VIOLINO</t>
  </si>
  <si>
    <t>Via dell'Università 14</t>
  </si>
  <si>
    <t>valentina_giostra@libero.it</t>
  </si>
  <si>
    <t>B&amp;B PALAZZO ROMANI ADAMI</t>
  </si>
  <si>
    <t>corso Cavour 94</t>
  </si>
  <si>
    <t>www.palazzoromaniadami.com</t>
  </si>
  <si>
    <t>info@palazzoromaniadami.com</t>
  </si>
  <si>
    <t>ULIVETO</t>
  </si>
  <si>
    <t>contrada san girolamo 121</t>
  </si>
  <si>
    <t>Agriturismo SERENA</t>
  </si>
  <si>
    <t>contrada Ete 41</t>
  </si>
  <si>
    <t>www.agriturismoserena.it</t>
  </si>
  <si>
    <t>info@agriturismoserena.it</t>
  </si>
  <si>
    <t>c.da Monterosato 3</t>
  </si>
  <si>
    <t>FIORE DI CAMPO</t>
  </si>
  <si>
    <t>contrada Montone 124</t>
  </si>
  <si>
    <t>www.fioredicampo.com/</t>
  </si>
  <si>
    <t>info@fioredicampo.com</t>
  </si>
  <si>
    <t>www.agriturismolacollinadeiciliegi.it</t>
  </si>
  <si>
    <t>info@agriturismolacollinadeiciliegi.it</t>
  </si>
  <si>
    <t>B&amp;B VILLA RONDANELLA</t>
  </si>
  <si>
    <t>www.villarondanella.it</t>
  </si>
  <si>
    <t>info@villarondanella.it</t>
  </si>
  <si>
    <t>LIBERATI PAOLA</t>
  </si>
  <si>
    <t>via nazionale 129</t>
  </si>
  <si>
    <t>paola.liberati@libero.it</t>
  </si>
  <si>
    <t>IL VECCHIO PIOPPO</t>
  </si>
  <si>
    <t>via san girolamo 122</t>
  </si>
  <si>
    <t>www.ilvecchiopioppo.it</t>
  </si>
  <si>
    <t>agrivecchiopioppo@libero.it</t>
  </si>
  <si>
    <t>RESIDENCE CRIRO'</t>
  </si>
  <si>
    <t>via delle Scienze 4</t>
  </si>
  <si>
    <t>LOCALITA' MARINA PALMENSE</t>
  </si>
  <si>
    <t>www.residencecriro.it</t>
  </si>
  <si>
    <t>info@residencecriro.it</t>
  </si>
  <si>
    <t>ONDA VERDE</t>
  </si>
  <si>
    <t>Usodimare (Lungomare Fermano) S/N</t>
  </si>
  <si>
    <t>LIDO DI FERMO</t>
  </si>
  <si>
    <t>www.ondaverde.info</t>
  </si>
  <si>
    <t>info@ondaverde.info</t>
  </si>
  <si>
    <t>BAIA DEI GABBIANI</t>
  </si>
  <si>
    <t>lido San Tommaso</t>
  </si>
  <si>
    <t>www.baiadeigabbiani.net</t>
  </si>
  <si>
    <t>info@baiadeigabbiani.net</t>
  </si>
  <si>
    <t>LA TENUTA DEL CONTE</t>
  </si>
  <si>
    <t>contrada Camera di Torre 7</t>
  </si>
  <si>
    <t>www.latenutadelconte.eu</t>
  </si>
  <si>
    <t>latenutadelconte@alice.it</t>
  </si>
  <si>
    <t>LOCANDA DEL TORCHIETTO di NICOLINI PATRIZIA</t>
  </si>
  <si>
    <t>c.da Girola 11</t>
  </si>
  <si>
    <t>www.locandadeltorchietto.com</t>
  </si>
  <si>
    <t>info@locandadeltorchietto.com</t>
  </si>
  <si>
    <t>FRATEL CONVENTUAL</t>
  </si>
  <si>
    <t>contrada cantagallo 30</t>
  </si>
  <si>
    <t>LA QUARTA</t>
  </si>
  <si>
    <t>contrada abbadetta 27</t>
  </si>
  <si>
    <t>www.laquarta.it</t>
  </si>
  <si>
    <t>info@laquarta.it</t>
  </si>
  <si>
    <t>ILPICCOLO BOSCO</t>
  </si>
  <si>
    <t>contrada san biagio 7</t>
  </si>
  <si>
    <t>ilpiccolobosco@virgilio.it</t>
  </si>
  <si>
    <t>B&amp;B TORRE DI PALME</t>
  </si>
  <si>
    <t>via nazario sauro 2</t>
  </si>
  <si>
    <t>www.bed-and-breakfast-torredipalme.it</t>
  </si>
  <si>
    <t>torredipalmebb@virgilio.it</t>
  </si>
  <si>
    <t>B&amp;B A PALAZZO</t>
  </si>
  <si>
    <t>largo Evangelista  1</t>
  </si>
  <si>
    <t>www.apalazzo.com</t>
  </si>
  <si>
    <t>bernetti@libero.it</t>
  </si>
  <si>
    <t>NOVE NOVE</t>
  </si>
  <si>
    <t>via lungomare fermano 1 1</t>
  </si>
  <si>
    <t>PORTO SAN GIORGIO</t>
  </si>
  <si>
    <t>VISI NICOLINA</t>
  </si>
  <si>
    <t>MARINA PALMENSE</t>
  </si>
  <si>
    <t>CHALET DADI'</t>
  </si>
  <si>
    <t>CHALET MALU'</t>
  </si>
  <si>
    <t>CHALET KINGHINO</t>
  </si>
  <si>
    <t>CHALET IL GRILLO</t>
  </si>
  <si>
    <t>mirella.santanafessa@alice.it</t>
  </si>
  <si>
    <t>CHALET RIVAZZURRA</t>
  </si>
  <si>
    <t>IL RE DEL SOLE - SOUTH BACH</t>
  </si>
  <si>
    <t>fermo</t>
  </si>
  <si>
    <t>CHALET PAPILLON - BAGNI ANNA</t>
  </si>
  <si>
    <t>PARADISE BEACH</t>
  </si>
  <si>
    <t>MAUNA LOA</t>
  </si>
  <si>
    <t>SOMBRERO</t>
  </si>
  <si>
    <t>CHALET ONDINA</t>
  </si>
  <si>
    <t>HOTEL LIDO - BIG FISCH</t>
  </si>
  <si>
    <t>CASTURA' TOMMASO. I TRE FRATELLI</t>
  </si>
  <si>
    <t>contrada Marina Palmense 1</t>
  </si>
  <si>
    <t>www.campinggirasole.it</t>
  </si>
  <si>
    <t>booking@campinggirasole.it</t>
  </si>
  <si>
    <t>CENTRO VACANZE CAMPING SPINNAKER</t>
  </si>
  <si>
    <t>Via Giovanni Campofiloni 24</t>
  </si>
  <si>
    <t>www.vacanzespinnaker.it</t>
  </si>
  <si>
    <t>info@vacanzespinnaker.it</t>
  </si>
  <si>
    <t>www.centrovacanzeverdemare.it</t>
  </si>
  <si>
    <t>info@centrovacanzeverdemare.it</t>
  </si>
  <si>
    <t>RIVA DEI PINI</t>
  </si>
  <si>
    <t>via lungomare Fermano  4</t>
  </si>
  <si>
    <t>www.rivadeipini.it</t>
  </si>
  <si>
    <t>info@rivadeipini.it</t>
  </si>
  <si>
    <t>TRE ARCHI</t>
  </si>
  <si>
    <t>via ugo la malfa 19A</t>
  </si>
  <si>
    <t>www.campingtrearchi.eu</t>
  </si>
  <si>
    <t>info@campingtrearchi.eu</t>
  </si>
  <si>
    <t>BOOMERANG</t>
  </si>
  <si>
    <t>via lungomare fermano 1</t>
  </si>
  <si>
    <t>www.campingboomerang.it</t>
  </si>
  <si>
    <t>boomerang@camping.it</t>
  </si>
  <si>
    <t>JOHNNY</t>
  </si>
  <si>
    <t>Campofiloni  28/30</t>
  </si>
  <si>
    <t>www.campingjohnny.com</t>
  </si>
  <si>
    <t>info@campingjohnny.com</t>
  </si>
  <si>
    <t>RESIDENCE MARE</t>
  </si>
  <si>
    <t>via Ugo La Malfa 19</t>
  </si>
  <si>
    <t>www.residencemare.com</t>
  </si>
  <si>
    <t>info@residencemare.com</t>
  </si>
  <si>
    <t>VALENTINA</t>
  </si>
  <si>
    <t>via Lungomare Fermano 22</t>
  </si>
  <si>
    <t>valentina@camping.it</t>
  </si>
  <si>
    <t>CAMPING GEMMA</t>
  </si>
  <si>
    <t>via giovanni campofiloni 32</t>
  </si>
  <si>
    <t>www.campinggemma.it</t>
  </si>
  <si>
    <t>info@campinggemma.it</t>
  </si>
  <si>
    <t>c.da Marina Palmense 1</t>
  </si>
  <si>
    <t>www.paradisocamping.it</t>
  </si>
  <si>
    <t>info@paradisocamping.it</t>
  </si>
  <si>
    <t>QUATTRO CERCHI</t>
  </si>
  <si>
    <t>via Lungomare Fermano 8</t>
  </si>
  <si>
    <t>www.camping4cerchi.com</t>
  </si>
  <si>
    <t>4cerchi@camping.it</t>
  </si>
  <si>
    <t>VILLA NAZARETH</t>
  </si>
  <si>
    <t>contrada San Salvatore 6</t>
  </si>
  <si>
    <t>www.villanazareth.it</t>
  </si>
  <si>
    <t>info@villanazareth.it</t>
  </si>
  <si>
    <t>B&amp;B 1912</t>
  </si>
  <si>
    <t>via Armando Diaz 58</t>
  </si>
  <si>
    <t>www.bb1912.it</t>
  </si>
  <si>
    <t>info@bb1912.it</t>
  </si>
  <si>
    <t>TIDEI MARIO</t>
  </si>
  <si>
    <t>via del crocefisso 84</t>
  </si>
  <si>
    <t>mario.tidei@tiscali.it</t>
  </si>
  <si>
    <t>B&amp;B GENTILI TERESA MARIA</t>
  </si>
  <si>
    <t>via Antonio Perpenti 15</t>
  </si>
  <si>
    <t>bbteresagentili@yahoo.it</t>
  </si>
  <si>
    <t>BORDONI PRIMO</t>
  </si>
  <si>
    <t>contrada camera di fermo 12</t>
  </si>
  <si>
    <t>LA FONTE DI MOSE'</t>
  </si>
  <si>
    <t>Fonte di Mosè 18 18</t>
  </si>
  <si>
    <t>WWW.lafontedimose.it</t>
  </si>
  <si>
    <t>info@lafontedimose.it</t>
  </si>
  <si>
    <t>ROBERTO ANTOLINI</t>
  </si>
  <si>
    <t>AGRITURISMO CIFERRI LORELLA</t>
  </si>
  <si>
    <t>contrada Marina Palmense 40</t>
  </si>
  <si>
    <t>cielo61@alice.it</t>
  </si>
  <si>
    <t>LEVANDARA</t>
  </si>
  <si>
    <t>C.DA LAVANDARA  9</t>
  </si>
  <si>
    <t>levandara.it</t>
  </si>
  <si>
    <t>RIO ETE</t>
  </si>
  <si>
    <t>contrada san girolamo 1</t>
  </si>
  <si>
    <t>IL PICCHIO - MADONNABRUNA</t>
  </si>
  <si>
    <t>contrada Camera di Fermo 100</t>
  </si>
  <si>
    <t>www.madonnabruna.it</t>
  </si>
  <si>
    <t>azienda@madonnabruna.it</t>
  </si>
  <si>
    <t>contrada cantagallo 16</t>
  </si>
  <si>
    <t>viale enea silvio piccolomini 3</t>
  </si>
  <si>
    <t>royal@royalre.it</t>
  </si>
  <si>
    <t>HOTEL LIDO</t>
  </si>
  <si>
    <t>via lungomare Fermano 104</t>
  </si>
  <si>
    <t>stefan130577@yahoo.it</t>
  </si>
  <si>
    <t>viale del Lido 51</t>
  </si>
  <si>
    <t>www.hoteledenfermo.it</t>
  </si>
  <si>
    <t>hoteleden@live.it</t>
  </si>
  <si>
    <t>viale vittorio veneto 8</t>
  </si>
  <si>
    <t>www.hotelastoriafermo.it</t>
  </si>
  <si>
    <t>info@hotelastoriafermo.it</t>
  </si>
  <si>
    <t>CASINA DELLE ROSE</t>
  </si>
  <si>
    <t>piazzale Girfalco 16</t>
  </si>
  <si>
    <t>LA CASA DI CARLA</t>
  </si>
  <si>
    <t>strada comunale vallescura seconda 1</t>
  </si>
  <si>
    <t>www.lacasadicarla.it</t>
  </si>
  <si>
    <t>mascetticarla@libero.it</t>
  </si>
  <si>
    <t>AGRITURISMO CA' NICK</t>
  </si>
  <si>
    <t>Contrada camera di fermo 82</t>
  </si>
  <si>
    <t>www.ca-nick.it</t>
  </si>
  <si>
    <t>ca-nick@ca-nick.it</t>
  </si>
  <si>
    <t>VILLA VINCI</t>
  </si>
  <si>
    <t>piazzale Girfalco 1</t>
  </si>
  <si>
    <t>www.villavincifermo.com</t>
  </si>
  <si>
    <t>info@villavincifermo.com</t>
  </si>
  <si>
    <t>QUINTILI MARIA CANDIDA</t>
  </si>
  <si>
    <t>B&amp;B PEPEROSA</t>
  </si>
  <si>
    <t>contrada paludi 319</t>
  </si>
  <si>
    <t>bedandbreakfast.peperosa@gmail.com</t>
  </si>
  <si>
    <t>B&amp;B ELISABETTA ACHILLE</t>
  </si>
  <si>
    <t>corso cavour 75</t>
  </si>
  <si>
    <t>info@beb-fermo.com</t>
  </si>
  <si>
    <t>eliachil@alice.it</t>
  </si>
  <si>
    <t>LA TENUTA DI SANT'ELISABETTA</t>
  </si>
  <si>
    <t>contrada Camera di Fermo 120</t>
  </si>
  <si>
    <t>www.tenutasantelisabetta.com</t>
  </si>
  <si>
    <t>info@tenutasantelisabetta.com</t>
  </si>
  <si>
    <t>via Pompeiana 390</t>
  </si>
  <si>
    <t>RESIDENZA ECOLOGICA CASABIANCA</t>
  </si>
  <si>
    <t>via Riva del Pescatore 15</t>
  </si>
  <si>
    <t>CASABIANCA</t>
  </si>
  <si>
    <t>residenzacasabianca@libero.it</t>
  </si>
  <si>
    <t>VIA B.G. DELLA VERNA 27</t>
  </si>
  <si>
    <t>www.bbilnido.it</t>
  </si>
  <si>
    <t>danieleioi@libero.it</t>
  </si>
  <si>
    <t>VILLA IL CANNONE</t>
  </si>
  <si>
    <t>via dei palmensi   108</t>
  </si>
  <si>
    <t>Marina Palmense</t>
  </si>
  <si>
    <t>www.villailcannone.it</t>
  </si>
  <si>
    <t>info@villailcannone.it</t>
  </si>
  <si>
    <t>VILLA LATTANZI</t>
  </si>
  <si>
    <t>c.da Cugnolo 19</t>
  </si>
  <si>
    <t>loc.Torre di Palme</t>
  </si>
  <si>
    <t>www.villalattanzi.it</t>
  </si>
  <si>
    <t>info@villalattanzi.it</t>
  </si>
  <si>
    <t>B&amp;B L'OROLOGIO</t>
  </si>
  <si>
    <t>via dell'Università 5</t>
  </si>
  <si>
    <t>remiamg@gmail.com; lorenzoluciani@tin.it</t>
  </si>
  <si>
    <t>RESIDENCE CASABIANCA</t>
  </si>
  <si>
    <t>Via riva del pescatore 15</t>
  </si>
  <si>
    <t>www.residencecasabianca.eu</t>
  </si>
  <si>
    <t>info@residencecasabianca.eu</t>
  </si>
  <si>
    <t>B&amp;B LA CASA DELL'ARTISTA</t>
  </si>
  <si>
    <t>via Bianchi 8</t>
  </si>
  <si>
    <t>www.lacasadellartista.com</t>
  </si>
  <si>
    <t>info@lacasadellartista.com</t>
  </si>
  <si>
    <t>B&amp;B FALCONI CHIARA</t>
  </si>
  <si>
    <t>l.go Falconi 3</t>
  </si>
  <si>
    <t>falconi.chiara@alice.it</t>
  </si>
  <si>
    <t>B&amp;B VIA GARIBALDI</t>
  </si>
  <si>
    <t>VIA GARIBALDI 90</t>
  </si>
  <si>
    <t>colomba.cuomo@gmail.com</t>
  </si>
  <si>
    <t>LA TENUTA SANT'ELISABETTA</t>
  </si>
  <si>
    <t>c.da Camera 120</t>
  </si>
  <si>
    <t>VILLA MIRELLA BEACH</t>
  </si>
  <si>
    <t>via Stazione  35/37</t>
  </si>
  <si>
    <t>www.villamirellabeach.it</t>
  </si>
  <si>
    <t>info@villamirellabeach.it</t>
  </si>
  <si>
    <t>B&amp;B COLLINA ROSA</t>
  </si>
  <si>
    <t>Contrada Camera di Fermo 9</t>
  </si>
  <si>
    <t>www.collinarosa.it</t>
  </si>
  <si>
    <t>r.valentini2009@gmail.com</t>
  </si>
  <si>
    <t>B&amp;B DIMORANTICA</t>
  </si>
  <si>
    <t>via san marco 75</t>
  </si>
  <si>
    <t>www.dimorantica.com</t>
  </si>
  <si>
    <t>synodia@virgilio.it</t>
  </si>
  <si>
    <t>AGRITURISMO LE GAZZE</t>
  </si>
  <si>
    <t>via pompeiana 426</t>
  </si>
  <si>
    <t>www.legazze.it</t>
  </si>
  <si>
    <t>info@legazze.it</t>
  </si>
  <si>
    <t>AGRITURISMO SUAVIA PICENA</t>
  </si>
  <si>
    <t>contrada storno 10</t>
  </si>
  <si>
    <t>suaviapicena@gmail.com</t>
  </si>
  <si>
    <t>HOTEL RESIDENCE CHARLY</t>
  </si>
  <si>
    <t>via Nazionale 78</t>
  </si>
  <si>
    <t>www.hotelresidencecharly.it</t>
  </si>
  <si>
    <t>info@hotelresidencecharly.it</t>
  </si>
  <si>
    <t>ANTOLINI OVIDIO</t>
  </si>
  <si>
    <t>contrada san biagio 10</t>
  </si>
  <si>
    <t>AFFITTACAMERE FORO' LOLITA</t>
  </si>
  <si>
    <t>via ugo la malfa 13</t>
  </si>
  <si>
    <t>AREA CAMPER FERMO</t>
  </si>
  <si>
    <t>www.areacamper.it</t>
  </si>
  <si>
    <t>info@areacamper.it</t>
  </si>
  <si>
    <t>B&amp;B FERMO D'AMARE</t>
  </si>
  <si>
    <t>via Pagani 50</t>
  </si>
  <si>
    <t>https://sites.google.com/site/bbfermodamare/home</t>
  </si>
  <si>
    <t>mon-cherie@hotmail.it</t>
  </si>
  <si>
    <t>B&amp;B FRANCESCO BERBELLINI</t>
  </si>
  <si>
    <t>via Giacomo Leopardi 19</t>
  </si>
  <si>
    <t>francescoberbellini@gmail.com</t>
  </si>
  <si>
    <t>B&amp;B MOZZORECCHIA MARINO</t>
  </si>
  <si>
    <t>via Paludi 409</t>
  </si>
  <si>
    <t>info@mariomozzorecchia.it</t>
  </si>
  <si>
    <t>B&amp;B MOZZORECCHIA MARIO</t>
  </si>
  <si>
    <t>B&amp;B IL CORSO</t>
  </si>
  <si>
    <t>c.so Cefalonia 51</t>
  </si>
  <si>
    <t>B&amp;B VILLA CAPODARCO</t>
  </si>
  <si>
    <t>via Valleoscura di Capodarco 78</t>
  </si>
  <si>
    <t>loc. Capodarco Montesecco</t>
  </si>
  <si>
    <t>www.villacapodarco.it</t>
  </si>
  <si>
    <t>info@villacapodarco.it</t>
  </si>
  <si>
    <t>c.da Camera 17</t>
  </si>
  <si>
    <t>www.laselvaagriturismofermo.it</t>
  </si>
  <si>
    <t>info@laselvaagriturismofermo.it</t>
  </si>
  <si>
    <t>GOODNIGHT MOON</t>
  </si>
  <si>
    <t>corso Marconi 22</t>
  </si>
  <si>
    <t>laki5543@alice.it</t>
  </si>
  <si>
    <t>B&amp;B ROSS HOUSE</t>
  </si>
  <si>
    <t>via Madonna d'Ete 1/a</t>
  </si>
  <si>
    <t>info@bb-rosshouse.it</t>
  </si>
  <si>
    <t>via Pompeiana  338</t>
  </si>
  <si>
    <t>www.villalba.org</t>
  </si>
  <si>
    <t>info@villalba.org</t>
  </si>
  <si>
    <t>B&amp;B A CASA DI LORI</t>
  </si>
  <si>
    <t>via San Pietro Orgiano 13</t>
  </si>
  <si>
    <t>Capodarco di Fermo</t>
  </si>
  <si>
    <t>www.acasadilori.it</t>
  </si>
  <si>
    <t xml:space="preserve"> info@acasadilori.it</t>
  </si>
  <si>
    <t>B&amp;B REMO CUTRINA</t>
  </si>
  <si>
    <t>Via San Marco 31</t>
  </si>
  <si>
    <t>AGRITURISMO LE VIGNE</t>
  </si>
  <si>
    <t>STORNO 27</t>
  </si>
  <si>
    <t>strada Provinciale Val d'Ete</t>
  </si>
  <si>
    <t>www.levigneagriturismo.com</t>
  </si>
  <si>
    <t>info@levigneagriturismo.com</t>
  </si>
  <si>
    <t>B&amp;B LA BAITA SUL MARE</t>
  </si>
  <si>
    <t>via Girardi 59</t>
  </si>
  <si>
    <t>www.labaitasulmare.com</t>
  </si>
  <si>
    <t>torresimassimo@virgilio.it</t>
  </si>
  <si>
    <t>B&amp;B TRAPANANTI ARIANNA</t>
  </si>
  <si>
    <t>VICOLO CAPESTRO  14</t>
  </si>
  <si>
    <t>PIAZZETTA</t>
  </si>
  <si>
    <t>arianna.trapananti@gmail.com</t>
  </si>
  <si>
    <t>B&amp;B CASA ADORNA</t>
  </si>
  <si>
    <t>via Sant'Anna 43</t>
  </si>
  <si>
    <t>www.casaadorna.it</t>
  </si>
  <si>
    <t>info@casaadorna.it</t>
  </si>
  <si>
    <t>TRAMONTO ROSSO</t>
  </si>
  <si>
    <t>via Madonna d'Ete 1</t>
  </si>
  <si>
    <t>www.agricampingtramontorosso.it</t>
  </si>
  <si>
    <t>info@agricampingtramontorosso.it</t>
  </si>
  <si>
    <t>PALAZZO PUCCI B&amp;B</t>
  </si>
  <si>
    <t>via della Sapienza 6</t>
  </si>
  <si>
    <t>www.palazzopuccibb.com</t>
  </si>
  <si>
    <t>info@palazzopuccibb.com</t>
  </si>
  <si>
    <t>B&amp;B IL GIRFALCO</t>
  </si>
  <si>
    <t>via Ognissanti 1</t>
  </si>
  <si>
    <t>bbilgirfalco@gmail.com</t>
  </si>
  <si>
    <t>B&amp;B SAPIENZA</t>
  </si>
  <si>
    <t>via Francesco Sforza 14</t>
  </si>
  <si>
    <t>www.bbsapienza.com</t>
  </si>
  <si>
    <t>info@bbsapienza.com</t>
  </si>
  <si>
    <t>B&amp;B IL NIDO DEL FALCO</t>
  </si>
  <si>
    <t>via dell'Università   13</t>
  </si>
  <si>
    <t>erosfriscolanti@gmail.com</t>
  </si>
  <si>
    <t>B&amp;B LA LANTERNA</t>
  </si>
  <si>
    <t>via Lucio Tarunzio 58</t>
  </si>
  <si>
    <t>www.lalanternafermo.it</t>
  </si>
  <si>
    <t>bb@lalanternafermo.it</t>
  </si>
  <si>
    <t>B&amp;B MAISON DE CAMPAGNE</t>
  </si>
  <si>
    <t>contrada Salvano 30</t>
  </si>
  <si>
    <t>gigifratta@gmail.com</t>
  </si>
  <si>
    <t>IL COLLE DEI CECI</t>
  </si>
  <si>
    <t>c.da San Sisto 8</t>
  </si>
  <si>
    <t>FRANCAVILLA D'ETE</t>
  </si>
  <si>
    <t>www.ilcolledeiceci.it</t>
  </si>
  <si>
    <t>info@ilcolledeiceci.it</t>
  </si>
  <si>
    <t>CASAL DEI FICHI</t>
  </si>
  <si>
    <t>contrada Pieve Vecchia 25</t>
  </si>
  <si>
    <t>FRANCAVILLA D' ETE</t>
  </si>
  <si>
    <t>www.casaldeifichi.com</t>
  </si>
  <si>
    <t>info@casaldeifichi.com</t>
  </si>
  <si>
    <t>B&amp;B LA POSTA</t>
  </si>
  <si>
    <t>strada Pescia' 1</t>
  </si>
  <si>
    <t>GROTTAZZOLINA</t>
  </si>
  <si>
    <t>www.beblaposta.it</t>
  </si>
  <si>
    <t>info@beblaposta.it</t>
  </si>
  <si>
    <t>COUNTRY HOUSE MONTEBELLO</t>
  </si>
  <si>
    <t>strada della Fonte 12</t>
  </si>
  <si>
    <t>www.countryhouse-montebello.it</t>
  </si>
  <si>
    <t>info@countryhouse-montebello.it</t>
  </si>
  <si>
    <t>AL FIUME</t>
  </si>
  <si>
    <t>strada Fonte Carra' 26</t>
  </si>
  <si>
    <t>www.alfiume.it</t>
  </si>
  <si>
    <t>info@alfiume.it</t>
  </si>
  <si>
    <t>B&amp;B IL SOGNO</t>
  </si>
  <si>
    <t>p.zza Marconi 16</t>
  </si>
  <si>
    <t>www.bbilsognogrottazzolina.com</t>
  </si>
  <si>
    <t>bbilsogno@hotmail.com</t>
  </si>
  <si>
    <t>IL TERRAZZO DELLE RONDINI</t>
  </si>
  <si>
    <t>C.DA MADONNA MANU' 51</t>
  </si>
  <si>
    <t>LAPEDONA</t>
  </si>
  <si>
    <t>ilterrazzodellerondini@gmail.com</t>
  </si>
  <si>
    <t>contrada Coste da Sole 7/a</t>
  </si>
  <si>
    <t>laradelgatto@libero.it</t>
  </si>
  <si>
    <t>B&amp;B LA DAMA</t>
  </si>
  <si>
    <t>ACQUARELLO  8</t>
  </si>
  <si>
    <t>www.podereladama.com</t>
  </si>
  <si>
    <t>danamar.gm@gmail.com</t>
  </si>
  <si>
    <t>CASA VECCHIA</t>
  </si>
  <si>
    <t>contrada aso 11</t>
  </si>
  <si>
    <t>www.casavecchia.it</t>
  </si>
  <si>
    <t>info@casavecchia.it</t>
  </si>
  <si>
    <t>AGRITURISMO  " IL RUSTICO "</t>
  </si>
  <si>
    <t>Via Madonna Bruna 3</t>
  </si>
  <si>
    <t>www.agriturismoilrustico.com</t>
  </si>
  <si>
    <t>info@agriturismoilrustico.com</t>
  </si>
  <si>
    <t>CASA DEGLI ARCHI</t>
  </si>
  <si>
    <t>contrada madonna manu' 42</t>
  </si>
  <si>
    <t>www.agriturismocasadegliarchi.com</t>
  </si>
  <si>
    <t>info@agriturismocasadegliarchi.com</t>
  </si>
  <si>
    <t>B&amp;B IL NIDO DI ALICE</t>
  </si>
  <si>
    <t>contrada Monti di Monterubbiano 4</t>
  </si>
  <si>
    <t>www.bbilnidodialice.it</t>
  </si>
  <si>
    <t>alelice@libero.it</t>
  </si>
  <si>
    <t>DESANTIS P. FRANCESCO</t>
  </si>
  <si>
    <t>contrada Acquarello 3</t>
  </si>
  <si>
    <t>B&amp;B PENNESI GIUSEPPE</t>
  </si>
  <si>
    <t>contrada Aso 16</t>
  </si>
  <si>
    <t>VILLA MANU'</t>
  </si>
  <si>
    <t>contrada Madonna Manu' 56</t>
  </si>
  <si>
    <t>www.residencevillamanu.it</t>
  </si>
  <si>
    <t>info@residencevillamanu.it</t>
  </si>
  <si>
    <t>B&amp;B VERDE VALDASO DI PENNESI DOMENICO</t>
  </si>
  <si>
    <t>contrada Aso 19</t>
  </si>
  <si>
    <t>www.verdevaldaso.it</t>
  </si>
  <si>
    <t>verdevaldaso@virgilio.it</t>
  </si>
  <si>
    <t>LA STORIELLA</t>
  </si>
  <si>
    <t>contrada Madonna Manu' 53</t>
  </si>
  <si>
    <t>B&amp;B VILLA BRITANNICA</t>
  </si>
  <si>
    <t>via Monti 8</t>
  </si>
  <si>
    <t>tim@timwills.com</t>
  </si>
  <si>
    <t>B&amp;B SALTARECCIO</t>
  </si>
  <si>
    <t>contrada Saltareccio  8</t>
  </si>
  <si>
    <t>cornelia.stump@libero.it</t>
  </si>
  <si>
    <t>BIANCONI ROSANNA</t>
  </si>
  <si>
    <t>contrada San Michele 25</t>
  </si>
  <si>
    <t>bianconirosanna@katamail.com</t>
  </si>
  <si>
    <t>AGRITURISMO MONTE MAGGIO</t>
  </si>
  <si>
    <t>c.da Aso 7</t>
  </si>
  <si>
    <t>Lapedona</t>
  </si>
  <si>
    <t>www.agriturmontemaggio.it</t>
  </si>
  <si>
    <t>info@agriturmontemaggio.it</t>
  </si>
  <si>
    <t>LA CASA SUL BORGO</t>
  </si>
  <si>
    <t>BORGO CASTELLANO 6</t>
  </si>
  <si>
    <t>apalloni@libero.it</t>
  </si>
  <si>
    <t>B&amp;B ACERO CAMPESTRE</t>
  </si>
  <si>
    <t>via S.ta Elisabetta 4</t>
  </si>
  <si>
    <t>www.acerocampestre.it</t>
  </si>
  <si>
    <t>info@acerocampestre.it</t>
  </si>
  <si>
    <t>L'ULIVO DI NONNO PIZZU'</t>
  </si>
  <si>
    <t>c.da Fonte Balzana 6</t>
  </si>
  <si>
    <t>lucianatiberi@alice.it</t>
  </si>
  <si>
    <t>AFFITTACAMERE ACQUARELLO</t>
  </si>
  <si>
    <t>contrada Acquarello 11</t>
  </si>
  <si>
    <t>www.agriturismoacquarello.it</t>
  </si>
  <si>
    <t>info@agriturismoacquarello.it</t>
  </si>
  <si>
    <t>IL FRANTOIO</t>
  </si>
  <si>
    <t>contrada madonna bruna 25</t>
  </si>
  <si>
    <t>www.ilfrantoioagriturismo.it</t>
  </si>
  <si>
    <t>tizianodecarolis@alice.it</t>
  </si>
  <si>
    <t>CASA SVEZIA</t>
  </si>
  <si>
    <t>via roma 4</t>
  </si>
  <si>
    <t>IL VELIERO</t>
  </si>
  <si>
    <t>VIALE AMERICA 1/a,b</t>
  </si>
  <si>
    <t>MAGLIANO DI TENNA</t>
  </si>
  <si>
    <t>VIALE AMERICA</t>
  </si>
  <si>
    <t>B&amp;B AGRICOLA LE GRAZIE</t>
  </si>
  <si>
    <t>via della Libertà 20</t>
  </si>
  <si>
    <t>agricolalegrazie@gmail.com</t>
  </si>
  <si>
    <t>LU GRILLO HOLIDAY</t>
  </si>
  <si>
    <t>Via Poggio San Gaetano 19</t>
  </si>
  <si>
    <t>lugrilloholiday.altervista.org</t>
  </si>
  <si>
    <t>barbaravita@hotmail.com</t>
  </si>
  <si>
    <t>B&amp;B LA CASA DEL VIAGGIATORE DI BELOTTI FRANCESCA</t>
  </si>
  <si>
    <t>contrada san lorenzo 1</t>
  </si>
  <si>
    <t>MASSA FERMANA</t>
  </si>
  <si>
    <t>info@lacasadelviaggiatorebb.com</t>
  </si>
  <si>
    <t>L'ANTICO POZZO</t>
  </si>
  <si>
    <t>via Ete 70</t>
  </si>
  <si>
    <t>MONSAMPIETRO MORICO</t>
  </si>
  <si>
    <t>gianna.squarcia@gmail.com</t>
  </si>
  <si>
    <t>B&amp;B FUNARI ALBERTO</t>
  </si>
  <si>
    <t>via borgo Caucci 3</t>
  </si>
  <si>
    <t>frazione Sant'Elpidio Morico</t>
  </si>
  <si>
    <t>http://leduetorrinere.blogspot.it/</t>
  </si>
  <si>
    <t>leduetorri@live.it</t>
  </si>
  <si>
    <t>Via Rivo 42</t>
  </si>
  <si>
    <t>info@lacollina.eu</t>
  </si>
  <si>
    <t>B&amp;B VILLA SOLE</t>
  </si>
  <si>
    <t>via Brodolini 28</t>
  </si>
  <si>
    <t>MONTAPPONE</t>
  </si>
  <si>
    <t>bellabarbamarco@gmail.com</t>
  </si>
  <si>
    <t>PALAZZO RICCUCCI</t>
  </si>
  <si>
    <t>via Palazzo snc</t>
  </si>
  <si>
    <t>www.palazzoriccucci.com</t>
  </si>
  <si>
    <t>info@palazzoriccucci.com</t>
  </si>
  <si>
    <t>via Borgo xx Settembre 37</t>
  </si>
  <si>
    <t>ristorante.s.giorgio@virgilio.it</t>
  </si>
  <si>
    <t>AGRITURISMO MARULLA</t>
  </si>
  <si>
    <t>contrada Marulla 1</t>
  </si>
  <si>
    <t>MONTEFALCONE APPENNINO</t>
  </si>
  <si>
    <t>www.agriturismomarulla.it</t>
  </si>
  <si>
    <t>agriturismomarulla@libero.it</t>
  </si>
  <si>
    <t>L'INCONTRO</t>
  </si>
  <si>
    <t>contrada san lorenzo 63</t>
  </si>
  <si>
    <t>contrada cese 1</t>
  </si>
  <si>
    <t>LOCANDA DELLO SCOIATTOLO</t>
  </si>
  <si>
    <t>DOMUS APPENNINO</t>
  </si>
  <si>
    <t>località Sasso snc</t>
  </si>
  <si>
    <t>Località Sasso</t>
  </si>
  <si>
    <t>AFFITTACAMERE MARZIALI GIANLUCA</t>
  </si>
  <si>
    <t>contrada Marulla 2</t>
  </si>
  <si>
    <t>gianluca.marziali@coldiretti.it</t>
  </si>
  <si>
    <t>COUNTRY HOUSE FAVETO</t>
  </si>
  <si>
    <t>c.da Faveto 88</t>
  </si>
  <si>
    <t>sabri14@alice.it</t>
  </si>
  <si>
    <t>B&amp;B VILLA MARCONI</t>
  </si>
  <si>
    <t>milani.isa@libero.it</t>
  </si>
  <si>
    <t>B&amp;B NONNA LUISA</t>
  </si>
  <si>
    <t>www.bbnonnaluisa.it</t>
  </si>
  <si>
    <t>bbnonnaluisa@libero.it</t>
  </si>
  <si>
    <t>LA FILOMENA</t>
  </si>
  <si>
    <t>c.da Collina 11</t>
  </si>
  <si>
    <t>MONTEFORTINO</t>
  </si>
  <si>
    <t>info@agriturismolafilomena.it</t>
  </si>
  <si>
    <t>HOTEL RISTORANTE AMBRO</t>
  </si>
  <si>
    <t>loc. Ambro</t>
  </si>
  <si>
    <t>cristiano85.bocci@tiscali.it</t>
  </si>
  <si>
    <t>RIFUGIO RUBBIANO</t>
  </si>
  <si>
    <t>loc. Rubbiano 26</t>
  </si>
  <si>
    <t>www.rifugiorubbiano.com</t>
  </si>
  <si>
    <t>rifugiorubbiano@gmail.com</t>
  </si>
  <si>
    <t>SANTA LUCIA DEI SIBILLINI</t>
  </si>
  <si>
    <t>c.da santa lucia n.  31</t>
  </si>
  <si>
    <t>loc.Montefortino</t>
  </si>
  <si>
    <t>m.angellotti@confcommercio-ap.it</t>
  </si>
  <si>
    <t>B&amp;B CA' DE LA ROSSA</t>
  </si>
  <si>
    <t>Frazione Rubbiano 25</t>
  </si>
  <si>
    <t>RUBBIANO</t>
  </si>
  <si>
    <t>www.bbcadelarossa.com</t>
  </si>
  <si>
    <t>bbcadelarossa@libero.it</t>
  </si>
  <si>
    <t>COLLE VERDE</t>
  </si>
  <si>
    <t>localita' bussonico 19</t>
  </si>
  <si>
    <t>alfamitogta@virgilio.it</t>
  </si>
  <si>
    <t>LA MORETTA di EVANGELISTA EDOARDO</t>
  </si>
  <si>
    <t>localita' pretattoni 11</t>
  </si>
  <si>
    <t>info@lamoretta.eu</t>
  </si>
  <si>
    <t>TRINACRIA</t>
  </si>
  <si>
    <t>loc.Col Martese</t>
  </si>
  <si>
    <t>www.ristorantetrinacria.com</t>
  </si>
  <si>
    <t>ristorantetrinacria@inwind.it</t>
  </si>
  <si>
    <t>CAMPING MONTESPINO</t>
  </si>
  <si>
    <t>localita' Cerretana 1</t>
  </si>
  <si>
    <t>campingmontespino@gmail.com</t>
  </si>
  <si>
    <t>AZIENDA AGRITURISTICA LA TERRA DEL VENTO</t>
  </si>
  <si>
    <t>via roma 21</t>
  </si>
  <si>
    <t>agritursibillini.com</t>
  </si>
  <si>
    <t>laterradelvento@libero.it</t>
  </si>
  <si>
    <t>ANTICO MULINO</t>
  </si>
  <si>
    <t>loc.Tenna 2</t>
  </si>
  <si>
    <t>Montefortino</t>
  </si>
  <si>
    <t>www.anticomulino.it</t>
  </si>
  <si>
    <t>anticomulino@virgilio.it</t>
  </si>
  <si>
    <t>IL BORGHETTO</t>
  </si>
  <si>
    <t>Località Bugione 4</t>
  </si>
  <si>
    <t>www.ilborghetto.com</t>
  </si>
  <si>
    <t>info@ilborghetto.com</t>
  </si>
  <si>
    <t>Piedivalle 20</t>
  </si>
  <si>
    <t>bbdamaria@alice.it</t>
  </si>
  <si>
    <t>B&amp;B TABART INN</t>
  </si>
  <si>
    <t>via R. Papiri 24</t>
  </si>
  <si>
    <t>www.tabart-inn.com</t>
  </si>
  <si>
    <t>info@tabart-inn.com</t>
  </si>
  <si>
    <t>COUNTRY HOUSE RE ARTU'</t>
  </si>
  <si>
    <t>localita' baldoni 2</t>
  </si>
  <si>
    <t>CASA SULLA VALLE</t>
  </si>
  <si>
    <t>Loc. Tre Ponti 2</t>
  </si>
  <si>
    <t>www.casasullavalle.it</t>
  </si>
  <si>
    <t>info@casasullavalle.it</t>
  </si>
  <si>
    <t>AFFITTACAMERE PEPPINE'</t>
  </si>
  <si>
    <t>virgilio.siquilini@gmail.com</t>
  </si>
  <si>
    <t>B&amp;B A CASA DI PINA</t>
  </si>
  <si>
    <t>VIA VILLA VALLE 9</t>
  </si>
  <si>
    <t>giuseppinapieroni@gmail.com</t>
  </si>
  <si>
    <t>CASA DI PIETRA</t>
  </si>
  <si>
    <t>casadipietra.eu@gmail.com</t>
  </si>
  <si>
    <t>CAMPING SIBILLA</t>
  </si>
  <si>
    <t>LOCALITA' TENNA SNC</t>
  </si>
  <si>
    <t>TENNA DI MONTEFORTINO</t>
  </si>
  <si>
    <t>COLLE S.GIOVANNI  5</t>
  </si>
  <si>
    <t>MONTE GIBERTO</t>
  </si>
  <si>
    <t>b.magnan@yahoo.it</t>
  </si>
  <si>
    <t>MILLE QUERCE SRL</t>
  </si>
  <si>
    <t>Contrada San Martino 21</t>
  </si>
  <si>
    <t>http://millequerce.it/</t>
  </si>
  <si>
    <t>bosio.fulvia@gmail.com</t>
  </si>
  <si>
    <t>B&amp;B MILLE UNA NOTTE</t>
  </si>
  <si>
    <t>Contrada San Michele 12</t>
  </si>
  <si>
    <t>roberta.evandri@virgilio.it</t>
  </si>
  <si>
    <t>IL VECCHIO PODERE</t>
  </si>
  <si>
    <t>Via Bore di Fiano 4</t>
  </si>
  <si>
    <t>B&amp;B CASA  VITTORIA</t>
  </si>
  <si>
    <t>piazza Cesare Battisti 3</t>
  </si>
  <si>
    <t>B&amp;B CASA MILLEVOLTE di ALESSANDRA MILLEVOLTE</t>
  </si>
  <si>
    <t>www.casamillevolte.it</t>
  </si>
  <si>
    <t>casamillevolte@gmail.com</t>
  </si>
  <si>
    <t>B&amp;B CASA MILLEVOLTE di MARINA MILLEVOLTE</t>
  </si>
  <si>
    <t>ALLA CORTE DI CAROLINA</t>
  </si>
  <si>
    <t>c.da Colle 5/6</t>
  </si>
  <si>
    <t>www.allacortedicarolina.com</t>
  </si>
  <si>
    <t>info@allacortedicarolina.com</t>
  </si>
  <si>
    <t>GLI ULIVI</t>
  </si>
  <si>
    <t>c.da Castellette 6</t>
  </si>
  <si>
    <t>giusimiola@alice.it; verolicristian92@hotmail.it</t>
  </si>
  <si>
    <t>AGRITURISMO CORBEZZOLO</t>
  </si>
  <si>
    <t>c.da Campodonico 10</t>
  </si>
  <si>
    <t>info@agriturismocorbezzolo.it</t>
  </si>
  <si>
    <t>B&amp;B HOUSE SAN NICOLO'</t>
  </si>
  <si>
    <t>via Solferino 20</t>
  </si>
  <si>
    <t>MONTEGIORGIO</t>
  </si>
  <si>
    <t>Montegiorgio</t>
  </si>
  <si>
    <t>www.housesannicolo.it</t>
  </si>
  <si>
    <t>info@housesannicolo.it</t>
  </si>
  <si>
    <t>B&amp;B LA CAPPELLANIA</t>
  </si>
  <si>
    <t>c.da Cerreto 3</t>
  </si>
  <si>
    <t>loc. Cerreto</t>
  </si>
  <si>
    <t>www.cappellania.it</t>
  </si>
  <si>
    <t>info@cappellania.it</t>
  </si>
  <si>
    <t>CASA SAN RUFFINO</t>
  </si>
  <si>
    <t>via Montese 13</t>
  </si>
  <si>
    <t>www.casasanruffino.com</t>
  </si>
  <si>
    <t>info@casasanruffino.com</t>
  </si>
  <si>
    <t>I SASSI DI SAN GIUSEPPE</t>
  </si>
  <si>
    <t>contrada san giuseppe 4</t>
  </si>
  <si>
    <t>www.isassidisangiuseppe.it</t>
  </si>
  <si>
    <t>info@isassidisangiuseppe.it</t>
  </si>
  <si>
    <t>AGRITURISMO FARA</t>
  </si>
  <si>
    <t>via Gaglianello 6</t>
  </si>
  <si>
    <t>www.agriturismofara.com</t>
  </si>
  <si>
    <t>info@agriturismofara.com</t>
  </si>
  <si>
    <t>PIANE</t>
  </si>
  <si>
    <t>B&amp;B RICCI LIDIA</t>
  </si>
  <si>
    <t>via Andrea Passari 36</t>
  </si>
  <si>
    <t>lidia_ricci@libero.it</t>
  </si>
  <si>
    <t>SAN PAOLO HOTEL</t>
  </si>
  <si>
    <t>via Faleriense Est 66</t>
  </si>
  <si>
    <t>www.sanpaolohotel.net</t>
  </si>
  <si>
    <t>info@sanpaolohotel.net</t>
  </si>
  <si>
    <t>OSCAR &amp; AMORINA</t>
  </si>
  <si>
    <t>via Faleriense Ovest 27</t>
  </si>
  <si>
    <t>www.oscareamorina.it</t>
  </si>
  <si>
    <t>info@oscareamorina.it</t>
  </si>
  <si>
    <t>TERRA &amp; SOLE S.R.L.</t>
  </si>
  <si>
    <t>contrada Santa Maria 534</t>
  </si>
  <si>
    <t>MONTEGRANARO</t>
  </si>
  <si>
    <t>www.terraesolecountryhouse.com</t>
  </si>
  <si>
    <t>info@terraesolecountryhouse.com</t>
  </si>
  <si>
    <t>B&amp;B VILLA GIOIA</t>
  </si>
  <si>
    <t>contrada la Croce 22</t>
  </si>
  <si>
    <t>silvana.morichetta@vodafone.it</t>
  </si>
  <si>
    <t>B&amp;B LE GISSELLE</t>
  </si>
  <si>
    <t>contrada Guazzetti snc</t>
  </si>
  <si>
    <t>www.legisselle.com</t>
  </si>
  <si>
    <t>legisselle@legisselle.com; amministrazione@sgm.com</t>
  </si>
  <si>
    <t>VENTURINI MASSIMO</t>
  </si>
  <si>
    <t>contrada Vallone 44</t>
  </si>
  <si>
    <t>contrada Vallone</t>
  </si>
  <si>
    <t>massimo.venturini@teletu.it</t>
  </si>
  <si>
    <t>AFFITTACAMERE DA PATRIZIA</t>
  </si>
  <si>
    <t>via Trivio 48</t>
  </si>
  <si>
    <t>c.roselli@odcfermo.it</t>
  </si>
  <si>
    <t>HOTEL HORIZON</t>
  </si>
  <si>
    <t>strada Provinciale Veregrense 1</t>
  </si>
  <si>
    <t>villa Luciani</t>
  </si>
  <si>
    <t>www.hotelhorizon.it</t>
  </si>
  <si>
    <t>info@hotelhorizon.it</t>
  </si>
  <si>
    <t>LA CASA NELLA VIGNA RIO MAGGIO</t>
  </si>
  <si>
    <t>Via Vallone 41</t>
  </si>
  <si>
    <t>www.riomaggio.it</t>
  </si>
  <si>
    <t>info@riomaggio.it</t>
  </si>
  <si>
    <t>B&amp;B LICIOTTI GIANCARLO</t>
  </si>
  <si>
    <t>VIA GARIBALDI 15</t>
  </si>
  <si>
    <t>g.liciotti@live.it</t>
  </si>
  <si>
    <t>B&amp;B CASA CIARPELLA</t>
  </si>
  <si>
    <t>C.DA SANTA LEANDRA  329/C</t>
  </si>
  <si>
    <t>casaciarpella@gmail.com</t>
  </si>
  <si>
    <t>CASA DE CAMPO</t>
  </si>
  <si>
    <t>via dei monti 208 1</t>
  </si>
  <si>
    <t>acasadecampo1@gmail.com</t>
  </si>
  <si>
    <t>VILLA ALESSANDRA</t>
  </si>
  <si>
    <t>Via Vecchia Boncore 2</t>
  </si>
  <si>
    <t>ale.pagliarini67@gmail.com</t>
  </si>
  <si>
    <t>COUNTRY HOUSE CASA ROSSA</t>
  </si>
  <si>
    <t>VIA MADONNA DI LORETO 4</t>
  </si>
  <si>
    <t>MONTELEONE DI FERMO</t>
  </si>
  <si>
    <t>www.countryhousecasarossa.it</t>
  </si>
  <si>
    <t>info@countryhousecasarossa.it</t>
  </si>
  <si>
    <t>LA CASA DEI NONNI</t>
  </si>
  <si>
    <t>CONTRADA MADONNA DI LORETO 21</t>
  </si>
  <si>
    <t>www.lacasadeinonni.org</t>
  </si>
  <si>
    <t>info@lacasadeinonni.org</t>
  </si>
  <si>
    <t>LE COSTE</t>
  </si>
  <si>
    <t>contrada coste 34</t>
  </si>
  <si>
    <t>MONTELPARO</t>
  </si>
  <si>
    <t>FONTE DI S. ANDREA</t>
  </si>
  <si>
    <t>Montelparo</t>
  </si>
  <si>
    <t>www.fontedisantandrea.it</t>
  </si>
  <si>
    <t>info@fontedisantandrea.it</t>
  </si>
  <si>
    <t>AGRITURISMO RESIDENCE SINFONIE DEL BOSCO</t>
  </si>
  <si>
    <t>contrada santa maria 45</t>
  </si>
  <si>
    <t>www.residencesinfoniedelbosco.it</t>
  </si>
  <si>
    <t>info@residencesinfoniedelbosco.it</t>
  </si>
  <si>
    <t>AGRICAMP PICOBELLO</t>
  </si>
  <si>
    <t>www.agricamppicobello.com</t>
  </si>
  <si>
    <t>info@agricamppicobello.com</t>
  </si>
  <si>
    <t>SOPRA E SOTTO</t>
  </si>
  <si>
    <t>contrada serrone 3</t>
  </si>
  <si>
    <t>www.sopraesotto.com</t>
  </si>
  <si>
    <t>info@sopraesotto.com</t>
  </si>
  <si>
    <t>FORESTERIA DEL VIANDANTE</t>
  </si>
  <si>
    <t>via Lrgo Marconi 3</t>
  </si>
  <si>
    <t>scendoni52@gmail.com</t>
  </si>
  <si>
    <t>T'ASTERIA</t>
  </si>
  <si>
    <t>COLLE CARBONE  9</t>
  </si>
  <si>
    <t>www.tasteria.it</t>
  </si>
  <si>
    <t>info@tasteria.it; isaak.tsorakidis@hotmail.it</t>
  </si>
  <si>
    <t>B&amp;B WENDY RICHARDSON</t>
  </si>
  <si>
    <t>via Celestiale 16</t>
  </si>
  <si>
    <t>wendy@villainthevineyard.com</t>
  </si>
  <si>
    <t>B&amp;B CURI MAURIZIO</t>
  </si>
  <si>
    <t>contrada Coste 24</t>
  </si>
  <si>
    <t>info@lagolosacm.it</t>
  </si>
  <si>
    <t>B&amp;B LA CASA IN COLLINA</t>
  </si>
  <si>
    <t>via Santa Maria 32</t>
  </si>
  <si>
    <t>AGRITURISMO MONTEVERDE</t>
  </si>
  <si>
    <t>contrada Coste</t>
  </si>
  <si>
    <t>salvatoregasperini@alice.it</t>
  </si>
  <si>
    <t>B&amp;B L'AURORA</t>
  </si>
  <si>
    <t>via Risorgimento  25</t>
  </si>
  <si>
    <t>c.da Coste</t>
  </si>
  <si>
    <t>www.bb-laurora.com</t>
  </si>
  <si>
    <t>info@bb-laurora.com</t>
  </si>
  <si>
    <t>B&amp;B VILLA CRISTINA</t>
  </si>
  <si>
    <t>via Case e Pozzo 10</t>
  </si>
  <si>
    <t>CASALE MONASTERO SUL COLLE</t>
  </si>
  <si>
    <t>c.da Coste 18</t>
  </si>
  <si>
    <t>www.casalemonasteromarche.com</t>
  </si>
  <si>
    <t>annessi@studioannessi.it</t>
  </si>
  <si>
    <t>LA GINESTRA HOTEL</t>
  </si>
  <si>
    <t>contrada Coste 2</t>
  </si>
  <si>
    <t>www.laginestra.it</t>
  </si>
  <si>
    <t>info@laginestra.it</t>
  </si>
  <si>
    <t>HOTEL LEONE</t>
  </si>
  <si>
    <t>via Vittorio Emanuelel II  60</t>
  </si>
  <si>
    <t>www.hotelleonemarche.com</t>
  </si>
  <si>
    <t>info@hotelleone.it</t>
  </si>
  <si>
    <t>COUNTRY HOUSE VILLA LILIANA</t>
  </si>
  <si>
    <t>Via Bucchiano snc</t>
  </si>
  <si>
    <t>MONTE RINALDO</t>
  </si>
  <si>
    <t>Monte Rinaldo</t>
  </si>
  <si>
    <t>LA CUMA</t>
  </si>
  <si>
    <t>via Aso 12</t>
  </si>
  <si>
    <t>liviopizzingrilli@gmail.com</t>
  </si>
  <si>
    <t>CANTINA DEI MONTI "Casa Sacciofa"</t>
  </si>
  <si>
    <t>via Sant'Anna 3</t>
  </si>
  <si>
    <t>www.deimonti.com</t>
  </si>
  <si>
    <t>cantina@deimonti.com</t>
  </si>
  <si>
    <t>CASALE INDACO</t>
  </si>
  <si>
    <t>via Crocifisso 14</t>
  </si>
  <si>
    <t>corradomiola@yahoo.it</t>
  </si>
  <si>
    <t>B&amp;B VILLA ELISABETH</t>
  </si>
  <si>
    <t>via Aso 49</t>
  </si>
  <si>
    <t>www.villaelisabeth.it</t>
  </si>
  <si>
    <t>giovanni.cantelmo49@gmail.com</t>
  </si>
  <si>
    <t>IL TEMPIO DI NOVANA</t>
  </si>
  <si>
    <t>contrada Aso 44</t>
  </si>
  <si>
    <t>danieletom83@libero.it</t>
  </si>
  <si>
    <t>info@tempiodinovana.eu</t>
  </si>
  <si>
    <t>AGRITURISMO MONTORSO</t>
  </si>
  <si>
    <t>contrada Bucchiano 14</t>
  </si>
  <si>
    <t>www.agriturismomontorso.it</t>
  </si>
  <si>
    <t>info@agriturismomontorso.it</t>
  </si>
  <si>
    <t>B&amp;B IL GIOGO</t>
  </si>
  <si>
    <t>CONTRADA FONTERRANTE 10</t>
  </si>
  <si>
    <t>MONTERUBBIANO</t>
  </si>
  <si>
    <t>www.ilgiogo.com</t>
  </si>
  <si>
    <t>info@ilgiogo.com; prenotazioni@ilgiogo.com</t>
  </si>
  <si>
    <t>AGRITURISMO CROSTA</t>
  </si>
  <si>
    <t>Pozzetto 2/b</t>
  </si>
  <si>
    <t>Valdaso di Monterubbiano</t>
  </si>
  <si>
    <t>www.agriturismo-crosta.it</t>
  </si>
  <si>
    <t>info@agriturismo-crosta.it</t>
  </si>
  <si>
    <t>via Posenzano  11</t>
  </si>
  <si>
    <t>www.laquercia-agriturismo.com</t>
  </si>
  <si>
    <t>B&amp;B VENTO DI ROSE</t>
  </si>
  <si>
    <t>via Canniccio  7</t>
  </si>
  <si>
    <t xml:space="preserve"> Monterubbiano</t>
  </si>
  <si>
    <t>www.ventodirose.it</t>
  </si>
  <si>
    <t>info@ventodirose.it</t>
  </si>
  <si>
    <t>LA CASA DELL'ARTE</t>
  </si>
  <si>
    <t>Monterubbiano</t>
  </si>
  <si>
    <t>casa dell arte.com</t>
  </si>
  <si>
    <t>casadelarte@libero.it</t>
  </si>
  <si>
    <t>ALBERGO RISTORANTE PAZZI</t>
  </si>
  <si>
    <t>via Laurenzi 10</t>
  </si>
  <si>
    <t>PENSIONE RISTORANTE DA CHECCO</t>
  </si>
  <si>
    <t>via porta marina 5</t>
  </si>
  <si>
    <t>AGRITURISMO MONTESICURO</t>
  </si>
  <si>
    <t>c.da Montesicuro 9</t>
  </si>
  <si>
    <t>www.agriturismomontesicuro.it</t>
  </si>
  <si>
    <t>gaetanomonaldi@alice.it</t>
  </si>
  <si>
    <t>VILLA MONTOTTO</t>
  </si>
  <si>
    <t>frazione montotto 20</t>
  </si>
  <si>
    <t>www.villamontotto.it</t>
  </si>
  <si>
    <t>info@villamontotto.it</t>
  </si>
  <si>
    <t>LA ROSA SCARLATTA</t>
  </si>
  <si>
    <t>largo v. giovannetti 4</t>
  </si>
  <si>
    <t>www.rosascarlatta.it</t>
  </si>
  <si>
    <t>info@rosascarlatta.it</t>
  </si>
  <si>
    <t>B&amp;B IL GROTTINO di DAVID CIUTI</t>
  </si>
  <si>
    <t>piazza del Mercato 11</t>
  </si>
  <si>
    <t>davidciuti@virgilio.it</t>
  </si>
  <si>
    <t>XXV APRILE 1</t>
  </si>
  <si>
    <t>MONTOTTO</t>
  </si>
  <si>
    <t>rsquercia@libero.it</t>
  </si>
  <si>
    <t>CALLARA' ALESSANDRA</t>
  </si>
  <si>
    <t>Via Chiesanuova 33</t>
  </si>
  <si>
    <t>alessandra.callara@gmail.com</t>
  </si>
  <si>
    <t>TESEI DELIA</t>
  </si>
  <si>
    <t>VIA SAN GIOVANNI 32</t>
  </si>
  <si>
    <t>MONTE SAN PIETRANGELI</t>
  </si>
  <si>
    <t>Via Rivo 24</t>
  </si>
  <si>
    <t>AREA DI SOSTA CAMPER - MONTESANPIETRANGELI</t>
  </si>
  <si>
    <t>contrada Malvasia 1</t>
  </si>
  <si>
    <t>www.isolachenonce.eu</t>
  </si>
  <si>
    <t>info@isolachenonce.eu</t>
  </si>
  <si>
    <t>PINA</t>
  </si>
  <si>
    <t>hotelpinasas@virgilio.it</t>
  </si>
  <si>
    <t>AGRITURISMO FONTE CARELLA</t>
  </si>
  <si>
    <t>contrada carella 4</t>
  </si>
  <si>
    <t>fontecarella@tin.it</t>
  </si>
  <si>
    <t>ALBERGO LA VECCHIA FORNACE</t>
  </si>
  <si>
    <t>piazza Salvo d'Acquisto 5</t>
  </si>
  <si>
    <t>MONTE URANO</t>
  </si>
  <si>
    <t>www.lavecchiafornace.net</t>
  </si>
  <si>
    <t>allavecchiafornace@hotmail.it</t>
  </si>
  <si>
    <t>AGRITURISMO DELLE ROSE</t>
  </si>
  <si>
    <t>contrada San Pietro 9</t>
  </si>
  <si>
    <t>www.agriturismodellerose.it</t>
  </si>
  <si>
    <t>info@agriturismodellerose.it</t>
  </si>
  <si>
    <t>IL GALLO DEL VICINO B&amp;B</t>
  </si>
  <si>
    <t>c.da Sant'Isidoro 26</t>
  </si>
  <si>
    <t>www.ilgallodelvicino.com</t>
  </si>
  <si>
    <t>ilgallodelvicino@hotmail.it</t>
  </si>
  <si>
    <t>B&amp;B AI QUATTRO ULIVI</t>
  </si>
  <si>
    <t>via Grecia 2 51</t>
  </si>
  <si>
    <t>www.aiquattroulivi.it</t>
  </si>
  <si>
    <t>lu.iacovelli@hotmail.it</t>
  </si>
  <si>
    <t>IL GIARDINO DI MAVI</t>
  </si>
  <si>
    <t>Contrada Tenna 6/A</t>
  </si>
  <si>
    <t>pallottamariavittoria@gmail.com</t>
  </si>
  <si>
    <t>CAMPING SAN PROCOLO</t>
  </si>
  <si>
    <t>Contrada Selve 3</t>
  </si>
  <si>
    <t>MONTE VIDON COMBATTE</t>
  </si>
  <si>
    <t>pim@sanprocolo.com</t>
  </si>
  <si>
    <t>contrada Madonna degli Angeli 10</t>
  </si>
  <si>
    <t>www.ilfrutteto.biz</t>
  </si>
  <si>
    <t>il.frutteto@tiscali.it</t>
  </si>
  <si>
    <t>MONTE VIDON CORRADO</t>
  </si>
  <si>
    <t>COVODIGIRAMONDO</t>
  </si>
  <si>
    <t>contrada vallemarina 13</t>
  </si>
  <si>
    <t>www.covodigiramondo.com</t>
  </si>
  <si>
    <t>info@covodigiramondo.com</t>
  </si>
  <si>
    <t>L'ACACIA</t>
  </si>
  <si>
    <t>contrada Vallemarina 1</t>
  </si>
  <si>
    <t>BRAGHIN ANNIE</t>
  </si>
  <si>
    <t>via polveriggia 1</t>
  </si>
  <si>
    <t>MONTOTTONE</t>
  </si>
  <si>
    <t>ESCHITO</t>
  </si>
  <si>
    <t>via Molino 27</t>
  </si>
  <si>
    <t>IL GRAPPOLO ROSSO</t>
  </si>
  <si>
    <t>via forche di tenna 14</t>
  </si>
  <si>
    <t>info@grappolorosso.it</t>
  </si>
  <si>
    <t>B&amp;B DEN HARTOG CORNELIS MAARTEN</t>
  </si>
  <si>
    <t>via San Pietro Martire 17</t>
  </si>
  <si>
    <t>cees.denhartog@hotmail.com</t>
  </si>
  <si>
    <t>B&amp;B IL VECCHIO TIGLIO di ERCOLI ROBERTA</t>
  </si>
  <si>
    <t>piazza Marconi 1</t>
  </si>
  <si>
    <t>bettyre@libero.it</t>
  </si>
  <si>
    <t>B&amp;B KLEIN SEVERT ANNE CLAIRE VERONIQUE</t>
  </si>
  <si>
    <t>via S. Pietro Martire 17</t>
  </si>
  <si>
    <t>www.casolareresole.com</t>
  </si>
  <si>
    <t>info@casolareresole.com</t>
  </si>
  <si>
    <t>B&amp;B VALENTINO</t>
  </si>
  <si>
    <t>circonvallazione 5</t>
  </si>
  <si>
    <t>valentino.cm.janigro@gmail.com</t>
  </si>
  <si>
    <t>DAL PRIORE</t>
  </si>
  <si>
    <t>VIA MISTICHELLI 8</t>
  </si>
  <si>
    <t>MORESCO</t>
  </si>
  <si>
    <t>Moresco</t>
  </si>
  <si>
    <t>www.dalpriore.it</t>
  </si>
  <si>
    <t>info@dalpriore.it</t>
  </si>
  <si>
    <t>MORESCO COUNTRY HOUSE LA VALLE DELL'ARCOBALENO</t>
  </si>
  <si>
    <t>Via Montefiore Corta SNC</t>
  </si>
  <si>
    <t>st.santarelli@gmail.com</t>
  </si>
  <si>
    <t>contrada forti 8</t>
  </si>
  <si>
    <t>www.agrimeridiana.it</t>
  </si>
  <si>
    <t>info@agrimeridiana.it</t>
  </si>
  <si>
    <t>VERDI COLLINE</t>
  </si>
  <si>
    <t>contrada Croce 3</t>
  </si>
  <si>
    <t>ORTEZZANO</t>
  </si>
  <si>
    <t>www.agriturismoverdicolline.it</t>
  </si>
  <si>
    <t>info@agriturismoverdicolline.it</t>
  </si>
  <si>
    <t>VECCHIO GELSO</t>
  </si>
  <si>
    <t>contrada Casali 11</t>
  </si>
  <si>
    <t>www.vecchiogelso.com</t>
  </si>
  <si>
    <t>info@vecchiogelso.com</t>
  </si>
  <si>
    <t>RISTORANTE LOCANDA I PICENI</t>
  </si>
  <si>
    <t>PIAZZA MARCELLO SAVINI  1</t>
  </si>
  <si>
    <t>www.locandaipiceni.it</t>
  </si>
  <si>
    <t>locandaipiceni@virgilio.it</t>
  </si>
  <si>
    <t>LA CASA DEGLI GNOMI</t>
  </si>
  <si>
    <t>contrada Canali 9</t>
  </si>
  <si>
    <t>www.lacasadeglignomi.net</t>
  </si>
  <si>
    <t>info@lacasadeglignomi.net</t>
  </si>
  <si>
    <t>LA CASA DEGLI ELFI</t>
  </si>
  <si>
    <t>Contrada Canali 7</t>
  </si>
  <si>
    <t>Canali</t>
  </si>
  <si>
    <t>B&amp;B CASA ELEONORA</t>
  </si>
  <si>
    <t>piazza Umberto I 19</t>
  </si>
  <si>
    <t>c.testa85@gmail.com</t>
  </si>
  <si>
    <t>B&amp;B PORTA DA SOLE</t>
  </si>
  <si>
    <t>via San Pietro 2</t>
  </si>
  <si>
    <t>vitalibas@gmail.com</t>
  </si>
  <si>
    <t>VILLA CRU</t>
  </si>
  <si>
    <t>via San Luca 6</t>
  </si>
  <si>
    <t>info@agriturismovillacru.it</t>
  </si>
  <si>
    <t>COLLE INDACO</t>
  </si>
  <si>
    <t>contrada Indaco 5</t>
  </si>
  <si>
    <t>www.colleindaco.it</t>
  </si>
  <si>
    <t>info@colleindaco.it</t>
  </si>
  <si>
    <t>B&amp;B TRE ORTENZIE</t>
  </si>
  <si>
    <t xml:space="preserve"> Roma 45</t>
  </si>
  <si>
    <t>adolfogiulietti@gmail.com</t>
  </si>
  <si>
    <t>B&amp;B SUMMER</t>
  </si>
  <si>
    <t>PEDASO</t>
  </si>
  <si>
    <t>www.bbsummer.it</t>
  </si>
  <si>
    <t>info@bbsummer.it</t>
  </si>
  <si>
    <t>CONTEA DEI CILIEGI</t>
  </si>
  <si>
    <t>via Dei Piceni 14</t>
  </si>
  <si>
    <t>collina "monte serrone"</t>
  </si>
  <si>
    <t>www.laconteadeiciliegi.it</t>
  </si>
  <si>
    <t>info@conteadeiciliegi.it</t>
  </si>
  <si>
    <t>RESIDENCE SAN MARINO</t>
  </si>
  <si>
    <t>via san marino 2</t>
  </si>
  <si>
    <t>valterossi@alice.it</t>
  </si>
  <si>
    <t>CHALET LA LAMPARA</t>
  </si>
  <si>
    <t>info@ristorantechaletlalampara.com</t>
  </si>
  <si>
    <t>MATEPAYA CLUB</t>
  </si>
  <si>
    <t>Via Giacomo Leopardi 13</t>
  </si>
  <si>
    <t>TIBICECO</t>
  </si>
  <si>
    <t>via Adriatica Sud 37</t>
  </si>
  <si>
    <t>www.tibiceco.it</t>
  </si>
  <si>
    <t>info@tibiceco.it</t>
  </si>
  <si>
    <t>PENSIONE VERDE</t>
  </si>
  <si>
    <t>via Giacomo Matteotti 24</t>
  </si>
  <si>
    <t>www.pensioneverde.it</t>
  </si>
  <si>
    <t>info@pensioneverde.it</t>
  </si>
  <si>
    <t>VALDASO HOTEL</t>
  </si>
  <si>
    <t>via valdaso 26</t>
  </si>
  <si>
    <t>VALDASO@FATA.IT</t>
  </si>
  <si>
    <t>contrada Sant' Antonio 10</t>
  </si>
  <si>
    <t>PETRITOLI</t>
  </si>
  <si>
    <t>www.albergoroma.it</t>
  </si>
  <si>
    <t>fulvital@tin.it</t>
  </si>
  <si>
    <t>contrada agelli 52</t>
  </si>
  <si>
    <t>www.mareemontimarche.com</t>
  </si>
  <si>
    <t>info@mareemontimarche.com</t>
  </si>
  <si>
    <t>M.E.S. - AZIENDA AGRICOLA DI CICCHESE PAOLA</t>
  </si>
  <si>
    <t>contrada san savino 57</t>
  </si>
  <si>
    <t>www.agribiomes.it</t>
  </si>
  <si>
    <t>info@agribiomes.it</t>
  </si>
  <si>
    <t>LO SCOIATTOLO</t>
  </si>
  <si>
    <t>contrada maltignano 9</t>
  </si>
  <si>
    <t>www.agriturismoloscoiattolo.it</t>
  </si>
  <si>
    <t>agriturismoloscoiattolo@alice.it</t>
  </si>
  <si>
    <t>PARCO GALEANO</t>
  </si>
  <si>
    <t>www.parcogaleano.it</t>
  </si>
  <si>
    <t>info@parcogaleano.it</t>
  </si>
  <si>
    <t>B&amp;B PARISI ROSARIA</t>
  </si>
  <si>
    <t>c.da Solagna 1</t>
  </si>
  <si>
    <t>moregnano</t>
  </si>
  <si>
    <t>info.raggiodisole@hotmail.com</t>
  </si>
  <si>
    <t>B&amp;B CASA CORMAR</t>
  </si>
  <si>
    <t>contrada Sant'Antonio 6</t>
  </si>
  <si>
    <t>http://www.casacormar.com/it/benvenuti</t>
  </si>
  <si>
    <t>info@casacormar.com</t>
  </si>
  <si>
    <t>B&amp;B ELENA MONALDI</t>
  </si>
  <si>
    <t>via Sant'Antonio 122</t>
  </si>
  <si>
    <t>www.bluemoonresort.it</t>
  </si>
  <si>
    <t>elena.monaldi@gmail.com</t>
  </si>
  <si>
    <t>B&amp;B VILLA TOCCAMONA PETRITOLI</t>
  </si>
  <si>
    <t>c.da San Marziale 5</t>
  </si>
  <si>
    <t>lambertosantoni@gmail.com</t>
  </si>
  <si>
    <t>CASA IRIS</t>
  </si>
  <si>
    <t>diegomorellidm@libero.it</t>
  </si>
  <si>
    <t>B&amp;B CAPANNA MARGHERITA</t>
  </si>
  <si>
    <t>contrada montoro 18</t>
  </si>
  <si>
    <t>reinhold@cab-bike.com</t>
  </si>
  <si>
    <t>B&amp;B LA SCENTELLA</t>
  </si>
  <si>
    <t>contrada Sant' Antonio 4</t>
  </si>
  <si>
    <t>www.scentella.it</t>
  </si>
  <si>
    <t>info@scentella.it</t>
  </si>
  <si>
    <t>AGRITURISMO SERENA</t>
  </si>
  <si>
    <t>contrada contro 11</t>
  </si>
  <si>
    <t>B&amp;B FOGLINI LIVIA</t>
  </si>
  <si>
    <t>contrada san savino 51</t>
  </si>
  <si>
    <t>www.ilbiologicodilivia.com</t>
  </si>
  <si>
    <t>foam.bio@gmail.com</t>
  </si>
  <si>
    <t>B&amp;B BATES GEOFFREY</t>
  </si>
  <si>
    <t>largo lucentini 5</t>
  </si>
  <si>
    <t>AFFITTACAMERE VITALI FULVIO</t>
  </si>
  <si>
    <t>largo giacomo leopardi 26</t>
  </si>
  <si>
    <t>DIPENDENZA HOTEL ROMA</t>
  </si>
  <si>
    <t>B&amp;B REGINA MARGHERITA</t>
  </si>
  <si>
    <t>via Tornabuoni 27</t>
  </si>
  <si>
    <t>andrea.mars92@gmail.com</t>
  </si>
  <si>
    <t>VERDE BENESSERE VILLAGGIO AGRITURISTICO</t>
  </si>
  <si>
    <t>PONZANO DI FERMO</t>
  </si>
  <si>
    <t>www.verdebenessere.it</t>
  </si>
  <si>
    <t>info@verdebenessere.it</t>
  </si>
  <si>
    <t>contrada Fonte 5</t>
  </si>
  <si>
    <t>www.agrifonte.it</t>
  </si>
  <si>
    <t>agrifonte@agrifonte.it</t>
  </si>
  <si>
    <t>L'OASI DI PIERINO</t>
  </si>
  <si>
    <t>via Molino Nuovo 1</t>
  </si>
  <si>
    <t>loasidipierino@libero.it</t>
  </si>
  <si>
    <t>contrada capparuccia 34</t>
  </si>
  <si>
    <t>www.ilmelogranoagriturismo.com</t>
  </si>
  <si>
    <t>ilmelograno@hotmail.com</t>
  </si>
  <si>
    <t>via Rossini 19</t>
  </si>
  <si>
    <t>www.bb-almare.it</t>
  </si>
  <si>
    <t>info@bb-almare.it</t>
  </si>
  <si>
    <t>B&amp;B LA TANA DI BAGHERA</t>
  </si>
  <si>
    <t>via sauro 131</t>
  </si>
  <si>
    <t>stef.cesarini@gmail.com</t>
  </si>
  <si>
    <t>CHALET BARRACUDA</t>
  </si>
  <si>
    <t>chaletbarracuda2@live.com</t>
  </si>
  <si>
    <t>AMORINO</t>
  </si>
  <si>
    <t>lungomare gramsci 1 1</t>
  </si>
  <si>
    <t>andreabazzani1987@libero.it</t>
  </si>
  <si>
    <t>IL DELFINO VERDE</t>
  </si>
  <si>
    <t>MARAKAIBO</t>
  </si>
  <si>
    <t>chalet_marakaibo@alice.it</t>
  </si>
  <si>
    <t>WINDSURF</t>
  </si>
  <si>
    <t>lungomare gramsci nord 1 1</t>
  </si>
  <si>
    <t>romano.montagnoli@alice.it</t>
  </si>
  <si>
    <t>TUCANO BEACH</t>
  </si>
  <si>
    <t>LA TERRAZZA-PRAIA DO SOL</t>
  </si>
  <si>
    <t>via castelfidardo - lungo mare gramsci nord 2 2</t>
  </si>
  <si>
    <t>STELLA ADRIATICA</t>
  </si>
  <si>
    <t>KURSAAL</t>
  </si>
  <si>
    <t>CHALET JOLLY</t>
  </si>
  <si>
    <t>CHALET BOUNTY</t>
  </si>
  <si>
    <t>COCO LOCO BEACH</t>
  </si>
  <si>
    <t>LE GALL</t>
  </si>
  <si>
    <t>CHALET DA DUILIO</t>
  </si>
  <si>
    <t>lungomare gramsci sud 1 1</t>
  </si>
  <si>
    <t>info@chaletduilio.it</t>
  </si>
  <si>
    <t>viale antonio gramsci 1 1</t>
  </si>
  <si>
    <t>info@villaggiolacapannina.it</t>
  </si>
  <si>
    <t>BAGNI HOTEL TRITONE - ZULU'</t>
  </si>
  <si>
    <t>lungomare gramsci 3 3</t>
  </si>
  <si>
    <t>info@hotel-tritone.it</t>
  </si>
  <si>
    <t>www.hotel-tritone.it</t>
  </si>
  <si>
    <t>ilbrigantinopsg@alice.it</t>
  </si>
  <si>
    <t>BAGNI HOTEL LANTERNA</t>
  </si>
  <si>
    <t>info@lanternahotel.it</t>
  </si>
  <si>
    <t>BAGNI FLORINDA</t>
  </si>
  <si>
    <t>via lungomare gramsci sud 1 1</t>
  </si>
  <si>
    <t>giorgio.rogante@alice.it</t>
  </si>
  <si>
    <t>BAGNI VERA</t>
  </si>
  <si>
    <t>fra94.dai@hotmail.com</t>
  </si>
  <si>
    <t>MINONDA</t>
  </si>
  <si>
    <t>minonda@hoteltimone.com</t>
  </si>
  <si>
    <t>CHALET LO STORIONE - BAGNI GINETTA</t>
  </si>
  <si>
    <t>lostorione@tin.it</t>
  </si>
  <si>
    <t>LO STORIONE</t>
  </si>
  <si>
    <t>IL CIGNO</t>
  </si>
  <si>
    <t>chaletilcigno@gmail.com</t>
  </si>
  <si>
    <t>CHALET COBA' RESTAURANT</t>
  </si>
  <si>
    <t>Lungomare A. Gramsci concessione m. 13 365</t>
  </si>
  <si>
    <t>info@cobarestaurant.it</t>
  </si>
  <si>
    <t>www.cobarestaurant.it</t>
  </si>
  <si>
    <t>CRAZY DISCO BAR</t>
  </si>
  <si>
    <t>masino.massetti@libero.it</t>
  </si>
  <si>
    <t>BAGNI GIULIANA</t>
  </si>
  <si>
    <t>elisabettavecchiola@hotmail.it</t>
  </si>
  <si>
    <t>LA SPIAGGETTA</t>
  </si>
  <si>
    <t>info@cromplast.it</t>
  </si>
  <si>
    <t>LA PINETINA</t>
  </si>
  <si>
    <t>info@complast.it</t>
  </si>
  <si>
    <t>BANDOS LIDO</t>
  </si>
  <si>
    <t>bandoslido@virgilio.it</t>
  </si>
  <si>
    <t>BAGNI ELVEZIO</t>
  </si>
  <si>
    <t>mirelladelmoro@virgilio.it</t>
  </si>
  <si>
    <t>tropicalchalet@alice.it</t>
  </si>
  <si>
    <t>CANTO DO MAR BAGNI ENZO</t>
  </si>
  <si>
    <t>cantodomarpsg@libero.it</t>
  </si>
  <si>
    <t>CAPITAN HARLOCK</t>
  </si>
  <si>
    <t>BAGNI LUISA</t>
  </si>
  <si>
    <t>mariateresa.silenzi@libero.it</t>
  </si>
  <si>
    <t>BAIA PRINCIPE</t>
  </si>
  <si>
    <t>beatoulderico@tiscali.it</t>
  </si>
  <si>
    <t>LA CONCHIGLIA   di  MELONARI  GIUSTINA</t>
  </si>
  <si>
    <t>SANTARELLI MORENA</t>
  </si>
  <si>
    <t>lungomare gramsci 12 12</t>
  </si>
  <si>
    <t>SOLLEONE</t>
  </si>
  <si>
    <t>lungomare gramsci centro 1 1</t>
  </si>
  <si>
    <t>BETTY BOOP</t>
  </si>
  <si>
    <t>PORTO SAN GIORIGO</t>
  </si>
  <si>
    <t>scoglio1@libero.it</t>
  </si>
  <si>
    <t>DOLCE VITA</t>
  </si>
  <si>
    <t>lucia-moretti@hotmail.it</t>
  </si>
  <si>
    <t>QUADRIFOGLIO BEACH</t>
  </si>
  <si>
    <t>cescoru@virgilio.it</t>
  </si>
  <si>
    <t>calypso.alvin@gmail.com</t>
  </si>
  <si>
    <t>BAGNI SIRENA - di PACI TIZIANA</t>
  </si>
  <si>
    <t>BAGNI SIRENA - di PETTINARI MARIA</t>
  </si>
  <si>
    <t>BAGNI DARDO</t>
  </si>
  <si>
    <t>BAGNI NERINA</t>
  </si>
  <si>
    <t>bagninerina@alice.it</t>
  </si>
  <si>
    <t>CHALET LA VELA</t>
  </si>
  <si>
    <t>lungomare Gramsci 1</t>
  </si>
  <si>
    <t>rodolfo.ragaglia@fastweb.it</t>
  </si>
  <si>
    <t>DI SOLE IN SOLE</t>
  </si>
  <si>
    <t>emanuele@studiococcioni.it</t>
  </si>
  <si>
    <t>CHALET DEGLI ARTISTI - POLDO &amp; LIVIA</t>
  </si>
  <si>
    <t>rosalbacarboni64@hotmail.it</t>
  </si>
  <si>
    <t>rosalbacarboni64@hotmail.com</t>
  </si>
  <si>
    <t>BAGNI NICOLAI</t>
  </si>
  <si>
    <t>nicolailuca@inwind.it</t>
  </si>
  <si>
    <t>COCULLA BEACH-CRISANTI STEFANO</t>
  </si>
  <si>
    <t>crisantistefano@gmail.com</t>
  </si>
  <si>
    <t>CHALET DA GUIDO</t>
  </si>
  <si>
    <t>via misericordia 1</t>
  </si>
  <si>
    <t>www.hotelbellavistapsg.it</t>
  </si>
  <si>
    <t>info@hotelbellavistapsg.it</t>
  </si>
  <si>
    <t>HOTEL RISTORANTE IL CAMINETTO</t>
  </si>
  <si>
    <t>via Cimarosa 8</t>
  </si>
  <si>
    <t>www.hotelcaminetto.it</t>
  </si>
  <si>
    <t>info@hotelcaminetto.it</t>
  </si>
  <si>
    <t>via San Martino 11</t>
  </si>
  <si>
    <t>www.villaggiolacapannina.it</t>
  </si>
  <si>
    <t>via san martino 36</t>
  </si>
  <si>
    <t>Via Cesare Battisti 6</t>
  </si>
  <si>
    <t>www.hotel-garden.net</t>
  </si>
  <si>
    <t>info@hotel-garden.net</t>
  </si>
  <si>
    <t>via Kennedy 85</t>
  </si>
  <si>
    <t>www.hoteltimone.com</t>
  </si>
  <si>
    <t>info@hoteltimone.com</t>
  </si>
  <si>
    <t>HOTEL IL CAMINETTO</t>
  </si>
  <si>
    <t>Lungomare A. Gramsci 365</t>
  </si>
  <si>
    <t>DAVID PALACE</t>
  </si>
  <si>
    <t>lungomare Gramsci Sud, 503  503</t>
  </si>
  <si>
    <t>www.hoteldavidpalace.it</t>
  </si>
  <si>
    <t>info@hoteldavidpalace.it</t>
  </si>
  <si>
    <t>ALBERGO LA TERRAZZA</t>
  </si>
  <si>
    <t>www.hotelterrazza.com</t>
  </si>
  <si>
    <t>info@hotelterrazza.com</t>
  </si>
  <si>
    <t>HOTEL ROSA MEUBLE'</t>
  </si>
  <si>
    <t>lungomare Gramsci 177</t>
  </si>
  <si>
    <t>http://www.rosameuble.it</t>
  </si>
  <si>
    <t>info@rosameuble.it</t>
  </si>
  <si>
    <t>VICTORIA</t>
  </si>
  <si>
    <t>viale della Vittoria 240</t>
  </si>
  <si>
    <t>www.hotelvictoria.net</t>
  </si>
  <si>
    <t>info@hotelvictoria.net</t>
  </si>
  <si>
    <t>LA VERANDA</t>
  </si>
  <si>
    <t>via martiri di cefalonia 5</t>
  </si>
  <si>
    <t>via san martino 30</t>
  </si>
  <si>
    <t>www.hriviera.net</t>
  </si>
  <si>
    <t>rivierahotel@tin.it</t>
  </si>
  <si>
    <t>VERA</t>
  </si>
  <si>
    <t>via Donizetti 3</t>
  </si>
  <si>
    <t>PICENO</t>
  </si>
  <si>
    <t>via sauro 132</t>
  </si>
  <si>
    <t>hotelpiceno@libero.it</t>
  </si>
  <si>
    <t>QUATTRO RUOTE</t>
  </si>
  <si>
    <t>via Fratelli Rosselli 173</t>
  </si>
  <si>
    <t>r4ruote@libero.it</t>
  </si>
  <si>
    <t>HOTEL LANTERNA</t>
  </si>
  <si>
    <t>via XX Settembre 242</t>
  </si>
  <si>
    <t>www.lanternahotel.it</t>
  </si>
  <si>
    <t>HOTEL GABBIANO</t>
  </si>
  <si>
    <t>via oberdan 4</t>
  </si>
  <si>
    <t>www.hotelgabbiano.net</t>
  </si>
  <si>
    <t>gabbianohotel@virgilio.it</t>
  </si>
  <si>
    <t>B&amp;B PERFUME DO MAR</t>
  </si>
  <si>
    <t>VIALE DELLA VITTORIA 214</t>
  </si>
  <si>
    <t>thiagoindiani@hotmail.com</t>
  </si>
  <si>
    <t>B&amp;B VILLA TETA</t>
  </si>
  <si>
    <t>viale Vittoria 201</t>
  </si>
  <si>
    <t>villateta@gmail.com</t>
  </si>
  <si>
    <t>CAMPANELLI BED&amp;BREAKFAST</t>
  </si>
  <si>
    <t>via panfili 166</t>
  </si>
  <si>
    <t>www.ristorantecampanelli.it</t>
  </si>
  <si>
    <t>ristorantecampanelli@virgilio.it</t>
  </si>
  <si>
    <t>B&amp;B LE TERRAZZE DEI POETI</t>
  </si>
  <si>
    <t>via Venezia 16</t>
  </si>
  <si>
    <t>www.leterrazzedeipoeti.com</t>
  </si>
  <si>
    <t>leterrazzedeipoeti@gmail.com</t>
  </si>
  <si>
    <t>MATILDA</t>
  </si>
  <si>
    <t>lungomare Gramsci  1 1</t>
  </si>
  <si>
    <t>info@ristorantematilda.com</t>
  </si>
  <si>
    <t>www.matildaristorante.com</t>
  </si>
  <si>
    <t>CHALET OASI</t>
  </si>
  <si>
    <t>CENTRO NEOCATECUMENALE SERVO DI JAHVE'</t>
  </si>
  <si>
    <t>via sant' angelo 10</t>
  </si>
  <si>
    <t>B&amp;B GLI ARTISTI</t>
  </si>
  <si>
    <t>via Botticelli 6</t>
  </si>
  <si>
    <t>www.gliartisti.altervista.org</t>
  </si>
  <si>
    <t>b-bgliartisti@tiscali.it</t>
  </si>
  <si>
    <t>MARCHELIFE di MAZZONI PAOLO</t>
  </si>
  <si>
    <t>Valle Oscura  3</t>
  </si>
  <si>
    <t>www.marchelife.it</t>
  </si>
  <si>
    <t>info@marchelife.it</t>
  </si>
  <si>
    <t>RESIDENCE CAMPANELLI</t>
  </si>
  <si>
    <t>via G. Properzi  175</t>
  </si>
  <si>
    <t>B&amp;B GALLETTO</t>
  </si>
  <si>
    <t>via N. Sauro 131</t>
  </si>
  <si>
    <t>bbgalletto@gmail.com</t>
  </si>
  <si>
    <t>B&amp;B VILLA ANNABELLA</t>
  </si>
  <si>
    <t>via Valle Oscura 35</t>
  </si>
  <si>
    <t>http://villaannabella.weebly.com</t>
  </si>
  <si>
    <t>annabella.info@gmail.com</t>
  </si>
  <si>
    <t>B&amp;B LA PINETINA</t>
  </si>
  <si>
    <t>via IV Novembre 8</t>
  </si>
  <si>
    <t>info@bb-lapinetina.it</t>
  </si>
  <si>
    <t>B&amp;B da NONNA SOLE</t>
  </si>
  <si>
    <t>strada statale Nord 210 39</t>
  </si>
  <si>
    <t>.</t>
  </si>
  <si>
    <t>tania.ferroni@tiscali.it</t>
  </si>
  <si>
    <t>B&amp;B INTERNO 24</t>
  </si>
  <si>
    <t>via Rossini 20</t>
  </si>
  <si>
    <t>Porto San Giorgio</t>
  </si>
  <si>
    <t>achristina@libero.it</t>
  </si>
  <si>
    <t>CHALET 14 B</t>
  </si>
  <si>
    <t>paolettapolidori@libero.it</t>
  </si>
  <si>
    <t>B&amp;B BELSIT</t>
  </si>
  <si>
    <t>via Tiziano Vecellio 49</t>
  </si>
  <si>
    <t>www.bedandbreakfastbelsit.it</t>
  </si>
  <si>
    <t>info@bedandbreakfastbelsit.it</t>
  </si>
  <si>
    <t>B&amp;B AL MARE di STEFANIA D'ANGELO</t>
  </si>
  <si>
    <t>lungomare Gramsci 449</t>
  </si>
  <si>
    <t>AREA SOSTA CAMPER LA PERLA DELL'ADRIATICO</t>
  </si>
  <si>
    <t>via San Martino 13</t>
  </si>
  <si>
    <t>porto san giorgio</t>
  </si>
  <si>
    <t>www.areaperladelladriatico.it</t>
  </si>
  <si>
    <t>info@areaperladelladriatico.it</t>
  </si>
  <si>
    <t>AFFITTACAMERE SAN GIORGIO</t>
  </si>
  <si>
    <t>via XX Settembre 196</t>
  </si>
  <si>
    <t>pensione.san.giorgio@hotmail.it</t>
  </si>
  <si>
    <t>B&amp;B GREEN HARMONY di BIANCA MARIA CASALI</t>
  </si>
  <si>
    <t>contrada Misericordia 6</t>
  </si>
  <si>
    <t>bianca.casali@virgilio.it</t>
  </si>
  <si>
    <t>VILLA MONTANARI ROSATI</t>
  </si>
  <si>
    <t>VIA A.COSTA 15</t>
  </si>
  <si>
    <t>villamontanarirosati@gmail.com</t>
  </si>
  <si>
    <t>B&amp;B TRENTHOUSE</t>
  </si>
  <si>
    <t>VIA TORQUATO TASSO 3</t>
  </si>
  <si>
    <t>loryt59@gmail.com</t>
  </si>
  <si>
    <t>B&amp;B A CASA DI ADRIA</t>
  </si>
  <si>
    <t>via Lepanto 12</t>
  </si>
  <si>
    <t>www.bebadria.it</t>
  </si>
  <si>
    <t>info@bebadria.it</t>
  </si>
  <si>
    <t>Via Santa Vittoria 33</t>
  </si>
  <si>
    <t>www.marche-tourism.com</t>
  </si>
  <si>
    <t>prenotazioni@marche-tourism.com</t>
  </si>
  <si>
    <t>viale della vittoria 239</t>
  </si>
  <si>
    <t>www.hotelnettuno.eu</t>
  </si>
  <si>
    <t>info@hotelnettuno.eu</t>
  </si>
  <si>
    <t>WELCHOME</t>
  </si>
  <si>
    <t>Via Piacenza 64</t>
  </si>
  <si>
    <t>PORTO SANT'ELPIDIO</t>
  </si>
  <si>
    <t>sgat@hotmail.it</t>
  </si>
  <si>
    <t>FONTE DI MARE</t>
  </si>
  <si>
    <t>Via Adriatica 25</t>
  </si>
  <si>
    <t>VILLA LUNA</t>
  </si>
  <si>
    <t>Via Raccordo Pian di Torre 9</t>
  </si>
  <si>
    <t>lunasole.paola@gmail.com</t>
  </si>
  <si>
    <t>CASA ANNA MARIA</t>
  </si>
  <si>
    <t>Via Mar Baltico 55</t>
  </si>
  <si>
    <t>annamarialiberti52@gmail.com</t>
  </si>
  <si>
    <t>B&amp;B LA CASA DI TOMMI</t>
  </si>
  <si>
    <t>via dei Tigli 27</t>
  </si>
  <si>
    <t>lacasaditommi@gmail.com</t>
  </si>
  <si>
    <t>via Umberto I 736</t>
  </si>
  <si>
    <t>sulmare.terrazza@gmail.com</t>
  </si>
  <si>
    <t>B&amp;B PIERMARTIRI ALBERTO</t>
  </si>
  <si>
    <t>via Pergolesi 16</t>
  </si>
  <si>
    <t>wcecosrl@gmail.com</t>
  </si>
  <si>
    <t>B&amp;B HAPPY</t>
  </si>
  <si>
    <t>via Palermo 32</t>
  </si>
  <si>
    <t>Faleriense</t>
  </si>
  <si>
    <t>happybeb14@gmail.com</t>
  </si>
  <si>
    <t>B&amp;B MARGUE'</t>
  </si>
  <si>
    <t>via San Francesco d'Assisi 48</t>
  </si>
  <si>
    <t>info@bbmargue.it</t>
  </si>
  <si>
    <t>FRONTEMARE PARKING</t>
  </si>
  <si>
    <t>frontemareparkingsrl@gmail.com</t>
  </si>
  <si>
    <t>B&amp;B IL GIGLIO VERDE</t>
  </si>
  <si>
    <t>via Principe Umberto 24</t>
  </si>
  <si>
    <t>myriampistolesi@libero.it</t>
  </si>
  <si>
    <t>B&amp;B VILLINO GIOVANNA</t>
  </si>
  <si>
    <t>TRIESTE 217</t>
  </si>
  <si>
    <t>betty.marcucci@libero.it</t>
  </si>
  <si>
    <t>VILLA AZZURRA</t>
  </si>
  <si>
    <t>Strada Provinciale Corvese 21/A</t>
  </si>
  <si>
    <t>CORVA</t>
  </si>
  <si>
    <t>azzurramatrini@hotmail.com</t>
  </si>
  <si>
    <t>B&amp;B ARMONIA DELLA SERA</t>
  </si>
  <si>
    <t>contrada Pescolla 8/a</t>
  </si>
  <si>
    <t>daniela.pier@libero.it</t>
  </si>
  <si>
    <t>B&amp;B PAOETTA</t>
  </si>
  <si>
    <t>via Monte Nerone 1</t>
  </si>
  <si>
    <t>www.bedpaoetta.it</t>
  </si>
  <si>
    <t>bedpao@libero.it</t>
  </si>
  <si>
    <t>B&amp;B IL BOSCHETTO</t>
  </si>
  <si>
    <t>strada provinciale Faleriense 13</t>
  </si>
  <si>
    <t>http://www.boschettobedandbreakfast.com/</t>
  </si>
  <si>
    <t>info@boschettobedandbreakfast.com</t>
  </si>
  <si>
    <t>B&amp;B IL CILIEGIO</t>
  </si>
  <si>
    <t>strada pronvinciale Faleriense 13</t>
  </si>
  <si>
    <t>www.boschettobedandbreakfast.com</t>
  </si>
  <si>
    <t>B&amp;B COCCI OLIVIERO</t>
  </si>
  <si>
    <t>via Adige 104</t>
  </si>
  <si>
    <t>ollycc@alice.it; cocci@arredafrigor2.it</t>
  </si>
  <si>
    <t>MARGARITA MARACCHINI</t>
  </si>
  <si>
    <t>frazione Serrabernacchia 5</t>
  </si>
  <si>
    <t>info@casavacanzegenga.it</t>
  </si>
  <si>
    <t>SETTEMARI</t>
  </si>
  <si>
    <t>B&amp;B ALBA MARINA</t>
  </si>
  <si>
    <t>via Antonio Gramsci 22</t>
  </si>
  <si>
    <t>www.bbalbamarina.it</t>
  </si>
  <si>
    <t>info@bbalbamarina.it</t>
  </si>
  <si>
    <t>B&amp;B LA CASA DI ALFREDO</t>
  </si>
  <si>
    <t>strada Provinciale S.Elpidio 30</t>
  </si>
  <si>
    <t>www.lacasadialfredo.it</t>
  </si>
  <si>
    <t>info@lacasadialfredo.it</t>
  </si>
  <si>
    <t>AQUA HOME VILLAGE</t>
  </si>
  <si>
    <t>via Trieste snc</t>
  </si>
  <si>
    <t>www.aquahomevillage.it</t>
  </si>
  <si>
    <t>info@aquahomevillage.it</t>
  </si>
  <si>
    <t>B&amp;B PISTOLESI RONNY</t>
  </si>
  <si>
    <t>via Principe Umberto 33</t>
  </si>
  <si>
    <t>ronny.pistolesi@gmail.com</t>
  </si>
  <si>
    <t>LILLANANNA BED AND BREAKFAST</t>
  </si>
  <si>
    <t>via Sibillini 73</t>
  </si>
  <si>
    <t>Cretarola</t>
  </si>
  <si>
    <t>http://www.lillananna.it/</t>
  </si>
  <si>
    <t>staff@lillananna.it</t>
  </si>
  <si>
    <t>MINU'</t>
  </si>
  <si>
    <t>via faleria 34 34</t>
  </si>
  <si>
    <t>PORTO SANT' ELPIDIO</t>
  </si>
  <si>
    <t>GILDA MUSIC HOTEL</t>
  </si>
  <si>
    <t>via della Cooperazione 4</t>
  </si>
  <si>
    <t>www.gildamusichotel.it</t>
  </si>
  <si>
    <t>info@gildamusichotel.it</t>
  </si>
  <si>
    <t>B&amp;B LOUNGE</t>
  </si>
  <si>
    <t>via Cesare Battisti 105</t>
  </si>
  <si>
    <t>zona centro</t>
  </si>
  <si>
    <t>www.bblounge.it</t>
  </si>
  <si>
    <t>info@bblounge.it</t>
  </si>
  <si>
    <t>B&amp;B GIROVAGANDO</t>
  </si>
  <si>
    <t>via dei Tigli 31/a</t>
  </si>
  <si>
    <t>www.bebmarche.it</t>
  </si>
  <si>
    <t>info@bebmarche.it</t>
  </si>
  <si>
    <t>HOTEL RISTORANTE IL GAMBERO</t>
  </si>
  <si>
    <t>via Mazzini 1</t>
  </si>
  <si>
    <t>www.hotelilgambero.it</t>
  </si>
  <si>
    <t>info@hotelilgambero.it</t>
  </si>
  <si>
    <t>FELIZIANI REBECCA</t>
  </si>
  <si>
    <t>via faleria 1 1</t>
  </si>
  <si>
    <t>strada Pescolla 35/a</t>
  </si>
  <si>
    <t>ilgiardinodellenoci@libero.it</t>
  </si>
  <si>
    <t>LE MIMOSE</t>
  </si>
  <si>
    <t>via faleria 7 15</t>
  </si>
  <si>
    <t>info@villaggiolemimose.it</t>
  </si>
  <si>
    <t>www.villaggiolemimose.it</t>
  </si>
  <si>
    <t>SAXA BEACH</t>
  </si>
  <si>
    <t>B&amp;B ROSA PRISCILLA</t>
  </si>
  <si>
    <t>via Siena 16</t>
  </si>
  <si>
    <t>www.azzurromarerosapriscilla.it</t>
  </si>
  <si>
    <t>alfred5@alice.it</t>
  </si>
  <si>
    <t>B&amp;B AZZURROMARE</t>
  </si>
  <si>
    <t>B&amp;B ONDA BLU</t>
  </si>
  <si>
    <t>via Don Minzoni 45</t>
  </si>
  <si>
    <t>www.bedandbreakfastondablu.it</t>
  </si>
  <si>
    <t>info@bedandbreakfastondablu.it</t>
  </si>
  <si>
    <t>via trieste 38 38</t>
  </si>
  <si>
    <t>B&amp;B VILLA ROSA</t>
  </si>
  <si>
    <t>strada Pescolla 1</t>
  </si>
  <si>
    <t>giorgio.massetti@fastwebnet.it</t>
  </si>
  <si>
    <t>KONKOBA</t>
  </si>
  <si>
    <t>viale Trieste 191</t>
  </si>
  <si>
    <t>lungomare Nord</t>
  </si>
  <si>
    <t>www.hotelpinetapse.it</t>
  </si>
  <si>
    <t>info@hotelpinetapse.it</t>
  </si>
  <si>
    <t>ALBERGO BELVEDERE</t>
  </si>
  <si>
    <t>via belvedere 1</t>
  </si>
  <si>
    <t>www.hotelbelvederepse.it</t>
  </si>
  <si>
    <t>info@hotelbelvederepse.it</t>
  </si>
  <si>
    <t>HOLIDAY S.R.L.</t>
  </si>
  <si>
    <t>Trieste scn</t>
  </si>
  <si>
    <t>Porto Sant'Elpidio</t>
  </si>
  <si>
    <t>www.centroturistico.it</t>
  </si>
  <si>
    <t>holidayhotel@centroturistico.it</t>
  </si>
  <si>
    <t>NAZIONALE RESIDENCE</t>
  </si>
  <si>
    <t>via Camillo Benso Conte di Cavour 231</t>
  </si>
  <si>
    <t>www.nazionaleresidence.it/residence</t>
  </si>
  <si>
    <t>info@nazionaleresidence.it</t>
  </si>
  <si>
    <t>viale Trieste 25</t>
  </si>
  <si>
    <t>lungomare centro</t>
  </si>
  <si>
    <t>www.promenadehotel.it</t>
  </si>
  <si>
    <t>info@promenadehotel.it</t>
  </si>
  <si>
    <t>L'EDERA</t>
  </si>
  <si>
    <t>via Camillo Benso Conte di Cavour 185</t>
  </si>
  <si>
    <t>www.bedeandbreakfastedera.com</t>
  </si>
  <si>
    <t>bedandbreakfastedera@virgilio.it</t>
  </si>
  <si>
    <t>via Faleria 15</t>
  </si>
  <si>
    <t>CENTRO VACANZE LA RISACCA</t>
  </si>
  <si>
    <t>via Europa 100</t>
  </si>
  <si>
    <t>www.larisacca.it</t>
  </si>
  <si>
    <t>info@larisacca.it</t>
  </si>
  <si>
    <t>CHALET STORIONE</t>
  </si>
  <si>
    <t>via faleria 43 43</t>
  </si>
  <si>
    <t>PLAYA DORADA</t>
  </si>
  <si>
    <t>CHALET AMICI</t>
  </si>
  <si>
    <t>CARIBE SNC</t>
  </si>
  <si>
    <t>CHALET MOYTO</t>
  </si>
  <si>
    <t>marcoamadio@libero.it</t>
  </si>
  <si>
    <t>LA VACA PACA</t>
  </si>
  <si>
    <t>PEPE NERO (PAGLIARICCIO SILVIA)</t>
  </si>
  <si>
    <t>andrea@pepenerovillagebeach.it</t>
  </si>
  <si>
    <t>www.pepenerovillagebeach.it</t>
  </si>
  <si>
    <t>PEPENERO (ANDREA DI SANTO)</t>
  </si>
  <si>
    <t>viale europa 100 100</t>
  </si>
  <si>
    <t>63821 PORTO SANT'ELPIDIO</t>
  </si>
  <si>
    <t>CRAZY SUMMER</t>
  </si>
  <si>
    <t>TI: ORO</t>
  </si>
  <si>
    <t>LA MOVIDA BEACH DI AVINO ANTONIO</t>
  </si>
  <si>
    <t>via faleria 7 7</t>
  </si>
  <si>
    <t>BLUB 37</t>
  </si>
  <si>
    <t>via faleria 37 37</t>
  </si>
  <si>
    <t>CHALET RISTORANTE PAPILLON</t>
  </si>
  <si>
    <t>via trieste 1 1</t>
  </si>
  <si>
    <t>info@chaletpapillon.it</t>
  </si>
  <si>
    <t>www.chaletpapillon.it</t>
  </si>
  <si>
    <t>MOBY DYCK</t>
  </si>
  <si>
    <t>LA PLAYA DE' COCOCCIO'</t>
  </si>
  <si>
    <t>strada gabbie 1 1</t>
  </si>
  <si>
    <t>omsa67@email.it</t>
  </si>
  <si>
    <t>MATADOR</t>
  </si>
  <si>
    <t>NERO DI SOLE</t>
  </si>
  <si>
    <t>CHALET SPLASH</t>
  </si>
  <si>
    <t>via Faleria 1 1</t>
  </si>
  <si>
    <t>LUNA ROSSA SNC</t>
  </si>
  <si>
    <t>CHALET DA STEFANO</t>
  </si>
  <si>
    <t>RADIONAVE</t>
  </si>
  <si>
    <t>mercurifrancesco@tiscali.it</t>
  </si>
  <si>
    <t>BAGNI PAZZI</t>
  </si>
  <si>
    <t>SALE'</t>
  </si>
  <si>
    <t>TOUCH</t>
  </si>
  <si>
    <t>SUDOMAGODO</t>
  </si>
  <si>
    <t>giampaolomontevidoni@alice.it</t>
  </si>
  <si>
    <t>www.sudomagodo.it</t>
  </si>
  <si>
    <t>KOOKA</t>
  </si>
  <si>
    <t>info@chaletkooka.it</t>
  </si>
  <si>
    <t>www.chaletkooka.it</t>
  </si>
  <si>
    <t>UKYSOE</t>
  </si>
  <si>
    <t>B&amp;B DIAMANTI PAOLA</t>
  </si>
  <si>
    <t>via IV Novembre 124</t>
  </si>
  <si>
    <t>diamanti57@libero.it</t>
  </si>
  <si>
    <t>PENSIONE DEGLI ULIVI</t>
  </si>
  <si>
    <t>via Garda 43</t>
  </si>
  <si>
    <t>www.pensionedegliulivi.it</t>
  </si>
  <si>
    <t>info@pensionedegliulivi.it</t>
  </si>
  <si>
    <t>IL MOLINO S.R.L</t>
  </si>
  <si>
    <t>contrada tenna 22</t>
  </si>
  <si>
    <t>RAPAGNANO</t>
  </si>
  <si>
    <t>www.ilvecchiomolino.it</t>
  </si>
  <si>
    <t>info@ilvecchiomolino.it</t>
  </si>
  <si>
    <t>B&amp;B IPPOCASTANO</t>
  </si>
  <si>
    <t>viale europa 84</t>
  </si>
  <si>
    <t>AGRITURISMO LA PERLA</t>
  </si>
  <si>
    <t>c.da Logognano 13</t>
  </si>
  <si>
    <t>www.agriturismo-laperla.it</t>
  </si>
  <si>
    <t>info@agriturismo-laperla.it</t>
  </si>
  <si>
    <t>LA TANA DEL CINGHIALE</t>
  </si>
  <si>
    <t>c.da Monte Radaldo 46</t>
  </si>
  <si>
    <t>SANTA VITTORIA IN MATENANO</t>
  </si>
  <si>
    <t>www.latanadelcinghiale.it</t>
  </si>
  <si>
    <t>info@latanadelcinghiale.it</t>
  </si>
  <si>
    <t>B&amp;B LA CASITA</t>
  </si>
  <si>
    <t>c.da Monte Radaldo 60</t>
  </si>
  <si>
    <t>www.lacasitabb.it</t>
  </si>
  <si>
    <t>info@lacasitabb.it</t>
  </si>
  <si>
    <t>VECCHIA FORNACE PARADISO</t>
  </si>
  <si>
    <t>contrada Bore  45</t>
  </si>
  <si>
    <t>www.vfparadiso.it</t>
  </si>
  <si>
    <t>info@vfparadiso.it</t>
  </si>
  <si>
    <t>B&amp;B ANTICA FONTE DEL LATTE</t>
  </si>
  <si>
    <t>Via della Fonte Vecchia 2</t>
  </si>
  <si>
    <t>Frazione Ponte Maglio</t>
  </si>
  <si>
    <t>www.anticafontedellatte.it</t>
  </si>
  <si>
    <t>sciamannapina@gmail.com</t>
  </si>
  <si>
    <t>B&amp;B IL VECCHIO TORCHIO</t>
  </si>
  <si>
    <t>via Taccari 3</t>
  </si>
  <si>
    <t>www.ilvecchiotorchio.onweb.it</t>
  </si>
  <si>
    <t>ilvecchiotorchiobb@gmail.com</t>
  </si>
  <si>
    <t>www.laquercia.eu</t>
  </si>
  <si>
    <t>ettoreantolini@gmail.com</t>
  </si>
  <si>
    <t>AZIENDA AGRITURISTICA MATENANO</t>
  </si>
  <si>
    <t>via del monastero 7</t>
  </si>
  <si>
    <t>IL GAIANELLO</t>
  </si>
  <si>
    <t>c.da Monteradaldo Ete 38</t>
  </si>
  <si>
    <t>www.agriturismogaianellofm.com</t>
  </si>
  <si>
    <t>info@gaianello.com</t>
  </si>
  <si>
    <t>B&amp;B VILLA FONTANA</t>
  </si>
  <si>
    <t>via san salvatore - viale della vittoria  7</t>
  </si>
  <si>
    <t>bebvillafontana@yahoo.it</t>
  </si>
  <si>
    <t>contrada san salvatore 49</t>
  </si>
  <si>
    <t>ALBERGO RISTORANTE BAR FARFENSE</t>
  </si>
  <si>
    <t>corso Matteotti 41</t>
  </si>
  <si>
    <t>hotel_farfense@libero.it</t>
  </si>
  <si>
    <t>B&amp;B CASA CONTENTA</t>
  </si>
  <si>
    <t>via roma 12</t>
  </si>
  <si>
    <t>www.casacontenta.it</t>
  </si>
  <si>
    <t>info@casacontenta.it</t>
  </si>
  <si>
    <t>B&amp;B DEL GATTO MARIA</t>
  </si>
  <si>
    <t>via Montegranarese  320</t>
  </si>
  <si>
    <t>SANT'ELPIDIO A MARE</t>
  </si>
  <si>
    <t>loc. Capoluogo</t>
  </si>
  <si>
    <t>VERDE PIANURA</t>
  </si>
  <si>
    <t>strada Rota Martina 276</t>
  </si>
  <si>
    <t>loc.Casette d'Ete</t>
  </si>
  <si>
    <t>verde.pianura@gmail.com</t>
  </si>
  <si>
    <t>CASALE DI ROLANDO</t>
  </si>
  <si>
    <t>via Fratte 5083</t>
  </si>
  <si>
    <t>loc.Bivio Cascinare</t>
  </si>
  <si>
    <t>mildret@libero.it</t>
  </si>
  <si>
    <t>AZIENDA AGRITURISTICA MURRI</t>
  </si>
  <si>
    <t>via Molino  1</t>
  </si>
  <si>
    <t>bernardo.belvederi@fastwebnet.it</t>
  </si>
  <si>
    <t>AGRITURISMO SANTA CROCE</t>
  </si>
  <si>
    <t>via Guido Rossa 285</t>
  </si>
  <si>
    <t>www.agritursantacroce.com</t>
  </si>
  <si>
    <t>info@agritursantacroce.com</t>
  </si>
  <si>
    <t>MERENDERO</t>
  </si>
  <si>
    <t>VIA IACHINI 94</t>
  </si>
  <si>
    <t>CASETTE D'ETE DI SANT'ELPIDIO A MARE (FM)</t>
  </si>
  <si>
    <t>www.ilmerendero.com</t>
  </si>
  <si>
    <t>mail@ilmerendero.com</t>
  </si>
  <si>
    <t>via Angeli 1</t>
  </si>
  <si>
    <t>loc.Capoluogo</t>
  </si>
  <si>
    <t>bebdegliangeli@libero.it</t>
  </si>
  <si>
    <t>B&amp;B IL VIALE DEGLI ULIVI</t>
  </si>
  <si>
    <t>strada Calcinara 321</t>
  </si>
  <si>
    <t>www.ilvialedegliulivi.it</t>
  </si>
  <si>
    <t>ilvialedegliulivi@hotmail.it</t>
  </si>
  <si>
    <t>FONTE ROSSA</t>
  </si>
  <si>
    <t>via Tevere 23</t>
  </si>
  <si>
    <t>http://www.agriturismofonterossa.it</t>
  </si>
  <si>
    <t>info@agriturismofonterossa.it</t>
  </si>
  <si>
    <t>AGRITURISMO GIRO DI VENTO</t>
  </si>
  <si>
    <t>c.da Cerretino 3226</t>
  </si>
  <si>
    <t>SANT' ELPIDIO A MARE</t>
  </si>
  <si>
    <t>www.agriturismogirodivento.it</t>
  </si>
  <si>
    <t>agriturismogirodivento@alice.it</t>
  </si>
  <si>
    <t>B&amp;B OASI</t>
  </si>
  <si>
    <t>via Torquato Tasso 119</t>
  </si>
  <si>
    <t>loc. Castellano</t>
  </si>
  <si>
    <t>http://www.bedbreakfastoasi.joomlafree.it</t>
  </si>
  <si>
    <t>bboasitizianaciucani@gmail.com</t>
  </si>
  <si>
    <t>LA MEZZINA</t>
  </si>
  <si>
    <t>C.da Piane d'Ete 1103</t>
  </si>
  <si>
    <t>lamezzina@libero.it</t>
  </si>
  <si>
    <t>via Ponte Rotto 36</t>
  </si>
  <si>
    <t>cameraconvistabb@gmail.com</t>
  </si>
  <si>
    <t>B&amp;B CASA CAVALIERA</t>
  </si>
  <si>
    <t>via Boccette 8</t>
  </si>
  <si>
    <t>www.casacavaliera.com</t>
  </si>
  <si>
    <t>casacavaliera@libero.it</t>
  </si>
  <si>
    <t>SOCIETA' AGRICOLA GIRONACCI LUCREZIA E C. - S.S.</t>
  </si>
  <si>
    <t>via Carmine 412</t>
  </si>
  <si>
    <t>girodeiventi@hotmail.com</t>
  </si>
  <si>
    <t>B&amp;B IL CHIARO DI LUNA</t>
  </si>
  <si>
    <t>Castellano 1556</t>
  </si>
  <si>
    <t>www.bbilchiarodiluna.com</t>
  </si>
  <si>
    <t>ilchiarodiluna@outlook.com</t>
  </si>
  <si>
    <t>IL FALCO</t>
  </si>
  <si>
    <t>via 8 Marzo 1000</t>
  </si>
  <si>
    <t>Casette d'Ete</t>
  </si>
  <si>
    <t>www.agriturismoilfalco-casettedete.com</t>
  </si>
  <si>
    <t>info@agriturismoilfalco-casettedete.com</t>
  </si>
  <si>
    <t>DOLCE SOGNO</t>
  </si>
  <si>
    <t>strada Faleriense 5127</t>
  </si>
  <si>
    <t>LUCE CRETAROLA</t>
  </si>
  <si>
    <t>WWW.DOLCESOGNO.IT</t>
  </si>
  <si>
    <t>info@dolcesogno.it</t>
  </si>
  <si>
    <t>B&amp;B AGRIFOGLIO</t>
  </si>
  <si>
    <t>Via Faleriense 3921</t>
  </si>
  <si>
    <t>barbarasimonelli24@gmail.com</t>
  </si>
  <si>
    <t>CASA ELVEZIA B&amp;B</t>
  </si>
  <si>
    <t>MARTIRI DI BELFIORE  28</t>
  </si>
  <si>
    <t>CASETTE D'ETE</t>
  </si>
  <si>
    <t>famigliadenardis@yahoo.it</t>
  </si>
  <si>
    <t>B&amp;B CAMPANELLA</t>
  </si>
  <si>
    <t>via Campanella 210</t>
  </si>
  <si>
    <t>campanellatommaso210@gmail.com</t>
  </si>
  <si>
    <t>CLUANA</t>
  </si>
  <si>
    <t>Via Piannenza 1056</t>
  </si>
  <si>
    <t>info@agriturismocluana.com</t>
  </si>
  <si>
    <t>HARMONIA</t>
  </si>
  <si>
    <t>Via Galilei 293</t>
  </si>
  <si>
    <t>harmonia.sem@gmail.com</t>
  </si>
  <si>
    <t>VILLA MIRAMONTI</t>
  </si>
  <si>
    <t>via Valentella 2</t>
  </si>
  <si>
    <t>SERVIGLIANO</t>
  </si>
  <si>
    <t>loc.Curetta</t>
  </si>
  <si>
    <t>www.villa-miramonti.com</t>
  </si>
  <si>
    <t>georgekyprios@yahoo.com</t>
  </si>
  <si>
    <t>VILLA FUNARI COUNTRY HOUSE</t>
  </si>
  <si>
    <t>VIA DELLA REPUBBLICA 18</t>
  </si>
  <si>
    <t>www.villafunari.it</t>
  </si>
  <si>
    <t>info@villafunari.it</t>
  </si>
  <si>
    <t>LA CASCINA DEGLI ULIVI</t>
  </si>
  <si>
    <t>via Commenda 4</t>
  </si>
  <si>
    <t>www.cascinadegliulivi.com</t>
  </si>
  <si>
    <t>info@cascinadegliulivi.com</t>
  </si>
  <si>
    <t>HOTEL SAN MARCO</t>
  </si>
  <si>
    <t>via garibaldi 6</t>
  </si>
  <si>
    <t>alesiacesetti@alice.it</t>
  </si>
  <si>
    <t>B&amp;B ANGELA GARDEN</t>
  </si>
  <si>
    <t>contrada San Pietro 2</t>
  </si>
  <si>
    <t>www.angelagarden.it</t>
  </si>
  <si>
    <t>info@angelagarden.it</t>
  </si>
  <si>
    <t>AGRITURISMO VILLA VIOLA</t>
  </si>
  <si>
    <t>c.da Durano 12</t>
  </si>
  <si>
    <t>SMERILLO</t>
  </si>
  <si>
    <t>BETEL</t>
  </si>
  <si>
    <t>piazzale San Pietro 14</t>
  </si>
  <si>
    <t>casabetel@libero.it</t>
  </si>
  <si>
    <t>LA ROCCA (RICCI  EGIDIO)</t>
  </si>
  <si>
    <t>via della rocca 1</t>
  </si>
  <si>
    <t>sindaco.smerillo@virgilio.it</t>
  </si>
  <si>
    <t>AGRITURISMO PACIOTTI PACIFICO</t>
  </si>
  <si>
    <t>contrada san giovanni 9</t>
  </si>
  <si>
    <t>IL FONTANILE</t>
  </si>
  <si>
    <t>contrada Durano 4</t>
  </si>
  <si>
    <t>gamba.roby@gmail.com</t>
  </si>
  <si>
    <t>IL VECCHIO TASSO (BASSETTI CLAUDIA)</t>
  </si>
  <si>
    <t>CONTRADA DURANO 8</t>
  </si>
  <si>
    <t>www.tassodurano.it</t>
  </si>
  <si>
    <t>tassodurano@tiscali.it</t>
  </si>
  <si>
    <t>AGRITURISMO CONTRADA DURANO</t>
  </si>
  <si>
    <t>C.DA DURANO 3</t>
  </si>
  <si>
    <t>CONTRADA DURANO</t>
  </si>
  <si>
    <t>www.contradadurano.it</t>
  </si>
  <si>
    <t>info@contradadurano.it</t>
  </si>
  <si>
    <t>B&amp;B LA CONCA</t>
  </si>
  <si>
    <t>contrada Ceresola 44</t>
  </si>
  <si>
    <t>laconca@micso.net</t>
  </si>
  <si>
    <t>C.DA COLLE MOLINO 7</t>
  </si>
  <si>
    <t>giancarlonarcisi@alice.it</t>
  </si>
  <si>
    <t>contrada ceresola 5</t>
  </si>
  <si>
    <t>c.da San Martino 9</t>
  </si>
  <si>
    <t>FORESTCAMP</t>
  </si>
  <si>
    <t>mdm.forestcamp@gmail.com</t>
  </si>
  <si>
    <t>AGRITURISMO AMARGI</t>
  </si>
  <si>
    <t>CONTRADA CUGNOLO 7</t>
  </si>
  <si>
    <t>www.amargi.it</t>
  </si>
  <si>
    <t>info@amargi.it</t>
  </si>
  <si>
    <t>LA VIA DEL SOLE</t>
  </si>
  <si>
    <t>Contrada Serrette 12</t>
  </si>
  <si>
    <t>TORRE SAN PATRIZIO</t>
  </si>
  <si>
    <t>www.agriturismolaviadelsole.com</t>
  </si>
  <si>
    <t>marcello.scarpecci@gmail.com</t>
  </si>
  <si>
    <t>B&amp;B BONCORE di BORRONI SILVANA</t>
  </si>
  <si>
    <t>via santa maria d'ete 19</t>
  </si>
  <si>
    <t>bo.silvana@libero.it</t>
  </si>
  <si>
    <t>POMO D'ORO</t>
  </si>
  <si>
    <t>contrada San Pietro 6</t>
  </si>
  <si>
    <t>www.agriturismopomodoro.com</t>
  </si>
  <si>
    <t>info@agriturismopomodoro.com</t>
  </si>
  <si>
    <t>RICERCA STRUTTURA</t>
  </si>
  <si>
    <t>NOME STRUTTURA</t>
  </si>
  <si>
    <t>CITTA'</t>
  </si>
  <si>
    <t>INDIRIZZO</t>
  </si>
  <si>
    <t>EMAIL</t>
  </si>
  <si>
    <t>INDIRIZZO WEB</t>
  </si>
  <si>
    <t>Numero totale strutture</t>
  </si>
  <si>
    <t>Numero strutture per LOCALITA'</t>
  </si>
  <si>
    <t>Località</t>
  </si>
  <si>
    <t>CHIAVE RICERCA</t>
  </si>
  <si>
    <t>Numero strutture per CITTA'</t>
  </si>
  <si>
    <t>LOCALITA'</t>
  </si>
  <si>
    <t>Etichette di riga</t>
  </si>
  <si>
    <t>Totale complessivo</t>
  </si>
  <si>
    <t>(Tutto)</t>
  </si>
  <si>
    <t>Conteggio di Denominazione</t>
  </si>
  <si>
    <t>AGRITURISMO FLORIANI</t>
  </si>
  <si>
    <t>AGRITURISMO FOSSO DEL LUPO</t>
  </si>
  <si>
    <t>ALBERGO LOCANDA SALIMBENI</t>
  </si>
  <si>
    <t>AZIENDA AGRICOLA AGRITURISTICA IL PODERE DEL NONNO</t>
  </si>
  <si>
    <t>HOTEL FEDERICO II</t>
  </si>
  <si>
    <t>RESIDENCE COSTA AZZURRA</t>
  </si>
  <si>
    <t>ALBERGO LOCANDA SALIMBENI - SAN SEVERINO MARCHE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</si>
</sst>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scheme val="minor"/>
    </font>
    <font>
      <sz val="11"/>
      <color theme="1"/>
      <name val="Calibri"/>
      <family val="2"/>
      <scheme val="minor"/>
    </font>
    <font>
      <sz val="11"/>
      <color theme="1"/>
      <name val="Calibri"/>
      <scheme val="minor"/>
    </font>
    <font>
      <b/>
      <sz val="18"/>
      <color rgb="FF4F6128"/>
      <name val="Calibri"/>
    </font>
    <font>
      <sz val="11"/>
      <name val="Calibri"/>
    </font>
    <font>
      <b/>
      <sz val="12"/>
      <color theme="1"/>
      <name val="Calibri"/>
    </font>
    <font>
      <sz val="14"/>
      <color theme="1"/>
      <name val="Calibri"/>
    </font>
    <font>
      <sz val="11"/>
      <color theme="1"/>
      <name val="Calibri"/>
    </font>
    <font>
      <sz val="11"/>
      <color theme="1"/>
      <name val="Calibri"/>
      <family val="2"/>
    </font>
    <font>
      <b/>
      <sz val="11"/>
      <name val="Calibri"/>
      <family val="2"/>
      <scheme val="minor"/>
    </font>
  </fonts>
  <fills count="8">
    <fill>
      <patternFill patternType="none"/>
    </fill>
    <fill>
      <patternFill patternType="gray125"/>
    </fill>
    <fill>
      <patternFill patternType="solid">
        <fgColor rgb="FFD6E3BC"/>
        <bgColor rgb="FFD6E3BC"/>
      </patternFill>
    </fill>
    <fill>
      <patternFill patternType="solid">
        <fgColor rgb="FFFFC000"/>
        <bgColor rgb="FFFFC000"/>
      </patternFill>
    </fill>
    <fill>
      <patternFill patternType="solid">
        <fgColor rgb="FFDAEEF3"/>
        <bgColor rgb="FFDAEEF3"/>
      </patternFill>
    </fill>
    <fill>
      <patternFill patternType="solid">
        <fgColor rgb="FFD8D8D8"/>
        <bgColor rgb="FFD8D8D8"/>
      </patternFill>
    </fill>
    <fill>
      <patternFill patternType="solid">
        <fgColor theme="4" tint="0.59999389629810485"/>
        <bgColor indexed="64"/>
      </patternFill>
    </fill>
    <fill>
      <patternFill patternType="solid">
        <fgColor theme="2" tint="-0.14999847407452621"/>
        <bgColor indexed="64"/>
      </patternFill>
    </fill>
  </fills>
  <borders count="12">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rgb="FF000000"/>
      </left>
      <right style="medium">
        <color rgb="FF000000"/>
      </right>
      <top style="medium">
        <color rgb="FF000000"/>
      </top>
      <bottom/>
      <diagonal/>
    </border>
  </borders>
  <cellStyleXfs count="1">
    <xf numFmtId="0" fontId="0" fillId="0" borderId="0"/>
  </cellStyleXfs>
  <cellXfs count="21">
    <xf numFmtId="0" fontId="0" fillId="0" borderId="0" xfId="0"/>
    <xf numFmtId="0" fontId="2" fillId="0" borderId="0" xfId="0" applyFont="1"/>
    <xf numFmtId="0" fontId="1" fillId="0" borderId="0" xfId="0" applyFont="1"/>
    <xf numFmtId="0" fontId="9" fillId="6" borderId="0" xfId="0" applyFont="1" applyFill="1"/>
    <xf numFmtId="0" fontId="0" fillId="0" borderId="0" xfId="0" pivotButton="1"/>
    <xf numFmtId="0" fontId="0" fillId="0" borderId="0" xfId="0" applyAlignment="1">
      <alignment horizontal="left"/>
    </xf>
    <xf numFmtId="0" fontId="3" fillId="2" borderId="1" xfId="0" applyFont="1" applyFill="1" applyBorder="1" applyAlignment="1">
      <alignment horizontal="center" vertical="center"/>
    </xf>
    <xf numFmtId="0" fontId="4" fillId="0" borderId="2" xfId="0" applyFont="1" applyBorder="1"/>
    <xf numFmtId="0" fontId="4" fillId="0" borderId="3" xfId="0" applyFont="1" applyBorder="1"/>
    <xf numFmtId="0" fontId="4" fillId="0" borderId="4" xfId="0" applyFont="1" applyBorder="1"/>
    <xf numFmtId="0" fontId="6" fillId="3" borderId="2" xfId="0" applyFont="1" applyFill="1" applyBorder="1" applyAlignment="1">
      <alignment horizontal="center"/>
    </xf>
    <xf numFmtId="0" fontId="7" fillId="5" borderId="8" xfId="0" applyFont="1" applyFill="1" applyBorder="1" applyAlignment="1">
      <alignment horizontal="center"/>
    </xf>
    <xf numFmtId="0" fontId="7" fillId="5" borderId="9" xfId="0" applyFont="1" applyFill="1" applyBorder="1" applyAlignment="1">
      <alignment horizontal="center"/>
    </xf>
    <xf numFmtId="0" fontId="0" fillId="7" borderId="10" xfId="0" applyFill="1" applyBorder="1" applyAlignment="1">
      <alignment horizontal="center"/>
    </xf>
    <xf numFmtId="0" fontId="7" fillId="0" borderId="5" xfId="0" applyFont="1" applyBorder="1"/>
    <xf numFmtId="0" fontId="7" fillId="0" borderId="6" xfId="0" applyFont="1" applyBorder="1"/>
    <xf numFmtId="0" fontId="8" fillId="0" borderId="7" xfId="0" applyFont="1" applyBorder="1"/>
    <xf numFmtId="0" fontId="7" fillId="4" borderId="8" xfId="0" applyFont="1" applyFill="1" applyBorder="1" applyAlignment="1">
      <alignment horizontal="center"/>
    </xf>
    <xf numFmtId="0" fontId="7" fillId="4" borderId="9" xfId="0" applyFont="1" applyFill="1" applyBorder="1" applyAlignment="1">
      <alignment horizontal="center"/>
    </xf>
    <xf numFmtId="0" fontId="5" fillId="0" borderId="11" xfId="0" applyFont="1" applyBorder="1"/>
    <xf numFmtId="0" fontId="1" fillId="0" borderId="7" xfId="0" applyFont="1" applyBorder="1"/>
  </cellXfs>
  <cellStyles count="1">
    <cellStyle name="Normale" xfId="0" builtinId="0"/>
  </cellStyles>
  <dxfs count="9">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auto="1"/>
        <name val="Calibri"/>
        <family val="2"/>
        <scheme val="minor"/>
      </font>
      <fill>
        <patternFill patternType="solid">
          <fgColor indexed="64"/>
          <bgColor theme="4" tint="0.59999389629810485"/>
        </patternFill>
      </fill>
    </dxf>
  </dxfs>
  <tableStyles count="1" defaultTableStyle="TableStyleMedium2" defaultPivotStyle="PivotStyleLight16">
    <tableStyle name="Invisible" pivot="0" table="0" count="0" xr9:uid="{5A459F19-5F3D-4DAC-81D4-96005C753BA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476250</xdr:colOff>
      <xdr:row>2</xdr:row>
      <xdr:rowOff>114300</xdr:rowOff>
    </xdr:from>
    <xdr:to>
      <xdr:col>13</xdr:col>
      <xdr:colOff>314325</xdr:colOff>
      <xdr:row>16</xdr:row>
      <xdr:rowOff>47625</xdr:rowOff>
    </xdr:to>
    <xdr:sp macro="" textlink="">
      <xdr:nvSpPr>
        <xdr:cNvPr id="2" name="CasellaDiTesto 1">
          <a:extLst>
            <a:ext uri="{FF2B5EF4-FFF2-40B4-BE49-F238E27FC236}">
              <a16:creationId xmlns:a16="http://schemas.microsoft.com/office/drawing/2014/main" id="{6718F8C8-8AE2-4E22-E1CC-71AA8228CA1B}"/>
            </a:ext>
          </a:extLst>
        </xdr:cNvPr>
        <xdr:cNvSpPr txBox="1"/>
      </xdr:nvSpPr>
      <xdr:spPr>
        <a:xfrm>
          <a:off x="9439275" y="495300"/>
          <a:ext cx="5067300" cy="2686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it-IT" sz="1100" b="1"/>
            <a:t>NOTA TECNICA</a:t>
          </a:r>
        </a:p>
        <a:p>
          <a:r>
            <a:rPr lang="it-IT" sz="1200"/>
            <a:t>Ho creato una chiave univoca combinando nome struttura e città, dato che esistono strutture omonime in località diverse. Ho evitato un codice numerico per facilitare l'utente: nel menu a tendina può identificare immediatamente la struttura vedendo anche la città associata.</a:t>
          </a:r>
        </a:p>
        <a:p>
          <a:endParaRPr lang="it-IT" sz="1200"/>
        </a:p>
        <a:p>
          <a:r>
            <a:rPr lang="it-IT" sz="1200"/>
            <a:t>L'esercizio 1 richiedeva di indicare il numero di strutture presenti nella città della struttura cercata, nella cella grigia riferita a N.Str. per LOCALITÀ. Poiché c'era un'incongruenza tra il dato richiesto e il parametro disponibile, ho aggiunto il campo LOCALITÀ che mostra dinamicamente la Località specifica della struttura selezionata. Questo risolve il conteggio richiesto. Ho comunque indicato anche il numero di strutture presenti nella città visualizzata dinamicamente per la città in cui si trova la struttura selezionata.</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lencostrutturees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utture ricettive"/>
      <sheetName val="RICERCA"/>
      <sheetName val="Foglio2"/>
    </sheetNames>
    <sheetDataSet>
      <sheetData sheetId="0"/>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one" refreshedDate="45982.693966782404" createdVersion="8" refreshedVersion="8" minRefreshableVersion="3" recordCount="6258" xr:uid="{969CEB9A-BC29-4F5F-A186-CBDFEE68E714}">
  <cacheSource type="worksheet">
    <worksheetSource name="Tabella1"/>
  </cacheSource>
  <cacheFields count="8">
    <cacheField name="Categoria" numFmtId="0">
      <sharedItems count="15">
        <s v="ALLOGGI AGRITURISTICI"/>
        <s v="ALBERGHI"/>
        <s v="RESIDENZE TURISTICO ALBERGHIERE"/>
        <s v="ALLOGGI IN AFFITTO"/>
        <s v="STABILIMENTI BALNEARI"/>
        <s v="BED &amp; BREAKFAST"/>
        <s v="CAMPEGGI"/>
        <s v="ALTRI ALLOGGI PRIVATI"/>
        <s v="TURISMO RURALE"/>
        <s v="CASE PER FERIE"/>
        <s v="OSTELLI PER LA GIOVENTU'"/>
        <s v="AREE DI SOSTA (PLEIN AIR)"/>
        <s v="VILLAGGI TURISTICI"/>
        <s v="ALTRI ESERCIZI RICETTIVI"/>
        <s v="RIFUGI"/>
      </sharedItems>
    </cacheField>
    <cacheField name="Denominazione" numFmtId="0">
      <sharedItems/>
    </cacheField>
    <cacheField name="Indirizzo" numFmtId="0">
      <sharedItems containsBlank="1"/>
    </cacheField>
    <cacheField name="Città" numFmtId="0">
      <sharedItems count="234">
        <s v="MACERATA"/>
        <s v="URBINO"/>
        <s v="SAN SEVERINO MARCHE"/>
        <s v="RIPATRANSONE"/>
        <s v="JESI"/>
        <s v="GROTTAMMARE"/>
        <s v="TOLENTINO"/>
        <s v="SASSOCORVARO"/>
        <s v="SIROLO"/>
        <s v="NUMANA"/>
        <s v="ANCONA"/>
        <s v="SARNANO"/>
        <s v="SAN BENEDETTO DEL TRONTO"/>
        <s v="BELVEDERE OSTRENSE"/>
        <s v="MONTEPRANDONE"/>
        <s v="LORETO"/>
        <s v="SENIGALLIA"/>
        <s v="CIVITANOVA MARCHE"/>
        <s v="ARCEVIA"/>
        <s v="ACQUAVIVA PICENA"/>
        <s v="MONDOLFO"/>
        <s v="FABRIANO"/>
        <s v="FALCONARA MARITTIMA"/>
        <s v="PORTO RECANATI"/>
        <s v="CANTIANO"/>
        <s v="PIOBBICO"/>
        <s v="CINGOLI"/>
        <s v="LORO PICENO"/>
        <s v="GABICCE MARE"/>
        <s v="LAPEDONA"/>
        <s v="OFFIDA"/>
        <s v="APECCHIO"/>
        <s v="CUPRA MARITTIMA"/>
        <s v="FANO"/>
        <s v="MONTEGRANARO"/>
        <s v="ACQUASANTA TERME"/>
        <s v="FILOTTRANO"/>
        <s v="FERMO"/>
        <s v="CHIARAVALLE"/>
        <s v="MONDAVIO"/>
        <s v="ESANATOGLIA"/>
        <s v="MONTEMARCIANO"/>
        <s v="CAMERINO"/>
        <s v="MONTEFALCONE APPENNINO"/>
        <s v="OSIMO"/>
        <s v="MONTEFORTINO"/>
        <s v="SASSOFERRATO"/>
        <s v="PORTO SAN GIORGIO"/>
        <s v="PIORACO"/>
        <s v="VISSO"/>
        <s v="CAMERATA PICENA"/>
        <s v="PETRITOLI"/>
        <s v="CARTOCETO"/>
        <s v="MERGO"/>
        <s v="MONTELPARO"/>
        <s v="CAMPOFILONE"/>
        <s v="RECANATI"/>
        <s v="TAVULLIA"/>
        <s v="SANT'ANGELO IN VADO"/>
        <s v="COLLI DEL TRONTO"/>
        <s v="CORINALDO"/>
        <s v="BORGO PACE"/>
        <s v="AMANDOLA"/>
        <s v="SMERILLO"/>
        <s v="SAN LORENZO IN CAMPO"/>
        <s v="ROCCAFLUVIONE"/>
        <s v="FALERONE"/>
        <s v="MONTECICCARDO"/>
        <s v="ORCIANO DI PESARO"/>
        <s v="PESARO"/>
        <s v="SERRA SANT'ABBONDIO"/>
        <s v="MONTE SAN MARTINO"/>
        <s v="SERRA SAN QUIRICO"/>
        <s v="MASSIGNANO"/>
        <s v="FIASTRA"/>
        <s v="CAGLI"/>
        <s v="MERCATELLO SUL METAURO"/>
        <s v="MONTECALVO IN FOGLIA"/>
        <s v="PIANDIMELETO"/>
        <s v="SASSOFELTRIO"/>
        <s v="URBANIA"/>
        <s v="MONTECAROTTO"/>
        <s v="CASTIGNANO"/>
        <s v="FRATTE ROSA"/>
        <s v="MONTEGALLO"/>
        <s v="FOSSOMBRONE"/>
        <s v="ACQUALAGNA"/>
        <s v="CASTORANO"/>
        <s v="MUCCIA"/>
        <s v="CESSAPALOMBO"/>
        <s v="CALDAROLA"/>
        <s v="PERGOLA"/>
        <s v="FIUMINATA"/>
        <s v="SERRAPETRONA"/>
        <s v="SAN COSTANZO"/>
        <s v="APPIGNANO DEL TRONTO"/>
        <s v="MONTALTO DELLE MARCHE"/>
        <s v="MONTE GIBERTO"/>
        <s v="MONTERUBBIANO"/>
        <s v="MONTELUPONE"/>
        <s v="FRONTINO"/>
        <s v="ISOLA DEL PIANO"/>
        <s v="MONTE URANO"/>
        <s v="MONTEGIORGIO"/>
        <s v="OSTRA VETERE"/>
        <s v="COSSIGNANO"/>
        <s v="MONTE SAN PIETRANGELI"/>
        <s v="GAGLIOLE"/>
        <s v="APPIGNANO"/>
        <s v="MONTECASSIANO"/>
        <s v="MOMBAROCCIO"/>
        <s v="SANT'ELPIDIO A MARE"/>
        <s v="GENGA"/>
        <s v="PENNA SAN GIOVANNI"/>
        <s v="PIEVE TORINA"/>
        <s v="COMUNANZA"/>
        <s v="SANT'ANGELO IN PONTANO"/>
        <s v="MONTE SAN GIUSTO"/>
        <s v="SERRA DE' CONTI"/>
        <s v="TRECASTELLI"/>
        <s v="MONTEFIORE DELL'ASO"/>
        <s v="APIRO"/>
        <s v="CARASSAI"/>
        <s v="MACERATA FELTRIA"/>
        <s v="BELFORTE DEL CHIENTI"/>
        <s v="SERRUNGARINA"/>
        <s v="POLLENZA"/>
        <s v="RAPAGNANO"/>
        <s v="GUALDO"/>
        <s v="MERCATINO CONCA"/>
        <s v="MONTEDINOVE"/>
        <s v="POLVERIGI"/>
        <s v="SAN GINESIO"/>
        <s v="ALTIDONA"/>
        <s v="CASTELPLANIO"/>
        <s v="MONTE RINALDO"/>
        <s v="MONTE ROBERTO"/>
        <s v="OSTRA"/>
        <s v="FRONTONE"/>
        <s v="TREIA"/>
        <s v="SANT'IPPOLITO"/>
        <s v="MORROVALLE"/>
        <s v="FORCE"/>
        <s v="MONTE PORZIO"/>
        <s v="CASTELRAIMONDO"/>
        <s v="MATELICA"/>
        <s v="SEFRO"/>
        <s v="PEGLIO"/>
        <s v="POTENZA PICENA"/>
        <s v="VENAROTTA"/>
        <s v="MONSAMPOLO DEL TRONTO"/>
        <s v="ASCOLI PICENO"/>
        <s v="FERMIGNANO"/>
        <s v="MONTEMONACO"/>
        <s v="AGUGLIANO"/>
        <s v="GRADARA"/>
        <s v="GROTTAZZOLINA"/>
        <s v="ARQUATA DEL TRONTO"/>
        <s v="ROSORA"/>
        <s v="CAMPOROTONDO DI FIASTRONE"/>
        <s v="MAIOLATI SPONTINI"/>
        <s v="CUPRAMONTANA"/>
        <s v="MONSANO"/>
        <s v="PORTO SANT'ELPIDIO"/>
        <s v="MONTECOPIOLO"/>
        <s v="SANTA VITTORIA IN MATENANO"/>
        <s v="MORRO D'ALBA"/>
        <s v="CAMERANO"/>
        <s v="CASTEL DI LAMA"/>
        <s v="CASTELFIDARDO"/>
        <s v="MONTECOSARO"/>
        <s v="AUDITORE"/>
        <s v="CORRIDONIA"/>
        <s v="BARCHI"/>
        <s v="CARPEGNA"/>
        <s v="MONTE CERIGNONE"/>
        <s v="STAFFOLO"/>
        <s v="COLMURANO"/>
        <s v="MONTE CAVALLO"/>
        <s v="BELMONTE PICENO"/>
        <s v="MONTAPPONE"/>
        <s v="MONTE VIDON CORRADO"/>
        <s v="MORESCO"/>
        <s v="CASTELBELLINO"/>
        <s v="PIETRARUBBIA"/>
        <s v="PIEVEBOVIGLIANA"/>
        <s v="CASTELSANTANGELO SUL NERA"/>
        <s v="CASTELLEONE DI SUASA"/>
        <s v="OFFAGNA"/>
        <s v="PETRIANO"/>
        <s v="MAGLIANO DI TENNA"/>
        <s v="MONTEFELCINO"/>
        <s v="TAVOLETO"/>
        <s v="SAN MARCELLO"/>
        <s v="SERVIGLIANO"/>
        <s v="SALTARA"/>
        <s v="VALLEFOGLIA"/>
        <s v="TORRE SAN PATRIZIO"/>
        <s v="ORTEZZANO"/>
        <s v="SPINETOLI"/>
        <s v="MONTELABBATE"/>
        <s v="USSITA"/>
        <s v="BOLOGNOLA"/>
        <s v="MONTE SAN VITO"/>
        <s v="FOLIGNANO"/>
        <s v="MONTOTTONE"/>
        <s v="MOGLIANO"/>
        <s v="ROTELLA"/>
        <s v="SERRAVALLE DI CHIENTI"/>
        <s v="MONSAMPIETRO MORICO"/>
        <s v="FIORDIMONTE"/>
        <s v="MONTEMAGGIORE AL METAURO"/>
        <s v="MONTE GRIMANO TERME"/>
        <s v="MASSA FERMANA"/>
        <s v="POGGIO SAN MARCELLO"/>
        <s v="PIAGGE"/>
        <s v="PETRIOLO"/>
        <s v="MALTIGNANO"/>
        <s v="CERRETO D'ESI"/>
        <s v="MONTEFANO"/>
        <s v="SAN GIORGIO DI PESARO"/>
        <s v="POGGIO SAN VICINO"/>
        <s v="PEDASO"/>
        <s v="PALMIANO"/>
        <s v="BELFORTE ALL'ISAURO"/>
        <s v="MONTE VIDON COMBATTE"/>
        <s v="URBISAGLIA"/>
        <s v="FRANCAVILLA D'ETE"/>
        <s v="MONTELEONE DI FERMO"/>
        <s v="RIPE SAN GINESIO"/>
        <s v="LUNANO"/>
        <s v="SANTA MARIA NUOVA"/>
        <s v="PONZANO DI FERMO"/>
        <s v="SAN PAOLO DI JESI"/>
      </sharedItems>
    </cacheField>
    <cacheField name="Località" numFmtId="0">
      <sharedItems containsBlank="1"/>
    </cacheField>
    <cacheField name="Indirizzo internet" numFmtId="0">
      <sharedItems containsBlank="1"/>
    </cacheField>
    <cacheField name="Indirizzo di posta elettronica" numFmtId="0">
      <sharedItems containsBlank="1"/>
    </cacheField>
    <cacheField name="CHIAVE RICERCA"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58">
  <r>
    <x v="0"/>
    <s v="AGRITURISMO FLORIANI"/>
    <s v="contrada Montanello 5"/>
    <x v="0"/>
    <s v="MACERATA"/>
    <s v="www.florianicompagnoni.it"/>
    <s v="agritur.floriani@tiscali.it"/>
    <s v="AGRITURISMO FLORIANI - MACERATA"/>
  </r>
  <r>
    <x v="0"/>
    <s v="AGRITURISMO FOSSO DEL LUPO"/>
    <s v="via Monte Tomba 11"/>
    <x v="1"/>
    <s v="Scotaneto"/>
    <s v="www.fossolupo.it"/>
    <s v="d.garota@libero.it"/>
    <s v="AGRITURISMO FOSSO DEL LUPO - URBINO"/>
  </r>
  <r>
    <x v="1"/>
    <s v="ALBERGO LOCANDA SALIMBENI"/>
    <s v="localita' Valle dei Grilli 1"/>
    <x v="2"/>
    <s v="SAN SEVERINO MARCHE"/>
    <s v="www.locandasalimbeni.it"/>
    <s v="info@locandasalimbeni.it"/>
    <s v="ALBERGO LOCANDA SALIMBENI - SAN SEVERINO MARCHE"/>
  </r>
  <r>
    <x v="0"/>
    <s v="AZIENDA AGRICOLA AGRITURISTICA IL PODERE DEL NONNO"/>
    <s v="contrada sant' imero 4"/>
    <x v="3"/>
    <s v="RIPATRANSONE"/>
    <s v="www.ilpoderedelnonno.it"/>
    <s v="info@ilpoderedelnonno.it"/>
    <s v="AZIENDA AGRICOLA AGRITURISTICA IL PODERE DEL NONNO - RIPATRANSONE"/>
  </r>
  <r>
    <x v="1"/>
    <s v="HOTEL FEDERICO II"/>
    <s v="via Ancona 92/bis"/>
    <x v="4"/>
    <s v="JESI"/>
    <s v="www.hotelfederico2.it"/>
    <s v="info@hotelfederico2.it"/>
    <s v="HOTEL FEDERICO II - JESI"/>
  </r>
  <r>
    <x v="2"/>
    <s v="RESIDENCE COSTA AZZURRA"/>
    <s v="via Malta 2"/>
    <x v="5"/>
    <s v="GROTTAMMARE"/>
    <s v="www.costazzurraresidence.it"/>
    <s v="info@costazzurraresidence.it"/>
    <s v="RESIDENCE COSTA AZZURRA - GROTTAMMARE"/>
  </r>
  <r>
    <x v="3"/>
    <s v="124 AFFITTACAMERE"/>
    <s v="via Sandro Pertini 55"/>
    <x v="6"/>
    <m/>
    <m/>
    <s v="info@124tolentino.it."/>
    <s v="124 AFFITTACAMERE - TOLENTINO"/>
  </r>
  <r>
    <x v="3"/>
    <s v="2000 di DIAMANTINI ASSUNTA"/>
    <s v="via giacomo puccini 9"/>
    <x v="7"/>
    <s v="SASSOCORVARO"/>
    <m/>
    <s v="fabbrica-delle-idee@libero.it"/>
    <s v="2000 di DIAMANTINI ASSUNTA - SASSOCORVARO"/>
  </r>
  <r>
    <x v="3"/>
    <s v="3 JOLIE"/>
    <s v="viale Caduti del Lavoro 1"/>
    <x v="8"/>
    <s v="SIROLO"/>
    <s v="www.cameresirolo.com"/>
    <s v="info@cameresirolo.com"/>
    <s v="3 JOLIE - SIROLO"/>
  </r>
  <r>
    <x v="4"/>
    <s v="30 NODI"/>
    <s v="via del golfo  25"/>
    <x v="9"/>
    <s v="NUMANA"/>
    <m/>
    <s v="alexpanocchi@hotmail.com"/>
    <s v="30 NODI - NUMANA"/>
  </r>
  <r>
    <x v="5"/>
    <s v="4 PINI"/>
    <s v="Via della Madonnetta 10/A"/>
    <x v="10"/>
    <s v="ANCONA"/>
    <s v="http://www.4pini.it"/>
    <s v="info@4pini.it"/>
    <s v="4 PINI - ANCONA"/>
  </r>
  <r>
    <x v="4"/>
    <s v="4 SORELLE"/>
    <s v="viale alcide de gasperi 1 1"/>
    <x v="5"/>
    <m/>
    <m/>
    <m/>
    <s v="4 SORELLE - GROTTAMMARE"/>
  </r>
  <r>
    <x v="6"/>
    <s v="4 STAGIONI"/>
    <s v="contrada Brilli 1"/>
    <x v="11"/>
    <s v="SARNANO"/>
    <s v="www.camping4stagioni.it"/>
    <s v="quattrostagioni@camping.it"/>
    <s v="4 STAGIONI - SARNANO"/>
  </r>
  <r>
    <x v="4"/>
    <s v="45.COM"/>
    <m/>
    <x v="12"/>
    <m/>
    <m/>
    <m/>
    <s v="45.COM - SAN BENEDETTO DEL TRONTO"/>
  </r>
  <r>
    <x v="7"/>
    <s v="5 ALBERI"/>
    <s v="via Gualdo 7"/>
    <x v="13"/>
    <m/>
    <s v="www.5alberi.com"/>
    <s v="info@5alberi.com"/>
    <s v="5 ALBERI - BELVEDERE OSTRENSE"/>
  </r>
  <r>
    <x v="5"/>
    <s v="5 COLLI"/>
    <s v="COLLE SANT'ANGELO  32A"/>
    <x v="14"/>
    <m/>
    <s v="cinquecolli.bnb@hotmail.com"/>
    <s v="bruni.cinzia@hotmail.it"/>
    <s v="5 COLLI - MONTEPRANDONE"/>
  </r>
  <r>
    <x v="8"/>
    <s v="9 CAMERE"/>
    <s v="via Cave 5"/>
    <x v="8"/>
    <m/>
    <s v="www.novecamere.it"/>
    <s v="info@novecamere.it"/>
    <s v="9 CAMERE - SIROLO"/>
  </r>
  <r>
    <x v="0"/>
    <s v="A 3 PASSI"/>
    <s v="via del Carmine 51"/>
    <x v="10"/>
    <m/>
    <s v="www.a3passi.com"/>
    <s v="a3passi@aziendadelcarmine.it"/>
    <s v="A 3 PASSI - ANCONA"/>
  </r>
  <r>
    <x v="0"/>
    <s v="A CASA DA ANGELO"/>
    <s v="contrada San Giacomo 26"/>
    <x v="5"/>
    <s v="GROTTAMMARE"/>
    <m/>
    <s v="agriturismoacasadaangelo@alice.it"/>
    <s v="A CASA DA ANGELO - GROTTAMMARE"/>
  </r>
  <r>
    <x v="5"/>
    <s v="A CASA DI NONNA DI CROIA MAURO"/>
    <s v="VIA ABRUZZO 7"/>
    <x v="15"/>
    <s v="LORETO"/>
    <m/>
    <s v="maurocroia@alice.it"/>
    <s v="A CASA DI NONNA DI CROIA MAURO - LORETO"/>
  </r>
  <r>
    <x v="5"/>
    <s v="A CASA DI NONNA LINDA"/>
    <s v="Via Gherardi 54"/>
    <x v="16"/>
    <s v="SENIGALLIA"/>
    <m/>
    <s v="info@acasadinonnalinda.it"/>
    <s v="A CASA DI NONNA LINDA - SENIGALLIA"/>
  </r>
  <r>
    <x v="5"/>
    <s v="A CASA DI PAOLA"/>
    <s v="viale Giovanni XXIII 6"/>
    <x v="4"/>
    <m/>
    <s v="www.casapaola.it"/>
    <s v="info@casapaola.it"/>
    <s v="A CASA DI PAOLA - JESI"/>
  </r>
  <r>
    <x v="5"/>
    <s v="A CASA DI PETER"/>
    <s v="VIA O.MARCHETTI 24"/>
    <x v="17"/>
    <s v="CIVITANOVA MARCHE"/>
    <m/>
    <s v="pietro.forani@virgilio.it"/>
    <s v="A CASA DI PETER - CIVITANOVA MARCHE"/>
  </r>
  <r>
    <x v="5"/>
    <s v="A CASA DI ROMOLO"/>
    <s v="via Ramazzani 144"/>
    <x v="18"/>
    <s v="ARCEVIA"/>
    <m/>
    <s v="acasadiromolo@gmail.com"/>
    <s v="A CASA DI ROMOLO - ARCEVIA"/>
  </r>
  <r>
    <x v="5"/>
    <s v="A DUE PASSI DAL CIELO"/>
    <s v="VIALE DELLA VITTORIA 72"/>
    <x v="4"/>
    <s v="JESI"/>
    <m/>
    <s v="aduepassidalcielo@tim.it"/>
    <s v="A DUE PASSI DAL CIELO - JESI"/>
  </r>
  <r>
    <x v="4"/>
    <s v="ABBADETTA MARE"/>
    <s v="lungomare marconi 5 5"/>
    <x v="12"/>
    <s v="SENIGALLIA"/>
    <s v="info@lapacehotel.it"/>
    <s v="www.lapacehotel.it"/>
    <s v="ABBADETTA MARE - SAN BENEDETTO DEL TRONTO"/>
  </r>
  <r>
    <x v="1"/>
    <s v="ABBADETTA RESORT"/>
    <s v="via Abbadetta  36"/>
    <x v="19"/>
    <s v="ACQUAVIVA PICENA"/>
    <s v="www.abbadetta.it"/>
    <s v="sabrina-riccioni@hotmail.com"/>
    <s v="ABBADETTA RESORT - ACQUAVIVA PICENA"/>
  </r>
  <r>
    <x v="9"/>
    <s v="ABBADIA DI ELCITO"/>
    <s v="localita' Elcito 1"/>
    <x v="2"/>
    <s v="SAN SEVERINO MARCHE"/>
    <m/>
    <s v="edo11@libero.it"/>
    <s v="ABBADIA DI ELCITO - SAN SEVERINO MARCHE"/>
  </r>
  <r>
    <x v="1"/>
    <s v="ABBAZIA CLUB HOTEL"/>
    <s v="viale Cristoforo Colombo 107"/>
    <x v="20"/>
    <s v="MONDOLFO"/>
    <s v="www.clubhotel-marotta.com"/>
    <s v="info@clubhotel-marotta.com"/>
    <s v="ABBAZIA CLUB HOTEL - MONDOLFO"/>
  </r>
  <r>
    <x v="10"/>
    <s v="ABBAZIA DI SAN BIAGIO IL CAPRILE"/>
    <s v="frazione Campodonico 91/b"/>
    <x v="21"/>
    <s v="FABRIANO"/>
    <s v="www.sanbiagioincaprile.it"/>
    <s v="hostellosanbiagio@libero.it"/>
    <s v="ABBAZIA DI SAN BIAGIO IL CAPRILE - FABRIANO"/>
  </r>
  <r>
    <x v="4"/>
    <s v="ABBRONZATISSIMA"/>
    <s v="via cristoforo colombo 1 1"/>
    <x v="22"/>
    <s v="FALCONARA MARITTIMA"/>
    <m/>
    <m/>
    <s v="ABBRONZATISSIMA - FALCONARA MARITTIMA"/>
  </r>
  <r>
    <x v="3"/>
    <s v="ABRAMO"/>
    <s v="via annibal caro 80"/>
    <x v="23"/>
    <s v="PORTO RECANATI"/>
    <s v="www.abramocamere.it"/>
    <s v="info@abramocamere.it"/>
    <s v="ABRAMO - PORTO RECANATI"/>
  </r>
  <r>
    <x v="8"/>
    <s v="ACANTO COUNTRY HOUSE"/>
    <s v="via Ancarano 18"/>
    <x v="8"/>
    <s v="SIROLO"/>
    <s v="www.acantocountryhouse.com"/>
    <s v="info@acantocountryhouse.com"/>
    <s v="ACANTO COUNTRY HOUSE - SIROLO"/>
  </r>
  <r>
    <x v="4"/>
    <s v="ACAPULCO"/>
    <m/>
    <x v="23"/>
    <s v="PORTO RECANATI"/>
    <m/>
    <m/>
    <s v="ACAPULCO - PORTO RECANATI"/>
  </r>
  <r>
    <x v="0"/>
    <s v="ACCIPICCHIA"/>
    <s v="contrada campana  146"/>
    <x v="10"/>
    <s v="collina di PORTONOVO"/>
    <s v="www.cantinapolenta.it"/>
    <s v="info@cantinapolenta.it"/>
    <s v="ACCIPICCHIA - ANCONA"/>
  </r>
  <r>
    <x v="3"/>
    <s v="ACCOMODATION CASA CAVOUR"/>
    <s v="G.MORETTI 1"/>
    <x v="12"/>
    <m/>
    <s v="www.casacavoursanbenedetto.it"/>
    <s v="info@casacavoursanbenedetto.it"/>
    <s v="ACCOMODATION CASA CAVOUR - SAN BENEDETTO DEL TRONTO"/>
  </r>
  <r>
    <x v="7"/>
    <s v="ACERO FRANCESCO E FILIPPO"/>
    <s v="via Monte Polo 10"/>
    <x v="1"/>
    <m/>
    <m/>
    <s v="m.g.acero@alice.it"/>
    <s v="ACERO FRANCESCO E FILIPPO - URBINO"/>
  </r>
  <r>
    <x v="7"/>
    <s v="ACERO MARIA GRAZIA"/>
    <s v="via Monte Polo 8"/>
    <x v="1"/>
    <m/>
    <m/>
    <s v="m.g.acero@alice.it"/>
    <s v="ACERO MARIA GRAZIA - URBINO"/>
  </r>
  <r>
    <x v="0"/>
    <s v="ACQUABATTIGLIA"/>
    <s v="via fossato 5"/>
    <x v="24"/>
    <s v="ACQUABATTAGLIA"/>
    <s v="www.acquabattaglia.com"/>
    <s v="picorri@gmail.com"/>
    <s v="ACQUABATTIGLIA - CANTIANO"/>
  </r>
  <r>
    <x v="3"/>
    <s v="ACQUAMARINA"/>
    <s v="via C. Maffei 68"/>
    <x v="12"/>
    <m/>
    <s v="www.residenceacquamarina.com"/>
    <s v="info@appartamentiacquamarina.it"/>
    <s v="ACQUAMARINA - SAN BENEDETTO DEL TRONTO"/>
  </r>
  <r>
    <x v="8"/>
    <s v="ACQUANERA"/>
    <s v="localita' acquanera 1"/>
    <x v="25"/>
    <s v="PIOBBICO"/>
    <s v="www.acquanera.com"/>
    <s v="info@acquanera.com"/>
    <s v="ACQUANERA - PIOBBICO"/>
  </r>
  <r>
    <x v="1"/>
    <s v="ACQUAPARCO VERDE AZZURRO"/>
    <s v="localita' San Faustino 6"/>
    <x v="26"/>
    <s v="CINGOLI"/>
    <s v="www.verdeazzurro.it"/>
    <s v="info@verdeazzurro.it"/>
    <s v="ACQUAPARCO VERDE AZZURRO - CINGOLI"/>
  </r>
  <r>
    <x v="3"/>
    <s v="ACQUAPAZZA ROOM"/>
    <s v="via San Martino 58"/>
    <x v="12"/>
    <m/>
    <m/>
    <s v="info@acquapazzaristorante.it"/>
    <s v="ACQUAPAZZA ROOM - SAN BENEDETTO DEL TRONTO"/>
  </r>
  <r>
    <x v="4"/>
    <s v="ACQUARIUS"/>
    <s v="viale alcide de gasperi 1 1"/>
    <x v="5"/>
    <s v="GROTTAMMARE"/>
    <m/>
    <m/>
    <s v="ACQUARIUS - GROTTAMMARE"/>
  </r>
  <r>
    <x v="0"/>
    <s v="ACQUASALATA"/>
    <s v="fraz. Montale 116"/>
    <x v="18"/>
    <s v="MONTALE"/>
    <s v="www.agriturismoacquasalata.it"/>
    <s v="a.acquasalata@libero.it"/>
    <s v="ACQUASALATA - ARCEVIA"/>
  </r>
  <r>
    <x v="8"/>
    <s v="ACQUAVIVA di CECCHI PEPPINO"/>
    <s v="contrada acquaviva san paterniano 34"/>
    <x v="27"/>
    <s v="LORO PICENO"/>
    <s v="www.countryhouseacquaviva.it"/>
    <s v="p.cecchi@tiscali.it"/>
    <s v="ACQUAVIVA di CECCHI PEPPINO - LORO PICENO"/>
  </r>
  <r>
    <x v="4"/>
    <s v="ACROPOLI"/>
    <m/>
    <x v="23"/>
    <s v="PORTO RECANATI"/>
    <s v="mmonina@tiscali.it"/>
    <s v="www.acropoli-mb.it"/>
    <s v="ACROPOLI - PORTO RECANATI"/>
  </r>
  <r>
    <x v="1"/>
    <s v="ACRUX"/>
    <s v="via Vittorio Veneto 146"/>
    <x v="28"/>
    <s v="GABICCE MARE"/>
    <s v="www.hotelacrux.com"/>
    <s v="info@hotelacrux.com"/>
    <s v="ACRUX - GABICCE MARE"/>
  </r>
  <r>
    <x v="2"/>
    <s v="ADA"/>
    <s v="lungomare alcide de gasperi 76"/>
    <x v="5"/>
    <s v="GROTTAMMARE"/>
    <s v="www.residenceada.com"/>
    <s v="info@residenceada.com"/>
    <s v="ADA - GROTTAMMARE"/>
  </r>
  <r>
    <x v="3"/>
    <s v="ADAMO ED EVA RESORT"/>
    <s v="via Costa Verde  snc"/>
    <x v="9"/>
    <s v="Marcelli"/>
    <s v="www.adamoedevanumana.it"/>
    <s v="info@adamoedevanumana.it"/>
    <s v="ADAMO ED EVA RESORT - NUMANA"/>
  </r>
  <r>
    <x v="1"/>
    <s v="ADLER"/>
    <s v="viale mare 13"/>
    <x v="28"/>
    <s v="GABICCE MARE"/>
    <s v="www.adlerhotel.eu"/>
    <s v="info@adlerhotel.eu"/>
    <s v="ADLER - GABICCE MARE"/>
  </r>
  <r>
    <x v="1"/>
    <s v="ADRIA"/>
    <s v="Via Vittorio Veneto 25"/>
    <x v="28"/>
    <s v="GABICCE MARE"/>
    <s v="www.hoteladriagabicce.it"/>
    <s v="info@hoteladriagabicce.it"/>
    <s v="ADRIA - GABICCE MARE"/>
  </r>
  <r>
    <x v="7"/>
    <s v="ADRIAN ARTHUR THOMAS GARDNER"/>
    <s v="C.DA REGNANO SNC"/>
    <x v="6"/>
    <s v="TOLENTINO"/>
    <m/>
    <m/>
    <s v="ADRIAN ARTHUR THOMAS GARDNER - TOLENTINO"/>
  </r>
  <r>
    <x v="3"/>
    <s v="ADRIATICA"/>
    <s v="via del Porto 42"/>
    <x v="9"/>
    <s v="NUMANA"/>
    <s v="www.affitticonero.com"/>
    <s v="immobiliareadriatica@tiscali.it"/>
    <s v="ADRIATICA - NUMANA"/>
  </r>
  <r>
    <x v="6"/>
    <s v="ADRIATICO"/>
    <s v="viale Scarfiotti 3"/>
    <x v="23"/>
    <s v="PORTO RECANATI"/>
    <s v="www.campeggioclubadriatico.it"/>
    <s v="cca@campeggioclubadriatico.it"/>
    <s v="ADRIATICO - PORTO RECANATI"/>
  </r>
  <r>
    <x v="2"/>
    <s v="ADRIATICO RESIDENCE"/>
    <s v="via Edmondo De Amicis 39"/>
    <x v="28"/>
    <s v="GABICCE MARE"/>
    <s v="www.adriaticoresidence.com"/>
    <s v="info@adriaticoresidence.com"/>
    <s v="ADRIATICO RESIDENCE - GABICCE MARE"/>
  </r>
  <r>
    <x v="3"/>
    <s v="AFFITTACAMERE  LA PIAZZETTA 2"/>
    <s v="Piazzale delle tremiti  5"/>
    <x v="9"/>
    <s v="NUMANA"/>
    <m/>
    <s v="info@camerenumana.it"/>
    <s v="AFFITTACAMERE  LA PIAZZETTA 2 - NUMANA"/>
  </r>
  <r>
    <x v="3"/>
    <s v="AFFITTACAMERE ABELE"/>
    <s v="via Leopardi  84"/>
    <x v="23"/>
    <m/>
    <m/>
    <s v="info@abelecamere.it"/>
    <s v="AFFITTACAMERE ABELE - PORTO RECANATI"/>
  </r>
  <r>
    <x v="3"/>
    <s v="AFFITTACAMERE ACQUA SALATA"/>
    <s v="via augusto elia 1"/>
    <x v="9"/>
    <s v="NUMANA"/>
    <s v="www.affittacamerenumana.it"/>
    <s v="info@affittacamerenumana.it"/>
    <s v="AFFITTACAMERE ACQUA SALATA - NUMANA"/>
  </r>
  <r>
    <x v="3"/>
    <s v="AFFITTACAMERE ACQUARELLO"/>
    <s v="contrada Acquarello 11"/>
    <x v="29"/>
    <s v="LAPEDONA"/>
    <s v="www.agriturismoacquarello.it"/>
    <s v="info@agriturismoacquarello.it"/>
    <s v="AFFITTACAMERE ACQUARELLO - LAPEDONA"/>
  </r>
  <r>
    <x v="3"/>
    <s v="AFFITTACAMERE ALBACHIARA"/>
    <s v="p.zza f.lli Cervi 13"/>
    <x v="30"/>
    <m/>
    <s v="www.affittacamerealbachiara.it"/>
    <s v="affittacamerealbachiara@gmail.com"/>
    <s v="AFFITTACAMERE ALBACHIARA - OFFIDA"/>
  </r>
  <r>
    <x v="3"/>
    <s v="AFFITTACAMERE ANGELA'S ROOM"/>
    <s v="via Milano 4"/>
    <x v="9"/>
    <s v="MARCELLI"/>
    <s v="www.numanarooms.com"/>
    <s v="info@numanarooms.com"/>
    <s v="AFFITTACAMERE ANGELA'S ROOM - NUMANA"/>
  </r>
  <r>
    <x v="3"/>
    <s v="AFFITTACAMERE APPENNINO"/>
    <s v="via Garibaldi 9"/>
    <x v="31"/>
    <m/>
    <m/>
    <s v="marcellamartinelli17@gmail.com"/>
    <s v="AFFITTACAMERE APPENNINO - APECCHIO"/>
  </r>
  <r>
    <x v="3"/>
    <s v="AFFITTACAMERE BELLELLI ALBERTO"/>
    <s v="via Cristoforo Colombo 6"/>
    <x v="9"/>
    <m/>
    <m/>
    <s v="alberto.bellelli@libero.it"/>
    <s v="AFFITTACAMERE BELLELLI ALBERTO - NUMANA"/>
  </r>
  <r>
    <x v="3"/>
    <s v="AFFITTACAMERE CASA RELAX"/>
    <s v="via Indipendenza 63/E"/>
    <x v="17"/>
    <s v="CIVITANOVA MARCHE"/>
    <m/>
    <s v="ciontea@tiscali.it"/>
    <s v="AFFITTACAMERE CASA RELAX - CIVITANOVA MARCHE"/>
  </r>
  <r>
    <x v="3"/>
    <s v="AFFITTACAMERE CIVICO 28"/>
    <s v="Via Minniti 28"/>
    <x v="32"/>
    <s v="CUPRA MARITTIMA"/>
    <m/>
    <s v="cupracivico28@gmail.com"/>
    <s v="AFFITTACAMERE CIVICO 28 - CUPRA MARITTIMA"/>
  </r>
  <r>
    <x v="3"/>
    <s v="AFFITTACAMERE DA ALDO"/>
    <s v="viale Dante Alighieri 104"/>
    <x v="33"/>
    <s v="FANO"/>
    <m/>
    <s v="aldo@tagliatesta.it"/>
    <s v="AFFITTACAMERE DA ALDO - FANO"/>
  </r>
  <r>
    <x v="3"/>
    <s v="AFFITTACAMERE DA PATRIZIA"/>
    <s v="via Trivio 48"/>
    <x v="34"/>
    <s v="MONTEGRANARO"/>
    <m/>
    <s v="c.roselli@odcfermo.it"/>
    <s v="AFFITTACAMERE DA PATRIZIA - MONTEGRANARO"/>
  </r>
  <r>
    <x v="3"/>
    <s v="AFFITTACAMERE DA SABRI"/>
    <s v="VIA RISORGIMENTO 77"/>
    <x v="9"/>
    <s v="NUMANA"/>
    <m/>
    <s v="sabrinazo@hotmail.com"/>
    <s v="AFFITTACAMERE DA SABRI - NUMANA"/>
  </r>
  <r>
    <x v="3"/>
    <s v="AFFITTACAMERE DA TINA"/>
    <s v="via Roncosanbaccio 71"/>
    <x v="33"/>
    <s v="FANO"/>
    <m/>
    <s v="ennio.and@libero.it"/>
    <s v="AFFITTACAMERE DA TINA - FANO"/>
  </r>
  <r>
    <x v="3"/>
    <s v="AFFITTACAMERE DEL VIAGGIATORE"/>
    <s v="Via Giordano Bruno 4"/>
    <x v="10"/>
    <s v="ANCONA"/>
    <m/>
    <s v="info@affittacameredelviaggiatore.it"/>
    <s v="AFFITTACAMERE DEL VIAGGIATORE - ANCONA"/>
  </r>
  <r>
    <x v="3"/>
    <s v="AFFITTACAMERE DOLCI COLLINE"/>
    <s v="via San Lazzaro 124/b"/>
    <x v="30"/>
    <m/>
    <m/>
    <s v="paperino124b@alice.it"/>
    <s v="AFFITTACAMERE DOLCI COLLINE - OFFIDA"/>
  </r>
  <r>
    <x v="3"/>
    <s v="AFFITTACAMERE ELIA EMMA"/>
    <s v="frazione San Martino 27"/>
    <x v="35"/>
    <s v="CASADUNA"/>
    <m/>
    <m/>
    <s v="AFFITTACAMERE ELIA EMMA - ACQUASANTA TERME"/>
  </r>
  <r>
    <x v="3"/>
    <s v="AFFITTACAMERE EURO"/>
    <s v="corso giuseppe mazzini 142"/>
    <x v="10"/>
    <s v="ANCONA"/>
    <m/>
    <s v="affittacamereeuro@hotmail.it"/>
    <s v="AFFITTACAMERE EURO - ANCONA"/>
  </r>
  <r>
    <x v="3"/>
    <s v="AFFITTACAMERE F.LLI ROSSI"/>
    <s v="via dell'Industria  85"/>
    <x v="36"/>
    <s v="filottrano"/>
    <m/>
    <s v="simonerossi1977@libero.it"/>
    <s v="AFFITTACAMERE F.LLI ROSSI - FILOTTRANO"/>
  </r>
  <r>
    <x v="3"/>
    <s v="AFFITTACAMERE FORO' LOLITA"/>
    <s v="via ugo la malfa 13"/>
    <x v="37"/>
    <s v="FERMO"/>
    <m/>
    <m/>
    <s v="AFFITTACAMERE FORO' LOLITA - FERMO"/>
  </r>
  <r>
    <x v="3"/>
    <s v="AFFITTACAMERE I VICOLI"/>
    <s v="via roma 120"/>
    <x v="9"/>
    <s v="NUMANA"/>
    <s v="www.ivicoli.it"/>
    <s v="info@ivicoli.it"/>
    <s v="AFFITTACAMERE I VICOLI - NUMANA"/>
  </r>
  <r>
    <x v="3"/>
    <s v="AFFITTACAMERE IL GUASCO"/>
    <s v="Via San Pietro 3"/>
    <x v="10"/>
    <s v="ANCONA"/>
    <m/>
    <s v="info@serpilli.com"/>
    <s v="AFFITTACAMERE IL GUASCO - ANCONA"/>
  </r>
  <r>
    <x v="3"/>
    <s v="AFFITTACAMERE LA LOCOMOTIVA DI PAOLA PETRUCCI"/>
    <s v="via Don Minzoni 31"/>
    <x v="38"/>
    <m/>
    <s v="www.affittacamerelalocomotiva.it"/>
    <s v="lalocomotiva01@tiscali.it"/>
    <s v="AFFITTACAMERE LA LOCOMOTIVA DI PAOLA PETRUCCI - CHIARAVALLE"/>
  </r>
  <r>
    <x v="3"/>
    <s v="AFFITTACAMERE LA PALOMBA"/>
    <s v="borgo Gramsci 10"/>
    <x v="39"/>
    <s v="MONDAVIO"/>
    <m/>
    <s v="info@lapalomba.it"/>
    <s v="AFFITTACAMERE LA PALOMBA - MONDAVIO"/>
  </r>
  <r>
    <x v="3"/>
    <s v="AFFITTACAMERE LA PIAZZETTA"/>
    <s v="via Venezia 29"/>
    <x v="9"/>
    <s v="NUMANA"/>
    <m/>
    <m/>
    <s v="AFFITTACAMERE LA PIAZZETTA - NUMANA"/>
  </r>
  <r>
    <x v="3"/>
    <s v="AFFITTACAMERE LA PIEVE"/>
    <m/>
    <x v="40"/>
    <s v="Esanatoglia"/>
    <m/>
    <s v="info@ristorantegrillcross.it"/>
    <s v="AFFITTACAMERE LA PIEVE - ESANATOGLIA"/>
  </r>
  <r>
    <x v="3"/>
    <s v="AFFITTACAMERE LA STANZA DI FRANCESCA"/>
    <s v="Via A. Tiraboschi 5/A"/>
    <x v="10"/>
    <s v="ANCONA"/>
    <m/>
    <s v="depalmacasa@gmail.com"/>
    <s v="AFFITTACAMERE LA STANZA DI FRANCESCA - ANCONA"/>
  </r>
  <r>
    <x v="3"/>
    <s v="AFFITTACAMERE LATINI LUCIA"/>
    <s v="localita' civita 43"/>
    <x v="21"/>
    <s v="FABRIANO"/>
    <s v="www.villagioiacivita.it"/>
    <s v="info@villagioiacivita.it"/>
    <s v="AFFITTACAMERE LATINI LUCIA - FABRIANO"/>
  </r>
  <r>
    <x v="3"/>
    <s v="AFFITTACAMERE LE MAGNOLIE"/>
    <s v="Via Ussita 12"/>
    <x v="41"/>
    <s v="MONTEMARCIANO"/>
    <m/>
    <s v="supercristian79@gmail.com"/>
    <s v="AFFITTACAMERE LE MAGNOLIE - MONTEMARCIANO"/>
  </r>
  <r>
    <x v="3"/>
    <s v="AFFITTACAMERE LE TRE SORELLE"/>
    <s v="via Grilli 4"/>
    <x v="8"/>
    <m/>
    <m/>
    <s v="info@affittacamereletresorelle.it"/>
    <s v="AFFITTACAMERE LE TRE SORELLE - SIROLO"/>
  </r>
  <r>
    <x v="3"/>
    <s v="AFFITTACAMERE LEOPARDI 59"/>
    <s v="G. Leopardi 59"/>
    <x v="42"/>
    <m/>
    <m/>
    <s v="amministrazone@6tour.com"/>
    <s v="AFFITTACAMERE LEOPARDI 59 - CAMERINO"/>
  </r>
  <r>
    <x v="3"/>
    <s v="AFFITTACAMERE LUCONI"/>
    <s v="VIA PANTIERE 1"/>
    <x v="4"/>
    <s v="JESI"/>
    <m/>
    <s v="info@affittacamereluconi.it"/>
    <s v="AFFITTACAMERE LUCONI - JESI"/>
  </r>
  <r>
    <x v="3"/>
    <s v="AFFITTACAMERE MARZIALI GIANLUCA"/>
    <s v="contrada Marulla 2"/>
    <x v="43"/>
    <m/>
    <m/>
    <s v="gianluca.marziali@coldiretti.it"/>
    <s v="AFFITTACAMERE MARZIALI GIANLUCA - MONTEFALCONE APPENNINO"/>
  </r>
  <r>
    <x v="3"/>
    <s v="AFFITTACAMERE MORELLI"/>
    <s v="via Flaminia 5"/>
    <x v="9"/>
    <s v="NUMANA"/>
    <s v="Www.morellicamerenumana.it"/>
    <s v="Info@morellicamerenumana.it"/>
    <s v="AFFITTACAMERE MORELLI - NUMANA"/>
  </r>
  <r>
    <x v="3"/>
    <s v="AFFITTACAMERE OASI"/>
    <s v="via belsito 17"/>
    <x v="33"/>
    <s v="FANO"/>
    <m/>
    <s v="hotel.oasi@gostec.net"/>
    <s v="AFFITTACAMERE OASI - FANO"/>
  </r>
  <r>
    <x v="3"/>
    <s v="AFFITTACAMERE OASI"/>
    <s v="via belsito 19"/>
    <x v="33"/>
    <s v="TORRETTE"/>
    <m/>
    <s v="hotel.oasi@gostec.net"/>
    <s v="AFFITTACAMERE OASI - FANO"/>
  </r>
  <r>
    <x v="3"/>
    <s v="AFFITTACAMERE PAVONI"/>
    <s v="via ancona 66"/>
    <x v="44"/>
    <s v="OSIMO"/>
    <m/>
    <s v="marcopav@email.com"/>
    <s v="AFFITTACAMERE PAVONI - OSIMO"/>
  </r>
  <r>
    <x v="3"/>
    <s v="AFFITTACAMERE PEPITO IN CITTA'"/>
    <s v="Via G. Mazzini 2"/>
    <x v="4"/>
    <s v="JESI"/>
    <m/>
    <s v="willyvigna@gmail.com"/>
    <s v="AFFITTACAMERE PEPITO IN CITTA' - JESI"/>
  </r>
  <r>
    <x v="3"/>
    <s v="AFFITTACAMERE PEPPINE'"/>
    <m/>
    <x v="45"/>
    <m/>
    <m/>
    <s v="virgilio.siquilini@gmail.com"/>
    <s v="AFFITTACAMERE PEPPINE' - MONTEFORTINO"/>
  </r>
  <r>
    <x v="3"/>
    <s v="AFFITTACAMERE PETTINELLI"/>
    <s v="Via Merolli 10"/>
    <x v="46"/>
    <s v="SASSOFERRATO"/>
    <m/>
    <m/>
    <s v="AFFITTACAMERE PETTINELLI - SASSOFERRATO"/>
  </r>
  <r>
    <x v="3"/>
    <s v="AFFITTACAMERE RESIDENCE LE PALME"/>
    <s v="Via Amalfi SNC"/>
    <x v="9"/>
    <s v="NUMANA"/>
    <m/>
    <s v="info@residencelepalme.com"/>
    <s v="AFFITTACAMERE RESIDENCE LE PALME - NUMANA"/>
  </r>
  <r>
    <x v="3"/>
    <s v="AFFITTACAMERE SAN GIORGIO"/>
    <s v="via XX Settembre 196"/>
    <x v="47"/>
    <s v="PORTO SAN GIORGIO"/>
    <m/>
    <s v="pensione.san.giorgio@hotmail.it"/>
    <s v="AFFITTACAMERE SAN GIORGIO - PORTO SAN GIORGIO"/>
  </r>
  <r>
    <x v="3"/>
    <s v="AFFITTACAMERE SERINI CARMELA"/>
    <s v="via M.Armanno, via C.Augusto 10, 9"/>
    <x v="48"/>
    <m/>
    <m/>
    <s v="c.ilari@macerata.confartigianato.it"/>
    <s v="AFFITTACAMERE SERINI CARMELA - PIORACO"/>
  </r>
  <r>
    <x v="3"/>
    <s v="AFFITTACAMERE SIMONETTI"/>
    <s v="piazza francesco basili 4"/>
    <x v="15"/>
    <s v="LORETO"/>
    <s v="www.dormialoreto.it"/>
    <s v="contact@affittacameresimonetti.it"/>
    <s v="AFFITTACAMERE SIMONETTI - LORETO"/>
  </r>
  <r>
    <x v="3"/>
    <s v="AFFITTACAMERE SIROLO"/>
    <s v="Via Galilei 6"/>
    <x v="10"/>
    <s v="ANCONA"/>
    <m/>
    <s v="affittacamere.sirolo@gmail.com"/>
    <s v="AFFITTACAMERE SIROLO - ANCONA"/>
  </r>
  <r>
    <x v="3"/>
    <s v="AFFITTACAMERE TIEPOLO 4"/>
    <s v="TIEPOLO  4"/>
    <x v="42"/>
    <s v="CAMERINO"/>
    <m/>
    <s v="amministrazione@6tour.com"/>
    <s v="AFFITTACAMERE TIEPOLO 4 - CAMERINO"/>
  </r>
  <r>
    <x v="3"/>
    <s v="AFFITTACAMERE TORRESI"/>
    <s v="via Galilei 6"/>
    <x v="10"/>
    <m/>
    <m/>
    <s v="affittacamere.torresi@gmail.com"/>
    <s v="AFFITTACAMERE TORRESI - ANCONA"/>
  </r>
  <r>
    <x v="3"/>
    <s v="AFFITTACAMERE TORRETTE DI ANCONA"/>
    <s v="via Conca 14"/>
    <x v="10"/>
    <s v="Torrette di Ancona"/>
    <m/>
    <s v="giannicesarone@gmail.com"/>
    <s v="AFFITTACAMERE TORRETTE DI ANCONA - ANCONA"/>
  </r>
  <r>
    <x v="3"/>
    <s v="AFFITTACAMERE TRABALLONI FEDERICA"/>
    <s v="borgo san giovanni 33"/>
    <x v="40"/>
    <s v="ESANATOGLIA"/>
    <m/>
    <s v="debby.brugnolaòlibero.it"/>
    <s v="AFFITTACAMERE TRABALLONI FEDERICA - ESANATOGLIA"/>
  </r>
  <r>
    <x v="3"/>
    <s v="AFFITTACAMERE VELIA MARE ELITE"/>
    <s v="via della Sirena 3"/>
    <x v="9"/>
    <s v="NUMANA"/>
    <s v="www.veliamarenumana.it"/>
    <s v="veliamarecamere@libero.it"/>
    <s v="AFFITTACAMERE VELIA MARE ELITE - NUMANA"/>
  </r>
  <r>
    <x v="3"/>
    <s v="AFFITTACAMERE VILLA PUCCI  DI PUCCI URSULA"/>
    <s v="via Cristoforo Colombo 4"/>
    <x v="9"/>
    <s v="NUMANA"/>
    <s v="www.villapucci.it"/>
    <s v="info@villapucci.it"/>
    <s v="AFFITTACAMERE VILLA PUCCI  DI PUCCI URSULA - NUMANA"/>
  </r>
  <r>
    <x v="3"/>
    <s v="AFFITTACAMERE VILLACOLLE"/>
    <s v="via Macereto 5"/>
    <x v="49"/>
    <s v="VISSO"/>
    <s v="www.villacollevisso.com"/>
    <s v="dominici.federica@tiscali.it"/>
    <s v="AFFITTACAMERE VILLACOLLE - VISSO"/>
  </r>
  <r>
    <x v="3"/>
    <s v="AFFITTACAMERE VITALI ALDESINA"/>
    <s v="via san giuseppe 31"/>
    <x v="50"/>
    <s v="CAMERATA PICENA"/>
    <m/>
    <s v="ristorantelepiane@alice.it"/>
    <s v="AFFITTACAMERE VITALI ALDESINA - CAMERATA PICENA"/>
  </r>
  <r>
    <x v="3"/>
    <s v="AFFITTACAMERE VITALI FULVIO"/>
    <s v="largo giacomo leopardi 26"/>
    <x v="51"/>
    <s v="PETRITOLI"/>
    <m/>
    <m/>
    <s v="AFFITTACAMERE VITALI FULVIO - PETRITOLI"/>
  </r>
  <r>
    <x v="3"/>
    <s v="AGENZIA IMMOBILIARE MAIOLINI"/>
    <s v="via Litoranea 179"/>
    <x v="9"/>
    <s v="NUMANA"/>
    <s v="www.maiolini.it"/>
    <s v="agenzia@maiolini.it"/>
    <s v="AGENZIA IMMOBILIARE MAIOLINI - NUMANA"/>
  </r>
  <r>
    <x v="3"/>
    <s v="AGENZIA IMMOBILIARE PETTINARI BRUNA"/>
    <s v="via bramante 65"/>
    <x v="23"/>
    <s v="PORTO RECANATI"/>
    <s v="www.immobiliarepettinari.it"/>
    <s v="federica@immobiliarepettinari.it"/>
    <s v="AGENZIA IMMOBILIARE PETTINARI BRUNA - PORTO RECANATI"/>
  </r>
  <r>
    <x v="3"/>
    <s v="AGLI ULIVI DI RIPALTA"/>
    <s v="via piana 10"/>
    <x v="52"/>
    <s v="CARTOCETO"/>
    <m/>
    <s v="info@affittacamereripalta.it"/>
    <s v="AGLI ULIVI DI RIPALTA - CARTOCETO"/>
  </r>
  <r>
    <x v="5"/>
    <s v="AGOSTI  PIERFRANCESCO"/>
    <s v="via colli 9"/>
    <x v="53"/>
    <s v="MERGO"/>
    <m/>
    <m/>
    <s v="AGOSTI  PIERFRANCESCO - MERGO"/>
  </r>
  <r>
    <x v="0"/>
    <s v="AGRICAMP PICOBELLO"/>
    <m/>
    <x v="54"/>
    <m/>
    <s v="www.agricamppicobello.com"/>
    <s v="info@agricamppicobello.com"/>
    <s v="AGRICAMP PICOBELLO - MONTELPARO"/>
  </r>
  <r>
    <x v="0"/>
    <s v="AGRITURISMO  &quot; IL RUSTICO &quot;"/>
    <s v="Via Madonna Bruna 3"/>
    <x v="29"/>
    <s v="LAPEDONA"/>
    <s v="www.agriturismoilrustico.com"/>
    <s v="info@agriturismoilrustico.com"/>
    <s v="AGRITURISMO  &quot; IL RUSTICO &quot; - LAPEDONA"/>
  </r>
  <r>
    <x v="5"/>
    <s v="AGRITURISMO  VILLA EUGENIA di CIARROCCHI EMIDIO"/>
    <s v="contrada Marina 51"/>
    <x v="55"/>
    <s v="CAMPOFILONE"/>
    <s v="www.mareincampagna.it/"/>
    <s v="bbvillaeugenia@mareincampagna.it"/>
    <s v="AGRITURISMO  VILLA EUGENIA di CIARROCCHI EMIDIO - CAMPOFILONE"/>
  </r>
  <r>
    <x v="0"/>
    <s v="AGRITURISMO &quot;GOCCE DI CAMARZANO&quot;"/>
    <s v="frazione MOSCANO   70"/>
    <x v="21"/>
    <s v="FABRIANO"/>
    <s v="www.goccedicamarzano.it"/>
    <s v="goccedicamarzano@libero.it"/>
    <s v="AGRITURISMO &quot;GOCCE DI CAMARZANO&quot; - FABRIANO"/>
  </r>
  <r>
    <x v="0"/>
    <s v="AGRITURISMO &quot;LA VALLE DELL'ORSO&quot;"/>
    <s v="via salaria 1"/>
    <x v="35"/>
    <s v="UMITO"/>
    <m/>
    <m/>
    <s v="AGRITURISMO &quot;LA VALLE DELL'ORSO&quot; - ACQUASANTA TERME"/>
  </r>
  <r>
    <x v="0"/>
    <s v="AGRITURISMO &quot;TERRA E VITA&quot;"/>
    <s v="contrada chiarino 62/A"/>
    <x v="56"/>
    <s v="RECANATI"/>
    <s v="www.agriturismoterraevita.it"/>
    <s v="coop.terraevita@email.it"/>
    <s v="AGRITURISMO &quot;TERRA E VITA&quot; - RECANATI"/>
  </r>
  <r>
    <x v="0"/>
    <s v="AGRITURISMO AGRICAMPEGGIO SBREGA"/>
    <s v="via papiria 87"/>
    <x v="33"/>
    <s v="FANO"/>
    <s v="http://www.agriturismosbrega.com/"/>
    <s v="agriturismo.sbrega@gmail.com"/>
    <s v="AGRITURISMO AGRICAMPEGGIO SBREGA - FANO"/>
  </r>
  <r>
    <x v="0"/>
    <s v="AGRITURISMO AGRIRIO"/>
    <s v="Via Ofanto 8"/>
    <x v="57"/>
    <s v="TAVULLIA"/>
    <s v="www.agririo.it"/>
    <s v="agririo@libero.it"/>
    <s v="AGRITURISMO AGRIRIO - TAVULLIA"/>
  </r>
  <r>
    <x v="0"/>
    <s v="AGRITURISMO AIOLINA"/>
    <s v="loc.Aiolina 17"/>
    <x v="58"/>
    <m/>
    <s v="www.aiolinamonti.com"/>
    <s v="info@aiolinamonti.com"/>
    <s v="AGRITURISMO AIOLINA - SANT'ANGELO IN VADO"/>
  </r>
  <r>
    <x v="0"/>
    <s v="AGRITURISMO AL CREPUSCOLO"/>
    <s v="frazione montefiore 55"/>
    <x v="56"/>
    <s v="RECANATI"/>
    <s v="www.alcrepuscolo.it"/>
    <s v="info@alcrepuscolo.it"/>
    <s v="AGRITURISMO AL CREPUSCOLO - RECANATI"/>
  </r>
  <r>
    <x v="0"/>
    <s v="AGRITURISMO ALLA SOLAGNA"/>
    <s v="contrada La Rocca 29"/>
    <x v="59"/>
    <s v="Colli del Tronto"/>
    <s v="www.allasolagna.it"/>
    <s v="info-agriturismo@allasolagna.it"/>
    <s v="AGRITURISMO ALLA SOLAGNA - COLLI DEL TRONTO"/>
  </r>
  <r>
    <x v="0"/>
    <s v="AGRITURISMO ALLA VECCHIA CASCINA"/>
    <s v="via lepri 10"/>
    <x v="60"/>
    <s v="CORINALDO"/>
    <s v="www.agriturismocorinaldo.it"/>
    <s v="info@agriturismocorinaldo.it"/>
    <s v="AGRITURISMO ALLA VECCHIA CASCINA - CORINALDO"/>
  </r>
  <r>
    <x v="0"/>
    <s v="AGRITURISMO ALPE DELLA LUNA"/>
    <m/>
    <x v="61"/>
    <s v="Vildonnino"/>
    <s v="http://www.alpedellaluna.it/"/>
    <s v="agr@alpedellaluna.it"/>
    <s v="AGRITURISMO ALPE DELLA LUNA - BORGO PACE"/>
  </r>
  <r>
    <x v="0"/>
    <s v="AGRITURISMO ALTO TENNA"/>
    <s v="Contr. Collicelli 10"/>
    <x v="62"/>
    <s v="AMANDOLA"/>
    <m/>
    <m/>
    <s v="AGRITURISMO ALTO TENNA - AMANDOLA"/>
  </r>
  <r>
    <x v="0"/>
    <s v="AGRITURISMO AMARGI"/>
    <s v="CONTRADA CUGNOLO 7"/>
    <x v="63"/>
    <m/>
    <s v="www.amargi.it"/>
    <s v="info@amargi.it"/>
    <s v="AGRITURISMO AMARGI - SMERILLO"/>
  </r>
  <r>
    <x v="0"/>
    <s v="AGRITURISMO ANGELI"/>
    <s v="via Caprile 15"/>
    <x v="64"/>
    <s v="SAN LORENZO IN CAMPO"/>
    <m/>
    <s v="agriturismoangeli06@libero.it"/>
    <s v="AGRITURISMO ANGELI - SAN LORENZO IN CAMPO"/>
  </r>
  <r>
    <x v="0"/>
    <s v="AGRITURISMO ANTICHI SAPORI"/>
    <s v="contrada Piane del Chienti 37"/>
    <x v="17"/>
    <m/>
    <m/>
    <s v="agriturismo.antichisapori@hotmail.it"/>
    <s v="AGRITURISMO ANTICHI SAPORI - CIVITANOVA MARCHE"/>
  </r>
  <r>
    <x v="0"/>
    <s v="AGRITURISMO AQUA VIVA"/>
    <s v="via santa caterina 8"/>
    <x v="19"/>
    <s v="ACQUAVIVA PICENA"/>
    <s v="www.agriturismoaquaviva.net"/>
    <s v="info@lapaesana.net"/>
    <s v="AGRITURISMO AQUA VIVA - ACQUAVIVA PICENA"/>
  </r>
  <r>
    <x v="0"/>
    <s v="AGRITURISMO ARCERA"/>
    <s v="frazione Forcella 35"/>
    <x v="65"/>
    <s v="FORCELLA"/>
    <s v="www.arcera.it"/>
    <s v="larcera@libero.it"/>
    <s v="AGRITURISMO ARCERA - ROCCAFLUVIONE"/>
  </r>
  <r>
    <x v="0"/>
    <s v="AGRITURISMO ASHRAM JOYTINAT"/>
    <s v="via Ripa 24"/>
    <x v="60"/>
    <m/>
    <m/>
    <s v="ashram@joytinat.it"/>
    <s v="AGRITURISMO ASHRAM JOYTINAT - CORINALDO"/>
  </r>
  <r>
    <x v="0"/>
    <s v="AGRITURISMO AZIENDA AGRARIA BONFIGLI"/>
    <s v="via Piagge 2"/>
    <x v="66"/>
    <m/>
    <s v="www.aziendabonfigli.it"/>
    <s v="info@aziendabonfigli.it"/>
    <s v="AGRITURISMO AZIENDA AGRARIA BONFIGLI - FALERONE"/>
  </r>
  <r>
    <x v="0"/>
    <s v="AGRITURISMO AZIENDA AGRICOLA F.LLI NOBILI"/>
    <s v="via Petricci 18"/>
    <x v="67"/>
    <s v="MONTECICCARDO"/>
    <m/>
    <s v="nobili@pec.it"/>
    <s v="AGRITURISMO AZIENDA AGRICOLA F.LLI NOBILI - MONTECICCARDO"/>
  </r>
  <r>
    <x v="0"/>
    <s v="AGRITURISMO AZZURRO"/>
    <s v="via san valentino 61"/>
    <x v="44"/>
    <s v="OSIMO"/>
    <s v="www.agriturismoazzurro.it"/>
    <s v="info@agriturismoazzurro.it"/>
    <s v="AGRITURISMO AZZURRO - OSIMO"/>
  </r>
  <r>
    <x v="0"/>
    <s v="AGRITURISMO BACCHIOCCHI ISABELLA"/>
    <s v="via ville fonti 4"/>
    <x v="68"/>
    <s v="ORCIANO DI PESARO"/>
    <s v="www.agriturismobacchiocchi.it"/>
    <s v="info@agriturismobacchiocchi.it"/>
    <s v="AGRITURISMO BACCHIOCCHI ISABELLA - ORCIANO DI PESARO"/>
  </r>
  <r>
    <x v="0"/>
    <s v="AGRITURISMO BADIA"/>
    <s v="strada della Grancia 20"/>
    <x v="69"/>
    <s v="PESARO"/>
    <s v="www.badiagriturismo.it"/>
    <s v="info@badiagriturismo.it"/>
    <s v="AGRITURISMO BADIA - PESARO"/>
  </r>
  <r>
    <x v="0"/>
    <s v="AGRITURISMO BASSARI'"/>
    <s v="c.da Santa  Croce 6/7"/>
    <x v="56"/>
    <m/>
    <s v="www.bassari.it"/>
    <s v="info@bassari.it"/>
    <s v="AGRITURISMO BASSARI' - RECANATI"/>
  </r>
  <r>
    <x v="0"/>
    <s v="AGRITURISMO BELLAVISTA"/>
    <s v="via Montevecchio 41"/>
    <x v="70"/>
    <m/>
    <s v="www.ristorobellavista.it"/>
    <s v="info@ristorobellavista.it"/>
    <s v="AGRITURISMO BELLAVISTA - SERRA SANT'ABBONDIO"/>
  </r>
  <r>
    <x v="0"/>
    <s v="AGRITURISMO BELLAVISTA DI PSENNER PETER ERICH"/>
    <s v="contrada Santo Stefano 36"/>
    <x v="71"/>
    <s v="MONTE SAN MARTINO"/>
    <s v="bellavistaagriturismo.wordpress.com"/>
    <s v="agritur.bellavista@libero.it"/>
    <s v="AGRITURISMO BELLAVISTA DI PSENNER PETER ERICH - MONTE SAN MARTINO"/>
  </r>
  <r>
    <x v="0"/>
    <s v="AGRITURISMO BIO LA TANA DEL LELE"/>
    <s v="localita' Madonna delle Stelle 1"/>
    <x v="72"/>
    <s v="SERRA SAN QUIRICO"/>
    <s v="www.latanadellele.com"/>
    <s v="latanadellele@alice.it"/>
    <s v="AGRITURISMO BIO LA TANA DEL LELE - SERRA SAN QUIRICO"/>
  </r>
  <r>
    <x v="0"/>
    <s v="AGRITURISMO BIO VERDE ARMONIA"/>
    <s v="via Gualdo  16/a"/>
    <x v="41"/>
    <m/>
    <m/>
    <s v="vono.ricci@libero.it"/>
    <s v="AGRITURISMO BIO VERDE ARMONIA - MONTEMARCIANO"/>
  </r>
  <r>
    <x v="0"/>
    <s v="AGRITURISMO BONU' GABRIELE"/>
    <s v="contrada Santa Giuliana 12/a"/>
    <x v="73"/>
    <m/>
    <m/>
    <s v="bonugabriele@hotmail.it"/>
    <s v="AGRITURISMO BONU' GABRIELE - MASSIGNANO"/>
  </r>
  <r>
    <x v="0"/>
    <s v="AGRITURISMO BORGO LA ROVERE"/>
    <s v="contrada Merlaro 9"/>
    <x v="39"/>
    <m/>
    <m/>
    <s v="borgolarovere@gmail.com"/>
    <s v="AGRITURISMO BORGO LA ROVERE - MONDAVIO"/>
  </r>
  <r>
    <x v="0"/>
    <s v="AGRITURISMO BORGO RURALE"/>
    <s v="via Sant' Ilario 1"/>
    <x v="74"/>
    <s v="FIASTRA"/>
    <m/>
    <m/>
    <s v="AGRITURISMO BORGO RURALE - FIASTRA"/>
  </r>
  <r>
    <x v="0"/>
    <s v="AGRITURISMO BUFANO"/>
    <s v="strada san fiorano 48"/>
    <x v="75"/>
    <s v="CAGLI"/>
    <s v="www.agriturismobufano.it"/>
    <s v="info@agriturismobufano.it"/>
    <s v="AGRITURISMO BUFANO - CAGLI"/>
  </r>
  <r>
    <x v="0"/>
    <s v="AGRITURISMO CA'  BERTO"/>
    <s v="via ca' picillo 6"/>
    <x v="1"/>
    <s v="URBINO"/>
    <m/>
    <s v="ca.berto@tiscali.it"/>
    <s v="AGRITURISMO CA'  BERTO - URBINO"/>
  </r>
  <r>
    <x v="0"/>
    <s v="AGRITURISMO CA'  VANZO"/>
    <s v="via San Giacomo in Foglia 8"/>
    <x v="1"/>
    <s v="URBINO"/>
    <m/>
    <s v="info@urbinoresort.it"/>
    <s v="AGRITURISMO CA'  VANZO - URBINO"/>
  </r>
  <r>
    <x v="0"/>
    <s v="AGRITURISMO CA' BATTISTA"/>
    <s v="strada Valubbio 29"/>
    <x v="75"/>
    <m/>
    <m/>
    <s v="cabattista@hotmail.it"/>
    <s v="AGRITURISMO CA' BATTISTA - CAGLI"/>
  </r>
  <r>
    <x v="0"/>
    <s v="AGRITURISMO CA' BETANIA"/>
    <s v="via Cà Betania 34"/>
    <x v="76"/>
    <s v="Betania"/>
    <s v="www.cabetania.nl"/>
    <s v="steenbergenb@hotmail.com"/>
    <s v="AGRITURISMO CA' BETANIA - MERCATELLO SUL METAURO"/>
  </r>
  <r>
    <x v="0"/>
    <s v="AGRITURISMO CA' BRANDANO"/>
    <s v="strada provinciale per Borgo Massano 9"/>
    <x v="77"/>
    <s v="MONTECALVO IN FOGLIA"/>
    <m/>
    <s v="info@cabrandano.com"/>
    <s v="AGRITURISMO CA' BRANDANO - MONTECALVO IN FOGLIA"/>
  </r>
  <r>
    <x v="0"/>
    <s v="AGRITURISMO CA' CECCHINO"/>
    <m/>
    <x v="7"/>
    <s v="loc. Ca' Cecchino"/>
    <m/>
    <s v="germana.perella@gmail.com"/>
    <s v="AGRITURISMO CA' CECCHINO - SASSOCORVARO"/>
  </r>
  <r>
    <x v="0"/>
    <s v="AGRITURISMO CA' DELL'AIA"/>
    <s v="loc. Cà dell'Olio s.n."/>
    <x v="78"/>
    <s v="fraz. Viano"/>
    <s v="www.cadellaia.it"/>
    <s v="info@cadellaia.it"/>
    <s v="AGRITURISMO CA' DELL'AIA - PIANDIMELETO"/>
  </r>
  <r>
    <x v="0"/>
    <s v="AGRITURISMO CA' LICOZZO"/>
    <m/>
    <x v="25"/>
    <s v="CA' LICOZZO"/>
    <m/>
    <s v="info@agriturismocalicozzo.it"/>
    <s v="AGRITURISMO CA' LICOZZO - PIOBBICO"/>
  </r>
  <r>
    <x v="0"/>
    <s v="AGRITURISMO CA' MAGGIO"/>
    <s v="via Cà Maggio 1"/>
    <x v="79"/>
    <s v="Mulino Renzini"/>
    <s v="www.agriturismocamaggio.it"/>
    <s v="info@agriturismocamaggio.it"/>
    <s v="AGRITURISMO CA' MAGGIO - SASSOFELTRIO"/>
  </r>
  <r>
    <x v="0"/>
    <s v="AGRITURISMO CA' MATTIOLI"/>
    <s v="via Checiccarino  17"/>
    <x v="1"/>
    <s v="loc. Montecalende"/>
    <m/>
    <s v="m.romagnoli@cia.it"/>
    <s v="AGRITURISMO CA' MATTIOLI - URBINO"/>
  </r>
  <r>
    <x v="0"/>
    <s v="AGRITURISMO CA' MONTIONI"/>
    <s v="via Ca' Lillina 23"/>
    <x v="76"/>
    <s v="loc. Guinza"/>
    <s v="www.camontioni.it"/>
    <s v="agriturcamontioni@gmail.com"/>
    <s v="AGRITURISMO CA' MONTIONI - MERCATELLO SUL METAURO"/>
  </r>
  <r>
    <x v="0"/>
    <s v="AGRITURISMO CA' NICK"/>
    <s v="Contrada camera di fermo 82"/>
    <x v="37"/>
    <s v="FERMO"/>
    <s v="www.ca-nick.it"/>
    <s v="ca-nick@ca-nick.it"/>
    <s v="AGRITURISMO CA' NICK - FERMO"/>
  </r>
  <r>
    <x v="0"/>
    <s v="AGRITURISMO CA' PIERPAOLI"/>
    <m/>
    <x v="31"/>
    <s v="località Ca' Pierpaoli"/>
    <s v="www.chipierpaoli.it"/>
    <s v="info@chipierpaoli.it"/>
    <s v="AGRITURISMO CA' PIERPAOLI - APECCHIO"/>
  </r>
  <r>
    <x v="0"/>
    <s v="AGRITURISMO CA' SERRANTONIO - CASA FERRI"/>
    <s v="piazza Martiri della Liberta' 1"/>
    <x v="80"/>
    <s v="Cà Serrantonio"/>
    <s v="www.caserrantonio-ferri.com"/>
    <s v="info_ferri@libero.it"/>
    <s v="AGRITURISMO CA' SERRANTONIO - CASA FERRI - URBANIA"/>
  </r>
  <r>
    <x v="0"/>
    <s v="AGRITURISMO CADABO' s.s.a."/>
    <s v="contrada sant' angelo 4"/>
    <x v="81"/>
    <s v="MONTECAROTTO"/>
    <s v="www.cadabo.com"/>
    <s v="info@cadabo.com"/>
    <s v="AGRITURISMO CADABO' s.s.a. - MONTECAROTTO"/>
  </r>
  <r>
    <x v="0"/>
    <s v="AGRITURISMO CAMPAGNA"/>
    <s v="strada pigno monte martello 1"/>
    <x v="75"/>
    <s v="CAGLI"/>
    <m/>
    <m/>
    <s v="AGRITURISMO CAMPAGNA - CAGLI"/>
  </r>
  <r>
    <x v="0"/>
    <s v="AGRITURISMO CAMPOLARGO di MARCHESINI ATTILIO"/>
    <s v="strada valentino 1"/>
    <x v="27"/>
    <s v="LORO PICENO"/>
    <s v="www.agriturismocampolargo.it"/>
    <s v="info@agriturismocampolargo.it"/>
    <s v="AGRITURISMO CAMPOLARGO di MARCHESINI ATTILIO - LORO PICENO"/>
  </r>
  <r>
    <x v="0"/>
    <s v="AGRITURISMO CARDELLA"/>
    <s v="GIOVANNI XXVIII 4"/>
    <x v="25"/>
    <s v="CARDELLA"/>
    <m/>
    <s v="burami.raffaella@gmail.com"/>
    <s v="AGRITURISMO CARDELLA - PIOBBICO"/>
  </r>
  <r>
    <x v="0"/>
    <s v="AGRITURISMO CASA DEL SOLE"/>
    <s v="Contrada Sant' Andrea 85"/>
    <x v="32"/>
    <s v="CUPRA MARITTIMA"/>
    <s v="www.casadelsoleap.it"/>
    <m/>
    <s v="AGRITURISMO CASA DEL SOLE - CUPRA MARITTIMA"/>
  </r>
  <r>
    <x v="0"/>
    <s v="AGRITURISMO CASA ROSA"/>
    <s v="c.da Tesino 243/b"/>
    <x v="30"/>
    <s v="OFFIDA"/>
    <s v="www.agriturismocasarosa.it"/>
    <s v="info@agriturismocasarosa.it"/>
    <s v="AGRITURISMO CASA ROSA - OFFIDA"/>
  </r>
  <r>
    <x v="0"/>
    <s v="AGRITURISMO CASA ROSSI"/>
    <s v="via marina seconda 2"/>
    <x v="9"/>
    <s v="NUMANA"/>
    <m/>
    <s v="agriturismocasarossi@gmail.com"/>
    <s v="AGRITURISMO CASA ROSSI - NUMANA"/>
  </r>
  <r>
    <x v="0"/>
    <s v="AGRITURISMO CASA VECCHIA"/>
    <s v="CONTRADA MOGLIE 3"/>
    <x v="82"/>
    <s v="CASTIGNANO"/>
    <m/>
    <s v="luigisiliquini@virgilio.it"/>
    <s v="AGRITURISMO CASA VECCHIA - CASTIGNANO"/>
  </r>
  <r>
    <x v="0"/>
    <s v="AGRITURISMO CASALE DEL PODESTA' DI BONIFAZI ROBERTO"/>
    <s v="via dei lubachi 1"/>
    <x v="83"/>
    <s v="FRATTE ROSA"/>
    <m/>
    <s v="info@bonifaziassicurazioni.it"/>
    <s v="AGRITURISMO CASALE DEL PODESTA' DI BONIFAZI ROBERTO - FRATTE ROSA"/>
  </r>
  <r>
    <x v="0"/>
    <s v="AGRITURISMO CASALE TICCHI"/>
    <s v="piazza martiri della liberta' 1"/>
    <x v="80"/>
    <s v="URBANIA"/>
    <m/>
    <m/>
    <s v="AGRITURISMO CASALE TICCHI - URBANIA"/>
  </r>
  <r>
    <x v="0"/>
    <s v="AGRITURISMO CASAVECCHIA di VENTILI TERESA"/>
    <s v="frazione Abetito 32,34"/>
    <x v="84"/>
    <s v="frazione Abetito"/>
    <s v="www.agriturismocasavecchia.info"/>
    <s v="agriturismocasavecchia@gmail.com"/>
    <s v="AGRITURISMO CASAVECCHIA di VENTILI TERESA - MONTEGALLO"/>
  </r>
  <r>
    <x v="0"/>
    <s v="AGRITURISMO CASCINA MARIANNA"/>
    <s v="via dei Molini 32"/>
    <x v="85"/>
    <s v="Isola di Fano"/>
    <s v="www.camarianna.it"/>
    <s v="cascinamarianna@hotmail.com"/>
    <s v="AGRITURISMO CASCINA MARIANNA - FOSSOMBRONE"/>
  </r>
  <r>
    <x v="0"/>
    <s v="AGRITURISMO CASE AL SOLE"/>
    <s v="via Sciamannata 1"/>
    <x v="15"/>
    <s v="LORETO"/>
    <s v="www.casealsole.net"/>
    <s v="info@casealsole.net"/>
    <s v="AGRITURISMO CASE AL SOLE - LORETO"/>
  </r>
  <r>
    <x v="0"/>
    <s v="AGRITURISMO CASTELLAGO"/>
    <s v="strada Castellaro 18"/>
    <x v="86"/>
    <s v="ACQUALAGNA"/>
    <m/>
    <s v="castellago@virgilio.it"/>
    <s v="AGRITURISMO CASTELLAGO - ACQUALAGNA"/>
  </r>
  <r>
    <x v="0"/>
    <s v="AGRITURISMO CASTELVECCHIO"/>
    <s v="via castelvecchio 48"/>
    <x v="21"/>
    <s v="FABRIANO"/>
    <s v="www.agriturismocastelvecchio.it"/>
    <s v="info@agriturismocastelvecchio.it"/>
    <s v="AGRITURISMO CASTELVECCHIO - FABRIANO"/>
  </r>
  <r>
    <x v="0"/>
    <s v="AGRITURISMO CASTRUM DI MAOLONI GIUSEPPINA"/>
    <s v="contrada Gaico 3"/>
    <x v="87"/>
    <s v="CASTORANO"/>
    <s v="www.agriturismocastrum.it"/>
    <s v="info@agriturismocastrum.it"/>
    <s v="AGRITURISMO CASTRUM DI MAOLONI GIUSEPPINA - CASTORANO"/>
  </r>
  <r>
    <x v="0"/>
    <s v="AGRITURISMO CHE CELLO"/>
    <s v="strada Sant' Angelo in Maiano 5"/>
    <x v="75"/>
    <s v="CAGLI"/>
    <m/>
    <s v="maddalena.scotti@virgilio.it"/>
    <s v="AGRITURISMO CHE CELLO - CAGLI"/>
  </r>
  <r>
    <x v="0"/>
    <s v="AGRITURISMO CIFERRI LORELLA"/>
    <s v="contrada Marina Palmense 40"/>
    <x v="37"/>
    <s v="FERMO"/>
    <m/>
    <s v="cielo61@alice.it"/>
    <s v="AGRITURISMO CIFERRI LORELLA - FERMO"/>
  </r>
  <r>
    <x v="0"/>
    <s v="AGRITURISMO COL DI GIOVE"/>
    <s v="frazione col di giove 8"/>
    <x v="88"/>
    <s v="MUCCIA"/>
    <s v="http://www.coldigiove.it"/>
    <m/>
    <s v="AGRITURISMO COL DI GIOVE - MUCCIA"/>
  </r>
  <r>
    <x v="0"/>
    <s v="AGRITURISMO COLDIPIETRA"/>
    <s v="c.da Coldipietra snc"/>
    <x v="89"/>
    <s v="cessapalombo"/>
    <s v="www.coldipietra.com"/>
    <s v="coldipietra@coldipietra.com"/>
    <s v="AGRITURISMO COLDIPIETRA - CESSAPALOMBO"/>
  </r>
  <r>
    <x v="0"/>
    <s v="AGRITURISMO COLLE CASINI CORTESI"/>
    <m/>
    <x v="90"/>
    <s v="CALDAROLA"/>
    <s v="www.agriturismocollecasinicortesi.it"/>
    <s v="info@agriturismocollecasinicortesi.it"/>
    <s v="AGRITURISMO COLLE CASINI CORTESI - CALDAROLA"/>
  </r>
  <r>
    <x v="0"/>
    <s v="AGRITURISMO COLLE DEL LUPO"/>
    <s v="localita' Serraspinosa 57"/>
    <x v="91"/>
    <s v="PERGOLA"/>
    <s v="www.colledellupo.com"/>
    <s v="colledellupo@gmx.net"/>
    <s v="AGRITURISMO COLLE DEL LUPO - PERGOLA"/>
  </r>
  <r>
    <x v="0"/>
    <s v="AGRITURISMO COLLE DELLE GINESTRELLE DI CAPOCCIA CARLO"/>
    <s v="via Flaminia Nord 23"/>
    <x v="75"/>
    <m/>
    <s v="www.agriturcagli.it"/>
    <s v="info@agriturcagli.it"/>
    <s v="AGRITURISMO COLLE DELLE GINESTRELLE DI CAPOCCIA CARLO - CAGLI"/>
  </r>
  <r>
    <x v="0"/>
    <s v="AGRITURISMO COLLE di ROSA OLIVIERI"/>
    <s v="frazione Fonte di Brescia 3"/>
    <x v="92"/>
    <s v="FIUMINATA"/>
    <s v="www.agriturismocolle.it"/>
    <s v="rosa_olivieri@libero.it"/>
    <s v="AGRITURISMO COLLE di ROSA OLIVIERI - FIUMINATA"/>
  </r>
  <r>
    <x v="0"/>
    <s v="AGRITURISMO COLLE REGNANO"/>
    <s v="contrada casadicristo 11"/>
    <x v="6"/>
    <s v="TOLENTINO"/>
    <s v="www.colleregnano.it"/>
    <s v="agriturismo@colleregnano.it"/>
    <s v="AGRITURISMO COLLE REGNANO - TOLENTINO"/>
  </r>
  <r>
    <x v="0"/>
    <s v="AGRITURISMO COLLE SERRONE"/>
    <s v="frazione precicchie 19"/>
    <x v="21"/>
    <s v="FABRIANO"/>
    <s v="www.agriturismocolleserrone.it"/>
    <s v="info@agriturismocolleserrone.it"/>
    <s v="AGRITURISMO COLLE SERRONE - FABRIANO"/>
  </r>
  <r>
    <x v="0"/>
    <s v="AGRITURISMO COLLELAGO"/>
    <s v="contrada Montecantino 3"/>
    <x v="73"/>
    <s v="Massignano"/>
    <s v="www.collelago.it"/>
    <s v="info@collelago.it"/>
    <s v="AGRITURISMO COLLELAGO - MASSIGNANO"/>
  </r>
  <r>
    <x v="0"/>
    <s v="AGRITURISMO COLLI DI SERRAPETRONA"/>
    <s v="via colli 7/8"/>
    <x v="93"/>
    <s v="SERRAPETRONA"/>
    <s v="www.tenutacollidiserrapetrona.it"/>
    <s v="info@tenutacollidiserrapetrona.it"/>
    <s v="AGRITURISMO COLLI DI SERRAPETRONA - SERRAPETRONA"/>
  </r>
  <r>
    <x v="0"/>
    <s v="AGRITURISMO COLOMBONI"/>
    <s v="strada vencareto 25"/>
    <x v="94"/>
    <s v="SAN COSTANZO"/>
    <s v="www.agriturismocolomboni.it"/>
    <s v="agriturismocolomboni@gmail.com"/>
    <s v="AGRITURISMO COLOMBONI - SAN COSTANZO"/>
  </r>
  <r>
    <x v="0"/>
    <s v="AGRITURISMO CONCA D'ORO"/>
    <s v="via Valle Chifenti 142"/>
    <x v="95"/>
    <s v="APPIGNANO DEL TRONTO"/>
    <s v="www.concadoro.com"/>
    <s v="agriturismo@concadoro.com"/>
    <s v="AGRITURISMO CONCA D'ORO - APPIGNANO DEL TRONTO"/>
  </r>
  <r>
    <x v="0"/>
    <s v="AGRITURISMO CONTRADA DURANO"/>
    <s v="C.DA DURANO 3"/>
    <x v="63"/>
    <s v="CONTRADA DURANO"/>
    <s v="www.contradadurano.it"/>
    <s v="info@contradadurano.it"/>
    <s v="AGRITURISMO CONTRADA DURANO - SMERILLO"/>
  </r>
  <r>
    <x v="0"/>
    <s v="AGRITURISMO COPPO 1873"/>
    <s v="c.da Maliscia 50/1"/>
    <x v="96"/>
    <s v="loc.Porchia"/>
    <s v="www.fattoriamarchetti.it"/>
    <s v="info@fattoriamarchetti.it"/>
    <s v="AGRITURISMO COPPO 1873 - MONTALTO DELLE MARCHE"/>
  </r>
  <r>
    <x v="0"/>
    <s v="AGRITURISMO CORBEZZOLO"/>
    <s v="c.da Campodonico 10"/>
    <x v="97"/>
    <s v="MONTE GIBERTO"/>
    <m/>
    <s v="info@agriturismocorbezzolo.it"/>
    <s v="AGRITURISMO CORBEZZOLO - MONTE GIBERTO"/>
  </r>
  <r>
    <x v="0"/>
    <s v="AGRITURISMO CROSTA"/>
    <s v="Pozzetto 2/b"/>
    <x v="98"/>
    <s v="Valdaso di Monterubbiano"/>
    <s v="www.agriturismo-crosta.it"/>
    <s v="info@agriturismo-crosta.it"/>
    <s v="AGRITURISMO CROSTA - MONTERUBBIANO"/>
  </r>
  <r>
    <x v="0"/>
    <s v="AGRITURISMO CYNARA"/>
    <s v="loc. Cervare 15"/>
    <x v="99"/>
    <s v="CERVARE"/>
    <m/>
    <s v="cippitellipaolo@aliceposta.it"/>
    <s v="AGRITURISMO CYNARA - MONTELUPONE"/>
  </r>
  <r>
    <x v="0"/>
    <s v="AGRITURISMO DA FIORO' LA COLLINA DEI SAPORI"/>
    <s v="C/da S. Pietro 36"/>
    <x v="73"/>
    <m/>
    <m/>
    <s v="agriturismo.fioro@alice.it"/>
    <s v="AGRITURISMO DA FIORO' LA COLLINA DEI SAPORI - MASSIGNANO"/>
  </r>
  <r>
    <x v="0"/>
    <s v="AGRITURISMO DAI DU BOURDEI"/>
    <s v="via Cà Marchino snc"/>
    <x v="100"/>
    <m/>
    <m/>
    <s v="info@daidubourdei.com"/>
    <s v="AGRITURISMO DAI DU BOURDEI - FRONTINO"/>
  </r>
  <r>
    <x v="0"/>
    <s v="AGRITURISMO DAI MORI"/>
    <s v="strada delle Valli 5"/>
    <x v="101"/>
    <s v="ISOLA DEL PIANO"/>
    <s v="www.agriturismodaimori.it"/>
    <s v="agriturismodaimori@libero.it"/>
    <s v="AGRITURISMO DAI MORI - ISOLA DEL PIANO"/>
  </r>
  <r>
    <x v="0"/>
    <s v="AGRITURISMO DE SANTIS CELESTA"/>
    <s v="contrada Santo Stefano 8"/>
    <x v="71"/>
    <m/>
    <m/>
    <m/>
    <s v="AGRITURISMO DE SANTIS CELESTA - MONTE SAN MARTINO"/>
  </r>
  <r>
    <x v="0"/>
    <s v="AGRITURISMO DELLE ROSE"/>
    <s v="contrada San Pietro 9"/>
    <x v="102"/>
    <s v="MONTE URANO"/>
    <s v="www.agriturismodellerose.it"/>
    <s v="info@agriturismodellerose.it"/>
    <s v="AGRITURISMO DELLE ROSE - MONTE URANO"/>
  </r>
  <r>
    <x v="0"/>
    <s v="AGRITURISMO DIMENSIONE NATURA"/>
    <s v="C.da San Lorenzo 17"/>
    <x v="62"/>
    <s v="Amandola"/>
    <m/>
    <s v="info@dimensionenatura.org"/>
    <s v="AGRITURISMO DIMENSIONE NATURA - AMANDOLA"/>
  </r>
  <r>
    <x v="0"/>
    <s v="AGRITURISMO DOLIUM"/>
    <s v="contrada Valle 2"/>
    <x v="96"/>
    <m/>
    <m/>
    <m/>
    <s v="AGRITURISMO DOLIUM - MONTALTO DELLE MARCHE"/>
  </r>
  <r>
    <x v="0"/>
    <s v="AGRITURISMO DRAGONCELLO"/>
    <s v="via pieragostini 10"/>
    <x v="42"/>
    <s v="CAMERINO"/>
    <s v="www.agriturismo-dragoncello.com"/>
    <s v="info@agriturismo-dragoncello.com"/>
    <s v="AGRITURISMO DRAGONCELLO - CAMERINO"/>
  </r>
  <r>
    <x v="0"/>
    <s v="AGRITURISMO DUE SORELLE"/>
    <s v="via Chiesa San Martino 6"/>
    <x v="74"/>
    <m/>
    <s v="www.due-sorelle.com"/>
    <s v="info@due-sorelle.com"/>
    <s v="AGRITURISMO DUE SORELLE - FIASTRA"/>
  </r>
  <r>
    <x v="0"/>
    <s v="AGRITURISMO FARA"/>
    <s v="via Gaglianello 6"/>
    <x v="103"/>
    <m/>
    <s v="www.agriturismofara.com"/>
    <s v="info@agriturismofara.com"/>
    <s v="AGRITURISMO FARA - MONTEGIORGIO"/>
  </r>
  <r>
    <x v="0"/>
    <s v="AGRITURISMO FATTORIA BRIGNONI"/>
    <s v="contrada brancasecca 25"/>
    <x v="104"/>
    <s v="OSTRA VETERE"/>
    <s v="www.fattoriabrignoni.com"/>
    <s v="info@fattoriabrignoni.com"/>
    <s v="AGRITURISMO FATTORIA BRIGNONI - OSTRA VETERE"/>
  </r>
  <r>
    <x v="0"/>
    <s v="AGRITURISMO FATTORIA SANT'ONOFRIO"/>
    <s v="loc. Cuppio 157"/>
    <x v="91"/>
    <s v="frazione Mezzanotte"/>
    <s v="www.fattoriasantonofrio.it"/>
    <s v="info@fattoriasantonofrio.it"/>
    <s v="AGRITURISMO FATTORIA SANT'ONOFRIO - PERGOLA"/>
  </r>
  <r>
    <x v="0"/>
    <s v="AGRITURISMO FIORANO"/>
    <s v="CONTRADA FIORANO 19"/>
    <x v="105"/>
    <s v="COSSIGNANO"/>
    <s v="www.agrifiorano.it"/>
    <s v="info@agrifiorano.it"/>
    <s v="AGRITURISMO FIORANO - COSSIGNANO"/>
  </r>
  <r>
    <x v="0"/>
    <s v="AGRITURISMO FIORDALISO"/>
    <s v="localita' Civita 39"/>
    <x v="21"/>
    <s v="FABRIANO"/>
    <m/>
    <s v="agri.fiordaliso@libero.it"/>
    <s v="AGRITURISMO FIORDALISO - FABRIANO"/>
  </r>
  <r>
    <x v="0"/>
    <s v="AGRITURISMO FONTE CARELLA"/>
    <s v="contrada carella 4"/>
    <x v="106"/>
    <s v="MONTE SAN PIETRANGELI"/>
    <m/>
    <s v="fontecarella@tin.it"/>
    <s v="AGRITURISMO FONTE CARELLA - MONTE SAN PIETRANGELI"/>
  </r>
  <r>
    <x v="0"/>
    <s v="AGRITURISMO FONTE ROSA"/>
    <s v="Via Collevecchio 1"/>
    <x v="74"/>
    <s v="FIASTRA"/>
    <s v="www.fonterosa.eu"/>
    <s v="l.autorino@me.com"/>
    <s v="AGRITURISMO FONTE ROSA - FIASTRA"/>
  </r>
  <r>
    <x v="0"/>
    <s v="AGRITURISMO FONTERAMA di FASHION FUR"/>
    <s v="loc.Fonterama 4"/>
    <x v="107"/>
    <s v="FONTERAMA"/>
    <s v="www.residencefonterama.it"/>
    <s v="residencefonterama@libero.it"/>
    <s v="AGRITURISMO FONTERAMA di FASHION FUR - GAGLIOLE"/>
  </r>
  <r>
    <x v="0"/>
    <s v="AGRITURISMO FORANO CASA LE PIAGGE"/>
    <s v="contrada forano 44"/>
    <x v="108"/>
    <s v="APPIGNANO"/>
    <s v="www.fattoriaforano.it"/>
    <s v="agriturismoforano@yahoo.it"/>
    <s v="AGRITURISMO FORANO CASA LE PIAGGE - APPIGNANO"/>
  </r>
  <r>
    <x v="0"/>
    <s v="AGRITURISMO FORANO CASA MONTEFERRO"/>
    <m/>
    <x v="0"/>
    <s v="MACERATA"/>
    <s v="www.fattoriaforano.it"/>
    <s v="agriturismoforano@yahoo.it"/>
    <s v="AGRITURISMO FORANO CASA MONTEFERRO - MACERATA"/>
  </r>
  <r>
    <x v="0"/>
    <s v="AGRITURISMO FORANO CASA MONTELIPA"/>
    <s v="localita' cimarella 8"/>
    <x v="109"/>
    <s v="MONTECASSIANO"/>
    <s v="www.fattoriaforano.it"/>
    <s v="agriturismoforano@yahoo.it"/>
    <s v="AGRITURISMO FORANO CASA MONTELIPA - MONTECASSIANO"/>
  </r>
  <r>
    <x v="0"/>
    <s v="AGRITURISMO FORANO CASA OCCHIO DI GALLO"/>
    <s v="contrada cimarella sn"/>
    <x v="0"/>
    <s v="MACERATA"/>
    <s v="www.fattoriaforano.it"/>
    <s v="agriturismoforano@yahoo.it"/>
    <s v="AGRITURISMO FORANO CASA OCCHIO DI GALLO - MACERATA"/>
  </r>
  <r>
    <x v="0"/>
    <s v="AGRITURISMO FRESCINA"/>
    <s v="localita' Frescina Abbadia di Naro  1"/>
    <x v="75"/>
    <s v="CAGLI"/>
    <s v="www.frescina.com"/>
    <s v="info@frescina.com"/>
    <s v="AGRITURISMO FRESCINA - CAGLI"/>
  </r>
  <r>
    <x v="0"/>
    <s v="AGRITURISMO GIANO BIFRONTE"/>
    <s v="via Ciro Pavisa 28"/>
    <x v="110"/>
    <m/>
    <s v="www.gianobifronte.com"/>
    <s v="info@gianobifronte.com"/>
    <s v="AGRITURISMO GIANO BIFRONTE - MOMBAROCCIO"/>
  </r>
  <r>
    <x v="0"/>
    <s v="AGRITURISMO GIRO DI VENTO"/>
    <s v="c.da Cerretino 3226"/>
    <x v="111"/>
    <s v="SANT' ELPIDIO A MARE"/>
    <s v="www.agriturismogirodivento.it"/>
    <s v="agriturismogirodivento@alice.it"/>
    <s v="AGRITURISMO GIRO DI VENTO - SANT'ELPIDIO A MARE"/>
  </r>
  <r>
    <x v="0"/>
    <s v="AGRITURISMO GLI ULIVI"/>
    <s v="localita' capovilla 6"/>
    <x v="26"/>
    <s v="CINGOLI"/>
    <s v="www.gli-ulivi.it"/>
    <s v="gliulivig@libero.it"/>
    <s v="AGRITURISMO GLI ULIVI - CINGOLI"/>
  </r>
  <r>
    <x v="0"/>
    <s v="AGRITURISMO HORNOS"/>
    <s v="Via Marina Seconda 16"/>
    <x v="9"/>
    <m/>
    <s v="www.agriturismohornos.it"/>
    <s v="info@agriturismohornos.it"/>
    <s v="AGRITURISMO HORNOS - NUMANA"/>
  </r>
  <r>
    <x v="0"/>
    <s v="AGRITURISMO I BARONCI"/>
    <s v="loc. I Baronci 2"/>
    <x v="112"/>
    <s v="fraz. S. Donnino"/>
    <m/>
    <m/>
    <s v="AGRITURISMO I BARONCI - GENGA"/>
  </r>
  <r>
    <x v="0"/>
    <s v="AGRITURISMO I CILIEGI"/>
    <s v="via del Casale 3"/>
    <x v="16"/>
    <s v="Montignano"/>
    <s v="www.agriturismoiciliegi.it"/>
    <s v="tiziana-c@libero.it"/>
    <s v="AGRITURISMO I CILIEGI - SENIGALLIA"/>
  </r>
  <r>
    <x v="0"/>
    <s v="AGRITURISMO I CONTI"/>
    <s v="via Pieve del Colle 11 b"/>
    <x v="86"/>
    <s v="pieve del colle"/>
    <s v="www.agriturismoiconti.it"/>
    <s v="info@agriturismoiconti.it"/>
    <s v="AGRITURISMO I CONTI - ACQUALAGNA"/>
  </r>
  <r>
    <x v="0"/>
    <s v="AGRITURISMO I GELSI"/>
    <m/>
    <x v="62"/>
    <s v="AMANDOLA"/>
    <m/>
    <s v="selandari.marco@libero.it"/>
    <s v="AGRITURISMO I GELSI - AMANDOLA"/>
  </r>
  <r>
    <x v="0"/>
    <s v="AGRITURISMO I GIRASOLI"/>
    <s v="contrada caselunghe 208"/>
    <x v="113"/>
    <s v="PENNA SAN GIOVANNI"/>
    <s v="www.daigirasoli.it"/>
    <s v="info@daigirasoli.it"/>
    <s v="AGRITURISMO I GIRASOLI - PENNA SAN GIOVANNI"/>
  </r>
  <r>
    <x v="0"/>
    <s v="AGRITURISMO I MORI"/>
    <s v="loc.Pettovallone 1"/>
    <x v="26"/>
    <s v="Pettovallone"/>
    <s v="www.imori.net"/>
    <s v="info@imori.net"/>
    <s v="AGRITURISMO I MORI - CINGOLI"/>
  </r>
  <r>
    <x v="0"/>
    <s v="AGRITURISMO I PALAZZI"/>
    <s v="vocabolo Palazzi 1"/>
    <x v="58"/>
    <s v="loc. Palazzi loc. Capanne"/>
    <s v="www.agriturismoipalazzi.it"/>
    <s v="info@agriturismoipalazzi.it"/>
    <s v="AGRITURISMO I PALAZZI - SANT'ANGELO IN VADO"/>
  </r>
  <r>
    <x v="0"/>
    <s v="AGRITURISMO I VALERIANI"/>
    <s v="contrada Valle 5"/>
    <x v="0"/>
    <s v="MACERATA"/>
    <m/>
    <s v="agriturismo@agriturismoivaleriani.com"/>
    <s v="AGRITURISMO I VALERIANI - MACERATA"/>
  </r>
  <r>
    <x v="0"/>
    <s v="AGRITURISMO IL BORGHETTO AL POGGIO"/>
    <m/>
    <x v="75"/>
    <s v="loc. Poggio San Cristoforo"/>
    <s v="www.ilborghettoalpoggio.it"/>
    <s v="info@ilborghettoalpoggio.it"/>
    <s v="AGRITURISMO IL BORGHETTO AL POGGIO - CAGLI"/>
  </r>
  <r>
    <x v="0"/>
    <s v="AGRITURISMO IL CHIERICO"/>
    <m/>
    <x v="30"/>
    <m/>
    <m/>
    <m/>
    <s v="AGRITURISMO IL CHIERICO - OFFIDA"/>
  </r>
  <r>
    <x v="0"/>
    <s v="AGRITURISMO IL CONVENTINO"/>
    <s v="localita' Seggiole 1"/>
    <x v="114"/>
    <s v="PIEVE TORINA"/>
    <m/>
    <s v="prenotazioni@ilconventino.eu"/>
    <s v="AGRITURISMO IL CONVENTINO - PIEVE TORINA"/>
  </r>
  <r>
    <x v="0"/>
    <s v="AGRITURISMO IL FAGGIO"/>
    <s v="frazione serradica 137"/>
    <x v="21"/>
    <s v="FABRIANO"/>
    <s v="www.agriturismoilfaggio.it"/>
    <s v="info@agriturismoilfaggio.it"/>
    <s v="AGRITURISMO IL FAGGIO - FABRIANO"/>
  </r>
  <r>
    <x v="0"/>
    <s v="AGRITURISMO IL FAGGIO"/>
    <s v="c.da San Martino 9"/>
    <x v="63"/>
    <s v="SMERILLO"/>
    <m/>
    <m/>
    <s v="AGRITURISMO IL FAGGIO - SMERILLO"/>
  </r>
  <r>
    <x v="0"/>
    <s v="AGRITURISMO IL GELSO"/>
    <s v="via calciurro 45"/>
    <x v="7"/>
    <s v="SASSOCORVARO"/>
    <m/>
    <m/>
    <s v="AGRITURISMO IL GELSO - SASSOCORVARO"/>
  </r>
  <r>
    <x v="0"/>
    <s v="AGRITURISMO IL GELSO"/>
    <s v="Frazione Melano, 102 102"/>
    <x v="21"/>
    <s v="FABRIANO"/>
    <s v="www.ilgelsoagriturismo.com"/>
    <s v="info@ilgelsoagriturismo.com"/>
    <s v="AGRITURISMO IL GELSO - FABRIANO"/>
  </r>
  <r>
    <x v="0"/>
    <s v="AGRITURISMO IL GELSO ROSSO"/>
    <s v="c.da Cucciole snc"/>
    <x v="115"/>
    <m/>
    <m/>
    <s v="scilla23@tiscali.it"/>
    <s v="AGRITURISMO IL GELSO ROSSO - COMUNANZA"/>
  </r>
  <r>
    <x v="0"/>
    <s v="AGRITURISMO IL GINEPRO"/>
    <s v="localita' Figgiano 46"/>
    <x v="61"/>
    <s v="BORGO PACE"/>
    <m/>
    <s v="info@ilgineprofigiano.com"/>
    <s v="AGRITURISMO IL GINEPRO - BORGO PACE"/>
  </r>
  <r>
    <x v="0"/>
    <s v="AGRITURISMO IL MELO"/>
    <s v="frazione meleto 8"/>
    <x v="112"/>
    <s v="GENGA"/>
    <m/>
    <m/>
    <s v="AGRITURISMO IL MELO - GENGA"/>
  </r>
  <r>
    <x v="0"/>
    <s v="AGRITURISMO IL MELOGRANO"/>
    <s v="Contrada Pianello 17"/>
    <x v="116"/>
    <s v="SANT'ANGELO IN PONTANO"/>
    <s v="www.ilmelogranoagriturismo.it"/>
    <m/>
    <s v="AGRITURISMO IL MELOGRANO - SANT'ANGELO IN PONTANO"/>
  </r>
  <r>
    <x v="0"/>
    <s v="AGRITURISMO IL NOCETO"/>
    <s v="via Fonte Ancona 28"/>
    <x v="117"/>
    <s v="MONTE SAN GIUSTO"/>
    <s v="www.agriturismoilnoceto.com"/>
    <s v="ilnoceto@alice.it"/>
    <s v="AGRITURISMO IL NOCETO - MONTE SAN GIUSTO"/>
  </r>
  <r>
    <x v="0"/>
    <s v="AGRITURISMO IL PICCHIO VERDE di VALENTINI SARA"/>
    <s v="Via Sant'Angelo 3"/>
    <x v="118"/>
    <s v="SERRA DE' CONTI"/>
    <s v="www.agriturismoilpicchioverde.it"/>
    <s v="info@valentinibiomarche.it"/>
    <s v="AGRITURISMO IL PICCHIO VERDE di VALENTINI SARA - SERRA DE' CONTI"/>
  </r>
  <r>
    <x v="0"/>
    <s v="AGRITURISMO IL PRATO"/>
    <s v="via Giacomo Matteotti 13"/>
    <x v="119"/>
    <s v="RIPE"/>
    <s v="www.agriturismo-ilprato.com"/>
    <s v="info@agriturismo-ilprato.com"/>
    <s v="AGRITURISMO IL PRATO - TRECASTELLI"/>
  </r>
  <r>
    <x v="0"/>
    <s v="AGRITURISMO IL ROCCHETTO"/>
    <s v="contrada Aso 63"/>
    <x v="120"/>
    <s v="MONTEFIORE DELL' ASO"/>
    <s v="www.ilrocchetto.it"/>
    <s v="ilrocchetto@libero.it"/>
    <s v="AGRITURISMO IL ROCCHETTO - MONTEFIORE DELL'ASO"/>
  </r>
  <r>
    <x v="0"/>
    <s v="AGRITURISMO IL ROCCOLO"/>
    <s v="frazione Pomaro 15"/>
    <x v="35"/>
    <s v="ACQUASANTA TERME"/>
    <s v="www.laterradellemeraviglie.it"/>
    <s v="agriturismo@ilroccolo.com"/>
    <s v="AGRITURISMO IL ROCCOLO - ACQUASANTA TERME"/>
  </r>
  <r>
    <x v="0"/>
    <s v="AGRITURISMO IL VECCHIO ACERO"/>
    <s v="contrada SS. Annunziata 7"/>
    <x v="96"/>
    <m/>
    <s v="www.ilvecchioacero.it"/>
    <s v="info.ilvecchioacero@gmail.com"/>
    <s v="AGRITURISMO IL VECCHIO ACERO - MONTALTO DELLE MARCHE"/>
  </r>
  <r>
    <x v="0"/>
    <s v="AGRITURISMO IL VECCHIO GELSO"/>
    <s v="Frazione Melano 102"/>
    <x v="21"/>
    <s v="FABRIANO"/>
    <s v="www.ilgelsoagriturismo.com"/>
    <s v="info@ilgelsoagriturismo.com"/>
    <s v="AGRITURISMO IL VECCHIO GELSO - FABRIANO"/>
  </r>
  <r>
    <x v="0"/>
    <s v="AGRITURISMO L' ARENARIA"/>
    <s v="via borgo 15"/>
    <x v="93"/>
    <s v="SERRAPETRONA"/>
    <m/>
    <s v="agriturismo.arenaria@live.it"/>
    <s v="AGRITURISMO L' ARENARIA - SERRAPETRONA"/>
  </r>
  <r>
    <x v="0"/>
    <s v="AGRITURISMO L' OLMO DI CASIGLIANO"/>
    <s v="LOCALITA' CASIGLIANO 1"/>
    <x v="89"/>
    <s v="CASIGLIANO"/>
    <s v="www.olmodicasigliano.it"/>
    <s v="info@olmodicasigliano.it"/>
    <s v="AGRITURISMO L' OLMO DI CASIGLIANO - CESSAPALOMBO"/>
  </r>
  <r>
    <x v="0"/>
    <s v="AGRITURISMO LA BADIA"/>
    <s v="Loc Badia 18 -Ca' Gallo- 18"/>
    <x v="77"/>
    <s v="Montecalvo in Foglia"/>
    <s v="www.agriturismolabadia.it"/>
    <s v="info@agriturismolabadia.it"/>
    <s v="AGRITURISMO LA BADIA - MONTECALVO IN FOGLIA"/>
  </r>
  <r>
    <x v="0"/>
    <s v="AGRITURISMO LA CAPRARECCIA"/>
    <s v="localita' gorgo a cerbara 1"/>
    <x v="25"/>
    <s v="PIOBBICO"/>
    <s v="www.lacaprareccia.it"/>
    <s v="info@lacaprareccia.it"/>
    <s v="AGRITURISMO LA CAPRARECCIA - PIOBBICO"/>
  </r>
  <r>
    <x v="0"/>
    <s v="AGRITURISMO LA CAPUTA"/>
    <s v="localita' porta celle 23"/>
    <x v="80"/>
    <s v="URBANIA"/>
    <m/>
    <s v="agriturlacaputa@virgilio.it"/>
    <s v="AGRITURISMO LA CAPUTA - URBANIA"/>
  </r>
  <r>
    <x v="0"/>
    <s v="AGRITURISMO LA CASA DEL SOLE"/>
    <s v="via San Salvatore 1"/>
    <x v="121"/>
    <s v="APIRO"/>
    <s v="www.agriturismonellemarche.it"/>
    <s v="deluca_rosanna@virgilio.it"/>
    <s v="AGRITURISMO LA CASA DEL SOLE - APIRO"/>
  </r>
  <r>
    <x v="0"/>
    <s v="AGRITURISMO LA CASETTA DELLE MARCHE"/>
    <s v="contrada Menocchia 190"/>
    <x v="120"/>
    <s v="MONTEFIORE DELL' ASO"/>
    <s v="www.lacasettadellemarche.it"/>
    <s v="postmaster@lacasettadellemarche.it"/>
    <s v="AGRITURISMO LA CASETTA DELLE MARCHE - MONTEFIORE DELL'ASO"/>
  </r>
  <r>
    <x v="0"/>
    <s v="AGRITURISMO LA CICALA"/>
    <s v="contrada Menocchia 22"/>
    <x v="122"/>
    <s v="CARASSAI"/>
    <s v="www.lacicalagriturismo.it"/>
    <s v="info@lacicalagriturismo.it"/>
    <s v="AGRITURISMO LA CICALA - CARASSAI"/>
  </r>
  <r>
    <x v="0"/>
    <s v="AGRITURISMO LA CISTERNA"/>
    <s v="frazione santa lucia 12"/>
    <x v="123"/>
    <s v="MACERATA FELTRIA"/>
    <s v="www.lacisterna.net"/>
    <s v="info@lacisterna.net"/>
    <s v="AGRITURISMO LA CISTERNA - MACERATA FELTRIA"/>
  </r>
  <r>
    <x v="0"/>
    <s v="AGRITURISMO LA FAGGIOLA"/>
    <s v="CASINO FAGGIOLA 3"/>
    <x v="123"/>
    <s v="SAN TEODORO"/>
    <m/>
    <s v="lafaggiola@gmail.com"/>
    <s v="AGRITURISMO LA FAGGIOLA - MACERATA FELTRIA"/>
  </r>
  <r>
    <x v="0"/>
    <s v="AGRITURISMO LA FATTORIA DEI CANTORI"/>
    <s v="via S. Cristoforo 22"/>
    <x v="1"/>
    <m/>
    <m/>
    <s v="lafattoriadeicantori@hotmail.it"/>
    <s v="AGRITURISMO LA FATTORIA DEI CANTORI - URBINO"/>
  </r>
  <r>
    <x v="0"/>
    <s v="AGRITURISMO LA FONTE"/>
    <s v="via sodere 1"/>
    <x v="124"/>
    <s v="BELFORTE DEL CHIENTI"/>
    <s v="www.la-fonte.it"/>
    <m/>
    <s v="AGRITURISMO LA FONTE - BELFORTE DEL CHIENTI"/>
  </r>
  <r>
    <x v="0"/>
    <s v="AGRITURISMO LA GROTTA DEI FOLLETTI"/>
    <s v="localita' Bruciata 29/a"/>
    <x v="76"/>
    <s v="MERCATELLO SUL METAURO"/>
    <s v="www.lagrottadeifolletti.it"/>
    <s v="info@lagrottadeifolletti.it"/>
    <s v="AGRITURISMO LA GROTTA DEI FOLLETTI - MERCATELLO SUL METAURO"/>
  </r>
  <r>
    <x v="0"/>
    <s v="AGRITURISMO LA LIMONAIA"/>
    <s v="Via Mondaviese 150"/>
    <x v="39"/>
    <s v="MONDAVIO"/>
    <m/>
    <s v="pacipiergiorgio@libero.it"/>
    <s v="AGRITURISMO LA LIMONAIA - MONDAVIO"/>
  </r>
  <r>
    <x v="0"/>
    <s v="AGRITURISMO LA LOCANDA DEL GELSO"/>
    <s v="via morola 12"/>
    <x v="52"/>
    <s v="CARTOCETO"/>
    <s v="www.lalocandadelgelso.it"/>
    <s v="info@lalocandadelgelso.it"/>
    <s v="AGRITURISMO LA LOCANDA DEL GELSO - CARTOCETO"/>
  </r>
  <r>
    <x v="0"/>
    <s v="AGRITURISMO LA LOGGIA"/>
    <s v="loc.Tirello 6"/>
    <x v="42"/>
    <s v="loc.Tirello"/>
    <s v="www.agriturismolaloggia.com"/>
    <s v="info@agriturismolaloggia.com"/>
    <s v="AGRITURISMO LA LOGGIA - CAMERINO"/>
  </r>
  <r>
    <x v="0"/>
    <s v="AGRITURISMO LA MARAZZANA"/>
    <s v="strada provinciale corinaldese 105"/>
    <x v="16"/>
    <s v="SENIGALLIA"/>
    <s v="www.lamarazzana.it"/>
    <s v="info@lamarazzana.it"/>
    <s v="AGRITURISMO LA MARAZZANA - SENIGALLIA"/>
  </r>
  <r>
    <x v="0"/>
    <s v="AGRITURISMO LA MARCA"/>
    <s v="localita' mecciano 1"/>
    <x v="42"/>
    <s v="CAMERINO"/>
    <s v="www.agriturismolamarca.com"/>
    <s v="aglamarca@libero.it"/>
    <s v="AGRITURISMO LA MARCA - CAMERINO"/>
  </r>
  <r>
    <x v="0"/>
    <s v="AGRITURISMO LA MERIDIANA di PURCARO ARIBERTO"/>
    <s v="via Bargni  16"/>
    <x v="125"/>
    <s v="SERRUNGARINA"/>
    <s v="www.agriturismolameridiana.com"/>
    <s v="info@agriturismolameridiana.com"/>
    <s v="AGRITURISMO LA MERIDIANA di PURCARO ARIBERTO - SERRUNGARINA"/>
  </r>
  <r>
    <x v="0"/>
    <s v="AGRITURISMO LA MORLA"/>
    <s v="c.da la Morla 19/B"/>
    <x v="126"/>
    <m/>
    <s v="www.lamorla.it"/>
    <s v="lamorla@hotmail.it"/>
    <s v="AGRITURISMO LA MORLA - POLLENZA"/>
  </r>
  <r>
    <x v="0"/>
    <s v="AGRITURISMO LA PALOMBARA"/>
    <s v="via Palombara 2"/>
    <x v="41"/>
    <m/>
    <m/>
    <m/>
    <s v="AGRITURISMO LA PALOMBARA - MONTEMARCIANO"/>
  </r>
  <r>
    <x v="0"/>
    <s v="AGRITURISMO LA PERLA"/>
    <s v="c.da Logognano 13"/>
    <x v="127"/>
    <m/>
    <s v="www.agriturismo-laperla.it"/>
    <s v="info@agriturismo-laperla.it"/>
    <s v="AGRITURISMO LA PERLA - RAPAGNANO"/>
  </r>
  <r>
    <x v="0"/>
    <s v="AGRITURISMO LA PIEVE di STRAFFI ADINO &amp; ERMINI MARIA LUISA"/>
    <s v="contrada Picacchi 1"/>
    <x v="128"/>
    <s v="GUALDO"/>
    <s v="www.lapieveagriturismo.com"/>
    <s v="info@lapieveagriturismo.com"/>
    <s v="AGRITURISMO LA PIEVE di STRAFFI ADINO &amp; ERMINI MARIA LUISA - GUALDO"/>
  </r>
  <r>
    <x v="0"/>
    <s v="AGRITURISMO LA POSSIONE"/>
    <s v="via villa bassa 1"/>
    <x v="129"/>
    <s v="PIANDICASTELLO"/>
    <m/>
    <m/>
    <s v="AGRITURISMO LA POSSIONE - MERCATINO CONCA"/>
  </r>
  <r>
    <x v="0"/>
    <s v="AGRITURISMO LA PRIORA DI VALLORANI MARIA LUIGINA"/>
    <s v="contrada Dragone 26"/>
    <x v="130"/>
    <s v="MONTEDINOVE"/>
    <s v="www.agriturismopriora.com"/>
    <s v="nicolapasqualini@inwind.it"/>
    <s v="AGRITURISMO LA PRIORA DI VALLORANI MARIA LUIGINA - MONTEDINOVE"/>
  </r>
  <r>
    <x v="0"/>
    <s v="AGRITURISMO LA QUIETE"/>
    <s v="via mazzangrugno 24"/>
    <x v="131"/>
    <s v="POLVERIGI"/>
    <s v="www.agriturismolaquiete.net"/>
    <s v="info@agriturismolaquiete.net"/>
    <s v="AGRITURISMO LA QUIETE - POLVERIGI"/>
  </r>
  <r>
    <x v="0"/>
    <s v="AGRITURISMO LA ROCCA"/>
    <m/>
    <x v="31"/>
    <s v="località la rocca"/>
    <m/>
    <s v="a.parlani@alice.it"/>
    <s v="AGRITURISMO LA ROCCA - APECCHIO"/>
  </r>
  <r>
    <x v="0"/>
    <s v="AGRITURISMO LA ROCCA"/>
    <s v="localita' cardella 50"/>
    <x v="25"/>
    <s v="PIOBBICO"/>
    <s v="www.lacaprareccia.it"/>
    <s v="info@lacaprareccia.com"/>
    <s v="AGRITURISMO LA ROCCA - PIOBBICO"/>
  </r>
  <r>
    <x v="0"/>
    <s v="AGRITURISMO LA ROCCA"/>
    <s v="strada Casebianche 91"/>
    <x v="65"/>
    <s v="CASEBIANCHE"/>
    <s v="www.agrituristlarocca.it"/>
    <s v="bblarocca@libero.it"/>
    <s v="AGRITURISMO LA ROCCA - ROCCAFLUVIONE"/>
  </r>
  <r>
    <x v="0"/>
    <s v="AGRITURISMO LA ROVERELLA"/>
    <s v="VIA SAN PIETRO 37"/>
    <x v="36"/>
    <s v="FILOTTRANO"/>
    <s v="www.laroverella.it"/>
    <s v="info@laroverella.it"/>
    <s v="AGRITURISMO LA ROVERELLA - FILOTTRANO"/>
  </r>
  <r>
    <x v="0"/>
    <s v="AGRITURISMO LA SORGENTE"/>
    <s v="frazione poggio 114"/>
    <x v="10"/>
    <s v="ANCONA"/>
    <s v="www.lasorgenteagriturismo.com"/>
    <s v="info@lasorgenteagriturismo.com"/>
    <s v="AGRITURISMO LA SORGENTE - ANCONA"/>
  </r>
  <r>
    <x v="0"/>
    <s v="AGRITURISMO LA STRADACCIA"/>
    <s v="STRADA DI VALCELLI 4/F"/>
    <x v="69"/>
    <m/>
    <m/>
    <s v="bonifatirosa@pec.it"/>
    <s v="AGRITURISMO LA STRADACCIA - PESARO"/>
  </r>
  <r>
    <x v="0"/>
    <s v="AGRITURISMO LA TORRE"/>
    <s v="contrada Torre di Morro 1"/>
    <x v="132"/>
    <s v="SAN GINESIO"/>
    <m/>
    <m/>
    <s v="AGRITURISMO LA TORRE - SAN GINESIO"/>
  </r>
  <r>
    <x v="0"/>
    <s v="AGRITURISMO LA VERGARA"/>
    <s v="contrada svarchi 12"/>
    <x v="133"/>
    <s v="ALTIDONA"/>
    <s v="www.agriturismolavergara.it"/>
    <s v="info@agriturismolavergara.it"/>
    <s v="AGRITURISMO LA VERGARA - ALTIDONA"/>
  </r>
  <r>
    <x v="0"/>
    <s v="AGRITURISMO L'ALTERNATIVA"/>
    <s v="contrada Caccialupo 2"/>
    <x v="99"/>
    <s v="Montelupone"/>
    <m/>
    <s v="laalternativa@live.it"/>
    <s v="AGRITURISMO L'ALTERNATIVA - MONTELUPONE"/>
  </r>
  <r>
    <x v="0"/>
    <s v="AGRITURISMO LANCIOTTI"/>
    <s v="c.da Corneto 16"/>
    <x v="105"/>
    <s v="COSSIGNANO"/>
    <m/>
    <s v="orianalanciotti@alice.it"/>
    <s v="AGRITURISMO LANCIOTTI - COSSIGNANO"/>
  </r>
  <r>
    <x v="0"/>
    <s v="AGRITURISMO LE ARCATE DI SANT'ANGELO"/>
    <s v="localita' Morrone 13"/>
    <x v="42"/>
    <s v="CAMERINO"/>
    <s v="www.arcatedisantangelo.it"/>
    <s v="learcatedisantangelo@libero.it"/>
    <s v="AGRITURISMO LE ARCATE DI SANT'ANGELO - CAMERINO"/>
  </r>
  <r>
    <x v="0"/>
    <s v="AGRITURISMO LE CORTINE"/>
    <s v="via Andrea d' Accorso 75"/>
    <x v="42"/>
    <s v="CAMERINO"/>
    <s v="www.lecortine.com"/>
    <s v="info@lecortine.com"/>
    <s v="AGRITURISMO LE CORTINE - CAMERINO"/>
  </r>
  <r>
    <x v="0"/>
    <s v="AGRITURISMO LE FONTANE"/>
    <s v="via pallino 25"/>
    <x v="1"/>
    <s v="URBINO"/>
    <s v="www.lefontaneurbino.it"/>
    <s v="lefontaneurbino@lefontaneurbino.it"/>
    <s v="AGRITURISMO LE FONTANE - URBINO"/>
  </r>
  <r>
    <x v="0"/>
    <s v="AGRITURISMO LE FONTANELLE"/>
    <s v="via Piagiolino 6"/>
    <x v="119"/>
    <s v="loc. Ponterio"/>
    <m/>
    <s v="canoba@libero.it"/>
    <s v="AGRITURISMO LE FONTANELLE - TRECASTELLI"/>
  </r>
  <r>
    <x v="0"/>
    <s v="AGRITURISMO LE FONTI"/>
    <s v="via fonti 4"/>
    <x v="68"/>
    <s v="ORCIANO DI PESARO"/>
    <m/>
    <s v="agriturismo.lefonti@alice.it"/>
    <s v="AGRITURISMO LE FONTI - ORCIANO DI PESARO"/>
  </r>
  <r>
    <x v="0"/>
    <s v="AGRITURISMO LE GAZZE"/>
    <s v="via pompeiana 426"/>
    <x v="37"/>
    <s v="FERMO"/>
    <s v="www.legazze.it"/>
    <s v="info@legazze.it"/>
    <s v="AGRITURISMO LE GAZZE - FERMO"/>
  </r>
  <r>
    <x v="0"/>
    <s v="AGRITURISMO LE MORRETTE"/>
    <s v="contrada contro 49"/>
    <x v="128"/>
    <s v="GUALDO"/>
    <m/>
    <m/>
    <s v="AGRITURISMO LE MORRETTE - GUALDO"/>
  </r>
  <r>
    <x v="0"/>
    <s v="AGRITURISMO LE PIAGGE"/>
    <s v="via piagge novali 22"/>
    <x v="134"/>
    <s v="CASTELPLANIO"/>
    <s v="www.lepiaggeagriturismo.it"/>
    <s v="info@lepiaggeagriturismo.it"/>
    <s v="AGRITURISMO LE PIAGGE - CASTELPLANIO"/>
  </r>
  <r>
    <x v="0"/>
    <s v="AGRITURISMO LE QUATTRO STAGIONI - SOCIETA' AGRICOLA S.S."/>
    <s v="Contrada San Bartolomeo 7"/>
    <x v="6"/>
    <s v="TOLENTINO"/>
    <s v="www.agriturismolequattrostagioni.com"/>
    <s v="info@agriturismolequattrostagioni.com"/>
    <s v="AGRITURISMO LE QUATTRO STAGIONI - SOCIETA' AGRICOLA S.S. - TOLENTINO"/>
  </r>
  <r>
    <x v="0"/>
    <s v="AGRITURISMO LE SELVE"/>
    <s v="contrada Piane Vecchie 1"/>
    <x v="115"/>
    <s v="COMUNANZA"/>
    <s v="www.leselve.net"/>
    <s v="info@leselve.net"/>
    <s v="AGRITURISMO LE SELVE - COMUNANZA"/>
  </r>
  <r>
    <x v="0"/>
    <s v="AGRITURISMO LE SPIGHE"/>
    <s v="Via Santa Maria in Potenza 40"/>
    <x v="23"/>
    <s v="PORTO RECANATI"/>
    <m/>
    <s v="info@lespighe.net"/>
    <s v="AGRITURISMO LE SPIGHE - PORTO RECANATI"/>
  </r>
  <r>
    <x v="0"/>
    <s v="AGRITURISMO LE TATE"/>
    <s v="Loc. Cervare 6"/>
    <x v="99"/>
    <s v="CERVARE"/>
    <m/>
    <s v="giovanni.florentino@virgilio.it"/>
    <s v="AGRITURISMO LE TATE - MONTELUPONE"/>
  </r>
  <r>
    <x v="0"/>
    <s v="AGRITURISMO LE VIGNE"/>
    <s v="STORNO 27"/>
    <x v="37"/>
    <s v="strada Provinciale Val d'Ete"/>
    <s v="www.levigneagriturismo.com"/>
    <s v="info@levigneagriturismo.com"/>
    <s v="AGRITURISMO LE VIGNE - FERMO"/>
  </r>
  <r>
    <x v="0"/>
    <s v="AGRITURISMO L'EIA DI CARETTI"/>
    <s v="SANTA MARIA IN VAL D'ABISSO  46"/>
    <x v="25"/>
    <s v="PIOBBICO"/>
    <m/>
    <s v="info@bptecnology.it"/>
    <s v="AGRITURISMO L'EIA DI CARETTI - PIOBBICO"/>
  </r>
  <r>
    <x v="0"/>
    <s v="AGRITURISMO LOCALITA' CASTELLO"/>
    <s v="contrada Castello 1"/>
    <x v="128"/>
    <s v="GUALDO"/>
    <m/>
    <m/>
    <s v="AGRITURISMO LOCALITA' CASTELLO - GUALDO"/>
  </r>
  <r>
    <x v="0"/>
    <s v="AGRITURISMO MADONNA DI PIANA"/>
    <s v="contrada Piana 4"/>
    <x v="62"/>
    <s v="AMANDOLA"/>
    <m/>
    <s v="gabriele.marini@coldiretti.it"/>
    <s v="AGRITURISMO MADONNA DI PIANA - AMANDOLA"/>
  </r>
  <r>
    <x v="0"/>
    <s v="AGRITURISMO MAMMA ROSA"/>
    <s v="contrada Divina Pastora 107"/>
    <x v="6"/>
    <s v="TOLENTINO"/>
    <s v="www.ristorantemammarosa.it"/>
    <s v="info@ristorantemammarosa.it"/>
    <s v="AGRITURISMO MAMMA ROSA - TOLENTINO"/>
  </r>
  <r>
    <x v="0"/>
    <s v="AGRITURISMO MARIA FABRIZI"/>
    <s v="CAVALLARA  3"/>
    <x v="39"/>
    <s v="MONDAVIO"/>
    <m/>
    <s v="rist_maria_cavallara@libero.it"/>
    <s v="AGRITURISMO MARIA FABRIZI - MONDAVIO"/>
  </r>
  <r>
    <x v="0"/>
    <s v="AGRITURISMO MARULLA"/>
    <s v="contrada Marulla 1"/>
    <x v="43"/>
    <s v="MONTEFALCONE APPENNINO"/>
    <s v="www.agriturismomarulla.it"/>
    <s v="agriturismomarulla@libero.it"/>
    <s v="AGRITURISMO MARULLA - MONTEFALCONE APPENNINO"/>
  </r>
  <r>
    <x v="0"/>
    <s v="AGRITURISMO MERLINI"/>
    <s v="Contrada Pianarucci 30"/>
    <x v="6"/>
    <s v="TOLENTINO"/>
    <m/>
    <s v="luigi.merlini@rematarlazzi.it"/>
    <s v="AGRITURISMO MERLINI - TOLENTINO"/>
  </r>
  <r>
    <x v="0"/>
    <s v="AGRITURISMO MIRALBELLO"/>
    <s v="via Mazzalaio 36"/>
    <x v="64"/>
    <s v="SAN LORENZO IN CAMPO"/>
    <s v="www.agriturismomiralbello.it"/>
    <s v="info@agriturismomiralbello.it"/>
    <s v="AGRITURISMO MIRALBELLO - SAN LORENZO IN CAMPO"/>
  </r>
  <r>
    <x v="0"/>
    <s v="AGRITURISMO MOLLEONE"/>
    <s v="strada molleone 1"/>
    <x v="75"/>
    <s v="CAGLI"/>
    <m/>
    <m/>
    <s v="AGRITURISMO MOLLEONE - CAGLI"/>
  </r>
  <r>
    <x v="0"/>
    <s v="AGRITURISMO MONTE GIOVE"/>
    <s v="strada nazionale flaminia 124"/>
    <x v="33"/>
    <s v="FANO"/>
    <m/>
    <s v="agrimontegiove@libero.it"/>
    <s v="AGRITURISMO MONTE GIOVE - FANO"/>
  </r>
  <r>
    <x v="0"/>
    <s v="AGRITURISMO MONTE MAGGIO"/>
    <s v="c.da Aso 7"/>
    <x v="29"/>
    <s v="Lapedona"/>
    <s v="www.agriturmontemaggio.it"/>
    <s v="info@agriturmontemaggio.it"/>
    <s v="AGRITURISMO MONTE MAGGIO - LAPEDONA"/>
  </r>
  <r>
    <x v="0"/>
    <s v="AGRITURISMO MONTEFIORENTINO"/>
    <s v="loc. Montefiorentino 174"/>
    <x v="100"/>
    <s v="loc. Montefiorentino"/>
    <s v="www.montefiorentino.it"/>
    <s v="info@montefiorentino.it"/>
    <s v="AGRITURISMO MONTEFIORENTINO - FRONTINO"/>
  </r>
  <r>
    <x v="0"/>
    <s v="AGRITURISMO MONTEROSATO"/>
    <s v="c.da Lavandara 7"/>
    <x v="37"/>
    <s v="FERMO"/>
    <m/>
    <s v="fbertone@gmail.com"/>
    <s v="AGRITURISMO MONTEROSATO - FERMO"/>
  </r>
  <r>
    <x v="0"/>
    <s v="AGRITURISMO MONTESICURO"/>
    <s v="c.da Montesicuro 9"/>
    <x v="98"/>
    <s v="MONTERUBBIANO"/>
    <s v="www.agriturismomontesicuro.it"/>
    <s v="gaetanomonaldi@alice.it"/>
    <s v="AGRITURISMO MONTESICURO - MONTERUBBIANO"/>
  </r>
  <r>
    <x v="0"/>
    <s v="AGRITURISMO MONTEVERDE"/>
    <m/>
    <x v="54"/>
    <s v="contrada Coste"/>
    <m/>
    <s v="salvatoregasperini@alice.it"/>
    <s v="AGRITURISMO MONTEVERDE - MONTELPARO"/>
  </r>
  <r>
    <x v="0"/>
    <s v="AGRITURISMO MONTORSO"/>
    <s v="contrada Bucchiano 14"/>
    <x v="135"/>
    <s v="MONTE RINALDO"/>
    <s v="www.agriturismomontorso.it"/>
    <s v="info@agriturismomontorso.it"/>
    <s v="AGRITURISMO MONTORSO - MONTE RINALDO"/>
  </r>
  <r>
    <x v="0"/>
    <s v="AGRITURISMO MORETTI MARCO"/>
    <s v="localita' Campovecchio 1"/>
    <x v="61"/>
    <s v="BORGO PACE"/>
    <m/>
    <m/>
    <s v="AGRITURISMO MORETTI MARCO - BORGO PACE"/>
  </r>
  <r>
    <x v="0"/>
    <s v="AGRITURISMO NONNO GIRO'"/>
    <s v="contrada Rambona 7"/>
    <x v="6"/>
    <s v="TOLENTINO"/>
    <s v="www.agriturismononnogiro.it"/>
    <s v="info@agriturismononnogiro.it"/>
    <s v="AGRITURISMO NONNO GIRO' - TOLENTINO"/>
  </r>
  <r>
    <x v="0"/>
    <s v="AGRITURISMO NONNO PIO"/>
    <s v="c.da Tesino 58"/>
    <x v="30"/>
    <s v="c.da Tesino"/>
    <m/>
    <s v="info@nonnopio.it"/>
    <s v="AGRITURISMO NONNO PIO - OFFIDA"/>
  </r>
  <r>
    <x v="0"/>
    <s v="AGRITURISMO OASI"/>
    <s v="contrada san pietro 3"/>
    <x v="73"/>
    <s v="MASSIGNANO"/>
    <s v="www.oasi.weebly.it"/>
    <s v="adriana.dalboni@alice.it"/>
    <s v="AGRITURISMO OASI - MASSIGNANO"/>
  </r>
  <r>
    <x v="0"/>
    <s v="AGRITURISMO OASI  BIO VERDE MARINA"/>
    <s v="strada del Ferriero 247"/>
    <x v="16"/>
    <s v="SENIGALLIA"/>
    <s v="www.oasibioverdemarina.it"/>
    <s v="oasibioverdemarina@libero.it"/>
    <s v="AGRITURISMO OASI  BIO VERDE MARINA - SENIGALLIA"/>
  </r>
  <r>
    <x v="0"/>
    <s v="AGRITURISMO OLIODIVINO"/>
    <s v="via Ponte Magno 7"/>
    <x v="136"/>
    <m/>
    <s v="www.agriturismomarche.net"/>
    <s v="oliodivino@live.it"/>
    <s v="AGRITURISMO OLIODIVINO - MONTE ROBERTO"/>
  </r>
  <r>
    <x v="0"/>
    <s v="AGRITURISMO ORSAIOLA"/>
    <s v="localita' Orsaiola 36"/>
    <x v="80"/>
    <s v="URBANIA"/>
    <s v="www.orsaiola.it"/>
    <s v="agriturismoorsaiola@libero.it"/>
    <s v="AGRITURISMO ORSAIOLA - URBANIA"/>
  </r>
  <r>
    <x v="0"/>
    <s v="AGRITURISMO PACIOTTI PACIFICO"/>
    <s v="contrada san giovanni 9"/>
    <x v="63"/>
    <s v="SMERILLO"/>
    <m/>
    <m/>
    <s v="AGRITURISMO PACIOTTI PACIFICO - SMERILLO"/>
  </r>
  <r>
    <x v="0"/>
    <s v="AGRITURISMO PALAZZO DONATI"/>
    <s v="Corso Bencivenni 29"/>
    <x v="76"/>
    <s v="MERCATELLO SUL METAURO"/>
    <s v="www.palazzodonati.com"/>
    <s v="eventi@montestigliano.it"/>
    <s v="AGRITURISMO PALAZZO DONATI - MERCATELLO SUL METAURO"/>
  </r>
  <r>
    <x v="0"/>
    <s v="AGRITURISMO PARADISO"/>
    <s v="via del Paradiso 10"/>
    <x v="137"/>
    <s v="OSTRA"/>
    <m/>
    <m/>
    <s v="AGRITURISMO PARADISO - OSTRA"/>
  </r>
  <r>
    <x v="0"/>
    <s v="AGRITURISMO PARADISOINCOLLINA"/>
    <s v="strada di San Nicola 32"/>
    <x v="69"/>
    <s v="PESARO"/>
    <s v="www.paradisoincollina.it"/>
    <s v="mirco@paradisoincollina.it"/>
    <s v="AGRITURISMO PARADISOINCOLLINA - PESARO"/>
  </r>
  <r>
    <x v="0"/>
    <s v="AGRITURISMO PARISI"/>
    <s v="contrada Grazie 4"/>
    <x v="17"/>
    <s v="CIVITANOVA MARCHE"/>
    <s v="www.agriturismoparisi@libero.it"/>
    <s v="agriturismoparisi@libero.it"/>
    <s v="AGRITURISMO PARISI - CIVITANOVA MARCHE"/>
  </r>
  <r>
    <x v="0"/>
    <s v="AGRITURISMO PARVA DOMUS"/>
    <s v="borgo Fornaci 13"/>
    <x v="81"/>
    <s v="MONTECAROTTO"/>
    <s v="www.agriturismoparvadomus.it"/>
    <s v="info@agriturismoparvadomus.it"/>
    <s v="AGRITURISMO PARVA DOMUS - MONTECAROTTO"/>
  </r>
  <r>
    <x v="0"/>
    <s v="AGRITURISMO PETTIROSSO"/>
    <s v="LOC. MADONNA PONTE 89/A"/>
    <x v="33"/>
    <s v="FANO"/>
    <s v="http://www.agriturismopettirosso.it/"/>
    <s v="info@agriturismopettirosso.it"/>
    <s v="AGRITURISMO PETTIROSSO - FANO"/>
  </r>
  <r>
    <x v="0"/>
    <s v="AGRITURISMO PIAN DI GALLO"/>
    <s v="strada della contea 15"/>
    <x v="138"/>
    <s v="FRONTONE"/>
    <m/>
    <s v="coopag3a@gmail.com"/>
    <s v="AGRITURISMO PIAN DI GALLO - FRONTONE"/>
  </r>
  <r>
    <x v="0"/>
    <s v="AGRITURISMO PIANDIMOLINO"/>
    <s v="località Pian di Molino 16"/>
    <x v="31"/>
    <s v="PIAN DI MOLINO"/>
    <s v="www.agriturismopiandimolino.it"/>
    <s v="info@agriturismopiandimolino.it"/>
    <s v="AGRITURISMO PIANDIMOLINO - APECCHIO"/>
  </r>
  <r>
    <x v="0"/>
    <s v="AGRITURISMO PIETRA ANTICA"/>
    <m/>
    <x v="3"/>
    <m/>
    <s v="www.agriturismopietrantica.com"/>
    <s v="agrit.pietrantica@alice.it"/>
    <s v="AGRITURISMO PIETRA ANTICA - RIPATRANSONE"/>
  </r>
  <r>
    <x v="0"/>
    <s v="AGRITURISMO PIEVE DI SAN PAOLO"/>
    <s v="San Paolo di Fagnille 29"/>
    <x v="31"/>
    <s v="San Paolo di Fagnille"/>
    <s v="www.pievesp.it"/>
    <s v="info@pievesp.it"/>
    <s v="AGRITURISMO PIEVE DI SAN PAOLO - APECCHIO"/>
  </r>
  <r>
    <x v="0"/>
    <s v="AGRITURISMO POGGIO AJANO"/>
    <s v="Contrada S. Maria in Selva 31"/>
    <x v="139"/>
    <s v="S. MARIA IN SELVA"/>
    <m/>
    <s v="lorpettinari@tiscali.it"/>
    <s v="AGRITURISMO POGGIO AJANO - TREIA"/>
  </r>
  <r>
    <x v="0"/>
    <s v="AGRITURISMO POGGIOLIVO"/>
    <s v="via Peglio 1"/>
    <x v="140"/>
    <s v="SANT' IPPOLITO"/>
    <s v="www.agriturismopoggiolivo.it"/>
    <s v="info@agriturismopoggiolivo.it"/>
    <s v="AGRITURISMO POGGIOLIVO - SANT'IPPOLITO"/>
  </r>
  <r>
    <x v="0"/>
    <s v="AGRITURISMO PONTEROSA"/>
    <s v="c.da Mossa Montigliano 14"/>
    <x v="141"/>
    <s v="Morrovalle"/>
    <s v="www.agriturismoponterosa.it"/>
    <s v="info@agriturismoponterosa.it"/>
    <s v="AGRITURISMO PONTEROSA - MORROVALLE"/>
  </r>
  <r>
    <x v="0"/>
    <s v="AGRITURISMO PONZI-ORFINI"/>
    <m/>
    <x v="6"/>
    <s v="TOLENTINO"/>
    <m/>
    <m/>
    <s v="AGRITURISMO PONZI-ORFINI - TOLENTINO"/>
  </r>
  <r>
    <x v="0"/>
    <s v="AGRITURISMO POZZOSANTO"/>
    <s v="VIA DEL POZZOSANTO 11"/>
    <x v="137"/>
    <s v="OSTRA"/>
    <s v="www.agriturismopozzosanto.it"/>
    <s v="info@agriturismopozzosanto.it"/>
    <s v="AGRITURISMO POZZOSANTO - OSTRA"/>
  </r>
  <r>
    <x v="0"/>
    <s v="AGRITURISMO POZZUOLO"/>
    <s v="via di Mezzo 31"/>
    <x v="125"/>
    <s v="SERRUNGARINA"/>
    <s v="www.agriturismopozzuolo.com"/>
    <s v="info@agriturismopozzuolo.com"/>
    <s v="AGRITURISMO POZZUOLO - SERRUNGARINA"/>
  </r>
  <r>
    <x v="0"/>
    <s v="AGRITURISMO RAMUSE di CICCIOLI PAOLO"/>
    <s v="LOCALITA' CASETTE 3"/>
    <x v="142"/>
    <s v="CASETTE"/>
    <s v="www.ramuse.it"/>
    <s v="paolociccioli@ramuse.it"/>
    <s v="AGRITURISMO RAMUSE di CICCIOLI PAOLO - FORCE"/>
  </r>
  <r>
    <x v="0"/>
    <s v="AGRITURISMO REGINA DI FIORI"/>
    <s v="VIA CESANENSE 10"/>
    <x v="143"/>
    <m/>
    <m/>
    <s v="laura.carboni7@gmail.com"/>
    <s v="AGRITURISMO REGINA DI FIORI - MONTE PORZIO"/>
  </r>
  <r>
    <x v="0"/>
    <s v="AGRITURISMO RELAIS DEL COLLE"/>
    <s v="contrada San Gregorio 16"/>
    <x v="3"/>
    <s v="RIPATRANSONE"/>
    <s v="www.relaisdelcolle.it"/>
    <s v="info@relaisdelcolle.it"/>
    <s v="AGRITURISMO RELAIS DEL COLLE - RIPATRANSONE"/>
  </r>
  <r>
    <x v="0"/>
    <s v="AGRITURISMO RESIDENCE SINFONIE DEL BOSCO"/>
    <s v="contrada santa maria 45"/>
    <x v="54"/>
    <s v="MONTELPARO"/>
    <s v="www.residencesinfoniedelbosco.it"/>
    <s v="info@residencesinfoniedelbosco.it"/>
    <s v="AGRITURISMO RESIDENCE SINFONIE DEL BOSCO - MONTELPARO"/>
  </r>
  <r>
    <x v="0"/>
    <s v="AGRITURISMO ROTABELLA"/>
    <s v="localita' seano 1"/>
    <x v="144"/>
    <s v="CASTELRAIMONDO"/>
    <s v="www.rotabella.it"/>
    <s v="stefanobonifazi@hotmail.it"/>
    <s v="AGRITURISMO ROTABELLA - CASTELRAIMONDO"/>
  </r>
  <r>
    <x v="0"/>
    <s v="AGRITURISMO S. ALESSANDRO"/>
    <s v="localita' porta nuova 39"/>
    <x v="80"/>
    <s v="URBANIA"/>
    <s v="www.sant-alessandro.com"/>
    <s v="sant-alessandro@libero.it"/>
    <s v="AGRITURISMO S. ALESSANDRO - URBANIA"/>
  </r>
  <r>
    <x v="0"/>
    <s v="AGRITURISMO SACCHIA ART FARM"/>
    <m/>
    <x v="61"/>
    <s v="loc. Sacchia"/>
    <s v="www.sacchiafarm.com"/>
    <s v="info@sacchiafarm.com"/>
    <s v="AGRITURISMO SACCHIA ART FARM - BORGO PACE"/>
  </r>
  <r>
    <x v="0"/>
    <s v="AGRITURISMO SAMSARA"/>
    <s v="via pian di rose 3"/>
    <x v="140"/>
    <s v="SANT' IPPOLITO"/>
    <s v="www.samsara-center.it"/>
    <s v="info@samsara-center.it"/>
    <s v="AGRITURISMO SAMSARA - SANT'IPPOLITO"/>
  </r>
  <r>
    <x v="0"/>
    <s v="AGRITURISMO SAN BIAGIO"/>
    <s v="via Vocabolo Pescheria 24"/>
    <x v="145"/>
    <m/>
    <m/>
    <s v="valerpietro@libero.it"/>
    <s v="AGRITURISMO SAN BIAGIO - MATELICA"/>
  </r>
  <r>
    <x v="0"/>
    <s v="AGRITURISMO SAN BIAGIO"/>
    <s v="via Butino 1"/>
    <x v="146"/>
    <s v="SEFRO"/>
    <m/>
    <s v="valerpietro@libero.it"/>
    <s v="AGRITURISMO SAN BIAGIO - SEFRO"/>
  </r>
  <r>
    <x v="0"/>
    <s v="AGRITURISMO SAN GIUSEPPE"/>
    <s v="loc. San Fortunato 39"/>
    <x v="147"/>
    <m/>
    <s v="www.sangiuseppeagriturismo.it"/>
    <s v="info@sangiuseppeagriturismo.it"/>
    <s v="AGRITURISMO SAN GIUSEPPE - PEGLIO"/>
  </r>
  <r>
    <x v="0"/>
    <s v="AGRITURISMO SAN LORENZO"/>
    <s v="contrada San Lorenzo 3"/>
    <x v="62"/>
    <s v="AMANDOLA"/>
    <s v="www.agriturismo-nelle-marche.net"/>
    <s v="graziella.pelloni@libero.it"/>
    <s v="AGRITURISMO SAN LORENZO - AMANDOLA"/>
  </r>
  <r>
    <x v="0"/>
    <s v="AGRITURISMO SAN MARTINO"/>
    <s v="strada san martino 20"/>
    <x v="94"/>
    <s v="SAN COSTANZO"/>
    <s v="www.agriturismosanmartino.net"/>
    <s v="info@agriturismosanmartino.net"/>
    <s v="AGRITURISMO SAN MARTINO - SAN COSTANZO"/>
  </r>
  <r>
    <x v="0"/>
    <s v="AGRITURISMO SAN MARTINO"/>
    <s v="contrada molino 69"/>
    <x v="71"/>
    <s v="MONTE SAN MARTINO"/>
    <s v="www.agriturismosanmartino.com"/>
    <s v="agriturismosanmartino@email.it"/>
    <s v="AGRITURISMO SAN MARTINO - MONTE SAN MARTINO"/>
  </r>
  <r>
    <x v="0"/>
    <s v="AGRITURISMO SAN MARTINO"/>
    <s v="contrada valle san martino 11"/>
    <x v="95"/>
    <s v="APPIGNANO DEL TRONTO"/>
    <m/>
    <s v="s.martinoagriturism@libero.it"/>
    <s v="AGRITURISMO SAN MARTINO - APPIGNANO DEL TRONTO"/>
  </r>
  <r>
    <x v="0"/>
    <s v="AGRITURISMO SAN ROMUALDO"/>
    <s v="frazione Poggio San Romualdo 1"/>
    <x v="21"/>
    <s v="FABRIANO"/>
    <s v="www.valdicastro.it"/>
    <s v="info@valdicastro.it"/>
    <s v="AGRITURISMO SAN ROMUALDO - FABRIANO"/>
  </r>
  <r>
    <x v="0"/>
    <s v="AGRITURISMO SANTA CROCE"/>
    <s v="via Guido Rossa 285"/>
    <x v="111"/>
    <s v="loc.Bivio Cascinare"/>
    <s v="www.agritursantacroce.com"/>
    <s v="info@agritursantacroce.com"/>
    <s v="AGRITURISMO SANTA CROCE - SANT'ELPIDIO A MARE"/>
  </r>
  <r>
    <x v="0"/>
    <s v="AGRITURISMO SANTA MARIA DEL GALLO"/>
    <s v="contrada Santa Maria 7"/>
    <x v="121"/>
    <s v="APIRO"/>
    <s v="www.santamariadelgallo.it"/>
    <s v="mimmo.gallo@tiscali.it"/>
    <s v="AGRITURISMO SANTA MARIA DEL GALLO - APIRO"/>
  </r>
  <r>
    <x v="0"/>
    <s v="AGRITURISMO SANTI GILBERTO"/>
    <s v="via Lame 18"/>
    <x v="61"/>
    <s v="loc. Parchiule"/>
    <m/>
    <m/>
    <s v="AGRITURISMO SANTI GILBERTO - BORGO PACE"/>
  </r>
  <r>
    <x v="0"/>
    <s v="AGRITURISMO SASCIA"/>
    <s v="via Lamberto Corsi 150"/>
    <x v="21"/>
    <s v="FABRIANO"/>
    <m/>
    <m/>
    <s v="AGRITURISMO SASCIA - FABRIANO"/>
  </r>
  <r>
    <x v="0"/>
    <s v="Agriturismo SERENA"/>
    <s v="contrada Ete 41"/>
    <x v="37"/>
    <s v="FERMO"/>
    <s v="www.agriturismoserena.it"/>
    <s v="info@agriturismoserena.it"/>
    <s v="Agriturismo SERENA - FERMO"/>
  </r>
  <r>
    <x v="0"/>
    <s v="AGRITURISMO SERENA"/>
    <s v="contrada contro 11"/>
    <x v="51"/>
    <s v="PETRITOLI"/>
    <s v="www.agriturismoserena.it"/>
    <s v="info@agriturismoserena.it"/>
    <s v="AGRITURISMO SERENA - PETRITOLI"/>
  </r>
  <r>
    <x v="0"/>
    <s v="AGRITURISMO SERRA CANINA"/>
    <s v="loc.Serra Canina snc"/>
    <x v="75"/>
    <m/>
    <s v="www.calesuore.it"/>
    <s v="info@calesuore.it"/>
    <s v="AGRITURISMO SERRA CANINA - CAGLI"/>
  </r>
  <r>
    <x v="0"/>
    <s v="AGRITURISMO SEVERINI"/>
    <s v="via Portone San Francesco 13"/>
    <x v="141"/>
    <s v="MORROVALLE"/>
    <s v="www.agriturismoseverini.it"/>
    <s v="info@agriturismoseverini.it"/>
    <s v="AGRITURISMO SEVERINI - MORROVALLE"/>
  </r>
  <r>
    <x v="0"/>
    <s v="AGRITURISMO SLOWCANDA"/>
    <s v="via Baciardi 12"/>
    <x v="25"/>
    <s v="BACIARDI"/>
    <s v="www.slowcanda.it"/>
    <s v="slowcanda@tiscali.it"/>
    <s v="AGRITURISMO SLOWCANDA - PIOBBICO"/>
  </r>
  <r>
    <x v="0"/>
    <s v="AGRITURISMO SOGNO D' ESTATE"/>
    <s v="contrada San Girio  27/a"/>
    <x v="148"/>
    <m/>
    <s v="www.sognodestate.com"/>
    <s v="info@sognodestate.com"/>
    <s v="AGRITURISMO SOGNO D' ESTATE - POTENZA PICENA"/>
  </r>
  <r>
    <x v="0"/>
    <s v="AGRITURISMO STROPPA ELEONORA"/>
    <s v="la pieve moscano 59"/>
    <x v="21"/>
    <s v="FABRIANO"/>
    <m/>
    <s v="elestroppa84@hotmail.it"/>
    <s v="AGRITURISMO STROPPA ELEONORA - FABRIANO"/>
  </r>
  <r>
    <x v="0"/>
    <s v="AGRITURISMO STROPPA VALENTINA"/>
    <s v="via fonte vecchia  10"/>
    <x v="21"/>
    <s v="collamato"/>
    <m/>
    <s v="fontevecchia2@libero.it"/>
    <s v="AGRITURISMO STROPPA VALENTINA - FABRIANO"/>
  </r>
  <r>
    <x v="0"/>
    <s v="AGRITURISMO SUAVIA PICENA"/>
    <s v="contrada storno 10"/>
    <x v="37"/>
    <s v="FERMO"/>
    <m/>
    <s v="suaviapicena@gmail.com"/>
    <s v="AGRITURISMO SUAVIA PICENA - FERMO"/>
  </r>
  <r>
    <x v="0"/>
    <s v="AGRITURISMO TENUTA BELVEDERE"/>
    <s v="via Ronco  2"/>
    <x v="13"/>
    <m/>
    <s v="www.tenutabelvedere.eu"/>
    <s v="p.romina@centrooceano.it"/>
    <s v="AGRITURISMO TENUTA BELVEDERE - BELVEDERE OSTRENSE"/>
  </r>
  <r>
    <x v="0"/>
    <s v="AGRITURISMO TENUTA BORGIO"/>
    <s v="FRAZIONE OLIBRA 55"/>
    <x v="149"/>
    <s v="VENAROTTA"/>
    <m/>
    <s v="tenutaborgio@libero.it"/>
    <s v="AGRITURISMO TENUTA BORGIO - VENAROTTA"/>
  </r>
  <r>
    <x v="0"/>
    <s v="AGRITURISMO TENUTA SOLALTO"/>
    <s v="contrada Vallone  17"/>
    <x v="150"/>
    <m/>
    <s v="www.tenutasolalto.com"/>
    <s v="info@tenutasolalto.com"/>
    <s v="AGRITURISMO TENUTA SOLALTO - MONSAMPOLO DEL TRONTO"/>
  </r>
  <r>
    <x v="0"/>
    <s v="AGRITURISMO TERRA DI MAGIE"/>
    <s v="c.da Cerrara 2"/>
    <x v="62"/>
    <s v="AMANDOLA"/>
    <s v="www.terradimagie.it"/>
    <s v="noi@terradimagie.it"/>
    <s v="AGRITURISMO TERRA DI MAGIE - AMANDOLA"/>
  </r>
  <r>
    <x v="0"/>
    <s v="AGRITURISMO TORRAIMUNI"/>
    <s v="loc. Roccafranca 2"/>
    <x v="144"/>
    <s v="LOCALITA' ROCCAFRANCA"/>
    <m/>
    <s v="ssvbpc@tin.it"/>
    <s v="AGRITURISMO TORRAIMUNI - CASTELRAIMONDO"/>
  </r>
  <r>
    <x v="0"/>
    <s v="AGRITURISMO VAL PIETRO"/>
    <s v="localita' san lorenzo in torre 21"/>
    <x v="80"/>
    <s v="URBANIA"/>
    <m/>
    <m/>
    <s v="AGRITURISMO VAL PIETRO - URBANIA"/>
  </r>
  <r>
    <x v="0"/>
    <s v="AGRITURISMO VILLA BEATRICE"/>
    <s v="contrada piano san michele al fiume 4"/>
    <x v="39"/>
    <s v="MONDAVIO"/>
    <s v="www.villabeatrice.eu"/>
    <s v="info@villabeatrice.eu"/>
    <s v="AGRITURISMO VILLA BEATRICE - MONDAVIO"/>
  </r>
  <r>
    <x v="0"/>
    <s v="AGRITURISMO VILLA BUSSOLA"/>
    <s v="contrada pagliare 17"/>
    <x v="150"/>
    <s v="MONSAMPOLO DEL TRONTO"/>
    <m/>
    <s v="info@villabussola.com"/>
    <s v="AGRITURISMO VILLA BUSSOLA - MONSAMPOLO DEL TRONTO"/>
  </r>
  <r>
    <x v="0"/>
    <s v="AGRITURISMO VILLA CENTOFINESTRE"/>
    <s v="via Centofinestre 8"/>
    <x v="36"/>
    <s v="FILOTTRANO"/>
    <s v="www.villacentofinestre.com"/>
    <s v="info@villacentofinestre.com"/>
    <s v="AGRITURISMO VILLA CENTOFINESTRE - FILOTTRANO"/>
  </r>
  <r>
    <x v="0"/>
    <s v="AGRITURISMO VILLA CICCHI"/>
    <s v="via Salaria 137"/>
    <x v="151"/>
    <s v="ASCOLI PICENO"/>
    <s v="www.villacicchi.it"/>
    <s v="info@villacicchi.it"/>
    <s v="AGRITURISMO VILLA CICCHI - ASCOLI PICENO"/>
  </r>
  <r>
    <x v="0"/>
    <s v="AGRITURISMO VILLA FURLO"/>
    <s v="loc. Pagino 100"/>
    <x v="152"/>
    <m/>
    <s v="www.agriturismovillafurlo.it"/>
    <s v="info@agriturismovillafurlo.it"/>
    <s v="AGRITURISMO VILLA FURLO - FERMIGNANO"/>
  </r>
  <r>
    <x v="0"/>
    <s v="AGRITURISMO VILLA LE VIGNE di SAPUTI ALVARO"/>
    <s v="contrada appezzana 80"/>
    <x v="27"/>
    <s v="LORO PICENO"/>
    <s v="www.agriturismovillalevigne.it"/>
    <s v="info@saputi.it"/>
    <s v="AGRITURISMO VILLA LE VIGNE di SAPUTI ALVARO - LORO PICENO"/>
  </r>
  <r>
    <x v="0"/>
    <s v="AGRITURISMO VILLA NINETTA"/>
    <s v="C.da San Pietro 4"/>
    <x v="90"/>
    <m/>
    <s v="www.villaninetta.com"/>
    <s v="agriturismovillaninetta@gmail.com"/>
    <s v="AGRITURISMO VILLA NINETTA - CALDAROLA"/>
  </r>
  <r>
    <x v="0"/>
    <s v="AGRITURISMO VILLA TI AMO"/>
    <s v="contrada Bartolotti  16"/>
    <x v="128"/>
    <m/>
    <s v="www.villatiamo.nl"/>
    <s v="villatiamo@live.nl"/>
    <s v="AGRITURISMO VILLA TI AMO - GUALDO"/>
  </r>
  <r>
    <x v="0"/>
    <s v="AGRITURISMO VILLA VALENTE"/>
    <s v="Contrada Pierdominici 49"/>
    <x v="113"/>
    <s v="PENNA SAN GIOVANNI"/>
    <s v="www.villavalente.com"/>
    <s v="ron.favrin@gmail.com"/>
    <s v="AGRITURISMO VILLA VALENTE - PENNA SAN GIOVANNI"/>
  </r>
  <r>
    <x v="0"/>
    <s v="AGRITURISMO VILLA VIOLA"/>
    <s v="c.da Durano 12"/>
    <x v="63"/>
    <m/>
    <m/>
    <m/>
    <s v="AGRITURISMO VILLA VIOLA - SMERILLO"/>
  </r>
  <r>
    <x v="0"/>
    <s v="AGRITURISMO VILLA VITTORIA"/>
    <s v="loc. Colleregnone  8"/>
    <x v="153"/>
    <s v="MONTEMONACO"/>
    <m/>
    <m/>
    <s v="AGRITURISMO VILLA VITTORIA - MONTEMONACO"/>
  </r>
  <r>
    <x v="0"/>
    <s v="AGRITURISMO XIX SECOLO"/>
    <s v="localita' Serraspinosa 19"/>
    <x v="91"/>
    <s v="PERGOLA"/>
    <m/>
    <s v="laurac1986@hotmail.it"/>
    <s v="AGRITURISMO XIX SECOLO - PERGOLA"/>
  </r>
  <r>
    <x v="0"/>
    <s v="AGRITURISMO ZUCCHERA"/>
    <s v="C.da Sant'Angelo 74"/>
    <x v="82"/>
    <s v="CASTIGNANO"/>
    <m/>
    <s v="agrizucchera@gmail.com"/>
    <s v="AGRITURISMO ZUCCHERA - CASTIGNANO"/>
  </r>
  <r>
    <x v="0"/>
    <s v="AGRITURIST LA FONTE"/>
    <s v="Via Farneto 20"/>
    <x v="118"/>
    <s v="SERRA DE' CONTI"/>
    <s v="www.agrituristlafonte.it"/>
    <s v="lafonte@agrituristlafonte.it"/>
    <s v="AGRITURIST LA FONTE - SERRA DE' CONTI"/>
  </r>
  <r>
    <x v="0"/>
    <s v="AGRITURIST L'ULIVO"/>
    <s v="via Valliscie 9b"/>
    <x v="119"/>
    <m/>
    <m/>
    <s v="agrituristlulivo@hotmail.it"/>
    <s v="AGRITURIST L'ULIVO - TRECASTELLI"/>
  </r>
  <r>
    <x v="3"/>
    <s v="AI 2 GELSI"/>
    <s v="c.da Ciafone 17"/>
    <x v="30"/>
    <m/>
    <m/>
    <m/>
    <s v="AI 2 GELSI - OFFIDA"/>
  </r>
  <r>
    <x v="0"/>
    <s v="AI RANGHI"/>
    <s v="via Ranghi 1"/>
    <x v="144"/>
    <s v="Castelraimondo"/>
    <m/>
    <s v="albertoroversi2@virgilio.it"/>
    <s v="AI RANGHI - CASTELRAIMONDO"/>
  </r>
  <r>
    <x v="7"/>
    <s v="AIA D'ALTO"/>
    <s v="FRAZIONE MELANO 38/a"/>
    <x v="21"/>
    <m/>
    <s v="www.aiadalto.it"/>
    <s v="info@aiadalto.it"/>
    <s v="AIA D'ALTO - FABRIANO"/>
  </r>
  <r>
    <x v="5"/>
    <s v="AIRIS B&amp;B"/>
    <s v="VIA MARCO POLO 54/B"/>
    <x v="17"/>
    <s v="CIVITANOVA MARCHE"/>
    <m/>
    <s v="airis.bnb@gmail.com"/>
    <s v="AIRIS B&amp;B - CIVITANOVA MARCHE"/>
  </r>
  <r>
    <x v="8"/>
    <s v="AIRONE COUNTRY HOUSE"/>
    <s v="frazione Pianello 6"/>
    <x v="112"/>
    <s v="GENGA"/>
    <s v="www.aironebb.it"/>
    <s v="info@aironebb.it"/>
    <s v="AIRONE COUNTRY HOUSE - GENGA"/>
  </r>
  <r>
    <x v="8"/>
    <s v="AIRONE COUNTRY HOUSE"/>
    <s v="via chiaravallese 154"/>
    <x v="44"/>
    <s v="OSIMO"/>
    <s v="www.aironecountryhouse.it"/>
    <s v="info@aironecountryhouse.it"/>
    <s v="AIRONE COUNTRY HOUSE - OSIMO"/>
  </r>
  <r>
    <x v="7"/>
    <s v="AIUDI ALBERTO"/>
    <s v="Via Gorizia 11"/>
    <x v="33"/>
    <s v="FANO"/>
    <m/>
    <s v="aiudisnc@libero.it"/>
    <s v="AIUDI ALBERTO - FANO"/>
  </r>
  <r>
    <x v="7"/>
    <s v="AKIKO GOTO"/>
    <s v="contrada Zazza  15,16"/>
    <x v="128"/>
    <m/>
    <m/>
    <s v="g_everett@pacifici.net.sg"/>
    <s v="AKIKO GOTO - GUALDO"/>
  </r>
  <r>
    <x v="1"/>
    <s v="AL BELVEDERE"/>
    <s v="piazza Vittorio Emanuele II 3"/>
    <x v="154"/>
    <s v="AGUGLIANO"/>
    <s v="www.hotelalbelvedere.it"/>
    <s v="info@hotelalbelvedere.it"/>
    <s v="AL BELVEDERE - AGUGLIANO"/>
  </r>
  <r>
    <x v="3"/>
    <s v="AL BORGO"/>
    <s v="via Mancini 36"/>
    <x v="155"/>
    <s v="GRADARA"/>
    <s v="www.affittacameregradara.com"/>
    <s v="luisa@gradara.com"/>
    <s v="AL BORGO - GRADARA"/>
  </r>
  <r>
    <x v="8"/>
    <s v="AL CASALE DI MORRO"/>
    <s v="contrada Lamaticci 25"/>
    <x v="141"/>
    <s v="MORROVALLE"/>
    <s v="www.alcasaledimorro.it"/>
    <s v="info@alcasaledimorro.it"/>
    <s v="AL CASALE DI MORRO - MORROVALLE"/>
  </r>
  <r>
    <x v="1"/>
    <s v="AL CASOLARE"/>
    <s v="via Corinaldese 6"/>
    <x v="60"/>
    <s v="CORINALDO"/>
    <s v="www.alcasolare.it"/>
    <s v="info@alcasolare.it"/>
    <s v="AL CASOLARE - CORINALDO"/>
  </r>
  <r>
    <x v="3"/>
    <s v="AL CASTELLO"/>
    <s v="via Cesare Battisti 32"/>
    <x v="57"/>
    <m/>
    <s v="www.alcastello-tavullia.it"/>
    <s v="zgiulia.castello@gmail.com"/>
    <s v="AL CASTELLO - TAVULLIA"/>
  </r>
  <r>
    <x v="0"/>
    <s v="AL COLLE"/>
    <s v="fraz. Colle Aprico 82"/>
    <x v="18"/>
    <s v="COLLE APRICO"/>
    <m/>
    <s v="al.colle@email.it"/>
    <s v="AL COLLE - ARCEVIA"/>
  </r>
  <r>
    <x v="5"/>
    <s v="AL COLLE SAN GIOVANNI"/>
    <s v="strada comunale di montegiove 104"/>
    <x v="33"/>
    <s v="FANO"/>
    <m/>
    <s v="serefabiani@libero.it"/>
    <s v="AL COLLE SAN GIOVANNI - FANO"/>
  </r>
  <r>
    <x v="0"/>
    <s v="AL FIUME"/>
    <s v="strada Fonte Carra' 26"/>
    <x v="156"/>
    <s v="GROTTAZZOLINA"/>
    <s v="www.alfiume.it"/>
    <s v="info@alfiume.it"/>
    <s v="AL FIUME - GROTTAZZOLINA"/>
  </r>
  <r>
    <x v="5"/>
    <s v="AL GIRASOLE B&amp;B"/>
    <s v="via Stefano Tomani Amiani 33"/>
    <x v="33"/>
    <s v="FANO"/>
    <s v="www.bbgirasolefano.it"/>
    <s v="algirasolebandb@libero.it"/>
    <s v="AL GIRASOLE B&amp;B - FANO"/>
  </r>
  <r>
    <x v="1"/>
    <s v="AL KAPRIOL"/>
    <s v="frazione Forca Canapine 4"/>
    <x v="157"/>
    <s v="FORCA CANAPINE"/>
    <s v="www.laterradellemeraviglie.it"/>
    <s v="info@laterradellemeraviglie.it"/>
    <s v="AL KAPRIOL - ARQUATA DEL TRONTO"/>
  </r>
  <r>
    <x v="1"/>
    <s v="AL LAGO"/>
    <s v="parrocchia cattedrale 124"/>
    <x v="85"/>
    <s v="FOSSOMBRONE"/>
    <s v="albergoristoranteallago.com"/>
    <s v="info@albergoristoranteallago.com"/>
    <s v="AL LAGO - FOSSOMBRONE"/>
  </r>
  <r>
    <x v="0"/>
    <s v="AL MANDORLO"/>
    <s v="via tomba 57"/>
    <x v="125"/>
    <s v="SERRUNGARINA"/>
    <m/>
    <m/>
    <s v="AL MANDORLO - SERRUNGARINA"/>
  </r>
  <r>
    <x v="5"/>
    <s v="AL MAR"/>
    <s v="Via Pasubio 22"/>
    <x v="17"/>
    <s v="CIVITANOVA MARCHE"/>
    <m/>
    <s v="antonellilaura15@gmail.com"/>
    <s v="AL MAR - CIVITANOVA MARCHE"/>
  </r>
  <r>
    <x v="8"/>
    <s v="AL MASSIMO COUNTRY HOUSE"/>
    <s v="Contrada Santa Maria 23"/>
    <x v="158"/>
    <s v="ROSORA"/>
    <m/>
    <s v="almassimo@email.it"/>
    <s v="AL MASSIMO COUNTRY HOUSE - ROSORA"/>
  </r>
  <r>
    <x v="5"/>
    <s v="AL NOCE BIANCO"/>
    <s v="CA' DONDO 44"/>
    <x v="1"/>
    <s v="SAN DONATO"/>
    <s v="www.alnocebianco.it"/>
    <s v="cesane@libero.it"/>
    <s v="AL NOCE BIANCO - URBINO"/>
  </r>
  <r>
    <x v="5"/>
    <s v="AL PERGOLESI"/>
    <s v="via Mura Orientali 8"/>
    <x v="4"/>
    <m/>
    <s v="www.alpergolesi.it"/>
    <s v="alpergolesi@gmail.com"/>
    <s v="AL PERGOLESI - JESI"/>
  </r>
  <r>
    <x v="0"/>
    <s v="AL RESPIRO NEL BOSCO"/>
    <s v="Contrada Colvenale 10"/>
    <x v="159"/>
    <s v="CAMPOROTONDO DI FIASTRONE"/>
    <s v="www.alrespironelbosco.it"/>
    <s v="lucaematilde@alrespironelbosco.it"/>
    <s v="AL RESPIRO NEL BOSCO - CAMPOROTONDO DI FIASTRONE"/>
  </r>
  <r>
    <x v="3"/>
    <s v="AL TORRONE"/>
    <s v="localita' serralta 45"/>
    <x v="2"/>
    <s v="SAN SEVERINO MARCHE"/>
    <s v="www.altorrone.it"/>
    <s v="info@altorrone.it"/>
    <s v="AL TORRONE - SAN SEVERINO MARCHE"/>
  </r>
  <r>
    <x v="3"/>
    <s v="AL VECCHIO ROTONE"/>
    <s v="via della Chiusa 3"/>
    <x v="160"/>
    <s v="MAIOLATI SPONTINI"/>
    <s v="www.alvecchiorotone.it"/>
    <s v="info@alvecchiorotone.it"/>
    <s v="AL VECCHIO ROTONE - MAIOLATI SPONTINI"/>
  </r>
  <r>
    <x v="5"/>
    <s v="AL VICOLETTO"/>
    <s v="M.CAPPONI 17"/>
    <x v="161"/>
    <m/>
    <m/>
    <s v="aritarinaldi@live.com"/>
    <s v="AL VICOLETTO - CUPRAMONTANA"/>
  </r>
  <r>
    <x v="1"/>
    <s v="ALBA"/>
    <s v="via Vittorio Veneto 15"/>
    <x v="28"/>
    <s v="GABICCE MARE"/>
    <s v="www.hotel-alba.it"/>
    <s v="info@hotel-alba.it"/>
    <s v="ALBA - GABICCE MARE"/>
  </r>
  <r>
    <x v="4"/>
    <s v="ALBA CHIARA"/>
    <s v="viale Rinascimento 32"/>
    <x v="12"/>
    <m/>
    <m/>
    <m/>
    <s v="ALBA CHIARA - SAN BENEDETTO DEL TRONTO"/>
  </r>
  <r>
    <x v="4"/>
    <s v="ALBA CHIARA"/>
    <m/>
    <x v="47"/>
    <s v="PORTO SAN GIORGIO"/>
    <s v="scoglio1@libero.it"/>
    <m/>
    <s v="ALBA CHIARA - PORTO SAN GIORGIO"/>
  </r>
  <r>
    <x v="1"/>
    <s v="ALBERGO 2000"/>
    <s v="via veneto 1"/>
    <x v="162"/>
    <s v="MONSANO"/>
    <s v="www.albergo2000.it"/>
    <s v="info@albergo2000.it"/>
    <s v="ALBERGO 2000 - MONSANO"/>
  </r>
  <r>
    <x v="1"/>
    <s v="ALBERGO ANTICO FURLO"/>
    <s v="via Flaminia 66"/>
    <x v="86"/>
    <s v="ACQUALAGNA"/>
    <s v="www.anticofurlo.it"/>
    <s v="info@anticofurlo.it"/>
    <s v="ALBERGO ANTICO FURLO - ACQUALAGNA"/>
  </r>
  <r>
    <x v="1"/>
    <s v="ALBERGO BELVEDERE"/>
    <s v="via belvedere 1"/>
    <x v="163"/>
    <s v="PORTO SANT' ELPIDIO"/>
    <s v="www.hotelbelvederepse.it"/>
    <s v="info@hotelbelvederepse.it"/>
    <s v="ALBERGO BELVEDERE - PORTO SANT'ELPIDIO"/>
  </r>
  <r>
    <x v="1"/>
    <s v="ALBERGO BICE DEPENDANCE"/>
    <s v="viale giacomo leopardi 105"/>
    <x v="16"/>
    <s v="SENIGALLIA"/>
    <s v="www.albergobice.it"/>
    <s v="info@albergobice.it"/>
    <s v="ALBERGO BICE DEPENDANCE - SENIGALLIA"/>
  </r>
  <r>
    <x v="1"/>
    <s v="ALBERGO CANTARINI"/>
    <s v="via Litoranea 90"/>
    <x v="9"/>
    <s v="NUMANA"/>
    <s v="www.albergocantarini.com"/>
    <s v="albergocantarini@gmail.com"/>
    <s v="ALBERGO CANTARINI - NUMANA"/>
  </r>
  <r>
    <x v="1"/>
    <s v="ALBERGO CANTIANI"/>
    <s v="via Lorenzo Lotto 22"/>
    <x v="10"/>
    <s v="ANCONA"/>
    <m/>
    <s v="albergocantiani@alice.it"/>
    <s v="ALBERGO CANTIANI - ANCONA"/>
  </r>
  <r>
    <x v="1"/>
    <s v="ALBERGO CASETTA"/>
    <s v="localita' Rancaliccio 82"/>
    <x v="164"/>
    <s v="MONTECOPIOLO"/>
    <s v="www.albergocasetta.it"/>
    <s v="info@albergocasetta.it"/>
    <s v="ALBERGO CASETTA - MONTECOPIOLO"/>
  </r>
  <r>
    <x v="1"/>
    <s v="ALBERGO CENTRALE"/>
    <s v="piazza A.Gentili 10"/>
    <x v="132"/>
    <s v="SAN GINESIO"/>
    <s v="www.albergocentralesanginesio.com"/>
    <s v="info@albergocentralesanginesio.com"/>
    <s v="ALBERGO CENTRALE - SAN GINESIO"/>
  </r>
  <r>
    <x v="4"/>
    <s v="ALBERGO DEL SOLE - BAGNI N° 90"/>
    <s v="lungomare alighieri 100 100"/>
    <x v="16"/>
    <s v="SENIGALLIA"/>
    <m/>
    <m/>
    <s v="ALBERGO DEL SOLE - BAGNI N° 90 - SENIGALLIA"/>
  </r>
  <r>
    <x v="1"/>
    <s v="ALBERGO DELLA STREGA"/>
    <s v="loc.Valdomo 9"/>
    <x v="46"/>
    <s v="LOCALITA' VALDOMO"/>
    <s v="www.albergodellastrega.it"/>
    <s v="info@albergodellastrega.it"/>
    <s v="ALBERGO DELLA STREGA - SASSOFERRATO"/>
  </r>
  <r>
    <x v="1"/>
    <s v="ALBERGO DOMUS MARIAE"/>
    <s v="viale Ezio Scaglioni 17"/>
    <x v="86"/>
    <s v="ACQUALAGNA"/>
    <m/>
    <s v="giulianaspini@gmail.com"/>
    <s v="ALBERGO DOMUS MARIAE - ACQUALAGNA"/>
  </r>
  <r>
    <x v="1"/>
    <s v="ALBERGO ELENA"/>
    <s v="via Carlo Goldoni 22"/>
    <x v="16"/>
    <s v="SENIGALLIA"/>
    <s v="www.hotelelena.net"/>
    <s v="info@hotelelena.net"/>
    <s v="ALBERGO ELENA - SENIGALLIA"/>
  </r>
  <r>
    <x v="1"/>
    <s v="ALBERGO ESTER"/>
    <s v="corso Giovanni XXIII 54/56"/>
    <x v="78"/>
    <s v="PIANDIMELETO"/>
    <s v="www.albergoester.it"/>
    <s v="info@albergoester.it"/>
    <s v="ALBERGO ESTER - PIANDIMELETO"/>
  </r>
  <r>
    <x v="1"/>
    <s v="ALBERGO EURO"/>
    <s v="via delle Brecce 25"/>
    <x v="33"/>
    <s v="FANO"/>
    <s v="www.campingmadonnaponte.it"/>
    <s v="info@campingmadonnaponte.it"/>
    <s v="ALBERGO EURO - FANO"/>
  </r>
  <r>
    <x v="1"/>
    <s v="ALBERGO EVEREST MEUBLE' GARNI"/>
    <s v="via Enrico Filiberto 2"/>
    <x v="28"/>
    <s v="GABICCE MARE"/>
    <s v="www.hotel-everest.com"/>
    <s v="heverest@libero.it"/>
    <s v="ALBERGO EVEREST MEUBLE' GARNI - GABICCE MARE"/>
  </r>
  <r>
    <x v="1"/>
    <s v="ALBERGO GIOVANNI XXIII"/>
    <s v="piazza Carlo Sertori 6"/>
    <x v="15"/>
    <s v="LORETO"/>
    <m/>
    <s v="m.alfieri95@gmail.com"/>
    <s v="ALBERGO GIOVANNI XXIII - LORETO"/>
  </r>
  <r>
    <x v="1"/>
    <s v="ALBERGO I CORDELLI"/>
    <s v="via Cordelli 38"/>
    <x v="24"/>
    <s v="frazione Chiaserna"/>
    <m/>
    <s v="valerio@lamacina.it"/>
    <s v="ALBERGO I CORDELLI - CANTIANO"/>
  </r>
  <r>
    <x v="1"/>
    <s v="ALBERGO ITALIA"/>
    <s v="viale Trieste 28"/>
    <x v="4"/>
    <s v="JESI"/>
    <m/>
    <m/>
    <s v="ALBERGO ITALIA - JESI"/>
  </r>
  <r>
    <x v="1"/>
    <s v="ALBERGO LA PALOMBA"/>
    <s v="borgo Gramsci 13"/>
    <x v="39"/>
    <s v="MONDAVIO"/>
    <s v="www.lapalomba.it"/>
    <s v="info@lapalomba.it"/>
    <s v="ALBERGO LA PALOMBA - MONDAVIO"/>
  </r>
  <r>
    <x v="1"/>
    <s v="ALBERGO LA TERRAZZA"/>
    <s v="via Castelfidardo 2"/>
    <x v="47"/>
    <s v="PORTO SAN GIORGIO"/>
    <s v="www.hotelterrazza.com"/>
    <s v="info@hotelterrazza.com"/>
    <s v="ALBERGO LA TERRAZZA - PORTO SAN GIORGIO"/>
  </r>
  <r>
    <x v="1"/>
    <s v="ALBERGO LA VECCHIA FORNACE"/>
    <s v="piazza Salvo d'Acquisto 5"/>
    <x v="102"/>
    <s v="MONTE URANO"/>
    <s v="www.lavecchiafornace.net"/>
    <s v="allavecchiafornace@hotmail.it"/>
    <s v="ALBERGO LA VECCHIA FORNACE - MONTE URANO"/>
  </r>
  <r>
    <x v="1"/>
    <s v="ALBERGO MADONNA DI LORETO - CASA DEL CLERO"/>
    <s v="via francesco asdrubali 104"/>
    <x v="15"/>
    <s v="LORETO"/>
    <s v="www.santuarioloreto.it"/>
    <s v="madonnadiloreto@delegazioneloreto.it"/>
    <s v="ALBERGO MADONNA DI LORETO - CASA DEL CLERO - LORETO"/>
  </r>
  <r>
    <x v="1"/>
    <s v="ALBERGO METAURO"/>
    <s v="viale piceno 178"/>
    <x v="33"/>
    <s v="FANO"/>
    <m/>
    <s v="albemetauro@libero.it"/>
    <s v="ALBERGO METAURO - FANO"/>
  </r>
  <r>
    <x v="1"/>
    <s v="ALBERGO MEUBLE' SHINE"/>
    <s v="via aldo gamba 54"/>
    <x v="86"/>
    <s v="ACQUALAGNA"/>
    <m/>
    <m/>
    <s v="ALBERGO MEUBLE' SHINE - ACQUALAGNA"/>
  </r>
  <r>
    <x v="1"/>
    <s v="ALBERGO MEUBLE' VILLA FASTIGGI"/>
    <s v="via Brigata Garibaldi 1"/>
    <x v="69"/>
    <s v="PESARO"/>
    <m/>
    <s v="albergo.villafastiggi@gmail.com"/>
    <s v="ALBERGO MEUBLE' VILLA FASTIGGI - PESARO"/>
  </r>
  <r>
    <x v="1"/>
    <s v="ALBERGO OASI SAN BENEDETTO"/>
    <s v="via dell'Abbazia 7"/>
    <x v="61"/>
    <s v="LAMOLI"/>
    <m/>
    <s v="coloriappennino@libero.it"/>
    <s v="ALBERGO OASI SAN BENEDETTO - BORGO PACE"/>
  </r>
  <r>
    <x v="1"/>
    <s v="ALBERGO RAFFAELLO"/>
    <s v="via Santa Margherita 38"/>
    <x v="1"/>
    <s v="URBINO"/>
    <s v="www.albergoraffaello.com"/>
    <s v="info@albergoraffaello.com"/>
    <s v="ALBERGO RAFFAELLO - URBINO"/>
  </r>
  <r>
    <x v="1"/>
    <s v="ALBERGO RISTORANTE BALCONE SUL METAURO"/>
    <s v="via Alessandro Manzoni 20"/>
    <x v="147"/>
    <s v="PEGLIO"/>
    <s v="www.balconesulmetauro.com"/>
    <s v="balconesulmetauro@tin.it"/>
    <s v="ALBERGO RISTORANTE BALCONE SUL METAURO - PEGLIO"/>
  </r>
  <r>
    <x v="1"/>
    <s v="ALBERGO RISTORANTE BAR DA LORE'"/>
    <s v="via Nazionale 34"/>
    <x v="93"/>
    <s v="SERRAPETRONA"/>
    <m/>
    <s v="gionat.ma@tiscali.it"/>
    <s v="ALBERGO RISTORANTE BAR DA LORE' - SERRAPETRONA"/>
  </r>
  <r>
    <x v="1"/>
    <s v="ALBERGO RISTORANTE BAR FARFENSE"/>
    <s v="corso Matteotti 41"/>
    <x v="165"/>
    <s v="SANTA VITTORIA IN MATENANO"/>
    <m/>
    <s v="hotel_farfense@libero.it"/>
    <s v="ALBERGO RISTORANTE BAR FARFENSE - SANTA VITTORIA IN MATENANO"/>
  </r>
  <r>
    <x v="1"/>
    <s v="ALBERGO RISTORANTE ELVIRA"/>
    <s v="via Borgo San Paolo 41"/>
    <x v="105"/>
    <s v="COSSIGNANO"/>
    <m/>
    <s v="giovannix@libero.it"/>
    <s v="ALBERGO RISTORANTE ELVIRA - COSSIGNANO"/>
  </r>
  <r>
    <x v="1"/>
    <s v="ALBERGO RISTORANTE IL GIARDINO"/>
    <s v="viale della Vittoria 7"/>
    <x v="48"/>
    <s v="PIORACO"/>
    <s v="http://www.hotel-ilgiardino.com/"/>
    <s v="ilgiardinodipioraco@libero.it"/>
    <s v="ALBERGO RISTORANTE IL GIARDINO - PIORACO"/>
  </r>
  <r>
    <x v="1"/>
    <s v="ALBERGO RISTORANTE MILANO ***"/>
    <s v="via Roma 13"/>
    <x v="6"/>
    <s v="TOLENTINO"/>
    <s v="www.hotelmilanotolentino.it"/>
    <s v="info@hotelmilanotolentino.it"/>
    <s v="ALBERGO RISTORANTE MILANO *** - TOLENTINO"/>
  </r>
  <r>
    <x v="1"/>
    <s v="ALBERGO RISTORANTE PASSERO SOLITARIO"/>
    <s v="via gherarducci 6"/>
    <x v="56"/>
    <s v="RECANATI"/>
    <m/>
    <s v="passero.solitario@yahoo.it"/>
    <s v="ALBERGO RISTORANTE PASSERO SOLITARIO - RECANATI"/>
  </r>
  <r>
    <x v="1"/>
    <s v="ALBERGO RISTORANTE PAZZI"/>
    <s v="via Laurenzi 10"/>
    <x v="98"/>
    <s v="MONTERUBBIANO"/>
    <m/>
    <m/>
    <s v="ALBERGO RISTORANTE PAZZI - MONTERUBBIANO"/>
  </r>
  <r>
    <x v="1"/>
    <s v="ALBERGO RISTORANTE SCIBAR LA BAITA"/>
    <s v="via Circonvallazione 2"/>
    <x v="164"/>
    <s v="MONTECOPIOLO"/>
    <s v="www.scibarlabaita.it"/>
    <s v="info@scibarlabaita.it"/>
    <s v="ALBERGO RISTORANTE SCIBAR LA BAITA - MONTECOPIOLO"/>
  </r>
  <r>
    <x v="1"/>
    <s v="ALBERGO RISTORANTE TERME"/>
    <s v="piazza Terme 20"/>
    <x v="35"/>
    <s v="ACQUASANTA TERME"/>
    <s v="www.albergoterme.it"/>
    <s v="info@albergoterme.it"/>
    <s v="ALBERGO RISTORANTE TERME - ACQUASANTA TERME"/>
  </r>
  <r>
    <x v="1"/>
    <s v="ALBERGO SANT'EMIDIO"/>
    <s v="via Minucia 10"/>
    <x v="151"/>
    <s v="ASCOLI PICENO"/>
    <s v="www.albergosantemidio.it"/>
    <s v="info@albergosantemidio.it"/>
    <s v="ALBERGO SANT'EMIDIO - ASCOLI PICENO"/>
  </r>
  <r>
    <x v="1"/>
    <s v="ALBERGO SASSO BIANCO"/>
    <s v="via Madonna Sasso Bianco  5"/>
    <x v="74"/>
    <s v="FIASTRA"/>
    <s v="www.albergosassobianco.com"/>
    <s v="info@albergosassobianco.com"/>
    <s v="ALBERGO SASSO BIANCO - FIASTRA"/>
  </r>
  <r>
    <x v="1"/>
    <s v="ALBERGO SHANTI HOUSE DAL MAGO"/>
    <s v="fosso Roberti 1"/>
    <x v="166"/>
    <s v="MORRO D' ALBA"/>
    <s v="www.shantihousedalmago.com"/>
    <s v="info@shantihousedalmago.com"/>
    <s v="ALBERGO SHANTI HOUSE DAL MAGO - MORRO D'ALBA"/>
  </r>
  <r>
    <x v="1"/>
    <s v="ALBERGO SORAYA"/>
    <s v="viale Rinascimento 31"/>
    <x v="12"/>
    <s v="SAN BENEDETTO DEL TRONTO"/>
    <s v="www.albergosoraya.it"/>
    <s v="info@albergosoraya.it"/>
    <s v="ALBERGO SORAYA - SAN BENEDETTO DEL TRONTO"/>
  </r>
  <r>
    <x v="1"/>
    <s v="ALBERGO STROLOGO"/>
    <s v="via Guasto 89"/>
    <x v="167"/>
    <s v="CAMERANO"/>
    <m/>
    <s v="trattoriastrologo@alice.it"/>
    <s v="ALBERGO STROLOGO - CAMERANO"/>
  </r>
  <r>
    <x v="1"/>
    <s v="ALBERGO-RISTORANTE DESIREE"/>
    <s v="via alessandro volta 125"/>
    <x v="12"/>
    <s v="SAN BENEDETTO DEL TRONTO"/>
    <s v="www.hoteldesireesbt.it"/>
    <s v="info@hoteldesireesbt.it"/>
    <s v="ALBERGO-RISTORANTE DESIREE - SAN BENEDETTO DEL TRONTO"/>
  </r>
  <r>
    <x v="4"/>
    <s v="ALBINA"/>
    <m/>
    <x v="10"/>
    <s v="palombina nuova"/>
    <s v="stabilimentoalbina@libero.it"/>
    <m/>
    <s v="ALBINA - ANCONA"/>
  </r>
  <r>
    <x v="7"/>
    <s v="ALESSANDRINI DANIELE"/>
    <s v="via A. Cappellini 60/a"/>
    <x v="33"/>
    <m/>
    <m/>
    <s v="le_roby@hotmail.it"/>
    <s v="ALESSANDRINI DANIELE - FANO"/>
  </r>
  <r>
    <x v="7"/>
    <s v="ALESSANDRINI MANUELA"/>
    <s v="via Cappellini 60"/>
    <x v="33"/>
    <m/>
    <m/>
    <s v="le_roby@hotmail.it"/>
    <s v="ALESSANDRINI MANUELA - FANO"/>
  </r>
  <r>
    <x v="1"/>
    <s v="ALEXANDER"/>
    <s v="via Panoramica 35"/>
    <x v="28"/>
    <s v="GABICCE MARE"/>
    <s v="www.alexanderhotel.it"/>
    <s v="info@alexanderhotel.it"/>
    <s v="ALEXANDER - GABICCE MARE"/>
  </r>
  <r>
    <x v="1"/>
    <s v="ALEXANDER MUSEUM PALACE HOTEL"/>
    <s v="viale trieste 20"/>
    <x v="69"/>
    <s v="PESARO"/>
    <s v="www.alexandermuseum.it"/>
    <s v="alexander@viphotels.it"/>
    <s v="ALEXANDER MUSEUM PALACE HOTEL - PESARO"/>
  </r>
  <r>
    <x v="7"/>
    <s v="ALEXANDRA HOFMEISTER"/>
    <s v="via Castellaro 18"/>
    <x v="53"/>
    <m/>
    <m/>
    <s v="babsi.hofmeister@web.de"/>
    <s v="ALEXANDRA HOFMEISTER - MERGO"/>
  </r>
  <r>
    <x v="7"/>
    <s v="ALFONSI STEFANIA"/>
    <s v="Via Ariosto 5"/>
    <x v="16"/>
    <s v="SENIGALLIA"/>
    <m/>
    <s v="fiorettileonardo@libero.it"/>
    <s v="ALFONSI STEFANIA - SENIGALLIA"/>
  </r>
  <r>
    <x v="7"/>
    <s v="ALFONSO VETRI BURATTI"/>
    <m/>
    <x v="153"/>
    <s v="frazione Altino"/>
    <m/>
    <s v="alfonsovetriburatti@gmail.com"/>
    <s v="ALFONSO VETRI BURATTI - MONTEMONACO"/>
  </r>
  <r>
    <x v="7"/>
    <s v="ALFREDO BOCCACCINI"/>
    <s v="Contrada Tergi 56"/>
    <x v="148"/>
    <s v="POTENZA PICENA"/>
    <m/>
    <m/>
    <s v="ALFREDO BOCCACCINI - POTENZA PICENA"/>
  </r>
  <r>
    <x v="5"/>
    <s v="ALLA BIGATTIERA"/>
    <s v="Via Montefanese 161"/>
    <x v="44"/>
    <s v="PASSATEMPO"/>
    <m/>
    <s v="allabigattiera@gmail.com"/>
    <s v="ALLA BIGATTIERA - OSIMO"/>
  </r>
  <r>
    <x v="0"/>
    <s v="ALLA CORTE DI CAROLINA"/>
    <s v="c.da Colle 5/6"/>
    <x v="97"/>
    <s v="MONTE GIBERTO"/>
    <s v="www.allacortedicarolina.com"/>
    <s v="info@allacortedicarolina.com"/>
    <s v="ALLA CORTE DI CAROLINA - MONTE GIBERTO"/>
  </r>
  <r>
    <x v="1"/>
    <s v="ALLA LANTERNA"/>
    <s v="strada Nazionale Adriatica Sud 78"/>
    <x v="33"/>
    <s v="FANO"/>
    <s v="www.allalanterna.com"/>
    <s v="info@allalanterna.com"/>
    <s v="ALLA LANTERNA - FANO"/>
  </r>
  <r>
    <x v="3"/>
    <s v="ALLA SCOPERTA DELLE MARCHE"/>
    <s v="via Andrea d'Accorso snc"/>
    <x v="42"/>
    <m/>
    <s v="www.allascopertadellemarche.it"/>
    <s v="sctacchi@libero.it"/>
    <s v="ALLA SCOPERTA DELLE MARCHE - CAMERINO"/>
  </r>
  <r>
    <x v="0"/>
    <s v="ALLA VECCHIA QUERCIA"/>
    <s v="frazione Montajate 26"/>
    <x v="91"/>
    <s v="PERGOLA"/>
    <s v="www.vecchiaquercia.it"/>
    <s v="info@vecchiaquercia.it"/>
    <s v="ALLA VECCHIA QUERCIA - PERGOLA"/>
  </r>
  <r>
    <x v="5"/>
    <s v="ALLE PORTE DELLA CITTA'"/>
    <s v="Via Montedago 37"/>
    <x v="10"/>
    <s v="ANCONA"/>
    <m/>
    <s v="carlotta.salvini@alice.it"/>
    <s v="ALLE PORTE DELLA CITTA' - ANCONA"/>
  </r>
  <r>
    <x v="0"/>
    <s v="ALLOGGIO AGRITURISTICO COLLEVERDE"/>
    <s v="contrada Cozzi 1"/>
    <x v="121"/>
    <s v="APIRO"/>
    <s v="www.agriturismocolleverde.eu"/>
    <s v="paolo.ferrucci@virgilio.it"/>
    <s v="ALLOGGIO AGRITURISTICO COLLEVERDE - APIRO"/>
  </r>
  <r>
    <x v="5"/>
    <s v="ALLOGGIO FIORI D'OLMO"/>
    <s v="Sant'Antonio  38/A"/>
    <x v="8"/>
    <s v="SIROLO"/>
    <s v="www.fioridolmo.it"/>
    <s v="info@fioridolmo.it"/>
    <s v="ALLOGGIO FIORI D'OLMO - SIROLO"/>
  </r>
  <r>
    <x v="5"/>
    <s v="ALLORO MARINO"/>
    <s v="Via Vasco de Gama 164"/>
    <x v="17"/>
    <s v="CIVITANOVA MARCHE"/>
    <m/>
    <s v="alloromarino@gmail.com"/>
    <s v="ALLORO MARINO - CIVITANOVA MARCHE"/>
  </r>
  <r>
    <x v="4"/>
    <s v="ALOHA"/>
    <s v="viale iv novembre 1 1"/>
    <x v="17"/>
    <s v="CIVITANOVA MARCHE"/>
    <s v="balnearealoha@gmail.com"/>
    <m/>
    <s v="ALOHA - CIVITANOVA MARCHE"/>
  </r>
  <r>
    <x v="7"/>
    <s v="ALOISI SERENA"/>
    <s v="via Santa Maria Goretti  6"/>
    <x v="60"/>
    <m/>
    <m/>
    <s v="serealo77@gmail.com"/>
    <s v="ALOISI SERENA - CORINALDO"/>
  </r>
  <r>
    <x v="4"/>
    <s v="ALTA MAREA"/>
    <s v="via Torsten Bergmark  1"/>
    <x v="32"/>
    <s v="CUPRA MARITTIMA"/>
    <s v="maxsportime@libero.it"/>
    <s v="www.chaletaltamarea.com"/>
    <s v="ALTA MAREA - CUPRA MARITTIMA"/>
  </r>
  <r>
    <x v="7"/>
    <s v="ALTAROCCA MARIA CRISTINA"/>
    <s v="VICOLO ANGELINI 1"/>
    <x v="49"/>
    <s v="VISSO"/>
    <m/>
    <m/>
    <s v="ALTAROCCA MARIA CRISTINA - VISSO"/>
  </r>
  <r>
    <x v="4"/>
    <s v="ALTRA MAREA di CORSALETTI DAVIDE E GUIDI GIANLUCA"/>
    <s v="viale cristoforo colombo 1 1"/>
    <x v="20"/>
    <s v="MAROTTA"/>
    <m/>
    <m/>
    <s v="ALTRA MAREA di CORSALETTI DAVIDE E GUIDI GIANLUCA - MONDOLFO"/>
  </r>
  <r>
    <x v="7"/>
    <s v="ALUIGI GIUSI"/>
    <s v="via Frediani 22"/>
    <x v="10"/>
    <s v="ANCONA"/>
    <m/>
    <s v="studiolegalealuigi@libero.it"/>
    <s v="ALUIGI GIUSI - ANCONA"/>
  </r>
  <r>
    <x v="5"/>
    <s v="AMADIO MARY"/>
    <s v="via salaria 92"/>
    <x v="168"/>
    <s v="CASTEL DI LAMA"/>
    <m/>
    <m/>
    <s v="AMADIO MARY - CASTEL DI LAMA"/>
  </r>
  <r>
    <x v="7"/>
    <s v="AMADUZZI GIOVANNA"/>
    <m/>
    <x v="75"/>
    <s v="località Le Pieie Tarugo"/>
    <s v="www.cadeinoci.com"/>
    <s v="bonazelli6@libero.it"/>
    <s v="AMADUZZI GIOVANNA - CAGLI"/>
  </r>
  <r>
    <x v="3"/>
    <s v="AMARANTO'S"/>
    <s v="via Adriatica  28"/>
    <x v="169"/>
    <s v="s.s.16 km 318,60"/>
    <m/>
    <s v="ristorantealbergoamarantos@gmail.com"/>
    <s v="AMARANTO'S - CASTELFIDARDO"/>
  </r>
  <r>
    <x v="3"/>
    <s v="AMARE NUMANA"/>
    <s v="via Colle Piceno 3"/>
    <x v="9"/>
    <s v="Numana - Riviera del Conero"/>
    <s v="www.amarenumana.it"/>
    <s v="info@amarenumana.it"/>
    <s v="AMARE NUMANA - NUMANA"/>
  </r>
  <r>
    <x v="1"/>
    <s v="AMBASCIATORI"/>
    <s v="lungomare Leonardo da Vinci 92"/>
    <x v="16"/>
    <s v="SENIGALLIA"/>
    <s v="www.ambasciatorisenigallia.it"/>
    <s v="info@ambasciatorisenigallia.it"/>
    <s v="AMBASCIATORI - SENIGALLIA"/>
  </r>
  <r>
    <x v="1"/>
    <s v="AMBRA"/>
    <s v="via vittorio veneto 20"/>
    <x v="28"/>
    <s v="GABICCE MARE"/>
    <s v="www.ambrahotel.eu"/>
    <s v="info@ambrahotel.eu"/>
    <s v="AMBRA - GABICCE MARE"/>
  </r>
  <r>
    <x v="7"/>
    <s v="AMBROGI CLAUDIO"/>
    <s v="Piazzale Libertà 12"/>
    <x v="16"/>
    <s v="SENIGALLIA"/>
    <m/>
    <s v="affittiestivi@belenchia.com"/>
    <s v="AMBROGI CLAUDIO - SENIGALLIA"/>
  </r>
  <r>
    <x v="1"/>
    <s v="AMELIA"/>
    <s v="viale cairoli 80"/>
    <x v="33"/>
    <s v="FANO"/>
    <s v="www.hotelamelia.it"/>
    <s v="info@hotelamelia.it"/>
    <s v="AMELIA - FANO"/>
  </r>
  <r>
    <x v="4"/>
    <s v="AMERICO VILLAGE"/>
    <s v="viale Rinascimento 16 16"/>
    <x v="12"/>
    <m/>
    <s v="info@americovillage.com"/>
    <m/>
    <s v="AMERICO VILLAGE - SAN BENEDETTO DEL TRONTO"/>
  </r>
  <r>
    <x v="0"/>
    <s v="AMICO"/>
    <s v="via Serralta 34/c"/>
    <x v="72"/>
    <m/>
    <m/>
    <s v="terreboneagricola@gmail.com"/>
    <s v="AMICO - SERRA SAN QUIRICO"/>
  </r>
  <r>
    <x v="4"/>
    <s v="AMNERIS"/>
    <m/>
    <x v="23"/>
    <m/>
    <m/>
    <m/>
    <s v="AMNERIS - PORTO RECANATI"/>
  </r>
  <r>
    <x v="4"/>
    <s v="AMORINO"/>
    <s v="lungomare gramsci 1 1"/>
    <x v="47"/>
    <s v="PORTO SAN GIORGIO"/>
    <s v="andreabazzani1987@libero.it"/>
    <m/>
    <s v="AMORINO - PORTO SAN GIORGIO"/>
  </r>
  <r>
    <x v="7"/>
    <s v="AMSTERDAM"/>
    <s v="contrada Zazza 22"/>
    <x v="128"/>
    <s v="Gualdo"/>
    <s v="www.villanumoviv.com"/>
    <s v="jeroen@villanumoviv.com; jeroenbults@me.com"/>
    <s v="AMSTERDAM - GUALDO"/>
  </r>
  <r>
    <x v="1"/>
    <s v="ANCORE"/>
    <s v="lungomare Mameli 243"/>
    <x v="16"/>
    <s v="SENIGALLIA"/>
    <s v="www.hotelancore.it"/>
    <s v="info@hotelancore.it"/>
    <s v="ANCORE - SENIGALLIA"/>
  </r>
  <r>
    <x v="7"/>
    <s v="ANDREANI CARLA APP.TO"/>
    <s v="Via Castelfidardo  1"/>
    <x v="99"/>
    <s v="MONTELUPONE"/>
    <m/>
    <s v="carlaandreani@virgilio.it"/>
    <s v="ANDREANI CARLA APP.TO - MONTELUPONE"/>
  </r>
  <r>
    <x v="7"/>
    <s v="ANDRIANI ANNA"/>
    <s v="Via Istria 1"/>
    <x v="16"/>
    <s v="SENIGALLIA"/>
    <m/>
    <s v="affittiestivi@belenchia.com"/>
    <s v="ANDRIANI ANNA - SENIGALLIA"/>
  </r>
  <r>
    <x v="1"/>
    <s v="ANGELA"/>
    <s v="viale Adriatico 13"/>
    <x v="33"/>
    <s v="FANO"/>
    <s v="www.hotelangela.it"/>
    <s v="info@hotelangela.it"/>
    <s v="ANGELA - FANO"/>
  </r>
  <r>
    <x v="3"/>
    <s v="ANGELA CAMERE SIROLO"/>
    <s v="via Del Leccio 2"/>
    <x v="8"/>
    <s v="Sirolo"/>
    <m/>
    <s v="angelacamere@libero.it"/>
    <s v="ANGELA CAMERE SIROLO - SIROLO"/>
  </r>
  <r>
    <x v="7"/>
    <s v="ANGELA PESCI"/>
    <s v="C.da Cardagnano 297"/>
    <x v="11"/>
    <s v="SARNANO"/>
    <m/>
    <s v="angela.psc@gmail.com"/>
    <s v="ANGELA PESCI - SARNANO"/>
  </r>
  <r>
    <x v="7"/>
    <s v="ANGELETTI ANTONELLA"/>
    <s v="Via San Serafino da Montegranaro 53"/>
    <x v="151"/>
    <s v="ASCOLI PICENO"/>
    <m/>
    <s v="antonella.angeletti@libero.it"/>
    <s v="ANGELETTI ANTONELLA - ASCOLI PICENO"/>
  </r>
  <r>
    <x v="7"/>
    <s v="ANGELI AGOSTINO"/>
    <s v="Via Chienti 1"/>
    <x v="20"/>
    <s v="MONDOLFO"/>
    <m/>
    <m/>
    <s v="ANGELI AGOSTINO - MONDOLFO"/>
  </r>
  <r>
    <x v="0"/>
    <s v="ANGELI DI MONTEFIORE"/>
    <s v="contrada Aso 108"/>
    <x v="120"/>
    <s v="MONTEFIORE DELL' ASO"/>
    <s v="www.angeli-di-montefiore.de"/>
    <s v="info@angeli-di-montefiore.de"/>
    <s v="ANGELI DI MONTEFIORE - MONTEFIORE DELL'ASO"/>
  </r>
  <r>
    <x v="3"/>
    <s v="ANGELI INNAMORATI"/>
    <s v="via Tiziano 1"/>
    <x v="170"/>
    <m/>
    <m/>
    <s v="tsara76@gmail.com"/>
    <s v="ANGELI INNAMORATI - MONTECOSARO"/>
  </r>
  <r>
    <x v="3"/>
    <s v="ANGELINA URBAN LODGE"/>
    <s v="via della Pace 36"/>
    <x v="6"/>
    <m/>
    <s v="www.angelina.it/urbanlodge/it"/>
    <s v="info@angelina.it"/>
    <s v="ANGELINA URBAN LODGE - TOLENTINO"/>
  </r>
  <r>
    <x v="7"/>
    <s v="ANGELINI GIULIANA"/>
    <s v="Via Puglie 1"/>
    <x v="16"/>
    <s v="SENIGALLIA"/>
    <m/>
    <s v="affittiestivi@belenchia.com"/>
    <s v="ANGELINI GIULIANA - SENIGALLIA"/>
  </r>
  <r>
    <x v="5"/>
    <s v="ANGELO PERLA"/>
    <s v="piazza pretare 10"/>
    <x v="157"/>
    <s v="ARQUATA DEL TRONTO"/>
    <m/>
    <m/>
    <s v="ANGELO PERLA - ARQUATA DEL TRONTO"/>
  </r>
  <r>
    <x v="7"/>
    <s v="ANGELONI STEFANIA"/>
    <s v="frazione Varano 13/a"/>
    <x v="21"/>
    <m/>
    <m/>
    <s v="villacolle@libero.it"/>
    <s v="ANGELONI STEFANIA - FABRIANO"/>
  </r>
  <r>
    <x v="10"/>
    <s v="ANGOLO DI PARADISO"/>
    <s v="contrada Vallato 51"/>
    <x v="132"/>
    <s v="SAN GINESIO"/>
    <s v="www.angolodiparadiso.org"/>
    <s v="info@angolodiparadiso.org"/>
    <s v="ANGOLO DI PARADISO - SAN GINESIO"/>
  </r>
  <r>
    <x v="3"/>
    <s v="ANGOLO DIVINO"/>
    <s v="via Asdrubali  20"/>
    <x v="15"/>
    <m/>
    <s v="www.angolo-divino.it"/>
    <s v="info@angolo-divino.it"/>
    <s v="ANGOLO DIVINO - LORETO"/>
  </r>
  <r>
    <x v="4"/>
    <s v="ANITA"/>
    <s v="via romita 6 6"/>
    <x v="32"/>
    <m/>
    <m/>
    <m/>
    <s v="ANITA - CUPRA MARITTIMA"/>
  </r>
  <r>
    <x v="1"/>
    <s v="ANITA"/>
    <s v="via Adriatica Nord 127"/>
    <x v="32"/>
    <s v="CUPRA MARITTIMA"/>
    <s v="www.hotelanita.it"/>
    <s v="info@hotelanita.it"/>
    <s v="ANITA - CUPRA MARITTIMA"/>
  </r>
  <r>
    <x v="1"/>
    <s v="ANKON HOTEL"/>
    <s v="via Loreto 13/A"/>
    <x v="10"/>
    <s v="ANCONA"/>
    <s v="www.ankonhotel.com"/>
    <s v="info@ankonhotel.com"/>
    <s v="ANKON HOTEL - ANCONA"/>
  </r>
  <r>
    <x v="5"/>
    <s v="ANNA BED &amp; BREAKFAST"/>
    <s v="via nazionale 1"/>
    <x v="1"/>
    <s v="URBINO"/>
    <s v="www.anna-bed-breakfast.it"/>
    <s v="ardu09@gmail.com"/>
    <s v="ANNA BED &amp; BREAKFAST - URBINO"/>
  </r>
  <r>
    <x v="7"/>
    <s v="ANNA MARIA PERGOLESI"/>
    <s v="via Monte Zoia 91/b"/>
    <x v="10"/>
    <m/>
    <m/>
    <s v="info@latorredelpoggio.it"/>
    <s v="ANNA MARIA PERGOLESI - ANCONA"/>
  </r>
  <r>
    <x v="0"/>
    <s v="ANNARELLA"/>
    <s v="Via Molino Vecchio 6"/>
    <x v="122"/>
    <s v="CARASSAI"/>
    <m/>
    <s v="agriturismoannarella@gmail.com"/>
    <s v="ANNARELLA - CARASSAI"/>
  </r>
  <r>
    <x v="4"/>
    <s v="ANNITO E FIGLI"/>
    <m/>
    <x v="23"/>
    <m/>
    <m/>
    <m/>
    <s v="ANNITO E FIGLI - PORTO RECANATI"/>
  </r>
  <r>
    <x v="4"/>
    <s v="ANTARES"/>
    <m/>
    <x v="12"/>
    <m/>
    <m/>
    <m/>
    <s v="ANTARES - SAN BENEDETTO DEL TRONTO"/>
  </r>
  <r>
    <x v="1"/>
    <s v="ANTARES"/>
    <s v="via francesco cilea 4"/>
    <x v="12"/>
    <s v="SAN BENEDETTO DEL TRONTO"/>
    <s v="www.hotel-antares.it"/>
    <s v="info@hotel-antares.it"/>
    <s v="ANTARES - SAN BENEDETTO DEL TRONTO"/>
  </r>
  <r>
    <x v="4"/>
    <s v="ANTARES - DA GINO  (SAS)"/>
    <m/>
    <x v="12"/>
    <m/>
    <m/>
    <m/>
    <s v="ANTARES - DA GINO  (SAS) - SAN BENEDETTO DEL TRONTO"/>
  </r>
  <r>
    <x v="4"/>
    <s v="ANTARES - DA GINO (SNC)"/>
    <m/>
    <x v="12"/>
    <m/>
    <m/>
    <m/>
    <s v="ANTARES - DA GINO (SNC) - SAN BENEDETTO DEL TRONTO"/>
  </r>
  <r>
    <x v="4"/>
    <s v="ANTARES Da Nadia"/>
    <m/>
    <x v="12"/>
    <m/>
    <m/>
    <m/>
    <s v="ANTARES Da Nadia - SAN BENEDETTO DEL TRONTO"/>
  </r>
  <r>
    <x v="4"/>
    <s v="ANTARES da Rosetti"/>
    <s v="viale trieste 1 1"/>
    <x v="12"/>
    <m/>
    <m/>
    <m/>
    <s v="ANTARES da Rosetti - SAN BENEDETTO DEL TRONTO"/>
  </r>
  <r>
    <x v="4"/>
    <s v="ANTARES di Falaschetti Nadia Snc"/>
    <m/>
    <x v="12"/>
    <m/>
    <m/>
    <m/>
    <s v="ANTARES di Falaschetti Nadia Snc - SAN BENEDETTO DEL TRONTO"/>
  </r>
  <r>
    <x v="4"/>
    <s v="ANTARES SRL"/>
    <m/>
    <x v="12"/>
    <m/>
    <s v="miriam.sgariglia@alice.it"/>
    <m/>
    <s v="ANTARES SRL - SAN BENEDETTO DEL TRONTO"/>
  </r>
  <r>
    <x v="5"/>
    <s v="ANTERA"/>
    <s v="Via Valle 36"/>
    <x v="161"/>
    <s v="CUPRAMONTANA"/>
    <m/>
    <s v="teresacatani@libero.it"/>
    <s v="ANTERA - CUPRAMONTANA"/>
  </r>
  <r>
    <x v="8"/>
    <s v="ANTICA ARMONIA"/>
    <s v="strada del soccorso 17"/>
    <x v="16"/>
    <s v="SENIGALLIA"/>
    <s v="www.anticarmonia.it"/>
    <s v="anticaarmonia@libero.it"/>
    <s v="ANTICA ARMONIA - SENIGALLIA"/>
  </r>
  <r>
    <x v="7"/>
    <s v="ANTICA DIMORA"/>
    <s v="frazione San Donato 159/e"/>
    <x v="21"/>
    <s v="SAN DONATO"/>
    <m/>
    <s v="euro.cesaroni@libero.it"/>
    <s v="ANTICA DIMORA - FABRIANO"/>
  </r>
  <r>
    <x v="8"/>
    <s v="ANTICA DIMORA"/>
    <m/>
    <x v="11"/>
    <s v="SARNANO"/>
    <s v="www.antica-dimora.net"/>
    <s v="info@antica-dimora.net"/>
    <s v="ANTICA DIMORA - SARNANO"/>
  </r>
  <r>
    <x v="8"/>
    <s v="ANTICA DIMORA DI VAL REGINA"/>
    <s v="strada Selve Granarola 12"/>
    <x v="69"/>
    <m/>
    <s v="www.anticadimoradivalregina.com"/>
    <s v="info@anticadimoradivalregina.com"/>
    <s v="ANTICA DIMORA DI VAL REGINA - PESARO"/>
  </r>
  <r>
    <x v="5"/>
    <s v="ANTICA FONTE"/>
    <s v="Via Aldo Moro 106"/>
    <x v="57"/>
    <s v="TAVULLIA"/>
    <s v="www.anticafontebnb.com"/>
    <s v="lucianomarcantoni@libero.it"/>
    <s v="ANTICA FONTE - TAVULLIA"/>
  </r>
  <r>
    <x v="5"/>
    <s v="ANTICA LOGGIA"/>
    <s v="via Serraloggia 188"/>
    <x v="21"/>
    <s v="FABRIANO"/>
    <s v="www.bblelogge.it"/>
    <s v="nuovaloggia@gmail.com"/>
    <s v="ANTICA LOGGIA - FABRIANO"/>
  </r>
  <r>
    <x v="5"/>
    <s v="ANTICA MAISON"/>
    <s v="via F.Asdrubali 24"/>
    <x v="15"/>
    <s v="LORETO"/>
    <m/>
    <s v="info@anticamaison.net"/>
    <s v="ANTICA MAISON - LORETO"/>
  </r>
  <r>
    <x v="5"/>
    <s v="ANTICA MAISON"/>
    <s v="Via Quinto Curzio Rufo 22"/>
    <x v="151"/>
    <s v="ASCOLI PICENO"/>
    <m/>
    <s v="ascoli.anticamaison@gmail.com"/>
    <s v="ANTICA MAISON - ASCOLI PICENO"/>
  </r>
  <r>
    <x v="1"/>
    <s v="ANTICA OSTERIA DA ORESTE"/>
    <s v="via Risorgimento  4"/>
    <x v="171"/>
    <s v="frazione CASININA"/>
    <s v="www.osteria-daoreste.it"/>
    <s v="info@osteria-daoreste.it"/>
    <s v="ANTICA OSTERIA DA ORESTE - AUDITORE"/>
  </r>
  <r>
    <x v="5"/>
    <s v="ANTICA SELVA"/>
    <s v="CONTRADA SELVE  4"/>
    <x v="105"/>
    <s v="COSSIGNANO"/>
    <m/>
    <s v="chiara@mycountrynest.org"/>
    <s v="ANTICA SELVA - COSSIGNANO"/>
  </r>
  <r>
    <x v="1"/>
    <s v="ANTICA TAVERNA ALLA SELVA"/>
    <s v="via Cicerone 1"/>
    <x v="26"/>
    <s v="CINGOLI"/>
    <s v="www.tavernaallaselva.it"/>
    <s v="tavernaallaselva@gmail.com"/>
    <s v="ANTICA TAVERNA ALLA SELVA - CINGOLI"/>
  </r>
  <r>
    <x v="8"/>
    <s v="ANTICO BORGO"/>
    <s v="fraz. Castiglioni 86"/>
    <x v="18"/>
    <s v="CASTIGLIONI"/>
    <s v="www.antico-borgo.it"/>
    <s v="info@antico-borgo.it"/>
    <s v="ANTICO BORGO - ARCEVIA"/>
  </r>
  <r>
    <x v="0"/>
    <s v="ANTICO BORGO DI GALLANO"/>
    <s v="case sparse gallano 1"/>
    <x v="114"/>
    <s v="PIEVE TORINA"/>
    <s v="www.anticoborgodigallano.com"/>
    <s v="anticoborgodigallano@gmail.com"/>
    <s v="ANTICO BORGO DI GALLANO - PIEVE TORINA"/>
  </r>
  <r>
    <x v="3"/>
    <s v="ANTICO BORGO PICENO"/>
    <s v="via San Serafino da Montegranaro 73"/>
    <x v="151"/>
    <s v="ascoli piceno"/>
    <s v="www.anticoborgopiceno.it"/>
    <s v="info@anticoborgopiceno.it"/>
    <s v="ANTICO BORGO PICENO - ASCOLI PICENO"/>
  </r>
  <r>
    <x v="5"/>
    <s v="ANTICO CASALE NAPOLEONICO FOSSA CIECA"/>
    <s v="CONTRADA FOCE ASOLA  24"/>
    <x v="17"/>
    <m/>
    <m/>
    <s v="vincenzo.vigilia@libero.it"/>
    <s v="ANTICO CASALE NAPOLEONICO FOSSA CIECA - CIVITANOVA MARCHE"/>
  </r>
  <r>
    <x v="0"/>
    <s v="ANTICO MULINO"/>
    <s v="loc.Tenna 2"/>
    <x v="45"/>
    <s v="Montefortino"/>
    <s v="www.anticomulino.it"/>
    <s v="anticomulino@virgilio.it"/>
    <s v="ANTICO MULINO - MONTEFORTINO"/>
  </r>
  <r>
    <x v="0"/>
    <s v="ANTICO MURO"/>
    <s v="via Sentinate 3"/>
    <x v="46"/>
    <s v="Parco Archeologico di Sentinum"/>
    <s v="www.agriturismoanticomuro.it"/>
    <s v="agriturismoanticomuro@gmail.com"/>
    <s v="ANTICO MURO - SASSOFERRATO"/>
  </r>
  <r>
    <x v="1"/>
    <s v="ANTICO PALAZZO DAL PERO"/>
    <s v="via Oberdan 197"/>
    <x v="11"/>
    <m/>
    <s v="www.anticopalazzodalpero.com"/>
    <s v="anticopalazzodalpero@gmail.com"/>
    <s v="ANTICO PALAZZO DAL PERO - SARNANO"/>
  </r>
  <r>
    <x v="7"/>
    <s v="ANTINOGENE MARIA GRAZIA"/>
    <s v="Via Buozzi 4"/>
    <x v="148"/>
    <s v="POTENZA PICENA"/>
    <m/>
    <m/>
    <s v="ANTINOGENE MARIA GRAZIA - POTENZA PICENA"/>
  </r>
  <r>
    <x v="3"/>
    <s v="ANTISTRESS AFFITTACAMERE"/>
    <s v="VIA SAN GIOVANNI 20"/>
    <x v="44"/>
    <s v="OSIMO"/>
    <s v="www.antystress.it"/>
    <s v="fcantori@libero.it"/>
    <s v="ANTISTRESS AFFITTACAMERE - OSIMO"/>
  </r>
  <r>
    <x v="0"/>
    <s v="ANTOLINI OVIDIO"/>
    <s v="contrada san biagio 10"/>
    <x v="37"/>
    <s v="FERMO"/>
    <m/>
    <m/>
    <s v="ANTOLINI OVIDIO - FERMO"/>
  </r>
  <r>
    <x v="7"/>
    <s v="ANTONELLI NORMA"/>
    <s v="via Redipuglia 14"/>
    <x v="28"/>
    <m/>
    <m/>
    <m/>
    <s v="ANTONELLI NORMA - GABICCE MARE"/>
  </r>
  <r>
    <x v="4"/>
    <s v="ANTONIO"/>
    <s v="LUNGOMARE PIERMANNI 1 A 1 A"/>
    <x v="17"/>
    <m/>
    <m/>
    <s v="balneare.antonio@alice.it"/>
    <s v="ANTONIO - CIVITANOVA MARCHE"/>
  </r>
  <r>
    <x v="4"/>
    <s v="ANTONIO"/>
    <m/>
    <x v="23"/>
    <m/>
    <m/>
    <m/>
    <s v="ANTONIO - PORTO RECANATI"/>
  </r>
  <r>
    <x v="7"/>
    <s v="ANTONIO VIA"/>
    <s v="via Faà di Bruno 120"/>
    <x v="33"/>
    <s v="loc. Ponte Sasso"/>
    <m/>
    <s v="antoniovia@libero.it"/>
    <s v="ANTONIO VIA - FANO"/>
  </r>
  <r>
    <x v="5"/>
    <s v="ANTONIO VIGLIETTI"/>
    <s v="contrada fosse 317"/>
    <x v="113"/>
    <s v="PENNA SAN GIOVANNI"/>
    <m/>
    <s v="aviglietti@yahoo.it"/>
    <s v="ANTONIO VIGLIETTI - PENNA SAN GIOVANNI"/>
  </r>
  <r>
    <x v="7"/>
    <s v="ANTONUCCI MARCO"/>
    <s v="via Carducci 83"/>
    <x v="20"/>
    <m/>
    <m/>
    <s v="marco.tide@alice.it"/>
    <s v="ANTONUCCI MARCO - MONDOLFO"/>
  </r>
  <r>
    <x v="7"/>
    <s v="ANTONUCCI OMBRETTA"/>
    <s v="via G.Carducci 108/a"/>
    <x v="20"/>
    <m/>
    <m/>
    <s v="ombrez@libero.it"/>
    <s v="ANTONUCCI OMBRETTA - MONDOLFO"/>
  </r>
  <r>
    <x v="2"/>
    <s v="APARTHOTEL IL CONERO 2"/>
    <s v="via del Conero 29"/>
    <x v="9"/>
    <s v="NUMANA"/>
    <s v="www.hotelresidenceilconero.it"/>
    <s v="info@hotelresidenceilconero.it"/>
    <s v="APARTHOTEL IL CONERO 2 - NUMANA"/>
  </r>
  <r>
    <x v="1"/>
    <s v="APOLLO 17"/>
    <s v="via Liguria 2"/>
    <x v="172"/>
    <s v="CORRIDONIA"/>
    <m/>
    <s v="info@apollo17.it"/>
    <s v="APOLLO 17 - CORRIDONIA"/>
  </r>
  <r>
    <x v="3"/>
    <s v="APPARTAMENTI ANNALISA MENGANI"/>
    <s v="via Marconi 2"/>
    <x v="8"/>
    <s v="SIROLO"/>
    <s v="www.campingreno.eu"/>
    <s v="info@campingreno.eu"/>
    <s v="APPARTAMENTI ANNALISA MENGANI - SIROLO"/>
  </r>
  <r>
    <x v="7"/>
    <s v="APPARTAMENTI FONTAINEBLEAU"/>
    <s v="via Panoramica 92"/>
    <x v="28"/>
    <m/>
    <m/>
    <s v="ab37rn@tin.it"/>
    <s v="APPARTAMENTI FONTAINEBLEAU - GABICCE MARE"/>
  </r>
  <r>
    <x v="3"/>
    <s v="APPARTAMENTI GRAZIELLA"/>
    <s v="via Panoramica 26"/>
    <x v="28"/>
    <m/>
    <s v="www.appartamentigabiccemare.it"/>
    <s v="info@appartamentigabiccemare.it"/>
    <s v="APPARTAMENTI GRAZIELLA - GABICCE MARE"/>
  </r>
  <r>
    <x v="3"/>
    <s v="APPARTAMENTI LUNGOMARE ALIGHIERI"/>
    <s v="lungomare Alighieri 14/a"/>
    <x v="16"/>
    <m/>
    <m/>
    <s v="info@villaggiocampingblu.com"/>
    <s v="APPARTAMENTI LUNGOMARE ALIGHIERI - SENIGALLIA"/>
  </r>
  <r>
    <x v="3"/>
    <s v="APPARTAMENTI LUNGOMARE ITALIA"/>
    <s v="lungomare Italia 3/b"/>
    <x v="16"/>
    <m/>
    <m/>
    <s v="info@villaggiocampingblu.com"/>
    <s v="APPARTAMENTI LUNGOMARE ITALIA - SENIGALLIA"/>
  </r>
  <r>
    <x v="3"/>
    <s v="APPARTAMENTI PER VACANZE BIZZARRI IVANA"/>
    <s v="via Roma 9"/>
    <x v="122"/>
    <s v="CARASSAI"/>
    <m/>
    <s v="chiara.rasty@libero.it"/>
    <s v="APPARTAMENTI PER VACANZE BIZZARRI IVANA - CARASSAI"/>
  </r>
  <r>
    <x v="3"/>
    <s v="APPARTAMENTI REGNI"/>
    <s v="via Francesco Podesti 149"/>
    <x v="16"/>
    <s v="SENIGALLIA"/>
    <s v="www.residenceregni.it"/>
    <s v="fabregni@tin.it"/>
    <s v="APPARTAMENTI REGNI - SENIGALLIA"/>
  </r>
  <r>
    <x v="3"/>
    <s v="APPARTAMENTI TRE MONTI"/>
    <s v="b.go Sant'Antonio 17"/>
    <x v="49"/>
    <s v="VISSO"/>
    <m/>
    <s v="cappatonino@gmail.com"/>
    <s v="APPARTAMENTI TRE MONTI - VISSO"/>
  </r>
  <r>
    <x v="7"/>
    <s v="APPARTAMENTIO TURISTICO MALTEMPI"/>
    <s v="via L. della Robbia 21"/>
    <x v="69"/>
    <m/>
    <m/>
    <s v="fulvia.maltempi@gmail.com"/>
    <s v="APPARTAMENTIO TURISTICO MALTEMPI - PESARO"/>
  </r>
  <r>
    <x v="7"/>
    <s v="APPARTAMENTO AMMOBILIATO PER USO TURISTICO LUCCERINI BENITO"/>
    <s v="contrada salti 125"/>
    <x v="116"/>
    <s v="SANT' ANGELO IN PONTANO"/>
    <m/>
    <m/>
    <s v="APPARTAMENTO AMMOBILIATO PER USO TURISTICO LUCCERINI BENITO - SANT'ANGELO IN PONTANO"/>
  </r>
  <r>
    <x v="7"/>
    <s v="APPARTAMENTO BABINI MARCELLO"/>
    <s v="SVARCHI BASSI  32"/>
    <x v="9"/>
    <s v="NUMANA"/>
    <m/>
    <s v="marcello.babini@libero.it"/>
    <s v="APPARTAMENTO BABINI MARCELLO - NUMANA"/>
  </r>
  <r>
    <x v="8"/>
    <s v="APPARTAMENTO DEI FIORI"/>
    <s v="c.da Valle 11"/>
    <x v="96"/>
    <s v="MONTALTO DELLE MARCHE"/>
    <m/>
    <s v="liliana@villa-geminiani.com"/>
    <s v="APPARTAMENTO DEI FIORI - MONTALTO DELLE MARCHE"/>
  </r>
  <r>
    <x v="7"/>
    <s v="APPARTAMENTO ROBERT BUNNENS"/>
    <s v="Strada Palazzo Bracci 11"/>
    <x v="60"/>
    <s v="CORINALDO"/>
    <m/>
    <s v="bunnens@hotmail.com"/>
    <s v="APPARTAMENTO ROBERT BUNNENS - CORINALDO"/>
  </r>
  <r>
    <x v="7"/>
    <s v="APPARTAMENTO USO TURISTICO DI GIULIANO PISELLI"/>
    <s v="C.DA CASTELLANO 20"/>
    <x v="170"/>
    <s v="MONTECOSARO"/>
    <m/>
    <s v="giuliano.piselli@tiscali.it"/>
    <s v="APPARTAMENTO USO TURISTICO DI GIULIANO PISELLI - MONTECOSARO"/>
  </r>
  <r>
    <x v="7"/>
    <s v="APPARTAMENTO USO TURISTICO dI ROSSETTI C. e BENADDUCCI P."/>
    <s v="frazione Poggio 137"/>
    <x v="10"/>
    <m/>
    <m/>
    <s v="katia.ross@libero.it"/>
    <s v="APPARTAMENTO USO TURISTICO dI ROSSETTI C. e BENADDUCCI P. - ANCONA"/>
  </r>
  <r>
    <x v="7"/>
    <s v="APPARTAMENTO USO TURISTICO LAURA CARRERA"/>
    <s v="piazza leonida bissolati 1"/>
    <x v="22"/>
    <s v="FALCONARA MARITTIMA"/>
    <m/>
    <s v="beagio@yahoo.it"/>
    <s v="APPARTAMENTO USO TURISTICO LAURA CARRERA - FALCONARA MARITTIMA"/>
  </r>
  <r>
    <x v="7"/>
    <s v="APPARTAMENTO USO TURISTICO LAURA CARRERA 2"/>
    <s v="via Bissolati 1"/>
    <x v="22"/>
    <s v="Castelferretti"/>
    <m/>
    <m/>
    <s v="APPARTAMENTO USO TURISTICO LAURA CARRERA 2 - FALCONARA MARITTIMA"/>
  </r>
  <r>
    <x v="1"/>
    <s v="APPENNINO"/>
    <s v="piazza gramsci 31"/>
    <x v="46"/>
    <s v="SASSOFERRATO"/>
    <m/>
    <m/>
    <s v="APPENNINO - SASSOFERRATO"/>
  </r>
  <r>
    <x v="3"/>
    <s v="AQUA HOME VILLAGE"/>
    <s v="via Trieste snc"/>
    <x v="163"/>
    <m/>
    <s v="www.aquahomevillage.it"/>
    <s v="info@aquahomevillage.it"/>
    <s v="AQUA HOME VILLAGE - PORTO SANT'ELPIDIO"/>
  </r>
  <r>
    <x v="1"/>
    <s v="AQUAMARINA"/>
    <s v="viale Giacomo Matteotti 47"/>
    <x v="17"/>
    <s v="CIVITANOVA MARCHE"/>
    <s v="www.hotelaquamarina.it"/>
    <s v="info@hotelaquamarina.it"/>
    <s v="AQUAMARINA - CIVITANOVA MARCHE"/>
  </r>
  <r>
    <x v="4"/>
    <s v="AQUARIUM"/>
    <m/>
    <x v="10"/>
    <s v="ANCONA"/>
    <m/>
    <s v="massimo_marcellini@libero.it"/>
    <s v="AQUARIUM - ANCONA"/>
  </r>
  <r>
    <x v="5"/>
    <s v="ARCA DI NOE'"/>
    <s v="via del fiume 39"/>
    <x v="33"/>
    <s v="FANO"/>
    <s v="www.wix.com/miskull/arca-di-noe"/>
    <s v="beb.arcadinoe@gmail.com"/>
    <s v="ARCA DI NOE' - FANO"/>
  </r>
  <r>
    <x v="7"/>
    <s v="ARCECI DAVIDE"/>
    <s v="via Damiano Chiesa 33"/>
    <x v="33"/>
    <m/>
    <m/>
    <m/>
    <s v="ARCECI DAVIDE - FANO"/>
  </r>
  <r>
    <x v="5"/>
    <s v="ARCOBALENO"/>
    <s v="via civitanova 127"/>
    <x v="17"/>
    <s v="CIVITANOVA MARCHE"/>
    <s v="www.arcobaleno-bb.com"/>
    <s v="info@arcobaleno-bb.com"/>
    <s v="ARCOBALENO - CIVITANOVA MARCHE"/>
  </r>
  <r>
    <x v="6"/>
    <s v="ARCOBALENO"/>
    <s v="viale delle Nazioni 1"/>
    <x v="23"/>
    <s v="PORTO RECANATI"/>
    <m/>
    <m/>
    <s v="ARCOBALENO - PORTO RECANATI"/>
  </r>
  <r>
    <x v="4"/>
    <s v="ARCOBALENO N 36"/>
    <s v="via litoranea snc snc"/>
    <x v="9"/>
    <s v="MARCELLI"/>
    <m/>
    <m/>
    <s v="ARCOBALENO N 36 - NUMANA"/>
  </r>
  <r>
    <x v="11"/>
    <s v="AREA ATTREZZATA SOSTA CAMPER - COMUNE DI ARCEVIA"/>
    <m/>
    <x v="18"/>
    <s v="ARCEVIA"/>
    <m/>
    <m/>
    <s v="AREA ATTREZZATA SOSTA CAMPER - COMUNE DI ARCEVIA - ARCEVIA"/>
  </r>
  <r>
    <x v="11"/>
    <s v="AREA CAMPER FERMO"/>
    <m/>
    <x v="37"/>
    <s v="MARINA PALMENSE"/>
    <s v="www.areacamper.it"/>
    <s v="info@areacamper.it"/>
    <s v="AREA CAMPER FERMO - FERMO"/>
  </r>
  <r>
    <x v="11"/>
    <s v="AREA DI SOSTA"/>
    <m/>
    <x v="30"/>
    <s v="borgo Leopardi"/>
    <m/>
    <s v="poliziamunicipale@comune.offida.ap.it"/>
    <s v="AREA DI SOSTA - OFFIDA"/>
  </r>
  <r>
    <x v="11"/>
    <s v="AREA DI SOSTA ADRIATICO"/>
    <s v="STRADA NAZIONALE ADRIATICA SUD 233"/>
    <x v="33"/>
    <s v="FANO"/>
    <m/>
    <s v="mariot57@gmail.com"/>
    <s v="AREA DI SOSTA ADRIATICO - FANO"/>
  </r>
  <r>
    <x v="11"/>
    <s v="AREA DI SOSTA ATTREZZATA BALCONE DELLE MARCHE"/>
    <m/>
    <x v="26"/>
    <s v="loc. San Carlo"/>
    <m/>
    <s v="atcprolococingoli@gmail.com"/>
    <s v="AREA DI SOSTA ATTREZZATA BALCONE DELLE MARCHE - CINGOLI"/>
  </r>
  <r>
    <x v="11"/>
    <s v="AREA DI SOSTA CAMPER"/>
    <m/>
    <x v="31"/>
    <s v="APECCHIO"/>
    <m/>
    <m/>
    <s v="AREA DI SOSTA CAMPER - APECCHIO"/>
  </r>
  <r>
    <x v="11"/>
    <s v="AREA DI SOSTA CAMPER"/>
    <m/>
    <x v="173"/>
    <m/>
    <m/>
    <m/>
    <s v="AREA DI SOSTA CAMPER - BARCHI"/>
  </r>
  <r>
    <x v="11"/>
    <s v="AREA DI SOSTA CAMPER"/>
    <m/>
    <x v="61"/>
    <s v="LOC. LAMOLI"/>
    <m/>
    <m/>
    <s v="AREA DI SOSTA CAMPER - BORGO PACE"/>
  </r>
  <r>
    <x v="11"/>
    <s v="AREA DI SOSTA CAMPER"/>
    <m/>
    <x v="174"/>
    <m/>
    <m/>
    <m/>
    <s v="AREA DI SOSTA CAMPER - CARPEGNA"/>
  </r>
  <r>
    <x v="11"/>
    <s v="AREA DI SOSTA CAMPER"/>
    <m/>
    <x v="152"/>
    <m/>
    <m/>
    <m/>
    <s v="AREA DI SOSTA CAMPER - FERMIGNANO"/>
  </r>
  <r>
    <x v="11"/>
    <s v="AREA DI SOSTA CAMPER"/>
    <m/>
    <x v="85"/>
    <s v="LOC. Le Mosse"/>
    <m/>
    <m/>
    <s v="AREA DI SOSTA CAMPER - FOSSOMBRONE"/>
  </r>
  <r>
    <x v="11"/>
    <s v="AREA DI SOSTA CAMPER"/>
    <m/>
    <x v="39"/>
    <m/>
    <m/>
    <m/>
    <s v="AREA DI SOSTA CAMPER - MONDAVIO"/>
  </r>
  <r>
    <x v="11"/>
    <s v="AREA DI SOSTA CAMPER"/>
    <s v="lungomare C.Colombo 158"/>
    <x v="20"/>
    <s v="MAROTTA"/>
    <m/>
    <s v="alruff@tin.it"/>
    <s v="AREA DI SOSTA CAMPER - MONDOLFO"/>
  </r>
  <r>
    <x v="11"/>
    <s v="AREA DI SOSTA CAMPER"/>
    <m/>
    <x v="175"/>
    <s v="PARCO COMUNALE"/>
    <m/>
    <m/>
    <s v="AREA DI SOSTA CAMPER - MONTE CERIGNONE"/>
  </r>
  <r>
    <x v="11"/>
    <s v="AREA DI SOSTA CAMPER"/>
    <m/>
    <x v="25"/>
    <s v="ZONA PARCO ACQUE MINERALI"/>
    <s v="www.comune.piobbico.pu.it"/>
    <s v="comune.piobbico@provincia.ps.it"/>
    <s v="AREA DI SOSTA CAMPER - PIOBBICO"/>
  </r>
  <r>
    <x v="11"/>
    <s v="AREA DI SOSTA CAMPER"/>
    <m/>
    <x v="64"/>
    <m/>
    <m/>
    <m/>
    <s v="AREA DI SOSTA CAMPER - SAN LORENZO IN CAMPO"/>
  </r>
  <r>
    <x v="11"/>
    <s v="AREA DI SOSTA CAMPER"/>
    <m/>
    <x v="80"/>
    <s v="LOC. BARCO DUCALE"/>
    <m/>
    <m/>
    <s v="AREA DI SOSTA CAMPER - URBANIA"/>
  </r>
  <r>
    <x v="11"/>
    <s v="AREA DI SOSTA CAMPER"/>
    <m/>
    <x v="41"/>
    <s v="MARINA DI MONTEMARCIANO"/>
    <m/>
    <s v="easyhelp@email.it"/>
    <s v="AREA DI SOSTA CAMPER - MONTEMARCIANO"/>
  </r>
  <r>
    <x v="11"/>
    <s v="AREA DI SOSTA CAMPER"/>
    <m/>
    <x v="44"/>
    <m/>
    <m/>
    <s v="info@parko.it"/>
    <s v="AREA DI SOSTA CAMPER - OSIMO"/>
  </r>
  <r>
    <x v="11"/>
    <s v="AREA DI SOSTA CAMPER"/>
    <s v="via Francesco Podesti 234"/>
    <x v="16"/>
    <s v="SENIGALLIA"/>
    <m/>
    <m/>
    <s v="AREA DI SOSTA CAMPER - SENIGALLIA"/>
  </r>
  <r>
    <x v="11"/>
    <s v="AREA DI SOSTA CAMPER"/>
    <m/>
    <x v="118"/>
    <m/>
    <m/>
    <m/>
    <s v="AREA DI SOSTA CAMPER - SERRA DE' CONTI"/>
  </r>
  <r>
    <x v="11"/>
    <s v="AREA DI SOSTA CAMPER"/>
    <m/>
    <x v="72"/>
    <s v="c.da Bruscara"/>
    <m/>
    <m/>
    <s v="AREA DI SOSTA CAMPER - SERRA SAN QUIRICO"/>
  </r>
  <r>
    <x v="11"/>
    <s v="AREA DI SOSTA CAMPER"/>
    <m/>
    <x v="176"/>
    <m/>
    <m/>
    <m/>
    <s v="AREA DI SOSTA CAMPER - STAFFOLO"/>
  </r>
  <r>
    <x v="11"/>
    <s v="AREA DI SOSTA CAMPER"/>
    <m/>
    <x v="108"/>
    <m/>
    <m/>
    <m/>
    <s v="AREA DI SOSTA CAMPER - APPIGNANO"/>
  </r>
  <r>
    <x v="11"/>
    <s v="AREA DI SOSTA CAMPER"/>
    <m/>
    <x v="90"/>
    <m/>
    <m/>
    <m/>
    <s v="AREA DI SOSTA CAMPER - CALDAROLA"/>
  </r>
  <r>
    <x v="11"/>
    <s v="AREA DI SOSTA CAMPER"/>
    <m/>
    <x v="177"/>
    <m/>
    <m/>
    <m/>
    <s v="AREA DI SOSTA CAMPER - COLMURANO"/>
  </r>
  <r>
    <x v="11"/>
    <s v="AREA DI SOSTA CAMPER"/>
    <m/>
    <x v="74"/>
    <s v="LOCALITA' SAN LORENZO AL LAGO"/>
    <m/>
    <m/>
    <s v="AREA DI SOSTA CAMPER - FIASTRA"/>
  </r>
  <r>
    <x v="11"/>
    <s v="AREA DI SOSTA CAMPER"/>
    <m/>
    <x v="178"/>
    <s v="VALLE SAN BENEDETTO"/>
    <m/>
    <s v="comune@montecavallo.sinp.net"/>
    <s v="AREA DI SOSTA CAMPER - MONTE CAVALLO"/>
  </r>
  <r>
    <x v="11"/>
    <s v="AREA DI SOSTA CAMPER"/>
    <m/>
    <x v="170"/>
    <m/>
    <m/>
    <m/>
    <s v="AREA DI SOSTA CAMPER - MONTECOSARO"/>
  </r>
  <r>
    <x v="11"/>
    <s v="AREA DI SOSTA CAMPER"/>
    <m/>
    <x v="141"/>
    <s v="EX CAMPO BOARIO SOTTOSTANTE VIALE DEL PINCIO"/>
    <m/>
    <m/>
    <s v="AREA DI SOSTA CAMPER - MORROVALLE"/>
  </r>
  <r>
    <x v="11"/>
    <s v="AREA DI SOSTA CAMPER"/>
    <s v="VIA SANTO SPIRITO 1"/>
    <x v="126"/>
    <s v="POLLENZA"/>
    <m/>
    <m/>
    <s v="AREA DI SOSTA CAMPER - POLLENZA"/>
  </r>
  <r>
    <x v="11"/>
    <s v="AREA DI SOSTA CAMPER"/>
    <m/>
    <x v="132"/>
    <s v="SAN GINESIO"/>
    <s v="www.sanginesio.sinp.net"/>
    <s v="info@sanginesio.sinp.net"/>
    <s v="AREA DI SOSTA CAMPER - SAN GINESIO"/>
  </r>
  <r>
    <x v="11"/>
    <s v="AREA DI SOSTA CAMPER"/>
    <m/>
    <x v="2"/>
    <s v="SAN SEVERINO MARCHE"/>
    <m/>
    <m/>
    <s v="AREA DI SOSTA CAMPER - SAN SEVERINO MARCHE"/>
  </r>
  <r>
    <x v="11"/>
    <s v="AREA DI SOSTA CAMPER"/>
    <m/>
    <x v="11"/>
    <m/>
    <m/>
    <m/>
    <s v="AREA DI SOSTA CAMPER - SARNANO"/>
  </r>
  <r>
    <x v="11"/>
    <s v="AREA DI SOSTA CAMPER"/>
    <m/>
    <x v="6"/>
    <m/>
    <m/>
    <m/>
    <s v="AREA DI SOSTA CAMPER - TOLENTINO"/>
  </r>
  <r>
    <x v="11"/>
    <s v="AREA DI SOSTA CAMPER"/>
    <m/>
    <x v="139"/>
    <s v="LOC. FONTELCI"/>
    <m/>
    <m/>
    <s v="AREA DI SOSTA CAMPER - TREIA"/>
  </r>
  <r>
    <x v="11"/>
    <s v="AREA DI SOSTA CAMPER"/>
    <m/>
    <x v="49"/>
    <m/>
    <m/>
    <m/>
    <s v="AREA DI SOSTA CAMPER - VISSO"/>
  </r>
  <r>
    <x v="11"/>
    <s v="AREA DI SOSTA CAMPER"/>
    <s v="VIA MONTEVARMINE  42"/>
    <x v="122"/>
    <m/>
    <m/>
    <m/>
    <s v="AREA DI SOSTA CAMPER - CARASSAI"/>
  </r>
  <r>
    <x v="11"/>
    <s v="AREA DI SOSTA CAMPER"/>
    <s v="VIA GALVONI sn"/>
    <x v="82"/>
    <m/>
    <s v="http://www.comune.castignano.ap.it"/>
    <m/>
    <s v="AREA DI SOSTA CAMPER - CASTIGNANO"/>
  </r>
  <r>
    <x v="11"/>
    <s v="AREA DI SOSTA CAMPER"/>
    <m/>
    <x v="5"/>
    <s v="GROTTAMMARE"/>
    <m/>
    <s v="degaetanovincenzo@gmail.com"/>
    <s v="AREA DI SOSTA CAMPER - GROTTAMMARE"/>
  </r>
  <r>
    <x v="11"/>
    <s v="AREA DI SOSTA CAMPER"/>
    <m/>
    <x v="96"/>
    <s v="c.da Sant'Alberto"/>
    <m/>
    <m/>
    <s v="AREA DI SOSTA CAMPER - MONTALTO DELLE MARCHE"/>
  </r>
  <r>
    <x v="11"/>
    <s v="AREA DI SOSTA CAMPER"/>
    <m/>
    <x v="130"/>
    <s v="BORGO SAN TOMMASO"/>
    <m/>
    <s v="comune.montedinove@gmail.com"/>
    <s v="AREA DI SOSTA CAMPER - MONTEDINOVE"/>
  </r>
  <r>
    <x v="11"/>
    <s v="AREA DI SOSTA CAMPER"/>
    <m/>
    <x v="3"/>
    <s v="LOCALITA' SANT'ANGELO"/>
    <m/>
    <m/>
    <s v="AREA DI SOSTA CAMPER - RIPATRANSONE"/>
  </r>
  <r>
    <x v="11"/>
    <s v="AREA DI SOSTA CAMPER"/>
    <m/>
    <x v="179"/>
    <m/>
    <m/>
    <m/>
    <s v="AREA DI SOSTA CAMPER - BELMONTE PICENO"/>
  </r>
  <r>
    <x v="11"/>
    <s v="AREA DI SOSTA CAMPER"/>
    <m/>
    <x v="180"/>
    <m/>
    <m/>
    <m/>
    <s v="AREA DI SOSTA CAMPER - MONTAPPONE"/>
  </r>
  <r>
    <x v="11"/>
    <s v="AREA DI SOSTA CAMPER"/>
    <m/>
    <x v="103"/>
    <s v="PIANE"/>
    <m/>
    <m/>
    <s v="AREA DI SOSTA CAMPER - MONTEGIORGIO"/>
  </r>
  <r>
    <x v="11"/>
    <s v="AREA DI SOSTA CAMPER"/>
    <m/>
    <x v="181"/>
    <m/>
    <m/>
    <m/>
    <s v="AREA DI SOSTA CAMPER - MONTE VIDON CORRADO"/>
  </r>
  <r>
    <x v="11"/>
    <s v="AREA DI SOSTA CAMPER"/>
    <m/>
    <x v="182"/>
    <m/>
    <m/>
    <m/>
    <s v="AREA DI SOSTA CAMPER - MORESCO"/>
  </r>
  <r>
    <x v="11"/>
    <s v="AREA DI SOSTA CAMPER - ANCONA"/>
    <m/>
    <x v="10"/>
    <s v="ZONA POSATORA"/>
    <s v="www.campeggioclubadriatico.it"/>
    <s v="cca@campeggioclubadriatico.it"/>
    <s v="AREA DI SOSTA CAMPER - ANCONA - ANCONA"/>
  </r>
  <r>
    <x v="11"/>
    <s v="AREA DI SOSTA CAMPER - BUCHETTO"/>
    <m/>
    <x v="48"/>
    <s v="SP 361 - LOC. PIE' DI GUALDO"/>
    <m/>
    <m/>
    <s v="AREA DI SOSTA CAMPER - BUCHETTO - PIORACO"/>
  </r>
  <r>
    <x v="11"/>
    <s v="AREA DI SOSTA CAMPER - CASTELFIDARDO"/>
    <s v="via Lumumba 7"/>
    <x v="169"/>
    <s v="CASTELFIDARDO"/>
    <m/>
    <m/>
    <s v="AREA DI SOSTA CAMPER - CASTELFIDARDO - CASTELFIDARDO"/>
  </r>
  <r>
    <x v="11"/>
    <s v="AREA DI SOSTA CAMPER - CORINALDO"/>
    <s v="VIA PECCIAMEGLIO SNC"/>
    <x v="60"/>
    <s v="CORINALDO"/>
    <m/>
    <m/>
    <s v="AREA DI SOSTA CAMPER - CORINALDO - CORINALDO"/>
  </r>
  <r>
    <x v="11"/>
    <s v="AREA DI SOSTA CAMPER - CUPRA MONTANA"/>
    <m/>
    <x v="161"/>
    <s v="CUPRAMONTANA"/>
    <m/>
    <s v="parcocollelisa@gmail.com"/>
    <s v="AREA DI SOSTA CAMPER - CUPRA MONTANA - CUPRAMONTANA"/>
  </r>
  <r>
    <x v="11"/>
    <s v="AREA DI SOSTA CAMPER - LA CUNA"/>
    <m/>
    <x v="112"/>
    <m/>
    <m/>
    <m/>
    <s v="AREA DI SOSTA CAMPER - LA CUNA - GENGA"/>
  </r>
  <r>
    <x v="11"/>
    <s v="AREA DI SOSTA CAMPER - MONTESANPIETRANGELI"/>
    <m/>
    <x v="106"/>
    <m/>
    <m/>
    <m/>
    <s v="AREA DI SOSTA CAMPER - MONTESANPIETRANGELI - MONTE SAN PIETRANGELI"/>
  </r>
  <r>
    <x v="11"/>
    <s v="AREA DI SOSTA CAMPER - ROSORA"/>
    <m/>
    <x v="158"/>
    <m/>
    <m/>
    <m/>
    <s v="AREA DI SOSTA CAMPER - ROSORA - ROSORA"/>
  </r>
  <r>
    <x v="11"/>
    <s v="AREA DI SOSTA CAMPER &quot;PLEIN AIR PIEVE CANNETI&quot;"/>
    <s v="via Pieve Canneti snc"/>
    <x v="68"/>
    <s v="CENTRO SPORTIVO"/>
    <m/>
    <m/>
    <s v="AREA DI SOSTA CAMPER &quot;PLEIN AIR PIEVE CANNETI&quot; - ORCIANO DI PESARO"/>
  </r>
  <r>
    <x v="11"/>
    <s v="AREA DI SOSTA CAMPER AL PONTE"/>
    <m/>
    <x v="92"/>
    <s v="località Colle San Pietro"/>
    <m/>
    <s v="fiuminatavalleapert@libero.it"/>
    <s v="AREA DI SOSTA CAMPER AL PONTE - FIUMINATA"/>
  </r>
  <r>
    <x v="11"/>
    <s v="AREA DI SOSTA CAMPER CAMPER SERVICE"/>
    <m/>
    <x v="66"/>
    <s v="PIANE DI FALERONE"/>
    <m/>
    <m/>
    <s v="AREA DI SOSTA CAMPER CAMPER SERVICE - FALERONE"/>
  </r>
  <r>
    <x v="11"/>
    <s v="AREA DI SOSTA CAMPER COMUNALE"/>
    <s v="viale Michelangelo 1"/>
    <x v="80"/>
    <s v="piazzale delle corriere"/>
    <m/>
    <m/>
    <s v="AREA DI SOSTA CAMPER COMUNALE - URBANIA"/>
  </r>
  <r>
    <x v="11"/>
    <s v="AREA DI SOSTA DI SERRA SANT'ABBONDIO"/>
    <m/>
    <x v="70"/>
    <m/>
    <m/>
    <m/>
    <s v="AREA DI SOSTA DI SERRA SANT'ABBONDIO - SERRA SANT'ABBONDIO"/>
  </r>
  <r>
    <x v="11"/>
    <s v="AREA DI SOSTA PER CAMPER"/>
    <s v="VIA COLLI 1"/>
    <x v="53"/>
    <s v="MERGO"/>
    <s v="www.comune.mergo.an.it"/>
    <s v="poliziamunicipale@comune.mergo.an.it"/>
    <s v="AREA DI SOSTA PER CAMPER - MERGO"/>
  </r>
  <r>
    <x v="11"/>
    <s v="AREA SOSTA CAMPER"/>
    <m/>
    <x v="155"/>
    <s v="GRADARA"/>
    <s v="www.comune.gradara.pu.it"/>
    <s v="comune.gradara@provincia.ps.it"/>
    <s v="AREA SOSTA CAMPER - GRADARA"/>
  </r>
  <r>
    <x v="11"/>
    <s v="AREA SOSTA CAMPER"/>
    <s v="Via Cesare Maccari 33/A"/>
    <x v="15"/>
    <s v="LORETO"/>
    <m/>
    <s v="info@prolocoloreto.com"/>
    <s v="AREA SOSTA CAMPER - LORETO"/>
  </r>
  <r>
    <x v="11"/>
    <s v="AREA SOSTA CAMPER"/>
    <m/>
    <x v="121"/>
    <s v="località Pian dell'Elmo"/>
    <m/>
    <s v="ale.pagliuca60@tin.it"/>
    <s v="AREA SOSTA CAMPER - APIRO"/>
  </r>
  <r>
    <x v="11"/>
    <s v="AREA SOSTA CAMPER"/>
    <s v="CONTRADA GALLO snc"/>
    <x v="105"/>
    <s v="PROSSIMITA' IMPIANTI SPORTIVI"/>
    <s v="comune.cossignano.ap.it"/>
    <s v="pmcossignano@libero.it"/>
    <s v="AREA SOSTA CAMPER - COSSIGNANO"/>
  </r>
  <r>
    <x v="11"/>
    <s v="AREA SOSTA CAMPER"/>
    <m/>
    <x v="142"/>
    <m/>
    <m/>
    <s v="segreteria@comune.force.ap.it"/>
    <s v="AREA SOSTA CAMPER - FORCE"/>
  </r>
  <r>
    <x v="11"/>
    <s v="AREA SOSTA CAMPER - CAMERINO"/>
    <m/>
    <x v="42"/>
    <s v="CAMERINO"/>
    <s v="www.comune.camerino.mc.net"/>
    <s v="gianfranco.carimini@camerino.sinp.net"/>
    <s v="AREA SOSTA CAMPER - CAMERINO - CAMERINO"/>
  </r>
  <r>
    <x v="11"/>
    <s v="AREA SOSTA CAMPER - CASTELBELLINO"/>
    <m/>
    <x v="183"/>
    <s v="CASTELBELLINO"/>
    <m/>
    <m/>
    <s v="AREA SOSTA CAMPER - CASTELBELLINO - CASTELBELLINO"/>
  </r>
  <r>
    <x v="11"/>
    <s v="AREA SOSTA CAMPER - FABRIANO"/>
    <m/>
    <x v="21"/>
    <s v="ZONA IMPIANTI SPORTIVI"/>
    <m/>
    <m/>
    <s v="AREA SOSTA CAMPER - FABRIANO - FABRIANO"/>
  </r>
  <r>
    <x v="11"/>
    <s v="AREA SOSTA CAMPER - PIETRARUBBIA"/>
    <s v="via Montefeltresca 107"/>
    <x v="184"/>
    <s v="PIETRARUBBIA"/>
    <m/>
    <m/>
    <s v="AREA SOSTA CAMPER - PIETRARUBBIA - PIETRARUBBIA"/>
  </r>
  <r>
    <x v="11"/>
    <s v="AREA SOSTA CAMPER - PIEVEBOVIGLIANA"/>
    <s v="VIA RANCIA 1"/>
    <x v="185"/>
    <s v="PIEVEBOVIGLIANA"/>
    <m/>
    <s v="comune@pievebovigliana.sinp.net"/>
    <s v="AREA SOSTA CAMPER - PIEVEBOVIGLIANA - PIEVEBOVIGLIANA"/>
  </r>
  <r>
    <x v="11"/>
    <s v="AREA SOSTA CAMPER - POGGIO SAN ROMUALDO"/>
    <m/>
    <x v="21"/>
    <s v="LOC. POGGIO SAN ROMUALDO"/>
    <m/>
    <m/>
    <s v="AREA SOSTA CAMPER - POGGIO SAN ROMUALDO - FABRIANO"/>
  </r>
  <r>
    <x v="11"/>
    <s v="AREA SOSTA CAMPER - VIA CESARE PERUZZI"/>
    <m/>
    <x v="56"/>
    <m/>
    <m/>
    <m/>
    <s v="AREA SOSTA CAMPER - VIA CESARE PERUZZI - RECANATI"/>
  </r>
  <r>
    <x v="11"/>
    <s v="AREA SOSTA CAMPER I SIBILLINI"/>
    <m/>
    <x v="62"/>
    <s v="Zona Piandicontro"/>
    <m/>
    <m/>
    <s v="AREA SOSTA CAMPER I SIBILLINI - AMANDOLA"/>
  </r>
  <r>
    <x v="11"/>
    <s v="AREA SOSTA CAMPER LA PERLA DELL'ADRIATICO"/>
    <s v="via San Martino 13"/>
    <x v="47"/>
    <s v="porto san giorgio"/>
    <s v="www.areaperladelladriatico.it"/>
    <s v="info@areaperladelladriatico.it"/>
    <s v="AREA SOSTA CAMPER LA PERLA DELL'ADRIATICO - PORTO SAN GIORGIO"/>
  </r>
  <r>
    <x v="11"/>
    <s v="AREA SOSTA CAMPER PARCO LE QUERCE"/>
    <s v="via Pianacce 1"/>
    <x v="86"/>
    <s v="RISERVA NATURALE STATALE GOLA DEL FURLO"/>
    <s v="parcodelfurlo.it"/>
    <s v="info@parcodelfurlo.it"/>
    <s v="AREA SOSTA CAMPER PARCO LE QUERCE - ACQUALAGNA"/>
  </r>
  <r>
    <x v="11"/>
    <s v="AREA SOSTA CAMPER PIAZZA DEL MERCATO"/>
    <m/>
    <x v="148"/>
    <s v="PORTO POTENZA PICENA"/>
    <m/>
    <m/>
    <s v="AREA SOSTA CAMPER PIAZZA DEL MERCATO - POTENZA PICENA"/>
  </r>
  <r>
    <x v="11"/>
    <s v="AREA SOSTA CAMPER VIA B. VITTAZZI"/>
    <m/>
    <x v="186"/>
    <s v="strada provinciale del Pian Perduto"/>
    <m/>
    <s v="segreteria@castelsantangelo.sinp.net"/>
    <s v="AREA SOSTA CAMPER VIA B. VITTAZZI - CASTELSANTANGELO SUL NERA"/>
  </r>
  <r>
    <x v="1"/>
    <s v="ARENA"/>
    <s v="vicolo Sferisterio 16"/>
    <x v="0"/>
    <s v="MACERATA"/>
    <s v="www.albergoarena.com"/>
    <s v="info@albergoarena.com"/>
    <s v="ARENA - MACERATA"/>
  </r>
  <r>
    <x v="1"/>
    <s v="ARGENTINA"/>
    <s v="lungomare Alighieri 82"/>
    <x v="16"/>
    <s v="SENIGALLIA"/>
    <s v="www.hargentina.com"/>
    <s v="info@hargentina.com"/>
    <s v="ARGENTINA - SENIGALLIA"/>
  </r>
  <r>
    <x v="1"/>
    <s v="ARQUATA"/>
    <s v="frazione Piedilama 11"/>
    <x v="157"/>
    <s v="ARQUATA DEL TRONTO"/>
    <m/>
    <m/>
    <s v="ARQUATA - ARQUATA DEL TRONTO"/>
  </r>
  <r>
    <x v="3"/>
    <s v="ARRA CAMERE DI DOLCINI ANDREA"/>
    <s v="via Giulietti 39"/>
    <x v="8"/>
    <s v="SIROLO"/>
    <m/>
    <s v="arracamere@gmail.com"/>
    <s v="ARRA CAMERE DI DOLCINI ANDREA - SIROLO"/>
  </r>
  <r>
    <x v="5"/>
    <s v="ART B&amp;B"/>
    <s v="via Nuova  155"/>
    <x v="7"/>
    <s v="Mercatale"/>
    <s v="www.artbb.onweb.it"/>
    <s v="riminucci@gmail.com"/>
    <s v="ART B&amp;B - SASSOCORVARO"/>
  </r>
  <r>
    <x v="5"/>
    <s v="ART B&amp;B"/>
    <s v="via guido cavallotti 32"/>
    <x v="17"/>
    <s v="CIVITANOVA MARCHE"/>
    <s v="www.artbb.info"/>
    <s v="art.bb.cinzia@gmail.com"/>
    <s v="ART B&amp;B - CIVITANOVA MARCHE"/>
  </r>
  <r>
    <x v="4"/>
    <s v="ARTURO"/>
    <s v="spiaggia Urbani 1 1"/>
    <x v="8"/>
    <s v="Spiaggia Urbani"/>
    <s v="arturoresidence@hotmail.it"/>
    <s v="www.arturoresidencesirolo.com"/>
    <s v="ARTURO - SIROLO"/>
  </r>
  <r>
    <x v="1"/>
    <s v="ARTURO"/>
    <s v="via Spiaggia 1"/>
    <x v="8"/>
    <s v="SIROLO"/>
    <s v="www.arturoresidencesirolo.com"/>
    <s v="arturoresidence@hotmail.it"/>
    <s v="ARTURO - SIROLO"/>
  </r>
  <r>
    <x v="4"/>
    <s v="ARZILLA BEACH VILLAGE DI VINCENZI GIANLUCA"/>
    <s v="Via del Moletto 7 7"/>
    <x v="33"/>
    <s v="FANO"/>
    <m/>
    <s v="www.arzillabeach.it"/>
    <s v="ARZILLA BEACH VILLAGE DI VINCENZI GIANLUCA - FANO"/>
  </r>
  <r>
    <x v="5"/>
    <s v="ASCOLI ENJOY"/>
    <s v="Via Capitolina 1"/>
    <x v="151"/>
    <s v="ASCOLI PICENO"/>
    <m/>
    <s v="m.laurantonelli78@gmail.com"/>
    <s v="ASCOLI ENJOY - ASCOLI PICENO"/>
  </r>
  <r>
    <x v="5"/>
    <s v="ASCOLI PICENO"/>
    <s v="rua dei Vestini 2"/>
    <x v="151"/>
    <m/>
    <m/>
    <s v="silirica@gmail.com"/>
    <s v="ASCOLI PICENO - ASCOLI PICENO"/>
  </r>
  <r>
    <x v="5"/>
    <s v="ASCOLICENTRO B&amp;B DI HEIDI STIPA"/>
    <s v="via Tito Afranio 34"/>
    <x v="151"/>
    <s v="ASCOLI PICENO"/>
    <m/>
    <s v="heidi.stipa@poste.it"/>
    <s v="ASCOLICENTRO B&amp;B DI HEIDI STIPA - ASCOLI PICENO"/>
  </r>
  <r>
    <x v="1"/>
    <s v="ASTORIA"/>
    <s v="viale Trieste 86"/>
    <x v="69"/>
    <s v="PESARO"/>
    <s v="www.silmir.it/hotel-astoria-pesaro"/>
    <s v="hotelastoriapesaro@hotmail.it"/>
    <s v="ASTORIA - PESARO"/>
  </r>
  <r>
    <x v="1"/>
    <s v="ASTORIA"/>
    <s v="viale vittorio veneto 8"/>
    <x v="37"/>
    <s v="FERMO"/>
    <s v="www.hotelastoriafermo.it"/>
    <s v="info@hotelastoriafermo.it"/>
    <s v="ASTORIA - FERMO"/>
  </r>
  <r>
    <x v="1"/>
    <s v="ASTORIA GOURMET &amp; RELAX"/>
    <s v="viale cairoli 86"/>
    <x v="33"/>
    <s v="FANO"/>
    <s v="www.hotelastoriafano.it"/>
    <s v="info@hotelastoriafano.it"/>
    <s v="ASTORIA GOURMET &amp; RELAX - FANO"/>
  </r>
  <r>
    <x v="5"/>
    <s v="ATELIER B&amp;B DI POLI ELENA"/>
    <s v="via Rua del Labirinto 2"/>
    <x v="151"/>
    <s v="Centro Storico"/>
    <s v="www.artelierbb.it"/>
    <s v="info@artelierbb.it"/>
    <s v="ATELIER B&amp;B DI POLI ELENA - ASCOLI PICENO"/>
  </r>
  <r>
    <x v="1"/>
    <s v="ATHENA"/>
    <s v="viale pola 18"/>
    <x v="69"/>
    <s v="PESARO"/>
    <s v="www.hotelathena-pesaro.com"/>
    <s v="mail@hotelathena-pesaro.com"/>
    <s v="ATHENA - PESARO"/>
  </r>
  <r>
    <x v="1"/>
    <s v="ATLANTIC"/>
    <s v="via Panoramica 22"/>
    <x v="28"/>
    <s v="GABICCE MARE"/>
    <s v="www.hatlantic.it"/>
    <s v="info@hatlantic.it"/>
    <s v="ATLANTIC - GABICCE MARE"/>
  </r>
  <r>
    <x v="1"/>
    <s v="ATLANTIC"/>
    <s v="lungomare italia 8"/>
    <x v="16"/>
    <s v="SENIGALLIA"/>
    <s v="www.atlantic-hotel.it"/>
    <s v="info@atlantic-hotel.it"/>
    <s v="ATLANTIC - SENIGALLIA"/>
  </r>
  <r>
    <x v="5"/>
    <s v="ATTICO LUCE"/>
    <s v="Vicolo Nicolò Romani 3"/>
    <x v="44"/>
    <s v="OSIMO"/>
    <s v="www.bbatticoluce.it"/>
    <s v="a.badialetti@gmail.com"/>
    <s v="ATTICO LUCE - OSIMO"/>
  </r>
  <r>
    <x v="4"/>
    <s v="ATTILIO"/>
    <s v="Viale Giacomo Matteotti 21"/>
    <x v="17"/>
    <s v="CIVITANOVA MARCHE"/>
    <s v="lucia.montanari@fastwebnet.it"/>
    <s v="www.attilio.it"/>
    <s v="ATTILIO - CIVITANOVA MARCHE"/>
  </r>
  <r>
    <x v="4"/>
    <s v="ATTILIO"/>
    <m/>
    <x v="23"/>
    <m/>
    <m/>
    <s v="balneare@alice.it"/>
    <s v="ATTILIO - PORTO RECANATI"/>
  </r>
  <r>
    <x v="8"/>
    <s v="ATTIVITA' RICETTIVA RURALE - LEONDINA COUNTRY HOUSE"/>
    <s v="via san bartolo 76"/>
    <x v="60"/>
    <s v="CORINALDO"/>
    <s v="www.leondinacountryhouse.it"/>
    <s v="info@leondinacountryhouse.it"/>
    <s v="ATTIVITA' RICETTIVA RURALE - LEONDINA COUNTRY HOUSE - CORINALDO"/>
  </r>
  <r>
    <x v="8"/>
    <s v="ATTIVITA' RICETTIVA RURALE UNA"/>
    <s v="contrada Sant' Andrea 66"/>
    <x v="32"/>
    <s v="CUPRA MARITTIMA"/>
    <s v="www.countryhouseuna.com"/>
    <s v="info@countryhouseuna.com"/>
    <s v="ATTIVITA' RICETTIVA RURALE UNA - CUPRA MARITTIMA"/>
  </r>
  <r>
    <x v="1"/>
    <s v="AUGUSTA"/>
    <s v="via vittorio veneto 77"/>
    <x v="28"/>
    <s v="GABICCE MARE"/>
    <s v="www.hotelaugustagabicce.com"/>
    <s v="info@hotelaugustagabicce.com"/>
    <s v="AUGUSTA - GABICCE MARE"/>
  </r>
  <r>
    <x v="1"/>
    <s v="AUGUSTUS"/>
    <s v="via Giacomo Puccini 2"/>
    <x v="33"/>
    <s v="FANO"/>
    <s v="hotelaugustus.it"/>
    <s v="augustus@hotelaugustus.it"/>
    <s v="AUGUSTUS - FANO"/>
  </r>
  <r>
    <x v="1"/>
    <s v="AURORA"/>
    <s v="via Cristoforo Colombo 45"/>
    <x v="28"/>
    <s v="GABICCE MARE"/>
    <s v="www.gabiccemare.com/aurora"/>
    <s v="aurora@gabiccemare.com"/>
    <s v="AURORA - GABICCE MARE"/>
  </r>
  <r>
    <x v="0"/>
    <s v="AURORA"/>
    <s v="CONTRADA CIAFONE 98"/>
    <x v="30"/>
    <s v="Offida"/>
    <s v="www.viniaurora.it"/>
    <s v="enrico@viniaurora.it"/>
    <s v="AURORA - OFFIDA"/>
  </r>
  <r>
    <x v="1"/>
    <s v="AUSONIA"/>
    <s v="viale Cante di Montevecchio 43"/>
    <x v="143"/>
    <s v="MONTE PORZIO"/>
    <s v="www.hotelristoranteausonia.it"/>
    <s v="info@hotelristoranteausonia.it"/>
    <s v="AUSONIA - MONTE PORZIO"/>
  </r>
  <r>
    <x v="2"/>
    <s v="AVANA"/>
    <s v="via Perugia 5"/>
    <x v="16"/>
    <m/>
    <m/>
    <s v="info@residenceavana.it"/>
    <s v="AVANA - SENIGALLIA"/>
  </r>
  <r>
    <x v="0"/>
    <s v="AZ. AGRITURISTICA LA CANTINA DI PIZI FIORELLA"/>
    <s v="frazione Colonnata 85"/>
    <x v="151"/>
    <s v="località Colonnata"/>
    <s v="www.paginegialle.it/agriturismolacantina"/>
    <s v="flavia.cic@libero.it"/>
    <s v="AZ. AGRITURISTICA LA CANTINA DI PIZI FIORELLA - ASCOLI PICENO"/>
  </r>
  <r>
    <x v="0"/>
    <s v="AZIENDA AGRARIA ROCCHETTA"/>
    <s v="frazione rocchetta 23"/>
    <x v="21"/>
    <s v="FABRIANO"/>
    <m/>
    <s v="fabio.raggi@alice.it"/>
    <s v="AZIENDA AGRARIA ROCCHETTA - FABRIANO"/>
  </r>
  <r>
    <x v="0"/>
    <s v="AZIENDA AGRICOLA &quot;CA' MADDALENA&quot;"/>
    <s v="via giuseppe mazzini 1"/>
    <x v="152"/>
    <s v="FERMIGNANO"/>
    <s v="www.camaddalena.com"/>
    <s v="info@camaddalena.com"/>
    <s v="AZIENDA AGRICOLA &quot;CA' MADDALENA&quot; - FERMIGNANO"/>
  </r>
  <r>
    <x v="0"/>
    <s v="AZIENDA AGRICOLA AGRA MATER"/>
    <s v="VIA CONTRADA MONTI3 3"/>
    <x v="177"/>
    <s v="COLMURANO"/>
    <s v="www.agramater.com"/>
    <s v="info@agramater.com"/>
    <s v="AZIENDA AGRICOLA AGRA MATER - COLMURANO"/>
  </r>
  <r>
    <x v="0"/>
    <s v="AZIENDA AGRICOLA AGRITURISTICA IERVASCIO'"/>
    <s v="contrada s. michele18 12"/>
    <x v="3"/>
    <s v="RIPATRANSONE"/>
    <m/>
    <m/>
    <s v="AZIENDA AGRICOLA AGRITURISTICA IERVASCIO' - RIPATRANSONE"/>
  </r>
  <r>
    <x v="0"/>
    <s v="AZIENDA AGRICOLA ATTIDIUM DI CARTONI ALICE"/>
    <s v="località Attiggio 61"/>
    <x v="21"/>
    <m/>
    <m/>
    <s v="attidium@hotmail.it"/>
    <s v="AZIENDA AGRICOLA ATTIDIUM DI CARTONI ALICE - FABRIANO"/>
  </r>
  <r>
    <x v="0"/>
    <s v="AZIENDA AGRICOLA BELLAGAMBA FILIPPO"/>
    <s v="via Montebello 13,14"/>
    <x v="143"/>
    <s v="loc. Castelvecchio"/>
    <m/>
    <s v="gambarai@libero.it"/>
    <s v="AZIENDA AGRICOLA BELLAGAMBA FILIPPO - MONTE PORZIO"/>
  </r>
  <r>
    <x v="3"/>
    <s v="AZIENDA AGRICOLA CORONCINA DI MOSCHINI MELANIA"/>
    <s v="via Fossa 1"/>
    <x v="124"/>
    <m/>
    <s v="www.agriturismocoroncina.it"/>
    <s v="info@agriturismocoroncina.it"/>
    <s v="AZIENDA AGRICOLA CORONCINA DI MOSCHINI MELANIA - BELFORTE DEL CHIENTI"/>
  </r>
  <r>
    <x v="0"/>
    <s v="AZIENDA AGRICOLA DI BRECCIA GIUSEPPINA &amp; FIGLI"/>
    <m/>
    <x v="6"/>
    <m/>
    <m/>
    <m/>
    <s v="AZIENDA AGRICOLA DI BRECCIA GIUSEPPINA &amp; FIGLI - TOLENTINO"/>
  </r>
  <r>
    <x v="8"/>
    <s v="AZIENDA AGRICOLA FORESTALE CASIGLIANO DEI SIBILLINI"/>
    <m/>
    <x v="89"/>
    <s v="CASIGLIANO"/>
    <s v="www.incantodeisibillini.it"/>
    <m/>
    <s v="AZIENDA AGRICOLA FORESTALE CASIGLIANO DEI SIBILLINI - CESSAPALOMBO"/>
  </r>
  <r>
    <x v="0"/>
    <s v="AZIENDA AGRICOLA LE BORETTE S.A.S. DI PIEROBON ARNALDO E C."/>
    <m/>
    <x v="11"/>
    <s v="località Schito"/>
    <m/>
    <s v="info@leborette.it"/>
    <s v="AZIENDA AGRICOLA LE BORETTE S.A.S. DI PIEROBON ARNALDO E C. - SARNANO"/>
  </r>
  <r>
    <x v="0"/>
    <s v="AZIENDA AGRICOLA MANFREDI STEFANIA"/>
    <s v="contrada Case Nuove 61"/>
    <x v="187"/>
    <s v="CASTELLEONE DI SUASA"/>
    <m/>
    <s v="ggasparoni@libero.it"/>
    <s v="AZIENDA AGRICOLA MANFREDI STEFANIA - CASTELLEONE DI SUASA"/>
  </r>
  <r>
    <x v="0"/>
    <s v="AZIENDA AGRICOLA MARCONI KATIA"/>
    <s v="via Liscia 8"/>
    <x v="188"/>
    <m/>
    <m/>
    <s v="carlo.cap@alice.it"/>
    <s v="AZIENDA AGRICOLA MARCONI KATIA - OFFAGNA"/>
  </r>
  <r>
    <x v="0"/>
    <s v="AZIENDA AGRICOLA VITALI PINO E MASSIMO"/>
    <s v="C:DA PINO DI CONTRO sn"/>
    <x v="62"/>
    <m/>
    <m/>
    <s v="inestitente@regione.it"/>
    <s v="AZIENDA AGRICOLA VITALI PINO E MASSIMO - AMANDOLA"/>
  </r>
  <r>
    <x v="0"/>
    <s v="AZIENDA AGRITURISTICA &quot;CA' VERDESELLE&quot;"/>
    <s v="via san gregorio 22"/>
    <x v="152"/>
    <s v="FERMIGNANO"/>
    <s v="www.caverdeselle.it"/>
    <s v="info@caverdeselle.it"/>
    <s v="AZIENDA AGRITURISTICA &quot;CA' VERDESELLE&quot; - FERMIGNANO"/>
  </r>
  <r>
    <x v="0"/>
    <s v="AZIENDA AGRITURISTICA CANAPINA"/>
    <s v="Contrada Bagnolo 2"/>
    <x v="81"/>
    <s v="MONTECAROTTO"/>
    <s v="www.agriturismocanapina.it"/>
    <s v="info@agriturismocanapina.it"/>
    <s v="AZIENDA AGRITURISTICA CANAPINA - MONTECAROTTO"/>
  </r>
  <r>
    <x v="0"/>
    <s v="AZIENDA AGRITURISTICA CASA RASTIA"/>
    <s v="vocabolo rastia 1"/>
    <x v="145"/>
    <s v="MATELICA"/>
    <s v="www.casarastia.it"/>
    <s v="info@casarastia.it"/>
    <s v="AZIENDA AGRITURISTICA CASA RASTIA - MATELICA"/>
  </r>
  <r>
    <x v="0"/>
    <s v="AZIENDA AGRITURISTICA F.LLI FULVI"/>
    <s v="strada Ca' Rio 1"/>
    <x v="75"/>
    <s v="CAGLI"/>
    <m/>
    <m/>
    <s v="AZIENDA AGRITURISTICA F.LLI FULVI - CAGLI"/>
  </r>
  <r>
    <x v="0"/>
    <s v="AZIENDA AGRITURISTICA IL CASTELLARO"/>
    <s v="località Colle di Murazzano 8"/>
    <x v="46"/>
    <s v="località Colle di Murazzano"/>
    <s v="www.agriturismoilcastellaro.it"/>
    <s v="paris.castellaro@gmail.com"/>
    <s v="AZIENDA AGRITURISTICA IL CASTELLARO - SASSOFERRATO"/>
  </r>
  <r>
    <x v="0"/>
    <s v="AZIENDA AGRITURISTICA IL VERZIERE"/>
    <s v="loc. Verziere Cà l'Agostina snc"/>
    <x v="152"/>
    <s v="FERMIGNANO"/>
    <s v="www.verziere.it"/>
    <s v="info@verziere.it"/>
    <s v="AZIENDA AGRITURISTICA IL VERZIERE - FERMIGNANO"/>
  </r>
  <r>
    <x v="0"/>
    <s v="AZIENDA AGRITURISTICA LA SORGENTE"/>
    <s v="via Fondiglie 24"/>
    <x v="158"/>
    <s v="ROSORA"/>
    <s v="www.agriturismolecolline.eu"/>
    <s v="info@agriturismolecolline.eu"/>
    <s v="AZIENDA AGRITURISTICA LA SORGENTE - ROSORA"/>
  </r>
  <r>
    <x v="0"/>
    <s v="AZIENDA AGRITURISTICA LA TERRA DEL VENTO"/>
    <s v="via roma 21"/>
    <x v="45"/>
    <s v="MONTEFORTINO"/>
    <s v="agritursibillini.com"/>
    <s v="laterradelvento@libero.it"/>
    <s v="AZIENDA AGRITURISTICA LA TERRA DEL VENTO - MONTEFORTINO"/>
  </r>
  <r>
    <x v="0"/>
    <s v="AZIENDA AGRITURISTICA LE PERELLE"/>
    <s v="loc. Perelle 10"/>
    <x v="46"/>
    <s v="PERELLE"/>
    <s v="www.leperelle.com"/>
    <s v="leperelle@gmail.com"/>
    <s v="AZIENDA AGRITURISTICA LE PERELLE - SASSOFERRATO"/>
  </r>
  <r>
    <x v="0"/>
    <s v="AZIENDA AGRITURISTICA LE VILLE"/>
    <s v="via le Ville 1"/>
    <x v="174"/>
    <s v="loc. le Ville di Carpegna"/>
    <s v="www.levilleagriturismo.it"/>
    <s v="info@levilleagriturismo.it"/>
    <s v="AZIENDA AGRITURISTICA LE VILLE - CARPEGNA"/>
  </r>
  <r>
    <x v="0"/>
    <s v="AZIENDA AGRITURISTICA MATENANO"/>
    <s v="via del monastero 7"/>
    <x v="165"/>
    <s v="SANTA VITTORIA IN MATENANO"/>
    <m/>
    <m/>
    <s v="AZIENDA AGRITURISTICA MATENANO - SANTA VITTORIA IN MATENANO"/>
  </r>
  <r>
    <x v="0"/>
    <s v="AZIENDA AGRITURISTICA MURRI"/>
    <s v="via Molino  1"/>
    <x v="111"/>
    <m/>
    <m/>
    <s v="bernardo.belvederi@fastwebnet.it"/>
    <s v="AZIENDA AGRITURISTICA MURRI - SANT'ELPIDIO A MARE"/>
  </r>
  <r>
    <x v="0"/>
    <s v="AZIENDA AGRITURISTICA RIO TORBIDO 101"/>
    <s v="c.da Chiaravalle 47B"/>
    <x v="139"/>
    <m/>
    <m/>
    <s v="ilvecchiogranaio@alice.it"/>
    <s v="AZIENDA AGRITURISTICA RIO TORBIDO 101 - TREIA"/>
  </r>
  <r>
    <x v="0"/>
    <s v="AZIENDA AGRITURISTICA ROETA"/>
    <s v="contrada Barchetta 1"/>
    <x v="71"/>
    <s v="MONTE SAN MARTINO"/>
    <m/>
    <s v="magacirce@cheapnet.it"/>
    <s v="AZIENDA AGRITURISTICA ROETA - MONTE SAN MARTINO"/>
  </r>
  <r>
    <x v="0"/>
    <s v="AZIENDA AGRITURISTICA RUSTICO DEL CONERO"/>
    <s v="frazione Varano 199"/>
    <x v="10"/>
    <s v="ANCONA"/>
    <s v="www.rusticodelconero.it"/>
    <s v="info@rusticodelconero.it"/>
    <s v="AZIENDA AGRITURISTICA RUSTICO DEL CONERO - ANCONA"/>
  </r>
  <r>
    <x v="0"/>
    <s v="AZIENDA AGRITURISTICA TERRE DEL CHIENTI"/>
    <s v="contrada pianarucci 19"/>
    <x v="6"/>
    <s v="TOLENTINO"/>
    <s v="www.terredelchienti.it"/>
    <s v="info@terredelchienti.it"/>
    <s v="AZIENDA AGRITURISTICA TERRE DEL CHIENTI - TOLENTINO"/>
  </r>
  <r>
    <x v="0"/>
    <s v="AZIENDA AGRITURISTICA VIVAIO CLARETTA"/>
    <s v="via san gianno 20"/>
    <x v="189"/>
    <s v="PETRIANO"/>
    <s v="www.agriturismo-claretta.it"/>
    <s v="agriturimo.claretta@gmail.com"/>
    <s v="AZIENDA AGRITURISTICA VIVAIO CLARETTA - PETRIANO"/>
  </r>
  <r>
    <x v="0"/>
    <s v="AZIENDA BARTOLACCI DI PIERINI MONICA E MATTEO"/>
    <s v="strada del breccione 1"/>
    <x v="94"/>
    <s v="SAN COSTANZO"/>
    <s v="www.bartolacci.it"/>
    <s v="agriturismo@bartolacci.it"/>
    <s v="AZIENDA BARTOLACCI DI PIERINI MONICA E MATTEO - SAN COSTANZO"/>
  </r>
  <r>
    <x v="3"/>
    <s v="AZIENDA MASTROCOLA"/>
    <s v="c.da Salsaro Ete 37"/>
    <x v="27"/>
    <m/>
    <s v="www.azienda-mastrocola.com"/>
    <s v="info@azienda-mastrocola.com"/>
    <s v="AZIENDA MASTROCOLA - LORO PICENO"/>
  </r>
  <r>
    <x v="7"/>
    <s v="AZZARONI LILIANA"/>
    <s v="Via Volta 29"/>
    <x v="16"/>
    <s v="SENIGALLIA"/>
    <m/>
    <s v="affittiestivi@belenchia.com"/>
    <s v="AZZARONI LILIANA - SENIGALLIA"/>
  </r>
  <r>
    <x v="4"/>
    <s v="AZZURRA"/>
    <s v="via goito 1 1"/>
    <x v="22"/>
    <s v="FALCONARA MARITTIMA"/>
    <m/>
    <m/>
    <s v="AZZURRA - FALCONARA MARITTIMA"/>
  </r>
  <r>
    <x v="1"/>
    <s v="AZZURRA"/>
    <s v="via la Spezia 1"/>
    <x v="16"/>
    <s v="SENIGALLIA"/>
    <s v="www.hotelazzurrasenigallia.it"/>
    <s v="info@hotelazzurrasenigallia.com"/>
    <s v="AZZURRA - SENIGALLIA"/>
  </r>
  <r>
    <x v="5"/>
    <s v="AZZURRAMARE BED &amp; BREAKFAST"/>
    <s v="via Tirreno 13"/>
    <x v="5"/>
    <m/>
    <m/>
    <s v="info@azzurramare.it"/>
    <s v="AZZURRAMARE BED &amp; BREAKFAST - GROTTAMMARE"/>
  </r>
  <r>
    <x v="5"/>
    <s v="B&amp;B  ADRIANA"/>
    <s v="vicolo del quattrocento 2"/>
    <x v="60"/>
    <s v="CORINALDO"/>
    <s v="www.bbadriana-corinaldo.com"/>
    <s v="adrianacoccioni@tiscali.it"/>
    <s v="B&amp;B  ADRIANA - CORINALDO"/>
  </r>
  <r>
    <x v="5"/>
    <s v="B&amp;B  AL RESPIRO NEL BOSCO di GIACOMAZZI LUCA"/>
    <s v="contrada colvenale 10"/>
    <x v="159"/>
    <s v="CAMPOROTONDO DI FIASTRONE"/>
    <s v="www.alrespironelbosco.it"/>
    <s v="lucaematilde@alrespironelbosco.it"/>
    <s v="B&amp;B  AL RESPIRO NEL BOSCO di GIACOMAZZI LUCA - CAMPOROTONDO DI FIASTRONE"/>
  </r>
  <r>
    <x v="5"/>
    <s v="B&amp;B  At  VILLA SAN MARTINO"/>
    <s v="via ca' le suore 12"/>
    <x v="1"/>
    <s v="URBINO"/>
    <s v="www.villasanmartino.net"/>
    <s v="villasanctusmartini@libero.it"/>
    <s v="B&amp;B  At  VILLA SAN MARTINO - URBINO"/>
  </r>
  <r>
    <x v="5"/>
    <s v="B&amp;B  BELOHORIZONTE"/>
    <s v="via 2 Agosto 1980 8"/>
    <x v="0"/>
    <m/>
    <m/>
    <s v="info@residencebelohorizonte.com"/>
    <s v="B&amp;B  BELOHORIZONTE - MACERATA"/>
  </r>
  <r>
    <x v="5"/>
    <s v="B&amp;B &quot;IL GRANO E LE STELLE&quot; RELAIS"/>
    <s v="strada fabbrici ville 92"/>
    <x v="16"/>
    <s v="SENIGALLIA"/>
    <s v="www.ilgranoelestelle.com"/>
    <s v="ilgranoelestelle@gmail.com"/>
    <s v="B&amp;B &quot;IL GRANO E LE STELLE&quot; RELAIS - SENIGALLIA"/>
  </r>
  <r>
    <x v="5"/>
    <s v="B&amp;B 19"/>
    <s v="via Colle Lauro 19/A"/>
    <x v="167"/>
    <s v="CAMERANO"/>
    <m/>
    <s v="info@bb19.it"/>
    <s v="B&amp;B 19 - CAMERANO"/>
  </r>
  <r>
    <x v="5"/>
    <s v="B&amp;B 1912"/>
    <s v="via Armando Diaz 58"/>
    <x v="37"/>
    <s v="FERMO"/>
    <s v="www.bb1912.it"/>
    <s v="info@bb1912.it"/>
    <s v="B&amp;B 1912 - FERMO"/>
  </r>
  <r>
    <x v="5"/>
    <s v="B&amp;B 2GABRI"/>
    <s v="via delle Primule 43"/>
    <x v="151"/>
    <s v="ASCOLI PICENO"/>
    <s v="peroni.gabriella@gmail.com"/>
    <s v="peroni.gabriella@gmail.com"/>
    <s v="B&amp;B 2GABRI - ASCOLI PICENO"/>
  </r>
  <r>
    <x v="5"/>
    <s v="B&amp;B 43"/>
    <s v="via XX settembre 105"/>
    <x v="5"/>
    <m/>
    <s v="www.bb43.it"/>
    <s v="info@bb43.it"/>
    <s v="B&amp;B 43 - GROTTAMMARE"/>
  </r>
  <r>
    <x v="5"/>
    <s v="B&amp;B 5 ALBERI VACANZE"/>
    <s v="via Gualdo 7"/>
    <x v="13"/>
    <m/>
    <s v="www.5alberi.com"/>
    <s v="info@5alberi.com"/>
    <s v="B&amp;B 5 ALBERI VACANZE - BELVEDERE OSTRENSE"/>
  </r>
  <r>
    <x v="5"/>
    <s v="B&amp;B A 2 PASSI"/>
    <s v="VIA DEL PONTE 15"/>
    <x v="33"/>
    <m/>
    <m/>
    <s v="breakaduepassi@gmail.com"/>
    <s v="B&amp;B A 2 PASSI - FANO"/>
  </r>
  <r>
    <x v="5"/>
    <s v="B&amp;B A CASA DA MATILDE"/>
    <s v="strada nazionale flaminia 124"/>
    <x v="33"/>
    <s v="FANO"/>
    <s v="www.acasadamatilde.it"/>
    <s v="info@acasadamatilde.it"/>
    <s v="B&amp;B A CASA DA MATILDE - FANO"/>
  </r>
  <r>
    <x v="5"/>
    <s v="B&amp;B A CASA DI ADRIA"/>
    <s v="via Lepanto 12"/>
    <x v="47"/>
    <m/>
    <s v="www.bebadria.it"/>
    <s v="info@bebadria.it"/>
    <s v="B&amp;B A CASA DI ADRIA - PORTO SAN GIORGIO"/>
  </r>
  <r>
    <x v="5"/>
    <s v="B&amp;B A CASA DI ANNA"/>
    <s v="via De Gasperi  3"/>
    <x v="91"/>
    <m/>
    <m/>
    <m/>
    <s v="B&amp;B A CASA DI ANNA - PERGOLA"/>
  </r>
  <r>
    <x v="5"/>
    <s v="B&amp;B A CASA DI CIUCIU'"/>
    <s v="via Santa Veneranda 3"/>
    <x v="41"/>
    <m/>
    <s v="www.acasadiciuciu.com"/>
    <s v="acasadiciuciu@gmail.com"/>
    <s v="B&amp;B A CASA DI CIUCIU' - MONTEMARCIANO"/>
  </r>
  <r>
    <x v="5"/>
    <s v="B&amp;B A CASA DI ERNESTO"/>
    <s v="VIA GUARNIERI 7"/>
    <x v="33"/>
    <m/>
    <m/>
    <s v="acasadiernesto.fano@gmail.com"/>
    <s v="B&amp;B A CASA DI ERNESTO - FANO"/>
  </r>
  <r>
    <x v="5"/>
    <s v="B&amp;B A CASA DI ILARIA"/>
    <s v="via Ciccolungo 102"/>
    <x v="37"/>
    <m/>
    <m/>
    <s v="assuntam51@libero.it"/>
    <s v="B&amp;B A CASA DI ILARIA - FERMO"/>
  </r>
  <r>
    <x v="5"/>
    <s v="B&amp;B A CASA DI LAURA"/>
    <s v="via Castellaro 5"/>
    <x v="53"/>
    <m/>
    <m/>
    <s v="bbacasadilaura@gmail.com"/>
    <s v="B&amp;B A CASA DI LAURA - MERGO"/>
  </r>
  <r>
    <x v="5"/>
    <s v="B&amp;B A CASA DI LORI"/>
    <s v="via San Pietro Orgiano 13"/>
    <x v="37"/>
    <s v="Capodarco di Fermo"/>
    <s v="www.acasadilori.it"/>
    <s v=" info@acasadilori.it"/>
    <s v="B&amp;B A CASA DI LORI - FERMO"/>
  </r>
  <r>
    <x v="5"/>
    <s v="B&amp;B A CASA DI LUCIA"/>
    <s v="via Giulio Scampoli 4"/>
    <x v="2"/>
    <s v="Sassuglio"/>
    <s v="www.acasadilucia.com"/>
    <s v="info@acasadilucia.com"/>
    <s v="B&amp;B A CASA DI LUCIA - SAN SEVERINO MARCHE"/>
  </r>
  <r>
    <x v="5"/>
    <s v="B&amp;B A CASA DI MAEL"/>
    <s v="strada P.Nenni 4/6"/>
    <x v="94"/>
    <s v="loc. Cerasa"/>
    <m/>
    <s v="acasadimael@gmail.com"/>
    <s v="B&amp;B A CASA DI MAEL - SAN COSTANZO"/>
  </r>
  <r>
    <x v="5"/>
    <s v="B&amp;B A CASA DI MAURO"/>
    <s v="strada Querciabella 179"/>
    <x v="16"/>
    <s v="Vallone"/>
    <m/>
    <s v="maurowiller@alice.it"/>
    <s v="B&amp;B A CASA DI MAURO - SENIGALLIA"/>
  </r>
  <r>
    <x v="5"/>
    <s v="B&amp;B A CASA DI MAX"/>
    <s v="località Ponte Nina 14"/>
    <x v="55"/>
    <s v="Marina di Campofilone"/>
    <s v="www.acasadimax.org"/>
    <s v="acasadimax@hotmail.com"/>
    <s v="B&amp;B A CASA DI MAX - CAMPOFILONE"/>
  </r>
  <r>
    <x v="5"/>
    <s v="B&amp;B A CASA DI MEG"/>
    <s v="contrada Piane di Trocco 1"/>
    <x v="150"/>
    <m/>
    <s v="acasadimeg@ymail.com OK"/>
    <s v="mariana_gereda@yahoo.com"/>
    <s v="B&amp;B A CASA DI MEG - MONSAMPOLO DEL TRONTO"/>
  </r>
  <r>
    <x v="5"/>
    <s v="B&amp;B A CASA DI PAOLO"/>
    <s v="contrada san francesco 26"/>
    <x v="5"/>
    <s v="GROTTAMMARE"/>
    <s v="www.acasadipaolo.it"/>
    <s v="amadiopaolo@libero.it"/>
    <s v="B&amp;B A CASA DI PAOLO - GROTTAMMARE"/>
  </r>
  <r>
    <x v="5"/>
    <s v="B&amp;B A CASA DI PICI"/>
    <s v="contrada Acquabona 7"/>
    <x v="148"/>
    <s v="frazione PORTO"/>
    <s v="www.acasadipici.it"/>
    <s v="pici@acasadipici.it"/>
    <s v="B&amp;B A CASA DI PICI - POTENZA PICENA"/>
  </r>
  <r>
    <x v="5"/>
    <s v="B&amp;B A CASA DI PINA"/>
    <s v="VIA VILLA VALLE 9"/>
    <x v="45"/>
    <m/>
    <m/>
    <s v="giuseppinapieroni@gmail.com"/>
    <s v="B&amp;B A CASA DI PINA - MONTEFORTINO"/>
  </r>
  <r>
    <x v="5"/>
    <s v="B&amp;B A CASA DI SARA"/>
    <s v="frazione san silvestro strada intercomunale 146"/>
    <x v="16"/>
    <s v="SENIGALLIA"/>
    <s v="www.acasadisara.com"/>
    <s v="acasadisara@libero.it"/>
    <s v="B&amp;B A CASA DI SARA - SENIGALLIA"/>
  </r>
  <r>
    <x v="5"/>
    <s v="B&amp;B A CASA DI.."/>
    <s v="via Ballestra 69"/>
    <x v="5"/>
    <m/>
    <m/>
    <s v="acasadilolu@gmail.com"/>
    <s v="B&amp;B A CASA DI.. - GROTTAMMARE"/>
  </r>
  <r>
    <x v="5"/>
    <s v="B&amp;B A CASA MIA"/>
    <s v="via Colonna 25"/>
    <x v="1"/>
    <s v="loc. Trasanni"/>
    <m/>
    <s v="tecla1111@yahoo.it"/>
    <s v="B&amp;B A CASA MIA - URBINO"/>
  </r>
  <r>
    <x v="5"/>
    <s v="B&amp;B A CASA MIA"/>
    <s v="localita' casini soccorso 7"/>
    <x v="16"/>
    <s v="SENIGALLIA"/>
    <s v="www.acasamiavacanze.it"/>
    <s v="a.casamia@virgilio.it"/>
    <s v="B&amp;B A CASA MIA - SENIGALLIA"/>
  </r>
  <r>
    <x v="5"/>
    <s v="B&amp;B A CASA MIA"/>
    <s v="Via Madonnina 43"/>
    <x v="8"/>
    <s v="SIROLO"/>
    <m/>
    <s v="lucia.pigliapoco@gmail.com"/>
    <s v="B&amp;B A CASA MIA - SIROLO"/>
  </r>
  <r>
    <x v="5"/>
    <s v="B&amp;B A CASA MIA"/>
    <s v="via regina margherita 40"/>
    <x v="17"/>
    <s v="CIVITANOVA MARCHE"/>
    <m/>
    <m/>
    <s v="B&amp;B A CASA MIA - CIVITANOVA MARCHE"/>
  </r>
  <r>
    <x v="5"/>
    <s v="B&amp;B A CASA TUA"/>
    <s v="via Giovanni Pascoli 18"/>
    <x v="17"/>
    <m/>
    <m/>
    <s v="bandbacasatua@gmail.com"/>
    <s v="B&amp;B A CASA TUA - CIVITANOVA MARCHE"/>
  </r>
  <r>
    <x v="5"/>
    <s v="B&amp;B A DUE PASSI"/>
    <s v="via Asdrubali 42"/>
    <x v="15"/>
    <s v="www.aduepassi.loreto.it"/>
    <m/>
    <s v="info@aduepassiloreto.it"/>
    <s v="B&amp;B A DUE PASSI - LORETO"/>
  </r>
  <r>
    <x v="5"/>
    <s v="B&amp;B A DUE PASSI"/>
    <s v="C. Saccoccia 6"/>
    <x v="151"/>
    <s v="Ascoli Piceno"/>
    <m/>
    <s v="info@aduepassi.eu"/>
    <s v="B&amp;B A DUE PASSI - ASCOLI PICENO"/>
  </r>
  <r>
    <x v="5"/>
    <s v="B&amp;B A DUE PASSI DAL MARE"/>
    <s v="via Colle Piceno 6"/>
    <x v="9"/>
    <s v="NUMANA"/>
    <s v="www.aduepassidalmare.info"/>
    <s v="info@aduepassidalmare.info"/>
    <s v="B&amp;B A DUE PASSI DAL MARE - NUMANA"/>
  </r>
  <r>
    <x v="5"/>
    <s v="B&amp;B A DUE PASSI DAL MARE"/>
    <s v="via Strada Terza 28"/>
    <x v="16"/>
    <m/>
    <m/>
    <s v="ginmaur1@tin.it"/>
    <s v="B&amp;B A DUE PASSI DAL MARE - SENIGALLIA"/>
  </r>
  <r>
    <x v="5"/>
    <s v="B&amp;B A MARE di PALADINI PATRIZIA"/>
    <s v="lungomare italia 8"/>
    <x v="16"/>
    <s v="SENIGALLIA"/>
    <s v="amarebedandbreakfast.wordpress.com"/>
    <s v="bbamare@gmail.com"/>
    <s v="B&amp;B A MARE di PALADINI PATRIZIA - SENIGALLIA"/>
  </r>
  <r>
    <x v="5"/>
    <s v="B&amp;B A PALAZZO"/>
    <s v="largo Evangelista  1"/>
    <x v="37"/>
    <s v="FERMO"/>
    <s v="www.apalazzo.com"/>
    <s v="bernetti@libero.it"/>
    <s v="B&amp;B A PALAZZO - FERMO"/>
  </r>
  <r>
    <x v="5"/>
    <s v="B&amp;B A PORTATA DI MARE"/>
    <s v="piazzale Crocefisso 10"/>
    <x v="15"/>
    <m/>
    <s v="www.bed-and-breakfast-loreto.it"/>
    <s v="aportatadimare@gmail.com"/>
    <s v="B&amp;B A PORTATA DI MARE - LORETO"/>
  </r>
  <r>
    <x v="5"/>
    <s v="B&amp;B ABACO - ALMA DOMUS"/>
    <s v="via mainardi 1"/>
    <x v="1"/>
    <s v="URBINO"/>
    <s v="www.almadomus.it"/>
    <s v="almadomus@gmail.com"/>
    <s v="B&amp;B ABACO - ALMA DOMUS - URBINO"/>
  </r>
  <r>
    <x v="5"/>
    <s v="B&amp;B ABBADIA 14"/>
    <s v="via Abbadia 14"/>
    <x v="44"/>
    <m/>
    <s v="www.abbadia14.it"/>
    <s v="bnbabbadia14@gmail.com"/>
    <s v="B&amp;B ABBADIA 14 - OSIMO"/>
  </r>
  <r>
    <x v="5"/>
    <s v="B&amp;B ABBAZIA SANT'ELENA"/>
    <s v="via Sant'Elena 34"/>
    <x v="72"/>
    <s v="sant'elena"/>
    <m/>
    <s v="info@abbaziasantelena.com"/>
    <s v="B&amp;B ABBAZIA SANT'ELENA - SERRA SAN QUIRICO"/>
  </r>
  <r>
    <x v="5"/>
    <s v="B&amp;B ACACIA"/>
    <s v="via strada provinciale numero 9 feltresca 63"/>
    <x v="1"/>
    <s v="URBINO"/>
    <s v="www.acaciaurbino.it"/>
    <s v="sdenti@libero.it"/>
    <s v="B&amp;B ACACIA - URBINO"/>
  </r>
  <r>
    <x v="5"/>
    <s v="B&amp;B ACANTO GARDEN"/>
    <s v="loc. Varano di Sopra 14"/>
    <x v="42"/>
    <s v="loc. Varano di Sopra, 14"/>
    <s v="www.acantogarden.com"/>
    <s v="emanuelataccari@gmail.com"/>
    <s v="B&amp;B ACANTO GARDEN - CAMERINO"/>
  </r>
  <r>
    <x v="5"/>
    <s v="B&amp;B ACERO CAMPESTRE"/>
    <s v="via S.ta Elisabetta 4"/>
    <x v="29"/>
    <s v="FERMO"/>
    <s v="www.acerocampestre.it"/>
    <s v="info@acerocampestre.it"/>
    <s v="B&amp;B ACERO CAMPESTRE - LAPEDONA"/>
  </r>
  <r>
    <x v="5"/>
    <s v="B&amp;B ACQUA MARINA"/>
    <s v="via Frana 32"/>
    <x v="5"/>
    <m/>
    <m/>
    <s v="iobbidomenico@libero.it"/>
    <s v="B&amp;B ACQUA MARINA - GROTTAMMARE"/>
  </r>
  <r>
    <x v="5"/>
    <s v="B&amp;B ADRIATICO"/>
    <s v="largo E. Fileni 13"/>
    <x v="12"/>
    <s v="SAN BENEDETTO DEL TRONTO"/>
    <s v="bbadriatico.altervista.org"/>
    <s v="tatianacharnina@libero.it"/>
    <s v="B&amp;B ADRIATICO - SAN BENEDETTO DEL TRONTO"/>
  </r>
  <r>
    <x v="5"/>
    <s v="B&amp;B AESIS - LA DOLCE COLLINA"/>
    <s v="via Maccarata 2"/>
    <x v="4"/>
    <s v="JESI"/>
    <s v="www.marchenet.it/ladolcecollina"/>
    <s v="luigpaol@mercurio.it"/>
    <s v="B&amp;B AESIS - LA DOLCE COLLINA - JESI"/>
  </r>
  <r>
    <x v="5"/>
    <s v="B&amp;B AGLI ULIVI DI MASCIO"/>
    <s v="via Metola 5"/>
    <x v="104"/>
    <m/>
    <m/>
    <s v="luca.gregorini@virgilio.it"/>
    <s v="B&amp;B AGLI ULIVI DI MASCIO - OSTRA VETERE"/>
  </r>
  <r>
    <x v="5"/>
    <s v="B&amp;B AGNANO PICCOLO"/>
    <s v="localita' poggio maddalena 1"/>
    <x v="42"/>
    <s v="CAMERINO"/>
    <m/>
    <s v="simonettafonseca@virgilio.it"/>
    <s v="B&amp;B AGNANO PICCOLO - CAMERINO"/>
  </r>
  <r>
    <x v="5"/>
    <s v="B&amp;B AGORA'"/>
    <s v="via San Egidio 23"/>
    <x v="69"/>
    <s v="PESARO"/>
    <m/>
    <s v="curina.francesco@gmail.com"/>
    <s v="B&amp;B AGORA' - PESARO"/>
  </r>
  <r>
    <x v="5"/>
    <s v="B&amp;B AGORA'"/>
    <s v="via Montorso 57/a"/>
    <x v="15"/>
    <m/>
    <s v="www.agora-bb.it"/>
    <s v="infoagorabb@gmail.com"/>
    <s v="B&amp;B AGORA' - LORETO"/>
  </r>
  <r>
    <x v="5"/>
    <s v="B&amp;B AGRICOLA LE GRAZIE"/>
    <s v="via della Libertà 20"/>
    <x v="190"/>
    <m/>
    <m/>
    <s v="agricolalegrazie@gmail.com"/>
    <s v="B&amp;B AGRICOLA LE GRAZIE - MAGLIANO DI TENNA"/>
  </r>
  <r>
    <x v="5"/>
    <s v="B&amp;B AGRIFOGLIO"/>
    <s v="Via Faleriense 3921"/>
    <x v="111"/>
    <m/>
    <m/>
    <s v="barbarasimonelli24@gmail.com"/>
    <s v="B&amp;B AGRIFOGLIO - SANT'ELPIDIO A MARE"/>
  </r>
  <r>
    <x v="5"/>
    <s v="B&amp;B AI CIPRESSI"/>
    <s v="via Mainardi 3"/>
    <x v="1"/>
    <s v="URBINO"/>
    <s v="www.cipressiurbino.it"/>
    <s v="cipressiurbino@gmail.com"/>
    <s v="B&amp;B AI CIPRESSI - URBINO"/>
  </r>
  <r>
    <x v="5"/>
    <s v="B&amp;B AI PIEDI DEL CATRIA"/>
    <s v="via Strada del Caprile 2"/>
    <x v="138"/>
    <s v="FRONTONE"/>
    <s v="www.aipiedidelcatria.it"/>
    <s v="pmorbi@tin.it"/>
    <s v="B&amp;B AI PIEDI DEL CATRIA - FRONTONE"/>
  </r>
  <r>
    <x v="5"/>
    <s v="B&amp;B AI QUATTRO ULIVI"/>
    <s v="via Grecia 2 51"/>
    <x v="102"/>
    <m/>
    <s v="www.aiquattroulivi.it"/>
    <s v="lu.iacovelli@hotmail.it"/>
    <s v="B&amp;B AI QUATTRO ULIVI - MONTE URANO"/>
  </r>
  <r>
    <x v="5"/>
    <s v="B&amp;B AILANTO"/>
    <s v="via D.Berloni  3"/>
    <x v="52"/>
    <s v="CARTOCETO"/>
    <s v="www.ailanto-beb.com"/>
    <s v="emiliano.eusepi@hotmail.com"/>
    <s v="B&amp;B AILANTO - CARTOCETO"/>
  </r>
  <r>
    <x v="5"/>
    <s v="B&amp;B AL CASALE"/>
    <s v="viale vittoria 143"/>
    <x v="27"/>
    <s v="LORO PICENO"/>
    <s v="www.alcasale.com"/>
    <s v="barbara@borgosorbatti.it"/>
    <s v="B&amp;B AL CASALE - LORO PICENO"/>
  </r>
  <r>
    <x v="5"/>
    <s v="B&amp;B AL CASTELLANO"/>
    <s v="via Mediterraneo 8"/>
    <x v="151"/>
    <s v="ASCOLI PICENO"/>
    <m/>
    <m/>
    <s v="B&amp;B AL CASTELLANO - ASCOLI PICENO"/>
  </r>
  <r>
    <x v="5"/>
    <s v="B&amp;B AL CASTELLO DI MONTALFOGLIO"/>
    <s v="piazza San Martino 2"/>
    <x v="64"/>
    <s v="Montalfoglio"/>
    <s v="www.montalfoglio.it"/>
    <s v="info@montalfoglio.it"/>
    <s v="B&amp;B AL CASTELLO DI MONTALFOGLIO - SAN LORENZO IN CAMPO"/>
  </r>
  <r>
    <x v="5"/>
    <s v="B&amp;B AL COPPO"/>
    <s v="Via Coppo 22/A"/>
    <x v="8"/>
    <s v="SIROLO"/>
    <s v="www.alcoppo.com"/>
    <s v="info@alcoppo.com"/>
    <s v="B&amp;B AL COPPO - SIROLO"/>
  </r>
  <r>
    <x v="5"/>
    <s v="B&amp;B AL MAGO RANCH con scuola d'equitazione"/>
    <s v="loc. Lipparelli 2"/>
    <x v="26"/>
    <s v="CINGOLI"/>
    <s v="www.magoranch.com"/>
    <s v="info@magoranch.com"/>
    <s v="B&amp;B AL MAGO RANCH con scuola d'equitazione - CINGOLI"/>
  </r>
  <r>
    <x v="5"/>
    <s v="B&amp;B AL MARE"/>
    <s v="Loc. Ponte Nina 22"/>
    <x v="55"/>
    <s v="loc. Ponte Nina"/>
    <m/>
    <m/>
    <s v="B&amp;B AL MARE - CAMPOFILONE"/>
  </r>
  <r>
    <x v="5"/>
    <s v="B&amp;B AL MARE"/>
    <s v="via Rossini 19"/>
    <x v="47"/>
    <s v="PORTO SAN GIORGIO"/>
    <s v="www.bb-almare.it"/>
    <s v="info@bb-almare.it"/>
    <s v="B&amp;B AL MARE - PORTO SAN GIORGIO"/>
  </r>
  <r>
    <x v="5"/>
    <s v="B&amp;B AL MARE di STEFANIA D'ANGELO"/>
    <s v="lungomare Gramsci 449"/>
    <x v="47"/>
    <m/>
    <s v="www.bb-almare.it"/>
    <s v="info@bb-almare.it"/>
    <s v="B&amp;B AL MARE di STEFANIA D'ANGELO - PORTO SAN GIORGIO"/>
  </r>
  <r>
    <x v="5"/>
    <s v="B&amp;B AL MULINO"/>
    <s v="Via Molino delle Ginestre 29"/>
    <x v="85"/>
    <s v="FOSSOMBRONE"/>
    <s v="www.bbalmulino.it"/>
    <s v="info@bbalmulino.it"/>
    <s v="B&amp;B AL MULINO - FOSSOMBRONE"/>
  </r>
  <r>
    <x v="5"/>
    <s v="B&amp;B AL NIDO"/>
    <s v="Via strada provinciale montefabbri 32"/>
    <x v="1"/>
    <s v="URBINO"/>
    <m/>
    <s v="rettori@libero.it"/>
    <s v="B&amp;B AL NIDO - URBINO"/>
  </r>
  <r>
    <x v="5"/>
    <s v="B&amp;B AL RIFUGIO DiVINO DI LANDI LUCIANO"/>
    <s v="via Gavigliano 16"/>
    <x v="13"/>
    <s v="BELVEDERE OSTRENSE"/>
    <s v="www.aziendalandi.it"/>
    <s v="aziendalandi@aziendalandi.it"/>
    <s v="B&amp;B AL RIFUGIO DiVINO DI LANDI LUCIANO - BELVEDERE OSTRENSE"/>
  </r>
  <r>
    <x v="5"/>
    <s v="B&amp;B AL SOLE"/>
    <s v="via martiri delle foibe 42"/>
    <x v="17"/>
    <s v="CIVITANOVA MARCHE"/>
    <s v="www.bebalsole.it"/>
    <s v="info@bebalsole.it"/>
    <s v="B&amp;B AL SOLE - CIVITANOVA MARCHE"/>
  </r>
  <r>
    <x v="5"/>
    <s v="B&amp;B AL TRIVIO"/>
    <s v="via del Trivio 36"/>
    <x v="151"/>
    <s v="ASCOLI PICENO"/>
    <s v="www.altrivio.biz"/>
    <s v="info@altrivio.biz"/>
    <s v="B&amp;B AL TRIVIO - ASCOLI PICENO"/>
  </r>
  <r>
    <x v="5"/>
    <s v="B&amp;B AL VECCHIO CIPRESSO"/>
    <s v="Via Corinaldese 32"/>
    <x v="60"/>
    <s v="CORINALDO"/>
    <s v="nelloros.jimdo.com"/>
    <s v="lalaurina80@libero.it"/>
    <s v="B&amp;B AL VECCHIO CIPRESSO - CORINALDO"/>
  </r>
  <r>
    <x v="5"/>
    <s v="B&amp;B AL VECCHIO OLMO"/>
    <s v="Moricone 2"/>
    <x v="8"/>
    <s v="SIROLO"/>
    <m/>
    <s v="info@alvecchioolmo.it"/>
    <s v="B&amp;B AL VECCHIO OLMO - SIROLO"/>
  </r>
  <r>
    <x v="5"/>
    <s v="B&amp;B AL VILLINO DEL SOLE"/>
    <s v="via Loc.Chiaruccia 78"/>
    <x v="33"/>
    <s v="Bellocchi"/>
    <s v="www.alvillinodelsole.it"/>
    <s v="info@alvillinodelsole.it"/>
    <s v="B&amp;B AL VILLINO DEL SOLE - FANO"/>
  </r>
  <r>
    <x v="5"/>
    <s v="B&amp;B AL VIVERE VERDE"/>
    <s v="via Bramante  9/c"/>
    <x v="16"/>
    <m/>
    <m/>
    <s v="alvivereverde@virgilio.it"/>
    <s v="B&amp;B AL VIVERE VERDE - SENIGALLIA"/>
  </r>
  <r>
    <x v="5"/>
    <s v="B&amp;B ALAN ERIC NEILSON"/>
    <s v="via Bramante 4"/>
    <x v="191"/>
    <m/>
    <m/>
    <s v="cecchinato.virna@tiscali.it"/>
    <s v="B&amp;B ALAN ERIC NEILSON - MONTEFELCINO"/>
  </r>
  <r>
    <x v="5"/>
    <s v="B&amp;B ALBA CHIARA"/>
    <s v="via Rossini 28"/>
    <x v="191"/>
    <s v="loc. Ponte degli Alberi"/>
    <m/>
    <s v="lupini.elisabetta@gmail.com"/>
    <s v="B&amp;B ALBA CHIARA - MONTEFELCINO"/>
  </r>
  <r>
    <x v="5"/>
    <s v="B&amp;B ALBA CHIARA"/>
    <s v="BARCAGLIONE  15"/>
    <x v="22"/>
    <m/>
    <m/>
    <s v="francagabrielloni@hotmail.com"/>
    <s v="B&amp;B ALBA CHIARA - FALCONARA MARITTIMA"/>
  </r>
  <r>
    <x v="5"/>
    <s v="B&amp;B ALBA MARINA"/>
    <s v="via Antonio Gramsci 22"/>
    <x v="163"/>
    <m/>
    <s v="www.bbalbamarina.it"/>
    <s v="info@bbalbamarina.it"/>
    <s v="B&amp;B ALBA MARINA - PORTO SANT'ELPIDIO"/>
  </r>
  <r>
    <x v="5"/>
    <s v="B&amp;B ALBA SUL MARE"/>
    <s v="via Monte Conero 90"/>
    <x v="12"/>
    <m/>
    <s v="www.bbalbasulmare.it"/>
    <s v="albasulmare@email.it"/>
    <s v="B&amp;B ALBA SUL MARE - SAN BENEDETTO DEL TRONTO"/>
  </r>
  <r>
    <x v="5"/>
    <s v="B&amp;B ALBANESI CLAUDIA"/>
    <s v="via Nicola Monti 28"/>
    <x v="151"/>
    <m/>
    <m/>
    <m/>
    <s v="B&amp;B ALBANESI CLAUDIA - ASCOLI PICENO"/>
  </r>
  <r>
    <x v="5"/>
    <s v="B&amp;B ALBATROS"/>
    <s v="via Todaro 18 18"/>
    <x v="12"/>
    <m/>
    <m/>
    <s v="frisoli.ernesto@gmail.com"/>
    <s v="B&amp;B ALBATROS - SAN BENEDETTO DEL TRONTO"/>
  </r>
  <r>
    <x v="5"/>
    <s v="B&amp;B ALBERTINI ALESSIO"/>
    <s v="Via Francesco Ricci 45"/>
    <x v="151"/>
    <s v="ASCOLI PICENO"/>
    <m/>
    <m/>
    <s v="B&amp;B ALBERTINI ALESSIO - ASCOLI PICENO"/>
  </r>
  <r>
    <x v="5"/>
    <s v="B&amp;B ALBERTO DEL ZOMPO"/>
    <s v="via piemonte 147"/>
    <x v="12"/>
    <s v="SAN BENEDETTO DEL TRONTO"/>
    <m/>
    <m/>
    <s v="B&amp;B ALBERTO DEL ZOMPO - SAN BENEDETTO DEL TRONTO"/>
  </r>
  <r>
    <x v="5"/>
    <s v="B&amp;B ALBERTO HOUSE"/>
    <s v="via giordano bruno 35"/>
    <x v="192"/>
    <s v="TAVOLETO"/>
    <m/>
    <s v="celestinomagnani@libero.it"/>
    <s v="B&amp;B ALBERTO HOUSE - TAVOLETO"/>
  </r>
  <r>
    <x v="5"/>
    <s v="B&amp;B ALBORNOZ"/>
    <s v="via dei Maceri 23"/>
    <x v="1"/>
    <m/>
    <s v="www.bbalbornoz.com"/>
    <s v="email@bbalbornoz.com"/>
    <s v="B&amp;B ALBORNOZ - URBINO"/>
  </r>
  <r>
    <x v="5"/>
    <s v="B&amp;B ALCE ANGELO"/>
    <s v="localita' uvaiolo 28"/>
    <x v="2"/>
    <s v="SAN SEVERINO MARCHE"/>
    <m/>
    <s v="angelo.alce@alice.it"/>
    <s v="B&amp;B ALCE ANGELO - SAN SEVERINO MARCHE"/>
  </r>
  <r>
    <x v="5"/>
    <s v="B&amp;B ALESI SAVERIO"/>
    <m/>
    <x v="12"/>
    <m/>
    <m/>
    <s v="saverio.alesi@gmail.com"/>
    <s v="B&amp;B ALESI SAVERIO - SAN BENEDETTO DEL TRONTO"/>
  </r>
  <r>
    <x v="5"/>
    <s v="B&amp;B ALFRED CHATELAIN"/>
    <m/>
    <x v="12"/>
    <s v="SAN BENEDETTO DEL TRONTO"/>
    <m/>
    <s v="sciarramassimo@aliceposta.it"/>
    <s v="B&amp;B ALFRED CHATELAIN - SAN BENEDETTO DEL TRONTO"/>
  </r>
  <r>
    <x v="5"/>
    <s v="B&amp;B ALLA LUNA"/>
    <s v="c.da Musone 23"/>
    <x v="56"/>
    <m/>
    <s v="bballaluna.com"/>
    <s v="toccaceli15@alice.it"/>
    <s v="B&amp;B ALLA LUNA - RECANATI"/>
  </r>
  <r>
    <x v="5"/>
    <s v="B&amp;B ALLE PENDICI DEL CONERO"/>
    <s v="via Montecolombo 32"/>
    <x v="8"/>
    <m/>
    <s v="www.conerobedandbreakfast.it"/>
    <s v="info@allependicidelconero.it"/>
    <s v="B&amp;B ALLE PENDICI DEL CONERO - SIROLO"/>
  </r>
  <r>
    <x v="5"/>
    <s v="B&amp;B ALLE PENDICI DEL CONERO II"/>
    <s v="via Montecolombo 32"/>
    <x v="8"/>
    <m/>
    <s v="www.immobiliaresirolo.it/camere"/>
    <s v="info@fuedimmobiliare.it"/>
    <s v="B&amp;B ALLE PENDICI DEL CONERO II - SIROLO"/>
  </r>
  <r>
    <x v="5"/>
    <s v="B&amp;B ALL'INFINITO"/>
    <s v="c.da Barbolano 31"/>
    <x v="133"/>
    <m/>
    <m/>
    <s v="missjole@libero.it"/>
    <s v="B&amp;B ALL'INFINITO - ALTIDONA"/>
  </r>
  <r>
    <x v="5"/>
    <s v="B&amp;B ALL'OMBRA DEGLI ULIVI"/>
    <s v="via dell' Unione 17"/>
    <x v="193"/>
    <m/>
    <m/>
    <s v="ombraulivimarche@gmail.com"/>
    <s v="B&amp;B ALL'OMBRA DEGLI ULIVI - SAN MARCELLO"/>
  </r>
  <r>
    <x v="5"/>
    <s v="B&amp;B ALMA ANTIGUA"/>
    <s v="via Lamaticci 10"/>
    <x v="10"/>
    <s v="ANCONA"/>
    <m/>
    <s v="ivapino@alice.it"/>
    <s v="B&amp;B ALMA ANTIGUA - ANCONA"/>
  </r>
  <r>
    <x v="5"/>
    <s v="B&amp;B AMADIO FRANCESCO"/>
    <s v="via Faiano 84"/>
    <x v="151"/>
    <m/>
    <m/>
    <m/>
    <s v="B&amp;B AMADIO FRANCESCO - ASCOLI PICENO"/>
  </r>
  <r>
    <x v="5"/>
    <s v="B&amp;B AMADIO ROSA"/>
    <s v="contrada Crocifisso 2"/>
    <x v="105"/>
    <s v="COSSIGNANO"/>
    <m/>
    <s v="infocollesavoia@gmail.com"/>
    <s v="B&amp;B AMADIO ROSA - COSSIGNANO"/>
  </r>
  <r>
    <x v="5"/>
    <s v="B&amp;B AMALIA FURNO"/>
    <s v="strada delle Primule 22"/>
    <x v="69"/>
    <s v="PESARO"/>
    <m/>
    <m/>
    <s v="B&amp;B AMALIA FURNO - PESARO"/>
  </r>
  <r>
    <x v="5"/>
    <s v="B&amp;B AMENDOLA"/>
    <s v="Corso Amendola 6"/>
    <x v="10"/>
    <s v="ANCONA"/>
    <m/>
    <s v="amendolabeb@yahoo.com"/>
    <s v="B&amp;B AMENDOLA - ANCONA"/>
  </r>
  <r>
    <x v="5"/>
    <s v="B&amp;B AMOR DI LAVANDA"/>
    <s v="LOCALITA' FONTE DEL PIANO 1"/>
    <x v="26"/>
    <s v="FONTE DEL PIANO"/>
    <m/>
    <s v="logiudice_alessandra@hotmail.it"/>
    <s v="B&amp;B AMOR DI LAVANDA - CINGOLI"/>
  </r>
  <r>
    <x v="5"/>
    <s v="B&amp;B AMPIAVISTA"/>
    <s v="via Bramante 66/a"/>
    <x v="1"/>
    <m/>
    <m/>
    <s v="ampiavista@libero.it"/>
    <s v="B&amp;B AMPIAVISTA - URBINO"/>
  </r>
  <r>
    <x v="5"/>
    <s v="B&amp;B AMURRI DOMENICA"/>
    <s v="strada comunale san biagio 9"/>
    <x v="5"/>
    <s v="GROTTAMMARE"/>
    <m/>
    <s v="sandro.esposito@gmail.com"/>
    <s v="B&amp;B AMURRI DOMENICA - GROTTAMMARE"/>
  </r>
  <r>
    <x v="5"/>
    <s v="B&amp;B ANCONA"/>
    <s v="via Cardeto 3"/>
    <x v="10"/>
    <m/>
    <s v="www.anconabb.it"/>
    <s v="info@anconabb.it"/>
    <s v="B&amp;B ANCONA - ANCONA"/>
  </r>
  <r>
    <x v="5"/>
    <s v="B&amp;B ANDY"/>
    <m/>
    <x v="17"/>
    <m/>
    <m/>
    <s v="eduardodiaco@hotmail.com"/>
    <s v="B&amp;B ANDY - CIVITANOVA MARCHE"/>
  </r>
  <r>
    <x v="5"/>
    <s v="B&amp;B ANGELA GARDEN"/>
    <s v="contrada San Pietro 2"/>
    <x v="194"/>
    <s v="SERVIGLIANO"/>
    <s v="www.angelagarden.it"/>
    <s v="info@angelagarden.it"/>
    <s v="B&amp;B ANGELA GARDEN - SERVIGLIANO"/>
  </r>
  <r>
    <x v="5"/>
    <s v="B&amp;B ANGELI DEL BORGO"/>
    <s v="via san marco evangelista 37"/>
    <x v="91"/>
    <s v="PERGOLA"/>
    <s v="www.angelidelborgo.it"/>
    <m/>
    <s v="B&amp;B ANGELI DEL BORGO - PERGOLA"/>
  </r>
  <r>
    <x v="5"/>
    <s v="B&amp;B ANGELO CUSTODE"/>
    <s v="strada della Rupola 6"/>
    <x v="69"/>
    <s v="PESARO"/>
    <s v="www.loredanacipressi.it"/>
    <s v="loredana.cipressi@yahoo.it"/>
    <s v="B&amp;B ANGELO CUSTODE - PESARO"/>
  </r>
  <r>
    <x v="5"/>
    <s v="B&amp;B ANGELOTTI SERINO"/>
    <s v="via g. panelli 3"/>
    <x v="19"/>
    <s v="ACQUAVIVA PICENA"/>
    <m/>
    <m/>
    <s v="B&amp;B ANGELOTTI SERINO - ACQUAVIVA PICENA"/>
  </r>
  <r>
    <x v="5"/>
    <s v="B&amp;B ANGELOZZI DE FEUDIS GIACOMO"/>
    <s v="Via Cincinelli 38"/>
    <x v="0"/>
    <s v="MACERATA"/>
    <s v="www.bbangelozzi.it"/>
    <s v="bbandreozzi@gmail.com"/>
    <s v="B&amp;B ANGELOZZI DE FEUDIS GIACOMO - MACERATA"/>
  </r>
  <r>
    <x v="5"/>
    <s v="B&amp;B ANNA MARIA DI MARCO"/>
    <s v="via Giacinto Cantalamessa 32"/>
    <x v="151"/>
    <s v="ASCOLI PICENO"/>
    <m/>
    <s v="amdm1964@libero.it; lorenzoascoli@hotmail.it"/>
    <s v="B&amp;B ANNA MARIA DI MARCO - ASCOLI PICENO"/>
  </r>
  <r>
    <x v="5"/>
    <s v="B&amp;B ANNA MARIA PALLOTTINI"/>
    <s v="corso umberto i 55"/>
    <x v="130"/>
    <s v="MONTEDINOVE"/>
    <m/>
    <s v="gialima@tiscali.it"/>
    <s v="B&amp;B ANNA MARIA PALLOTTINI - MONTEDINOVE"/>
  </r>
  <r>
    <x v="5"/>
    <s v="B&amp;B ANNA MONINI"/>
    <s v="DEI SODERINI 10"/>
    <x v="151"/>
    <s v="ASCOLI PICENO"/>
    <s v="studiomonini@tin.it"/>
    <m/>
    <s v="B&amp;B ANNA MONINI - ASCOLI PICENO"/>
  </r>
  <r>
    <x v="5"/>
    <s v="B&amp;B ANNA RITA"/>
    <s v="VIA 2 GIUGNO 21"/>
    <x v="134"/>
    <s v="POZZETTO DI CASTELPLANIO"/>
    <m/>
    <s v="ivomicucci@libero.it"/>
    <s v="B&amp;B ANNA RITA - CASTELPLANIO"/>
  </r>
  <r>
    <x v="5"/>
    <s v="B&amp;B ANTEGIANO"/>
    <s v="via Madonna d'Antegiano  3"/>
    <x v="124"/>
    <m/>
    <s v="www.bbantegiano.com"/>
    <s v="v.leonangeli@alice.it"/>
    <s v="B&amp;B ANTEGIANO - BELFORTE DEL CHIENTI"/>
  </r>
  <r>
    <x v="5"/>
    <s v="B&amp;B ANTICA BIBLIOTECA DI MICHELE BERNETTI EVANGELISTA"/>
    <s v="GOFFREDO MAMELI  5"/>
    <x v="37"/>
    <m/>
    <m/>
    <s v="bernettiev@gmail.com"/>
    <s v="B&amp;B ANTICA BIBLIOTECA DI MICHELE BERNETTI EVANGELISTA - FERMO"/>
  </r>
  <r>
    <x v="5"/>
    <s v="B&amp;B ANTICA CAMPAGNA"/>
    <s v="C.da San Francesco 16"/>
    <x v="56"/>
    <m/>
    <s v="www.anticacampagna.it"/>
    <s v="info@anticacampagna.it"/>
    <s v="B&amp;B ANTICA CAMPAGNA - RECANATI"/>
  </r>
  <r>
    <x v="5"/>
    <s v="B&amp;B ANTICA DIMORA di ANNA MARIA CAUCCI"/>
    <s v="via xx settembre 13"/>
    <x v="151"/>
    <s v="ASCOLI PICENO"/>
    <s v="www.dimorantica.altervista.org"/>
    <s v="dimorantica@gmail.com"/>
    <s v="B&amp;B ANTICA DIMORA di ANNA MARIA CAUCCI - ASCOLI PICENO"/>
  </r>
  <r>
    <x v="5"/>
    <s v="B&amp;B ANTICA FONTE DEL LATTE"/>
    <s v="Via della Fonte Vecchia 2"/>
    <x v="165"/>
    <s v="Frazione Ponte Maglio"/>
    <s v="www.anticafontedellatte.it"/>
    <s v="sciamannapina@gmail.com"/>
    <s v="B&amp;B ANTICA FONTE DEL LATTE - SANTA VITTORIA IN MATENANO"/>
  </r>
  <r>
    <x v="5"/>
    <s v="B&amp;B ANTICHI GELSI"/>
    <s v="contrada Schito 54"/>
    <x v="139"/>
    <m/>
    <s v="www.antichigelsi.it"/>
    <s v="info@antichigelsi.it"/>
    <s v="B&amp;B ANTICHI GELSI - TREIA"/>
  </r>
  <r>
    <x v="5"/>
    <s v="B&amp;B ANTICO BORGO PICENO"/>
    <s v="via San Serafino da Montegranaro 73"/>
    <x v="151"/>
    <s v="ASCOLI PICENO"/>
    <m/>
    <s v="panichimancini@tin.it"/>
    <s v="B&amp;B ANTICO BORGO PICENO - ASCOLI PICENO"/>
  </r>
  <r>
    <x v="5"/>
    <s v="B&amp;B ANTICO GELSO"/>
    <s v="strada della Donnella 116"/>
    <x v="16"/>
    <m/>
    <m/>
    <s v="info@bbanticogelso.it"/>
    <s v="B&amp;B ANTICO GELSO - SENIGALLIA"/>
  </r>
  <r>
    <x v="5"/>
    <s v="B&amp;B ANTICO GIACIGLIO di DANIELA BENIGNI"/>
    <s v="via Roma 6"/>
    <x v="99"/>
    <m/>
    <m/>
    <m/>
    <s v="B&amp;B ANTICO GIACIGLIO di DANIELA BENIGNI - MONTELUPONE"/>
  </r>
  <r>
    <x v="5"/>
    <s v="B&amp;B ANTICO POMERIO"/>
    <s v="via Matteotti 18"/>
    <x v="44"/>
    <m/>
    <s v="www.bb-anticopomerio.it"/>
    <s v="info@bb-anticopomerio.it"/>
    <s v="B&amp;B ANTICO POMERIO - OSIMO"/>
  </r>
  <r>
    <x v="5"/>
    <s v="B&amp;B ANTICO ULIVO"/>
    <s v="via Cesare Pavese 1"/>
    <x v="195"/>
    <s v="Calcinelli"/>
    <s v="www.anticoulivo.com"/>
    <s v="anticoulivo@libero.it"/>
    <s v="B&amp;B ANTICO ULIVO - SALTARA"/>
  </r>
  <r>
    <x v="5"/>
    <s v="B&amp;B ANTIGUA"/>
    <s v="via Pietro Nenni 22"/>
    <x v="148"/>
    <s v="POTENZA PICENA"/>
    <s v="www.antigua-doge.it"/>
    <s v="info@antigua-doge.it"/>
    <s v="B&amp;B ANTIGUA - POTENZA PICENA"/>
  </r>
  <r>
    <x v="5"/>
    <s v="B&amp;B ANTONIA COFANO"/>
    <s v="via Michelangelo Buonarroti 68"/>
    <x v="77"/>
    <s v="Cà Gallo"/>
    <m/>
    <s v="ristoranteilcrinale@alice.it"/>
    <s v="B&amp;B ANTONIA COFANO - MONTECALVO IN FOGLIA"/>
  </r>
  <r>
    <x v="5"/>
    <s v="B&amp;B APOLLO 26"/>
    <s v="via Rua D'Apollo 26"/>
    <x v="151"/>
    <m/>
    <s v="www.bbapollo26.it"/>
    <s v="info@bbapollo26.it"/>
    <s v="B&amp;B APOLLO 26 - ASCOLI PICENO"/>
  </r>
  <r>
    <x v="5"/>
    <s v="B&amp;B APPARTAMENTI OLEANDRO"/>
    <s v="viale Guglielmo Marconi 8"/>
    <x v="151"/>
    <s v="ASCOLI PICENO"/>
    <s v="www.casa-adriana.it"/>
    <s v="info@casa-adriana.it"/>
    <s v="B&amp;B APPARTAMENTI OLEANDRO - ASCOLI PICENO"/>
  </r>
  <r>
    <x v="5"/>
    <s v="B&amp;B APPARTAMENTI ORTENSIA"/>
    <s v="viale Guglielmo Marconi 8"/>
    <x v="151"/>
    <s v="ASCOLI PICENO"/>
    <s v="www.casa-adriana.it/"/>
    <s v="info@casa-adriana.it"/>
    <s v="B&amp;B APPARTAMENTI ORTENSIA - ASCOLI PICENO"/>
  </r>
  <r>
    <x v="5"/>
    <s v="B&amp;B AQUILEGIA"/>
    <s v="via Furlo 12"/>
    <x v="86"/>
    <s v="Furlo"/>
    <s v="www.aquilegiabeb.com"/>
    <s v="info@aquilegiabeb.com"/>
    <s v="B&amp;B AQUILEGIA - ACQUALAGNA"/>
  </r>
  <r>
    <x v="5"/>
    <s v="B&amp;B AQUILONE"/>
    <s v="viale Antonio Gramsci 22"/>
    <x v="1"/>
    <s v="URBINO"/>
    <s v="www.bbaquilone.com"/>
    <s v="info@bbaquilone.com"/>
    <s v="B&amp;B AQUILONE - URBINO"/>
  </r>
  <r>
    <x v="5"/>
    <s v="B&amp;B ARATRO E ROSMARINO"/>
    <s v="via San Domenico 40"/>
    <x v="17"/>
    <m/>
    <m/>
    <s v="rogante.ambra@gmail.com"/>
    <s v="B&amp;B ARATRO E ROSMARINO - CIVITANOVA MARCHE"/>
  </r>
  <r>
    <x v="5"/>
    <s v="B&amp;B ARBUATTI ANTONIO"/>
    <s v="Via Ischia 62"/>
    <x v="9"/>
    <s v="NUMANA"/>
    <m/>
    <m/>
    <s v="B&amp;B ARBUATTI ANTONIO - NUMANA"/>
  </r>
  <r>
    <x v="5"/>
    <s v="B&amp;B ARCO ANTICO di CIARALLI FLAVIO EMANUELE"/>
    <s v="rua dell'Arco 5"/>
    <x v="151"/>
    <s v="ASCOLI PICENO"/>
    <s v="www.bebarcoantico.com"/>
    <s v="bebarcoantico@gmail.com"/>
    <s v="B&amp;B ARCO ANTICO di CIARALLI FLAVIO EMANUELE - ASCOLI PICENO"/>
  </r>
  <r>
    <x v="5"/>
    <s v="B&amp;B ARCO DI FILIPPO'"/>
    <s v="frazione Spelonga 103"/>
    <x v="157"/>
    <s v="ARQUATA DEL TRONTO"/>
    <m/>
    <m/>
    <s v="B&amp;B ARCO DI FILIPPO' - ARQUATA DEL TRONTO"/>
  </r>
  <r>
    <x v="5"/>
    <s v="B&amp;B ARCOBALENO"/>
    <s v="Via Due Giugno 9"/>
    <x v="12"/>
    <s v="SAN BENEDETTO DEL TRONTO"/>
    <m/>
    <s v="federica.perozzi@gmail.com"/>
    <s v="B&amp;B ARCOBALENO - SAN BENEDETTO DEL TRONTO"/>
  </r>
  <r>
    <x v="5"/>
    <s v="B&amp;B ARIA DI CASA MIA"/>
    <s v="via a. bianchini 6"/>
    <x v="33"/>
    <s v="FANO"/>
    <m/>
    <s v="tonucci.maurizio@libero.it"/>
    <s v="B&amp;B ARIA DI CASA MIA - FANO"/>
  </r>
  <r>
    <x v="5"/>
    <s v="B&amp;B ARIA PULITA"/>
    <s v="corso Gregorio Schiavi 8"/>
    <x v="35"/>
    <s v="ACQUASANTA TERME"/>
    <m/>
    <s v="mauriall@yahoo.it"/>
    <s v="B&amp;B ARIA PULITA - ACQUASANTA TERME"/>
  </r>
  <r>
    <x v="5"/>
    <s v="B&amp;B ARMONIA"/>
    <s v="via Montegrappa 33"/>
    <x v="10"/>
    <s v="ANCONA"/>
    <m/>
    <s v="magister09@libero.it"/>
    <s v="B&amp;B ARMONIA - ANCONA"/>
  </r>
  <r>
    <x v="5"/>
    <s v="B&amp;B ARMONIA DELLA SERA"/>
    <s v="contrada Pescolla 8/a"/>
    <x v="163"/>
    <m/>
    <m/>
    <s v="daniela.pier@libero.it"/>
    <s v="B&amp;B ARMONIA DELLA SERA - PORTO SANT'ELPIDIO"/>
  </r>
  <r>
    <x v="5"/>
    <s v="B&amp;B AROMANTICA"/>
    <s v="via Paganello 4"/>
    <x v="161"/>
    <s v="contrada Paganello"/>
    <s v="www.aromantica.net"/>
    <s v="info@aromantica.net"/>
    <s v="B&amp;B AROMANTICA - CUPRAMONTANA"/>
  </r>
  <r>
    <x v="5"/>
    <s v="B&amp;B ARTS AND MUSIC"/>
    <s v="corso Garibaldi, 110 110"/>
    <x v="10"/>
    <s v="centro"/>
    <s v="www.bbancona.com"/>
    <s v="chicco_1986@hotmail.it"/>
    <s v="B&amp;B ARTS AND MUSIC - ANCONA"/>
  </r>
  <r>
    <x v="5"/>
    <s v="B&amp;B ARZILLA"/>
    <s v="via Centinarola  9"/>
    <x v="33"/>
    <m/>
    <m/>
    <s v="info@bbarzilla.it"/>
    <s v="B&amp;B ARZILLA - FANO"/>
  </r>
  <r>
    <x v="5"/>
    <s v="B&amp;B ASCOLI ANTICA"/>
    <s v="Corso Trento e Trieste 6"/>
    <x v="151"/>
    <s v="ASCOLI PICENO"/>
    <s v="www.ascolianticabb.it"/>
    <s v="info@ascolianticabb.it"/>
    <s v="B&amp;B ASCOLI ANTICA - ASCOLI PICENO"/>
  </r>
  <r>
    <x v="5"/>
    <s v="B&amp;B ASCOLI E'..."/>
    <s v="corso Mazzini 84"/>
    <x v="151"/>
    <s v="ASCOLI PICENO"/>
    <m/>
    <s v="info@bebdeimerletti.it"/>
    <s v="B&amp;B ASCOLI E'... - ASCOLI PICENO"/>
  </r>
  <r>
    <x v="5"/>
    <s v="B&amp;B ASTOLFI MARCO"/>
    <s v="frazione castro 70"/>
    <x v="84"/>
    <s v="MONTEGALLO"/>
    <m/>
    <m/>
    <s v="B&amp;B ASTOLFI MARCO - MONTEGALLO"/>
  </r>
  <r>
    <x v="5"/>
    <s v="B&amp;B ATTICO MARE I"/>
    <s v="via Marconi 60"/>
    <x v="12"/>
    <s v="SAN BENEDETTO DEL TRONTO"/>
    <s v="www.atticomare.it"/>
    <s v="info@atticomare.it"/>
    <s v="B&amp;B ATTICO MARE I - SAN BENEDETTO DEL TRONTO"/>
  </r>
  <r>
    <x v="5"/>
    <s v="B&amp;B AURO di BERNARDINI IVO"/>
    <s v="loc. Molino 19"/>
    <x v="61"/>
    <s v="BORGO PACE"/>
    <m/>
    <s v="ivobernardini@libero.it"/>
    <s v="B&amp;B AURO di BERNARDINI IVO - BORGO PACE"/>
  </r>
  <r>
    <x v="5"/>
    <s v="B&amp;B AURORA"/>
    <s v="via Lazzaro Bernabei 3"/>
    <x v="10"/>
    <s v="ANCONA"/>
    <m/>
    <s v="annapaolaorazi@yahoo.it"/>
    <s v="B&amp;B AURORA - ANCONA"/>
  </r>
  <r>
    <x v="5"/>
    <s v="B&amp;B AURORA DOMUS D-AMARE"/>
    <s v="via Carlo Cattaneo 33"/>
    <x v="69"/>
    <s v="PESARO"/>
    <m/>
    <s v="aurorabbpesaro@gmail.com"/>
    <s v="B&amp;B AURORA DOMUS D-AMARE - PESARO"/>
  </r>
  <r>
    <x v="5"/>
    <s v="B&amp;B AUSSIE HOME di FIORAVANTI ANNARITA"/>
    <s v="via Vincenzo Gioberti 5"/>
    <x v="151"/>
    <s v="ASCOLI PICENO"/>
    <s v="www.aussiehome.eu"/>
    <s v="aussiehome@hotmail.it"/>
    <s v="B&amp;B AUSSIE HOME di FIORAVANTI ANNARITA - ASCOLI PICENO"/>
  </r>
  <r>
    <x v="5"/>
    <s v="B&amp;B AZZURROMARE"/>
    <s v="via Siena 16"/>
    <x v="163"/>
    <s v="PORTO SANT' ELPIDIO"/>
    <s v="www.azzurromarerosapriscilla.it"/>
    <s v="alfred5@alice.it"/>
    <s v="B&amp;B AZZURROMARE - PORTO SANT'ELPIDIO"/>
  </r>
  <r>
    <x v="5"/>
    <s v="B&amp;B BADIALI ORNELLA"/>
    <s v="via alcide de gasperi 8"/>
    <x v="10"/>
    <s v="ANCONA"/>
    <m/>
    <m/>
    <s v="B&amp;B BADIALI ORNELLA - ANCONA"/>
  </r>
  <r>
    <x v="5"/>
    <s v="B&amp;B BAJOCCHI GIANCARLA"/>
    <s v="Petrarca 6"/>
    <x v="33"/>
    <s v="FANO"/>
    <m/>
    <s v="dacarla.fano@gmail.com"/>
    <s v="B&amp;B BAJOCCHI GIANCARLA - FANO"/>
  </r>
  <r>
    <x v="5"/>
    <s v="B&amp;B BALDELLI DIANA"/>
    <s v="via P. Bembo 15"/>
    <x v="80"/>
    <s v="Monte Berticchio"/>
    <m/>
    <s v="ago.palmitessa@gmail.com"/>
    <s v="B&amp;B BALDELLI DIANA - URBANIA"/>
  </r>
  <r>
    <x v="5"/>
    <s v="B&amp;B BATES GEOFFREY"/>
    <s v="largo lucentini 5"/>
    <x v="51"/>
    <s v="PETRITOLI"/>
    <m/>
    <m/>
    <s v="B&amp;B BATES GEOFFREY - PETRITOLI"/>
  </r>
  <r>
    <x v="5"/>
    <s v="B&amp;B BEA VILLA BEA"/>
    <s v="Contrada Colcù 1"/>
    <x v="90"/>
    <s v="CALDAROLA"/>
    <m/>
    <s v="beavillabea@gmail.com"/>
    <s v="B&amp;B BEA VILLA BEA - CALDAROLA"/>
  </r>
  <r>
    <x v="5"/>
    <s v="B&amp;B BELLA ASCOLI"/>
    <s v="via delle Zeppelle 87"/>
    <x v="151"/>
    <s v="ASCOLI PICENO"/>
    <s v="www.bellaascoli.it"/>
    <s v="info@bellaascoli.it"/>
    <s v="B&amp;B BELLA ASCOLI - ASCOLI PICENO"/>
  </r>
  <r>
    <x v="5"/>
    <s v="B&amp;B BELLAVISTA"/>
    <s v="via delle Genghe 7"/>
    <x v="1"/>
    <s v="Canavaccio"/>
    <m/>
    <s v="pierpaoli.giuseppina@gmail.com"/>
    <s v="B&amp;B BELLAVISTA - URBINO"/>
  </r>
  <r>
    <x v="5"/>
    <s v="B&amp;B BELLE MARCHE"/>
    <s v="contrada san savino 59/B"/>
    <x v="17"/>
    <s v="CIVITANOVA MARCHE ALTA"/>
    <s v="www.bellemarchebb.it"/>
    <m/>
    <s v="B&amp;B BELLE MARCHE - CIVITANOVA MARCHE"/>
  </r>
  <r>
    <x v="5"/>
    <s v="B&amp;B BELLEGGIA"/>
    <s v="contrada san michele 47"/>
    <x v="32"/>
    <s v="CUPRA MARITTIMA"/>
    <s v="www.bebdegliangeli.it"/>
    <s v="studiopatriziocapriotti@tin.it"/>
    <s v="B&amp;B BELLEGGIA - CUPRA MARITTIMA"/>
  </r>
  <r>
    <x v="5"/>
    <s v="B&amp;B BELLO COME IL SOLE"/>
    <s v="via Montesicuro 200"/>
    <x v="10"/>
    <m/>
    <m/>
    <s v="marina.pietroni@gmail.com"/>
    <s v="B&amp;B BELLO COME IL SOLE - ANCONA"/>
  </r>
  <r>
    <x v="5"/>
    <s v="B&amp;B BELO ORIZZONTE"/>
    <s v="via Regina Margherita 107"/>
    <x v="17"/>
    <m/>
    <m/>
    <s v="horizonte.bb@gmail.com"/>
    <s v="B&amp;B BELO ORIZZONTE - CIVITANOVA MARCHE"/>
  </r>
  <r>
    <x v="5"/>
    <s v="B&amp;B BELSIT"/>
    <s v="via Tiziano Vecellio 49"/>
    <x v="47"/>
    <m/>
    <s v="www.bedandbreakfastbelsit.it"/>
    <s v="info@bedandbreakfastbelsit.it"/>
    <s v="B&amp;B BELSIT - PORTO SAN GIORGIO"/>
  </r>
  <r>
    <x v="5"/>
    <s v="B&amp;B BELVEDERE"/>
    <s v="via Fratelli Picchi 3"/>
    <x v="3"/>
    <m/>
    <s v="www.belvederebnb.it"/>
    <s v="info@belvederebnb.it"/>
    <s v="B&amp;B BELVEDERE - RIPATRANSONE"/>
  </r>
  <r>
    <x v="5"/>
    <s v="B&amp;B BELVEDERE SUL LAGO"/>
    <s v="via ruffella 2"/>
    <x v="74"/>
    <s v="FIASTRA"/>
    <m/>
    <s v="a-merlini@libero.it"/>
    <s v="B&amp;B BELVEDERE SUL LAGO - FIASTRA"/>
  </r>
  <r>
    <x v="5"/>
    <s v="B&amp;B BENCIVENNI DI UGOLINI VERONICA"/>
    <s v="via Bencivenni 13"/>
    <x v="76"/>
    <m/>
    <s v="http://www.altometauro.it/BeB_Bencivenni/"/>
    <s v="pcincilla@gmail.com"/>
    <s v="B&amp;B BENCIVENNI DI UGOLINI VERONICA - MERCATELLO SUL METAURO"/>
  </r>
  <r>
    <x v="5"/>
    <s v="B&amp;B BERKOVITS"/>
    <s v="VIA SAN BIAGIO 8"/>
    <x v="37"/>
    <m/>
    <m/>
    <s v="andrea.gallucci1@geopec.it"/>
    <s v="B&amp;B BERKOVITS - FERMO"/>
  </r>
  <r>
    <x v="5"/>
    <s v="B&amp;B BIANCAMARIA"/>
    <s v="Contrada San Domenico  58/A"/>
    <x v="17"/>
    <m/>
    <m/>
    <m/>
    <s v="B&amp;B BIANCAMARIA - CIVITANOVA MARCHE"/>
  </r>
  <r>
    <x v="5"/>
    <s v="B&amp;B BIANCHINI ANTONIA"/>
    <s v="loc. Gagliannuovo 21"/>
    <x v="2"/>
    <m/>
    <s v="www.casaleilcerqueto.it"/>
    <s v="meschinimaria@alice.it"/>
    <s v="B&amp;B BIANCHINI ANTONIA - SAN SEVERINO MARCHE"/>
  </r>
  <r>
    <x v="5"/>
    <s v="B&amp;B BIANCO NUVOLA"/>
    <s v="via Belvedere 37"/>
    <x v="196"/>
    <s v="MONTECCHIO"/>
    <s v="www.bianconuvola.com"/>
    <s v="olivi@aol.it"/>
    <s v="B&amp;B BIANCO NUVOLA - VALLEFOGLIA"/>
  </r>
  <r>
    <x v="5"/>
    <s v="B&amp;B BIBIANO 38"/>
    <s v="c.da Bibiano  38"/>
    <x v="139"/>
    <m/>
    <s v="bibiano38.wix.com"/>
    <s v="federicagrande@alice.it"/>
    <s v="B&amp;B BIBIANO 38 - TREIA"/>
  </r>
  <r>
    <x v="5"/>
    <s v="B&amp;B BIGOTTI 2"/>
    <s v="strada Nazionale Flaminia 444/be"/>
    <x v="33"/>
    <s v="FANO"/>
    <m/>
    <s v="infobigotti@gmail.com"/>
    <s v="B&amp;B BIGOTTI 2 - FANO"/>
  </r>
  <r>
    <x v="5"/>
    <s v="B&amp;B BIGOTTI 3"/>
    <s v="via Flaminia 444/f"/>
    <x v="33"/>
    <m/>
    <s v="www.bigotti.it"/>
    <s v="infobigotti@gmail.com"/>
    <s v="B&amp;B BIGOTTI 3 - FANO"/>
  </r>
  <r>
    <x v="5"/>
    <s v="B&amp;B BISCUBIO"/>
    <s v="via Circonvallazione 46"/>
    <x v="31"/>
    <m/>
    <m/>
    <s v="marcellamartinelli17@gmail.com"/>
    <s v="B&amp;B BISCUBIO - APECCHIO"/>
  </r>
  <r>
    <x v="5"/>
    <s v="B&amp;B BLANDIN FREDERIQUE"/>
    <s v="via Monticelli 6"/>
    <x v="125"/>
    <m/>
    <m/>
    <s v="frederique.blandin@alice.it"/>
    <s v="B&amp;B BLANDIN FREDERIQUE - SERRUNGARINA"/>
  </r>
  <r>
    <x v="5"/>
    <s v="B&amp;B BONCORE di BORRONI SILVANA"/>
    <s v="via santa maria d'ete 19"/>
    <x v="197"/>
    <s v="TORRE SAN PATRIZIO"/>
    <m/>
    <s v="bo.silvana@libero.it"/>
    <s v="B&amp;B BONCORE di BORRONI SILVANA - TORRE SAN PATRIZIO"/>
  </r>
  <r>
    <x v="5"/>
    <s v="B&amp;B BORGHI DELLA ROCCA"/>
    <s v="via Giacomo Rossini 4"/>
    <x v="52"/>
    <s v="CARTOCETO"/>
    <s v="www.borghidellarocca.it"/>
    <s v="info@borghidellarocca.it"/>
    <s v="B&amp;B BORGHI DELLA ROCCA - CARTOCETO"/>
  </r>
  <r>
    <x v="5"/>
    <s v="B&amp;B BORGO CASANOVA di ERCOLANI LUCIANA"/>
    <s v="loc. Casanova 1"/>
    <x v="100"/>
    <s v="FRONTINO"/>
    <s v="www.borgocasanova.it"/>
    <m/>
    <s v="B&amp;B BORGO CASANOVA di ERCOLANI LUCIANA - FRONTINO"/>
  </r>
  <r>
    <x v="5"/>
    <s v="B&amp;B BORGO COLLE PIANO"/>
    <s v="LOC. COLLE PIANO 1"/>
    <x v="42"/>
    <s v="COLLE PIANO"/>
    <s v="www.bbcollepiano.com"/>
    <s v="info@bbcollepiano.com"/>
    <s v="B&amp;B BORGO COLLE PIANO - CAMERINO"/>
  </r>
  <r>
    <x v="5"/>
    <s v="B&amp;B BORGO D'ANCHISE di BASILE ANCHISE"/>
    <s v="via Apirese strada comunale 52"/>
    <x v="2"/>
    <s v="Palazzata"/>
    <s v="www.borgoanchise.com"/>
    <s v="a.basile@libero.it"/>
    <s v="B&amp;B BORGO D'ANCHISE di BASILE ANCHISE - SAN SEVERINO MARCHE"/>
  </r>
  <r>
    <x v="5"/>
    <s v="B&amp;B BORGO LATINO, AZZURRO, SELVAGGIO"/>
    <s v="località san savino  10"/>
    <x v="170"/>
    <s v="LOC. SAN SAVINO, 10"/>
    <m/>
    <s v="borgolatino@hotmail.it"/>
    <s v="B&amp;B BORGO LATINO, AZZURRO, SELVAGGIO - MONTECOSARO"/>
  </r>
  <r>
    <x v="5"/>
    <s v="B&amp;B BREZZA DA MARE"/>
    <s v="via Portonovo 3"/>
    <x v="41"/>
    <s v="marina di Montemarciano"/>
    <s v="www.brezzadamare.com"/>
    <s v="brezzadamare@hotmail.com"/>
    <s v="B&amp;B BREZZA DA MARE - MONTEMARCIANO"/>
  </r>
  <r>
    <x v="5"/>
    <s v="B&amp;B BREZZA DEL PARCO"/>
    <s v="via santa lucia 106"/>
    <x v="186"/>
    <s v="POLVERIGI"/>
    <m/>
    <m/>
    <s v="B&amp;B BREZZA DEL PARCO - CASTELSANTANGELO SUL NERA"/>
  </r>
  <r>
    <x v="5"/>
    <s v="B&amp;B BRIC E BRAC"/>
    <s v="via Brasile 9"/>
    <x v="5"/>
    <m/>
    <m/>
    <s v="simona.cocci@libero.it"/>
    <s v="B&amp;B BRIC E BRAC - GROTTAMMARE"/>
  </r>
  <r>
    <x v="5"/>
    <s v="B&amp;B CA' AGOSTINO di JORG PETER"/>
    <s v="Via Ca' Agostino (S.M. Val di Loto) 12"/>
    <x v="7"/>
    <s v="SASSOCORVARO"/>
    <s v="ca-agostino.it"/>
    <s v="caagostinobeb@libero.it"/>
    <s v="B&amp;B CA' AGOSTINO di JORG PETER - SASSOCORVARO"/>
  </r>
  <r>
    <x v="5"/>
    <s v="B&amp;B CA' BARTOCCIO"/>
    <s v="S.P. Montefabbri 109"/>
    <x v="1"/>
    <m/>
    <m/>
    <s v="cabartoccio@tiscali.it"/>
    <s v="B&amp;B CA' BARTOCCIO - URBINO"/>
  </r>
  <r>
    <x v="5"/>
    <s v="B&amp;B CA' BETO"/>
    <s v="loc.Cà Beto 12"/>
    <x v="58"/>
    <s v="loc.Cà Beto"/>
    <m/>
    <s v="rolfingesmit@gmail.com"/>
    <s v="B&amp;B CA' BETO - SANT'ANGELO IN VADO"/>
  </r>
  <r>
    <x v="5"/>
    <s v="B&amp;B CA' DE LA ROSSA"/>
    <s v="Frazione Rubbiano 25"/>
    <x v="45"/>
    <s v="RUBBIANO"/>
    <s v="www.bbcadelarossa.com"/>
    <s v="bbcadelarossa@libero.it"/>
    <s v="B&amp;B CA' DE LA ROSSA - MONTEFORTINO"/>
  </r>
  <r>
    <x v="5"/>
    <s v="B&amp;B CA' DEL CARDO"/>
    <s v="contrada Coste 72"/>
    <x v="176"/>
    <s v="STAFFOLO"/>
    <s v="www.cadelcardo.com"/>
    <s v="cardo@cadelcardo.it; cardo@cadelcardo.com"/>
    <s v="B&amp;B CA' DEL CARDO - STAFFOLO"/>
  </r>
  <r>
    <x v="5"/>
    <s v="B&amp;B CA' DEL PINO"/>
    <s v="via degli Orti  1"/>
    <x v="152"/>
    <s v="FERMIGNANO"/>
    <m/>
    <s v="cadelpino@libero.it"/>
    <s v="B&amp;B CA' DEL PINO - FERMIGNANO"/>
  </r>
  <r>
    <x v="5"/>
    <s v="B&amp;B CA' FABBRO"/>
    <s v="strada provinciale Pieve di Cagna 33/35"/>
    <x v="1"/>
    <m/>
    <m/>
    <s v="mprossi1@virgilio.it"/>
    <s v="B&amp;B CA' FABBRO - URBINO"/>
  </r>
  <r>
    <x v="5"/>
    <s v="B&amp;B CA' GIORGETTO"/>
    <s v="localita' ca' giorgetto 216"/>
    <x v="100"/>
    <s v="FRONTINO"/>
    <s v="www.bedandbreakfastcagiorgetto.com"/>
    <s v="paxismith@libero.it"/>
    <s v="B&amp;B CA' GIORGETTO - FRONTINO"/>
  </r>
  <r>
    <x v="5"/>
    <s v="B&amp;B CA' GIOVANNI COUNTRY RESORT"/>
    <s v="via san lorenzo in solfinelli 1"/>
    <x v="1"/>
    <s v="URBINO"/>
    <s v="www.cagiovanni.eu"/>
    <s v="cagiovanni@gmail.com"/>
    <s v="B&amp;B CA' GIOVANNI COUNTRY RESORT - URBINO"/>
  </r>
  <r>
    <x v="5"/>
    <s v="B&amp;B CA' I SEVERI"/>
    <s v="via pagino castello 1"/>
    <x v="152"/>
    <s v="FERMIGNANO"/>
    <s v="www.bbcaiseveri.it"/>
    <s v="caiseveri@libero.it"/>
    <s v="B&amp;B CA' I SEVERI - FERMIGNANO"/>
  </r>
  <r>
    <x v="5"/>
    <s v="B&amp;B CA' IL GOVERNATORE"/>
    <s v="via strada provinciale Montefabbri 30"/>
    <x v="1"/>
    <s v="URBINO"/>
    <s v="www.ilgovernatore.it"/>
    <s v="info@ilgovernatore.it"/>
    <s v="B&amp;B CA' IL GOVERNATORE - URBINO"/>
  </r>
  <r>
    <x v="5"/>
    <s v="B&amp;B CA' IMELDE"/>
    <s v="via Bocca Trabaria 123"/>
    <x v="1"/>
    <m/>
    <m/>
    <s v="arcalavalle@gmail.com"/>
    <s v="B&amp;B CA' IMELDE - URBINO"/>
  </r>
  <r>
    <x v="5"/>
    <s v="B&amp;B CA' LA CORNACCHIA"/>
    <s v="via Serra Alta 16"/>
    <x v="152"/>
    <s v="FERMIGNANO"/>
    <s v="www.calacornacchia.it"/>
    <s v="bedcorn@gmail.com"/>
    <s v="B&amp;B CA' LA CORNACCHIA - FERMIGNANO"/>
  </r>
  <r>
    <x v="5"/>
    <s v="B&amp;B CA' LACINA"/>
    <s v="localita' orsaiola 37"/>
    <x v="80"/>
    <s v="URBANIA"/>
    <m/>
    <m/>
    <s v="B&amp;B CA' LACINA - URBANIA"/>
  </r>
  <r>
    <x v="5"/>
    <s v="B&amp;B CA' LANTE"/>
    <s v="via Ca' Lante 7"/>
    <x v="1"/>
    <s v="URBINO"/>
    <m/>
    <s v="tiegerie@yahoo.it"/>
    <s v="B&amp;B CA' LANTE - URBINO"/>
  </r>
  <r>
    <x v="5"/>
    <s v="B&amp;B CA' LASAGNO"/>
    <s v="loc. Santa Maria in Campolungo 17"/>
    <x v="80"/>
    <s v="loc. Santa Maria in Campolungo"/>
    <m/>
    <s v="bnb.calasagno@gmail.com"/>
    <s v="B&amp;B CA' LASAGNO - URBANIA"/>
  </r>
  <r>
    <x v="5"/>
    <s v="B&amp;B CA' MAGGIO NUOVO"/>
    <s v="strada monte peruzzo 63"/>
    <x v="75"/>
    <s v="CAGLI"/>
    <s v="www.camaggio.com"/>
    <s v="info@camaggio.com"/>
    <s v="B&amp;B CA' MAGGIO NUOVO - CAGLI"/>
  </r>
  <r>
    <x v="5"/>
    <s v="B&amp;B CA' MARCHIGIANO"/>
    <s v="via monte avorio 3"/>
    <x v="1"/>
    <s v="URBINO"/>
    <s v="www.bbcamarchigiano.it"/>
    <s v="info@bbcamarchigiano.it"/>
    <s v="B&amp;B CA' MARCHIGIANO - URBINO"/>
  </r>
  <r>
    <x v="5"/>
    <s v="B&amp;B CA' PARAVENTO"/>
    <s v="via della fornace 73"/>
    <x v="24"/>
    <s v="TRANQUILLO"/>
    <s v="www.caparavento.it"/>
    <s v="info@caparavento.it"/>
    <s v="B&amp;B CA' PARAVENTO - CANTIANO"/>
  </r>
  <r>
    <x v="5"/>
    <s v="B&amp;B CA' RICCIO DELLA FAGGIOLA"/>
    <s v="Cà Riccio 14"/>
    <x v="123"/>
    <s v="San Teodoro"/>
    <s v="www.caricciodellafaggiola.it"/>
    <s v="info@caricciodellafaggiola.it"/>
    <s v="B&amp;B CA' RICCIO DELLA FAGGIOLA - MACERATA FELTRIA"/>
  </r>
  <r>
    <x v="5"/>
    <s v="B&amp;B CAL TORELLO"/>
    <s v="via strada provinciale montefabbri 87"/>
    <x v="1"/>
    <s v="PALLINO"/>
    <s v="http://www.caltorello.it"/>
    <s v="caltorello@gmail.com"/>
    <s v="B&amp;B CAL TORELLO - URBINO"/>
  </r>
  <r>
    <x v="5"/>
    <s v="B&amp;B CALIPSO"/>
    <s v="PIER DELLE VIGNE  2"/>
    <x v="17"/>
    <m/>
    <m/>
    <s v="calipso2016@libero.it"/>
    <s v="B&amp;B CALIPSO - CIVITANOVA MARCHE"/>
  </r>
  <r>
    <x v="5"/>
    <s v="B&amp;B CALMANCINO"/>
    <s v="piazza Umberto I 4"/>
    <x v="58"/>
    <s v="loc.Cal Mancino"/>
    <m/>
    <s v="info@calmancino.eu"/>
    <s v="B&amp;B CALMANCINO - SANT'ANGELO IN VADO"/>
  </r>
  <r>
    <x v="5"/>
    <s v="B&amp;B CALU'"/>
    <s v="Località Cavallino  17"/>
    <x v="170"/>
    <s v="MONTECOSARO"/>
    <s v="www.bandbcalù.com"/>
    <s v="info@bandbcalu.com"/>
    <s v="B&amp;B CALU' - MONTECOSARO"/>
  </r>
  <r>
    <x v="5"/>
    <s v="B&amp;B CAMELI EMIDIO"/>
    <s v="strada Comunale San Biagio 1"/>
    <x v="5"/>
    <s v="GROTTAMMARE"/>
    <m/>
    <s v="trade77@hotmail.com"/>
    <s v="B&amp;B CAMELI EMIDIO - GROTTAMMARE"/>
  </r>
  <r>
    <x v="5"/>
    <s v="B&amp;B CAMERA CON VISTA"/>
    <s v="via Umberto I 18"/>
    <x v="85"/>
    <s v="FOSSOMBRONE"/>
    <m/>
    <s v="santisamuele@libero.it"/>
    <s v="B&amp;B CAMERA CON VISTA - FOSSOMBRONE"/>
  </r>
  <r>
    <x v="5"/>
    <s v="B&amp;B CAMERA CON VISTA"/>
    <s v="via Ponte Rotto 36"/>
    <x v="111"/>
    <m/>
    <m/>
    <s v="cameraconvistabb@gmail.com"/>
    <s v="B&amp;B CAMERA CON VISTA - SANT'ELPIDIO A MARE"/>
  </r>
  <r>
    <x v="5"/>
    <s v="B&amp;B CAMERE DA BRUNA"/>
    <s v="via Enrico Berlinguer 18"/>
    <x v="145"/>
    <s v="MATELICA"/>
    <s v="www.cameredabruna.com"/>
    <s v="info@cameredabruna.com"/>
    <s v="B&amp;B CAMERE DA BRUNA - MATELICA"/>
  </r>
  <r>
    <x v="5"/>
    <s v="B&amp;B CAMILLA"/>
    <s v="via s. Michele 2"/>
    <x v="196"/>
    <s v="montecchio"/>
    <m/>
    <s v="bb.camilla@virgilio.it"/>
    <s v="B&amp;B CAMILLA - VALLEFOGLIA"/>
  </r>
  <r>
    <x v="5"/>
    <s v="B&amp;B CAMILLA"/>
    <s v="VIA MAZZINI 6"/>
    <x v="170"/>
    <m/>
    <s v="WWW.BEB-CAMILLA.IT"/>
    <s v="bebcamillamontecosaro@gmail.com"/>
    <s v="B&amp;B CAMILLA - MONTECOSARO"/>
  </r>
  <r>
    <x v="5"/>
    <s v="B&amp;B CAMPANELLA"/>
    <s v="via Campanella 210"/>
    <x v="111"/>
    <m/>
    <m/>
    <s v="campanellatommaso210@gmail.com"/>
    <s v="B&amp;B CAMPANELLA - SANT'ELPIDIO A MARE"/>
  </r>
  <r>
    <x v="5"/>
    <s v="B&amp;B CAMPO DEL MARE"/>
    <s v="frazione massignano 128"/>
    <x v="10"/>
    <s v="MASSIGNANO"/>
    <s v="www.campodelmare.it"/>
    <s v="info@campodelmare.it"/>
    <s v="B&amp;B CAMPO DEL MARE - ANCONA"/>
  </r>
  <r>
    <x v="5"/>
    <s v="B&amp;B CAMPODISOLE"/>
    <s v="via san paterniano 8"/>
    <x v="44"/>
    <s v="OSIMO"/>
    <s v="www.bbcampodisole.it"/>
    <s v="info@bbcampodisole.it"/>
    <s v="B&amp;B CAMPODISOLE - OSIMO"/>
  </r>
  <r>
    <x v="5"/>
    <s v="B&amp;B CANGIARI MAURO"/>
    <s v="via Calvillano 15"/>
    <x v="164"/>
    <m/>
    <m/>
    <s v="maurocangiari@tiscali.it"/>
    <s v="B&amp;B CANGIARI MAURO - MONTECOPIOLO"/>
  </r>
  <r>
    <x v="5"/>
    <s v="B&amp;B CANTINE CAMELI"/>
    <s v="strada provinciale valtesino 350"/>
    <x v="5"/>
    <s v="GROTTAMMARE"/>
    <s v="www.bebcantinecameli.it"/>
    <s v="info@bebcantinecameli.it"/>
    <s v="B&amp;B CANTINE CAMELI - GROTTAMMARE"/>
  </r>
  <r>
    <x v="5"/>
    <s v="B&amp;B CANTINE CAMELI VINI 1890"/>
    <s v="strada provinciale valtesino 352"/>
    <x v="5"/>
    <s v="GROTTAMMARE"/>
    <s v="www.bebcantinecameli.it"/>
    <s v="info@bebcantinecameli.it"/>
    <s v="B&amp;B CANTINE CAMELI VINI 1890 - GROTTAMMARE"/>
  </r>
  <r>
    <x v="5"/>
    <s v="B&amp;B CANTINONE"/>
    <s v="via Esinante 6"/>
    <x v="161"/>
    <s v="CUPRAMONTANA"/>
    <s v="www.cantinone.eu"/>
    <s v="info@cantinone.eu"/>
    <s v="B&amp;B CANTINONE - CUPRAMONTANA"/>
  </r>
  <r>
    <x v="5"/>
    <s v="B&amp;B CAPANNA MARGHERITA"/>
    <s v="contrada montoro 18"/>
    <x v="51"/>
    <s v="PETRITOLI"/>
    <m/>
    <s v="reinhold@cab-bike.com"/>
    <s v="B&amp;B CAPANNA MARGHERITA - PETRITOLI"/>
  </r>
  <r>
    <x v="5"/>
    <s v="B&amp;B CAPITANELLI STEFANO"/>
    <s v="via don ciavattini 2"/>
    <x v="44"/>
    <s v="OSIMO"/>
    <m/>
    <s v="cs101@tiscali.it"/>
    <s v="B&amp;B CAPITANELLI STEFANO - OSIMO"/>
  </r>
  <r>
    <x v="5"/>
    <s v="B&amp;B CAPONI SILVANA"/>
    <s v="via Piave 8"/>
    <x v="151"/>
    <s v="ASCOLI PICENO"/>
    <m/>
    <s v="picenohouse@topnet.it"/>
    <s v="B&amp;B CAPONI SILVANA - ASCOLI PICENO"/>
  </r>
  <r>
    <x v="5"/>
    <s v="B&amp;B CAPOTORTO"/>
    <s v="via Cà Capotorto 1"/>
    <x v="189"/>
    <s v="Riceci"/>
    <s v="www.capotorto.be"/>
    <s v="info@capotorto.be"/>
    <s v="B&amp;B CAPOTORTO - PETRIANO"/>
  </r>
  <r>
    <x v="5"/>
    <s v="B&amp;B CAPPELLI CORRADO"/>
    <s v="frazione Borgo 1"/>
    <x v="157"/>
    <s v="ARQUATA DEL TRONTO"/>
    <m/>
    <s v="info@laterradellemeraviglie.it"/>
    <s v="B&amp;B CAPPELLI CORRADO - ARQUATA DEL TRONTO"/>
  </r>
  <r>
    <x v="5"/>
    <s v="B&amp;B CAPPELLINI PALMIRO"/>
    <s v="frazione Cabernardi 31"/>
    <x v="46"/>
    <s v="SASSOFERRATO"/>
    <m/>
    <m/>
    <s v="B&amp;B CAPPELLINI PALMIRO - SASSOFERRATO"/>
  </r>
  <r>
    <x v="5"/>
    <s v="B&amp;B CARDARELLI ISA"/>
    <s v="contrada guerci 335"/>
    <x v="113"/>
    <s v="PENNA SAN GIOVANNI"/>
    <m/>
    <m/>
    <s v="B&amp;B CARDARELLI ISA - PENNA SAN GIOVANNI"/>
  </r>
  <r>
    <x v="5"/>
    <s v="B&amp;B CARDURANI SANDRA"/>
    <s v="case sparse colle di torricchio 3"/>
    <x v="114"/>
    <s v="PIEVE TORINA"/>
    <m/>
    <m/>
    <s v="B&amp;B CARDURANI SANDRA - PIEVE TORINA"/>
  </r>
  <r>
    <x v="5"/>
    <s v="B&amp;B CARGANICO MARIA SILVIA"/>
    <s v="via Manzoni 7"/>
    <x v="152"/>
    <m/>
    <m/>
    <s v="paolotenti@tin.it"/>
    <s v="B&amp;B CARGANICO MARIA SILVIA - FERMIGNANO"/>
  </r>
  <r>
    <x v="5"/>
    <s v="B&amp;B CARPE DIEM"/>
    <s v="via Giacomo Puccini 14"/>
    <x v="141"/>
    <s v="MORROVALLE"/>
    <s v="www.bbcarpediem.it"/>
    <s v="info@bbcarpediem.it"/>
    <s v="B&amp;B CARPE DIEM - MORROVALLE"/>
  </r>
  <r>
    <x v="5"/>
    <s v="B&amp;B CASA  VITTORIA"/>
    <s v="piazza Cesare Battisti 3"/>
    <x v="97"/>
    <s v="MONTE GIBERTO"/>
    <m/>
    <m/>
    <s v="B&amp;B CASA  VITTORIA - MONTE GIBERTO"/>
  </r>
  <r>
    <x v="5"/>
    <s v="B&amp;B CASA ADAGIO"/>
    <s v="Strada Fosso di Ripe 16"/>
    <x v="60"/>
    <s v="CORINALDO"/>
    <s v="www.casa-adagio.de"/>
    <s v="info@casa-adagio.de"/>
    <s v="B&amp;B CASA ADAGIO - CORINALDO"/>
  </r>
  <r>
    <x v="5"/>
    <s v="B&amp;B CASA ADELE"/>
    <s v="via Copernico N.17 63066 Grottammare (AP) 17"/>
    <x v="5"/>
    <s v="vicino uscita GROTTAMMARE autostrada A14"/>
    <s v="http://bbcasaadele.altervista.org"/>
    <s v="gcacciurri@yahoo.it"/>
    <s v="B&amp;B CASA ADELE - GROTTAMMARE"/>
  </r>
  <r>
    <x v="5"/>
    <s v="B&amp;B CASA ADORNA"/>
    <s v="via Sant'Anna 43"/>
    <x v="37"/>
    <m/>
    <s v="www.casaadorna.it"/>
    <s v="info@casaadorna.it"/>
    <s v="B&amp;B CASA ADORNA - FERMO"/>
  </r>
  <r>
    <x v="5"/>
    <s v="B&amp;B CASA ALYSA"/>
    <s v="via San Giovanni in M. 48/A"/>
    <x v="57"/>
    <m/>
    <m/>
    <s v="bart.c@alice.it"/>
    <s v="B&amp;B CASA ALYSA - TAVULLIA"/>
  </r>
  <r>
    <x v="5"/>
    <s v="B&amp;B CASA AMABILI"/>
    <s v="via palmiro togliatti 41"/>
    <x v="30"/>
    <s v="OFFIDA"/>
    <m/>
    <m/>
    <s v="B&amp;B CASA AMABILI - OFFIDA"/>
  </r>
  <r>
    <x v="5"/>
    <s v="B&amp;B CASA ANGELICA"/>
    <s v="frazione aspio 120"/>
    <x v="10"/>
    <s v="ASPIO"/>
    <m/>
    <s v="bebcasaangelica@gmail.com"/>
    <s v="B&amp;B CASA ANGELICA - ANCONA"/>
  </r>
  <r>
    <x v="5"/>
    <s v="B&amp;B CASA ANTONELLI"/>
    <s v="via Santa Maria Goretti 13"/>
    <x v="12"/>
    <s v="Ascoli Piceno"/>
    <s v="www.casaantonelli.it"/>
    <s v="bbcasaantonelli@gmail.com"/>
    <s v="B&amp;B CASA ANTONELLI - SAN BENEDETTO DEL TRONTO"/>
  </r>
  <r>
    <x v="5"/>
    <s v="B&amp;B CASA AURORA"/>
    <s v="via Pezzole 9"/>
    <x v="161"/>
    <m/>
    <s v="http://www.casa-aurora.it"/>
    <s v="info@casa-aurora.it"/>
    <s v="B&amp;B CASA AURORA - CUPRAMONTANA"/>
  </r>
  <r>
    <x v="5"/>
    <s v="B&amp;B CASA BELVEDER"/>
    <s v="loc. Carsignano 50"/>
    <x v="144"/>
    <m/>
    <s v="www.casabelveder.it"/>
    <s v="info@casabelveder.it"/>
    <s v="B&amp;B CASA BELVEDER - CASTELRAIMONDO"/>
  </r>
  <r>
    <x v="5"/>
    <s v="B&amp;B CASA BERARDI"/>
    <s v="via Madonna di Loreto 103"/>
    <x v="69"/>
    <m/>
    <s v="www.casaberardipesaro.it"/>
    <s v="info@casaberardipesaro.it"/>
    <s v="B&amp;B CASA BERARDI - PESARO"/>
  </r>
  <r>
    <x v="5"/>
    <s v="B&amp;B CASA CAIRO"/>
    <s v="via Cairo 18"/>
    <x v="110"/>
    <m/>
    <s v="http://www.bbcasacairo.it"/>
    <s v="casacairo@bbcasacairo.it"/>
    <s v="B&amp;B CASA CAIRO - MOMBAROCCIO"/>
  </r>
  <r>
    <x v="5"/>
    <s v="B&amp;B CASA CANTE LA GARBATINA"/>
    <s v="strada Montecucco 1"/>
    <x v="143"/>
    <s v="loc. Monte Cucco"/>
    <s v="www.lagarbatina.eu"/>
    <s v="info@lagarbatina.eu"/>
    <s v="B&amp;B CASA CANTE LA GARBATINA - MONTE PORZIO"/>
  </r>
  <r>
    <x v="5"/>
    <s v="B&amp;B CASA CAPPONI"/>
    <s v="piazza Sereni 2"/>
    <x v="37"/>
    <m/>
    <m/>
    <s v="se.capponi@gmail.com"/>
    <s v="B&amp;B CASA CAPPONI - FERMO"/>
  </r>
  <r>
    <x v="5"/>
    <s v="B&amp;B CASA CARDUCCI"/>
    <s v="Piazza Forlini 4"/>
    <x v="30"/>
    <m/>
    <s v="www.casacarduccioffida.it"/>
    <s v="luciaancillai@gmail.com"/>
    <s v="B&amp;B CASA CARDUCCI - OFFIDA"/>
  </r>
  <r>
    <x v="5"/>
    <s v="B&amp;B CASA CAVALIERA"/>
    <s v="via Boccette 8"/>
    <x v="111"/>
    <m/>
    <s v="www.casacavaliera.com"/>
    <s v="casacavaliera@libero.it"/>
    <s v="B&amp;B CASA CAVALIERA - SANT'ELPIDIO A MARE"/>
  </r>
  <r>
    <x v="5"/>
    <s v="B&amp;B CASA CETTINA"/>
    <s v="Via Antonio Piani 46"/>
    <x v="0"/>
    <s v="MACERATA"/>
    <m/>
    <s v="manzcon@libero.it"/>
    <s v="B&amp;B CASA CETTINA - MACERATA"/>
  </r>
  <r>
    <x v="5"/>
    <s v="B&amp;B CASA CHIOCCIOLA DI BERNHARD WARNER"/>
    <s v="contrada Sant' Ippolito 15"/>
    <x v="62"/>
    <s v="AMANDOLA"/>
    <m/>
    <s v="bwarner@gmail.com"/>
    <s v="B&amp;B CASA CHIOCCIOLA DI BERNHARD WARNER - AMANDOLA"/>
  </r>
  <r>
    <x v="5"/>
    <s v="B&amp;B CASA CIARPELLA"/>
    <s v="C.DA SANTA LEANDRA  329/C"/>
    <x v="34"/>
    <m/>
    <m/>
    <s v="casaciarpella@gmail.com"/>
    <s v="B&amp;B CASA CIARPELLA - MONTEGRANARO"/>
  </r>
  <r>
    <x v="5"/>
    <s v="B&amp;B CASA CONTENTA"/>
    <s v="via roma 12"/>
    <x v="165"/>
    <s v="SANTA VITTORIA IN MATENANO"/>
    <s v="www.casacontenta.it"/>
    <s v="info@casacontenta.it"/>
    <s v="B&amp;B CASA CONTENTA - SANTA VITTORIA IN MATENANO"/>
  </r>
  <r>
    <x v="5"/>
    <s v="B&amp;B CASA CORMAR"/>
    <s v="contrada Sant'Antonio 6"/>
    <x v="51"/>
    <m/>
    <s v="http://www.casacormar.com/it/benvenuti"/>
    <s v="info@casacormar.com"/>
    <s v="B&amp;B CASA CORMAR - PETRITOLI"/>
  </r>
  <r>
    <x v="5"/>
    <s v="B&amp;B CASA CORNELIA"/>
    <s v="p.za San Pietro 4"/>
    <x v="13"/>
    <m/>
    <m/>
    <s v="casacornelia@virgilio.it"/>
    <s v="B&amp;B CASA CORNELIA - BELVEDERE OSTRENSE"/>
  </r>
  <r>
    <x v="5"/>
    <s v="B&amp;B CASA D'AMARE"/>
    <s v="viale De Gasperi 46"/>
    <x v="12"/>
    <m/>
    <s v="www.casadamarebb.com"/>
    <s v="postmaster@casadamarebb.com"/>
    <s v="B&amp;B CASA D'AMARE - SAN BENEDETTO DEL TRONTO"/>
  </r>
  <r>
    <x v="5"/>
    <s v="B&amp;B CASA DE ANGELIS"/>
    <m/>
    <x v="151"/>
    <s v="Ascoli Piceno"/>
    <m/>
    <s v="lino21@libero.it"/>
    <s v="B&amp;B CASA DE ANGELIS - ASCOLI PICENO"/>
  </r>
  <r>
    <x v="5"/>
    <s v="B&amp;B CASA DEI COLLI"/>
    <s v="Via Panocchia 18"/>
    <x v="53"/>
    <s v="MERGO"/>
    <s v="www.casadeicolli.com"/>
    <s v="info@casadeicolli.com"/>
    <s v="B&amp;B CASA DEI COLLI - MERGO"/>
  </r>
  <r>
    <x v="5"/>
    <s v="B&amp;B CASA DEI PINI DI AGOSTINELLI GIUSEPPINA"/>
    <s v="via Montecerno 6"/>
    <x v="44"/>
    <s v="loc.SANTO STEFANO"/>
    <s v="www.casadeipini.eu"/>
    <s v="info@casadeipini.eu"/>
    <s v="B&amp;B CASA DEI PINI DI AGOSTINELLI GIUSEPPINA - OSIMO"/>
  </r>
  <r>
    <x v="5"/>
    <s v="B&amp;B CASA DEL FONTE"/>
    <s v="strada fonte di vincareto 10"/>
    <x v="60"/>
    <s v="CORINALDO"/>
    <s v="www.casadelfonte.it"/>
    <s v="info@casadelfonte.it"/>
    <s v="B&amp;B CASA DEL FONTE - CORINALDO"/>
  </r>
  <r>
    <x v="5"/>
    <s v="B&amp;B CASA DEL GELSO"/>
    <s v="via Sanguineti 18"/>
    <x v="166"/>
    <m/>
    <m/>
    <s v="fabiotruck@alice.it"/>
    <s v="B&amp;B CASA DEL GELSO - MORRO D'ALBA"/>
  </r>
  <r>
    <x v="5"/>
    <s v="B&amp;B CASA DEL GELSO"/>
    <s v="via del Gelso  26"/>
    <x v="8"/>
    <m/>
    <m/>
    <s v="pieroantonucci@libero.it"/>
    <s v="B&amp;B CASA DEL GELSO - SIROLO"/>
  </r>
  <r>
    <x v="5"/>
    <s v="B&amp;B CASA DEL PELLEGRINO DA FRANCI"/>
    <s v="via Antonio Gramsci 2"/>
    <x v="72"/>
    <m/>
    <s v="www.lemarcheaserra.it"/>
    <s v="neri_tonino@yahoo.it"/>
    <s v="B&amp;B CASA DEL PELLEGRINO DA FRANCI - SERRA SAN QUIRICO"/>
  </r>
  <r>
    <x v="5"/>
    <s v="B&amp;B CASA DELLA LUCE DORATA"/>
    <s v="via fosso 39"/>
    <x v="44"/>
    <s v="OSIMO"/>
    <m/>
    <s v="info@casadellalucedorata.it"/>
    <s v="B&amp;B CASA DELLA LUCE DORATA - OSIMO"/>
  </r>
  <r>
    <x v="5"/>
    <s v="B&amp;B CASA DELLA STELLA"/>
    <s v="via Tario 1"/>
    <x v="155"/>
    <s v="GRADARA"/>
    <s v="www.casadellastella.it"/>
    <s v="info@casadellastella.it"/>
    <s v="B&amp;B CASA DELLA STELLA - GRADARA"/>
  </r>
  <r>
    <x v="5"/>
    <s v="B&amp;B CASA DELLE NOCI"/>
    <s v="c.da Santa Maria 9"/>
    <x v="158"/>
    <s v="Rosora . c.da  Santa Maria"/>
    <s v="www.casadellenoci.it"/>
    <s v="casa.noci@gmail.com"/>
    <s v="B&amp;B CASA DELLE NOCI - ROSORA"/>
  </r>
  <r>
    <x v="5"/>
    <s v="B&amp;B CASA DELLE SORGENTI di LESLEY DORIN"/>
    <s v="contrada  San Giovanni 57/58"/>
    <x v="120"/>
    <s v="MONTEFIORE"/>
    <s v="www.casadellesorgenti.com"/>
    <s v="lesleydorin@gmail.com"/>
    <s v="B&amp;B CASA DELLE SORGENTI di LESLEY DORIN - MONTEFIORE DELL'ASO"/>
  </r>
  <r>
    <x v="5"/>
    <s v="B&amp;B CASA DI CAMPAGNA"/>
    <s v="via Santa Maria  1/a"/>
    <x v="158"/>
    <m/>
    <m/>
    <s v="roberta.morbidelli@libero.it"/>
    <s v="B&amp;B CASA DI CAMPAGNA - ROSORA"/>
  </r>
  <r>
    <x v="5"/>
    <s v="B&amp;B CASA DI LUCE"/>
    <s v="via Monaldi 20"/>
    <x v="33"/>
    <m/>
    <s v="www.casadiluce.it"/>
    <s v="valeria.anandaveda@gmail.com"/>
    <s v="B&amp;B CASA DI LUCE - FANO"/>
  </r>
  <r>
    <x v="5"/>
    <s v="B&amp;B CASA DI MARY"/>
    <s v="via Marche 47"/>
    <x v="5"/>
    <s v="Grottammare"/>
    <m/>
    <s v="casadimary@yahoo.it"/>
    <s v="B&amp;B CASA DI MARY - GROTTAMMARE"/>
  </r>
  <r>
    <x v="5"/>
    <s v="B&amp;B CASA DI NONNO URE'"/>
    <s v="localita' sant' obrizio 1"/>
    <x v="26"/>
    <s v="CINGOLI"/>
    <m/>
    <m/>
    <s v="B&amp;B CASA DI NONNO URE' - CINGOLI"/>
  </r>
  <r>
    <x v="5"/>
    <s v="B&amp;B CASA DOLCE CASA"/>
    <s v="via San Bernardino 55"/>
    <x v="1"/>
    <s v="URBINO"/>
    <s v="www.casadolcecasaurbino.com"/>
    <s v="casadolcecasaurbino@gmail.com"/>
    <s v="B&amp;B CASA DOLCE CASA - URBINO"/>
  </r>
  <r>
    <x v="5"/>
    <s v="B&amp;B CASA ELEONORA"/>
    <s v="piazza Umberto I 19"/>
    <x v="198"/>
    <m/>
    <m/>
    <s v="c.testa85@gmail.com"/>
    <s v="B&amp;B CASA ELEONORA - ORTEZZANO"/>
  </r>
  <r>
    <x v="5"/>
    <s v="B&amp;B CASA EZELINA"/>
    <s v="strada di Santa Lucia  1"/>
    <x v="69"/>
    <s v="loc. Ginestreto di Pesaro"/>
    <s v="www.casaezelina.it"/>
    <s v="info@casaezelina.it"/>
    <s v="B&amp;B CASA EZELINA - PESARO"/>
  </r>
  <r>
    <x v="5"/>
    <s v="B&amp;B CASA FALERONE DI MARINOZZI GIANCARLO"/>
    <s v="c.da Bascione 25"/>
    <x v="66"/>
    <m/>
    <s v="http://www.casafalerone.it"/>
    <s v="info.adiemme@gmail.com"/>
    <s v="B&amp;B CASA FALERONE DI MARINOZZI GIANCARLO - FALERONE"/>
  </r>
  <r>
    <x v="5"/>
    <s v="B&amp;B CASA FELICIA"/>
    <s v="Conquiste 54 54/A"/>
    <x v="12"/>
    <s v="San Benedetto del Tronto I-63074 AP"/>
    <m/>
    <s v="italiaposadacasafelicia@gmail.com"/>
    <s v="B&amp;B CASA FELICIA - SAN BENEDETTO DEL TRONTO"/>
  </r>
  <r>
    <x v="5"/>
    <s v="B&amp;B CASA FELICIA II"/>
    <s v="Via Conquiste, 54/A 54/a"/>
    <x v="12"/>
    <s v="San Benedetto del Tronto, 63074, AP-italia"/>
    <s v="www.casafelicia.net"/>
    <s v="italiaposadacasafelicia@gmail.com"/>
    <s v="B&amp;B CASA FELICIA II - SAN BENEDETTO DEL TRONTO"/>
  </r>
  <r>
    <x v="5"/>
    <s v="B&amp;B CASA FENICE"/>
    <s v="via Santa Maria d'Alto Cielo 45"/>
    <x v="132"/>
    <m/>
    <m/>
    <s v="petejhall33@hotmail.com"/>
    <s v="B&amp;B CASA FENICE - SAN GINESIO"/>
  </r>
  <r>
    <x v="5"/>
    <s v="B&amp;B CASA FILIPPO"/>
    <s v="via Roma 33/A"/>
    <x v="19"/>
    <s v="ACQUAVIVA PICENA"/>
    <m/>
    <s v="micio.elia@libero.it"/>
    <s v="B&amp;B CASA FILIPPO - ACQUAVIVA PICENA"/>
  </r>
  <r>
    <x v="5"/>
    <s v="B&amp;B CASA FIORITA DI CAVALLI ROSANNA"/>
    <s v="via giacomo matteotti 5"/>
    <x v="192"/>
    <s v="TAVOLETO"/>
    <s v="www.casafioritabb.it"/>
    <s v="info@casafioritabb.it"/>
    <s v="B&amp;B CASA FIORITA DI CAVALLI ROSANNA - TAVOLETO"/>
  </r>
  <r>
    <x v="5"/>
    <s v="B&amp;B CASA FONTANA"/>
    <s v="via panocchia 6"/>
    <x v="53"/>
    <s v="MERGO"/>
    <s v="www.casafontana.com"/>
    <s v="info@casafontana.com"/>
    <s v="B&amp;B CASA FONTANA - MERGO"/>
  </r>
  <r>
    <x v="5"/>
    <s v="B&amp;B CASA FUORI CASA"/>
    <s v="via G.Vico 7"/>
    <x v="16"/>
    <m/>
    <s v="www.casafuoricasa.it"/>
    <s v="info@casafuoricasa.it"/>
    <s v="B&amp;B CASA FUORI CASA - SENIGALLIA"/>
  </r>
  <r>
    <x v="5"/>
    <s v="B&amp;B CASA GIOIA"/>
    <s v="via dei Peschi 16"/>
    <x v="151"/>
    <s v="MARINO DEL TRONTO"/>
    <s v="www.casagioia.it"/>
    <s v="ivan742008@hotmail.it"/>
    <s v="B&amp;B CASA GIOIA - ASCOLI PICENO"/>
  </r>
  <r>
    <x v="5"/>
    <s v="B&amp;B CASA LAURA"/>
    <s v="C.da Pachierno 10"/>
    <x v="82"/>
    <s v="CASTIGNANO"/>
    <s v="www.bedebreakfastcastignano.it"/>
    <s v="simonetta.lucidi@libero.it"/>
    <s v="B&amp;B CASA LAURA - CASTIGNANO"/>
  </r>
  <r>
    <x v="5"/>
    <s v="B&amp;B CASA LINA"/>
    <s v="via Monnea 9"/>
    <x v="137"/>
    <s v="OSTRA"/>
    <s v="www.casalina.ea29.com"/>
    <s v="casa-lina@libero.it"/>
    <s v="B&amp;B CASA LINA - OSTRA"/>
  </r>
  <r>
    <x v="5"/>
    <s v="B&amp;B CASA MALAVOLTA"/>
    <s v="via Ghibellina 17"/>
    <x v="120"/>
    <m/>
    <m/>
    <s v="info@studiomalavolta.com"/>
    <s v="B&amp;B CASA MALAVOLTA - MONTEFIORE DELL'ASO"/>
  </r>
  <r>
    <x v="5"/>
    <s v="B&amp;B CASA MATILDA"/>
    <s v="via Garibaldi 26"/>
    <x v="13"/>
    <m/>
    <m/>
    <s v="elena.rossetti85@libero.it"/>
    <s v="B&amp;B CASA MATILDA - BELVEDERE OSTRENSE"/>
  </r>
  <r>
    <x v="5"/>
    <s v="B&amp;B CASA MATILDE"/>
    <s v="Via Bocca Trabaria 128"/>
    <x v="1"/>
    <s v="Monte Soffio"/>
    <m/>
    <s v="claudio.ovarelli@gmail.com"/>
    <s v="B&amp;B CASA MATILDE - URBINO"/>
  </r>
  <r>
    <x v="5"/>
    <s v="B&amp;B CASA MILLEVOLTE di ALESSANDRA MILLEVOLTE"/>
    <s v="via Roma 25"/>
    <x v="97"/>
    <s v="MONTE GIBERTO"/>
    <s v="www.casamillevolte.it"/>
    <s v="casamillevolte@gmail.com"/>
    <s v="B&amp;B CASA MILLEVOLTE di ALESSANDRA MILLEVOLTE - MONTE GIBERTO"/>
  </r>
  <r>
    <x v="5"/>
    <s v="B&amp;B CASA MILLEVOLTE di MARINA MILLEVOLTE"/>
    <s v="via Roma 25"/>
    <x v="97"/>
    <s v="MONTE GIBERTO"/>
    <s v="www.casamillevolte.it"/>
    <s v="casamillevolte@gmail.com"/>
    <s v="B&amp;B CASA MILLEVOLTE di MARINA MILLEVOLTE - MONTE GIBERTO"/>
  </r>
  <r>
    <x v="5"/>
    <s v="B&amp;B CASA MINI DI FAGGI LUCIANO"/>
    <s v="via f. ugolini 32"/>
    <x v="80"/>
    <s v="URBANIA"/>
    <s v="http://www.casamini.it"/>
    <s v="casamini@gmail.com"/>
    <s v="B&amp;B CASA MINI DI FAGGI LUCIANO - URBANIA"/>
  </r>
  <r>
    <x v="5"/>
    <s v="B&amp;B CASA MONTALTO"/>
    <s v="CONTRADA FONTE ARRIGO 31"/>
    <x v="96"/>
    <m/>
    <s v="www.casamontalto.com"/>
    <s v="info@casamontalto.com"/>
    <s v="B&amp;B CASA MONTALTO - MONTALTO DELLE MARCHE"/>
  </r>
  <r>
    <x v="5"/>
    <s v="B&amp;B CASA MONTELURO"/>
    <s v="Strada Friuli 18/20"/>
    <x v="57"/>
    <s v="MONTELURO"/>
    <m/>
    <s v="albertopompucci@virgilio.it"/>
    <s v="B&amp;B CASA MONTELURO - TAVULLIA"/>
  </r>
  <r>
    <x v="5"/>
    <s v="B&amp;B CASA NELLA"/>
    <s v="via dei Vasari 13"/>
    <x v="1"/>
    <m/>
    <m/>
    <s v="susix1it@yahoo.it"/>
    <s v="B&amp;B CASA NELLA - URBINO"/>
  </r>
  <r>
    <x v="5"/>
    <s v="B&amp;B CASA NOLLY"/>
    <s v="via San Giovanni 54"/>
    <x v="120"/>
    <m/>
    <m/>
    <s v="info@casanolly.it"/>
    <s v="B&amp;B CASA NOLLY - MONTEFIORE DELL'ASO"/>
  </r>
  <r>
    <x v="5"/>
    <s v="B&amp;B CASA NOSTRA"/>
    <s v="contrada Moline 1"/>
    <x v="132"/>
    <s v="SAN GINESIO"/>
    <s v="www.bbcasanostra.com"/>
    <s v="info@bbcasanostra.com"/>
    <s v="B&amp;B CASA NOSTRA - SAN GINESIO"/>
  </r>
  <r>
    <x v="5"/>
    <s v="B&amp;B CASA PANSONI"/>
    <s v="LARGO D'ENRICO  2"/>
    <x v="105"/>
    <s v="COSSIGNANO"/>
    <m/>
    <s v="luca.pecoraro@ptfpa.it"/>
    <s v="B&amp;B CASA PANSONI - COSSIGNANO"/>
  </r>
  <r>
    <x v="5"/>
    <s v="B&amp;B CASA PERRY di PERICO GIUSEPPINA"/>
    <s v="Via degli Studi 13"/>
    <x v="151"/>
    <s v="ASCOLI PICENO"/>
    <m/>
    <s v="info@casaperry.it"/>
    <s v="B&amp;B CASA PERRY di PERICO GIUSEPPINA - ASCOLI PICENO"/>
  </r>
  <r>
    <x v="5"/>
    <s v="B&amp;B CASA PISANI"/>
    <s v="via Cremone Gabbette 58A"/>
    <x v="27"/>
    <m/>
    <s v="www.casapisani.it"/>
    <s v="restpisani@libero.it"/>
    <s v="B&amp;B CASA PISANI - LORO PICENO"/>
  </r>
  <r>
    <x v="5"/>
    <s v="B&amp;B CASA ROCCA"/>
    <s v="piazzale della vittoria 3"/>
    <x v="42"/>
    <s v="CAMERINO"/>
    <m/>
    <s v="annazampetti@hotmail.it"/>
    <s v="B&amp;B CASA ROCCA - CAMERINO"/>
  </r>
  <r>
    <x v="5"/>
    <s v="B&amp;B CASA SALTO"/>
    <s v="via Lauro Rossi 65"/>
    <x v="0"/>
    <s v="MACERATA"/>
    <m/>
    <s v="leticard@libero.it"/>
    <s v="B&amp;B CASA SALTO - MACERATA"/>
  </r>
  <r>
    <x v="5"/>
    <s v="B&amp;B CASA SGARIA"/>
    <s v="DEL MULINO  44"/>
    <x v="33"/>
    <s v="FENILE"/>
    <s v="www.casasgaria.it"/>
    <s v="serfetanto@gmail.com"/>
    <s v="B&amp;B CASA SGARIA - FANO"/>
  </r>
  <r>
    <x v="5"/>
    <s v="B&amp;B CASA SILVESTRI"/>
    <s v="via luigi ferri 2"/>
    <x v="26"/>
    <s v="CINGOLI"/>
    <s v="www.bebcasasilvestri.com"/>
    <s v="pieroalfei@gmail.com"/>
    <s v="B&amp;B CASA SILVESTRI - CINGOLI"/>
  </r>
  <r>
    <x v="5"/>
    <s v="B&amp;B CASA SORGENTE"/>
    <s v="strada Acqua Sorgente 2"/>
    <x v="94"/>
    <s v="SAN COSTANZO"/>
    <s v="www.casasorgente.nl"/>
    <s v="info@casasorgente.nl"/>
    <s v="B&amp;B CASA SORGENTE - SAN COSTANZO"/>
  </r>
  <r>
    <x v="5"/>
    <s v="B&amp;B CASA SPONGE"/>
    <s v="via Mezzanotte  84"/>
    <x v="91"/>
    <m/>
    <s v="www.bbcasasponge.com"/>
    <s v="bbcasasponge@gmail.com"/>
    <s v="B&amp;B CASA SPONGE - PERGOLA"/>
  </r>
  <r>
    <x v="5"/>
    <s v="B&amp;B CASA TOURING SAN NICOLA"/>
    <s v="piazza D. Silveri 1"/>
    <x v="6"/>
    <s v="TOLENTINO"/>
    <m/>
    <s v="adaborgiani@virgilio.it"/>
    <s v="B&amp;B CASA TOURING SAN NICOLA - TOLENTINO"/>
  </r>
  <r>
    <x v="5"/>
    <s v="B&amp;B CASA UNO"/>
    <s v="via Vincareto 51"/>
    <x v="94"/>
    <m/>
    <s v="www.casa-uno.it"/>
    <s v="alisonscott@libero.it"/>
    <s v="B&amp;B CASA UNO - SAN COSTANZO"/>
  </r>
  <r>
    <x v="5"/>
    <s v="B&amp;B CASA VACANZE"/>
    <s v="via Frana 27"/>
    <x v="5"/>
    <s v="GROTTAMMARE"/>
    <m/>
    <s v="sbtluca@gmail.com"/>
    <s v="B&amp;B CASA VACANZE - GROTTAMMARE"/>
  </r>
  <r>
    <x v="5"/>
    <s v="B&amp;B CASA VACANZE LO SPUNTINO"/>
    <s v="via roma 13"/>
    <x v="84"/>
    <s v="MONTEGALLO"/>
    <s v="www.casavacanzelospuntino.it"/>
    <s v="info@casavacanzelospuntino.it"/>
    <s v="B&amp;B CASA VACANZE LO SPUNTINO - MONTEGALLO"/>
  </r>
  <r>
    <x v="5"/>
    <s v="B&amp;B CASA VALFIORITA"/>
    <s v="via Matteotti 7"/>
    <x v="72"/>
    <m/>
    <s v="www.casavalfiorita.it"/>
    <s v="info@casavalfiorita.it"/>
    <s v="B&amp;B CASA VALFIORITA - SERRA SAN QUIRICO"/>
  </r>
  <r>
    <x v="5"/>
    <s v="B&amp;B CASA VITTORIA"/>
    <s v="c.da Migliarino 19"/>
    <x v="17"/>
    <m/>
    <m/>
    <s v="bbcasavittoria@gmail.com"/>
    <s v="B&amp;B CASA VITTORIA - CIVITANOVA MARCHE"/>
  </r>
  <r>
    <x v="5"/>
    <s v="B&amp;B CASA ZIO GUIDO"/>
    <s v="Via Ferretti 15"/>
    <x v="199"/>
    <m/>
    <s v="http://www.bbcasazioguido.it/"/>
    <s v="ornellafrascarelli@hotmail.it"/>
    <s v="B&amp;B CASA ZIO GUIDO - SPINETOLI"/>
  </r>
  <r>
    <x v="5"/>
    <s v="B&amp;B CASACORNO"/>
    <s v="via venetica 6"/>
    <x v="4"/>
    <s v="JESI"/>
    <s v="www.casacorno.it"/>
    <s v="info@casacorno.it"/>
    <s v="B&amp;B CASACORNO - JESI"/>
  </r>
  <r>
    <x v="5"/>
    <s v="B&amp;B CASAGATTI"/>
    <s v="contrada Casagatti 27"/>
    <x v="132"/>
    <s v="SAN GINESIO"/>
    <m/>
    <s v="casagatti27@alice.it"/>
    <s v="B&amp;B CASAGATTI - SAN GINESIO"/>
  </r>
  <r>
    <x v="5"/>
    <s v="B&amp;B CASAL DE PINI"/>
    <s v="c.da Camporota 65"/>
    <x v="139"/>
    <s v="TREIA"/>
    <s v="www.casaldepini.it"/>
    <s v="alex13@libero.it"/>
    <s v="B&amp;B CASAL DE PINI - TREIA"/>
  </r>
  <r>
    <x v="5"/>
    <s v="B&amp;B CASALE AL MARE"/>
    <s v="via Pastrengo 59"/>
    <x v="23"/>
    <m/>
    <s v="http://casalealmare.oneminutesite.it"/>
    <s v="casalealmare@gmail.com"/>
    <s v="B&amp;B CASALE AL MARE - PORTO RECANATI"/>
  </r>
  <r>
    <x v="5"/>
    <s v="B&amp;B CASALE CIGLIANO"/>
    <s v="c.da Cigliano 16"/>
    <x v="172"/>
    <s v="CORRIDONIA"/>
    <m/>
    <s v="vivianapa@fastwebmail.it; casalecigliano@yahoo.it"/>
    <s v="B&amp;B CASALE CIGLIANO - CORRIDONIA"/>
  </r>
  <r>
    <x v="5"/>
    <s v="B&amp;B CASALE CIVETTA"/>
    <s v="via Consolazione 20"/>
    <x v="119"/>
    <s v="loc. Castel Colonna"/>
    <m/>
    <s v="daniele.pierfederici@tiscali.it"/>
    <s v="B&amp;B CASALE CIVETTA - TRECASTELLI"/>
  </r>
  <r>
    <x v="5"/>
    <s v="B&amp;B CASALE DEI PATRIZI"/>
    <s v="contrada Petrella 71"/>
    <x v="3"/>
    <m/>
    <m/>
    <m/>
    <s v="B&amp;B CASALE DEI PATRIZI - RIPATRANSONE"/>
  </r>
  <r>
    <x v="5"/>
    <s v="B&amp;B CASALE DEL LEVRIERO"/>
    <s v="contrada menocchia 23"/>
    <x v="120"/>
    <s v="MONTEFIORE DELL' ASO"/>
    <s v="www.casaledellevriero.com"/>
    <s v="casaledellevriero@gmail.com"/>
    <s v="B&amp;B CASALE DEL LEVRIERO - MONTEFIORE DELL'ASO"/>
  </r>
  <r>
    <x v="5"/>
    <s v="B&amp;B CASALE GIOVANNOZZI"/>
    <s v="Frazione Monte Rosara 60"/>
    <x v="151"/>
    <m/>
    <m/>
    <s v="peppegiovannozzi@libero.it"/>
    <s v="B&amp;B CASALE GIOVANNOZZI - ASCOLI PICENO"/>
  </r>
  <r>
    <x v="5"/>
    <s v="B&amp;B CASALE LE RADICI"/>
    <s v="via San Vincenzo  7"/>
    <x v="131"/>
    <m/>
    <s v="www.casaleleradici.com"/>
    <s v="info@casaleleradici.com"/>
    <s v="B&amp;B CASALE LE RADICI - POLVERIGI"/>
  </r>
  <r>
    <x v="5"/>
    <s v="B&amp;B CASALE PAPA di RENZETTI COSTANZA"/>
    <s v="via Banderuola snc"/>
    <x v="15"/>
    <m/>
    <m/>
    <s v="casalepapa@gmail.com"/>
    <s v="B&amp;B CASALE PAPA di RENZETTI COSTANZA - LORETO"/>
  </r>
  <r>
    <x v="5"/>
    <s v="B&amp;B CASALE ROSSI"/>
    <s v="Via D'Annunzio 5"/>
    <x v="110"/>
    <s v="MOMBAROCCIO"/>
    <s v="robertorossi79@live.it"/>
    <s v="casalerossi.roberto@gmail.com;"/>
    <s v="B&amp;B CASALE ROSSI - MOMBAROCCIO"/>
  </r>
  <r>
    <x v="5"/>
    <s v="B&amp;B CASALE VEGA"/>
    <s v="via San Vito sul Cesano 44"/>
    <x v="64"/>
    <m/>
    <m/>
    <s v="info@casalevega.it"/>
    <s v="B&amp;B CASALE VEGA - SAN LORENZO IN CAMPO"/>
  </r>
  <r>
    <x v="5"/>
    <s v="B&amp;B CASAMICI"/>
    <s v="Via Madonnina 3"/>
    <x v="8"/>
    <s v="SAN LORENZO"/>
    <s v="facebook casamici b&amp;b"/>
    <s v="casamicisirolo@gmail.com"/>
    <s v="B&amp;B CASAMICI - SIROLO"/>
  </r>
  <r>
    <x v="5"/>
    <s v="B&amp;B CASAMORI"/>
    <s v="via Gramsci 52"/>
    <x v="137"/>
    <m/>
    <m/>
    <s v="roberto.amori@tin.it"/>
    <s v="B&amp;B CASAMORI - OSTRA"/>
  </r>
  <r>
    <x v="5"/>
    <s v="B&amp;B CASANNUNZIATA"/>
    <s v="vicolo del Gufo 1"/>
    <x v="96"/>
    <s v="MONTALTO DELLE MARCHE"/>
    <s v="www.casannunziata.com"/>
    <s v="casannunziata@gmail.com"/>
    <s v="B&amp;B CASANNUNZIATA - MONTALTO DELLE MARCHE"/>
  </r>
  <r>
    <x v="5"/>
    <s v="B&amp;B CASATORRICELLI"/>
    <s v="via Torricelli 11/a"/>
    <x v="16"/>
    <m/>
    <m/>
    <s v="info@casatorricelli.it"/>
    <s v="B&amp;B CASATORRICELLI - SENIGALLIA"/>
  </r>
  <r>
    <x v="5"/>
    <s v="B&amp;B CASCINA DELL'ORSO"/>
    <s v="via belvedere 185"/>
    <x v="186"/>
    <s v="CASTELSANTANGELO SUL NERA"/>
    <m/>
    <m/>
    <s v="B&amp;B CASCINA DELL'ORSO - CASTELSANTANGELO SUL NERA"/>
  </r>
  <r>
    <x v="5"/>
    <s v="B&amp;B CASCINALE LA MIMOSA"/>
    <s v="via Spescia 14"/>
    <x v="161"/>
    <s v="CUPRAMONTANA"/>
    <s v="www.cascinalelamimosa.it"/>
    <s v="green@cascinalelamimosa.it"/>
    <s v="B&amp;B CASCINALE LA MIMOSA - CUPRAMONTANA"/>
  </r>
  <r>
    <x v="5"/>
    <s v="B&amp;B CASELUNGHE Country House"/>
    <s v="localita' caselunghe 2"/>
    <x v="42"/>
    <s v="CAMERINO"/>
    <s v="www.camerino-caselunghe.it"/>
    <s v="info@camerino-caselunghe.it"/>
    <s v="B&amp;B CASELUNGHE Country House - CAMERINO"/>
  </r>
  <r>
    <x v="5"/>
    <s v="B&amp;B CASITA BLANCA"/>
    <s v="Via O. Respighi 9"/>
    <x v="20"/>
    <s v="MONDOLFO"/>
    <m/>
    <s v="casitablanca@libero.it"/>
    <s v="B&amp;B CASITA BLANCA - MONDOLFO"/>
  </r>
  <r>
    <x v="5"/>
    <s v="B&amp;B CASTELBOCCIONE"/>
    <s v="castelboccione 3"/>
    <x v="1"/>
    <s v="TRASANNI"/>
    <s v="B&amp;B Castelboccione"/>
    <s v="bbcastelboccione@gmail.com"/>
    <s v="B&amp;B CASTELBOCCIONE - URBINO"/>
  </r>
  <r>
    <x v="5"/>
    <s v="B&amp;B CASTELLO DE MARTE"/>
    <s v="piazza Umberto I 9"/>
    <x v="105"/>
    <s v="COSSIGNANO"/>
    <s v="castellodemarte.com"/>
    <s v="castellodemarte@gmail.com"/>
    <s v="B&amp;B CASTELLO DE MARTE - COSSIGNANO"/>
  </r>
  <r>
    <x v="5"/>
    <s v="B&amp;B CASTELNUOVO"/>
    <s v="via del Risorgimento 43"/>
    <x v="56"/>
    <s v="RECANATI"/>
    <s v="www.casavacanza-bedandbreakfast.it"/>
    <s v="framedeo55@yahoo.it"/>
    <s v="B&amp;B CASTELNUOVO - RECANATI"/>
  </r>
  <r>
    <x v="5"/>
    <s v="B&amp;B CASTRUM PODII"/>
    <s v="Via Poggio 17"/>
    <x v="10"/>
    <s v="POGGIO"/>
    <m/>
    <s v="castrum.podii@yahoo.it"/>
    <s v="B&amp;B CASTRUM PODII - ANCONA"/>
  </r>
  <r>
    <x v="5"/>
    <s v="B&amp;B CASULA"/>
    <s v="via Ripe  108/3"/>
    <x v="200"/>
    <m/>
    <m/>
    <s v="casulapiero@yahoo.com"/>
    <s v="B&amp;B CASULA - MONTELABBATE"/>
  </r>
  <r>
    <x v="5"/>
    <s v="B&amp;B CATALANO LUISA"/>
    <s v="strada Faleriense a Valle 58"/>
    <x v="66"/>
    <m/>
    <m/>
    <m/>
    <s v="B&amp;B CATALANO LUISA - FALERONE"/>
  </r>
  <r>
    <x v="5"/>
    <s v="B&amp;B CATERINA"/>
    <s v="via Monte Berticchio 11"/>
    <x v="80"/>
    <m/>
    <m/>
    <s v="taburchio@virgilio.it"/>
    <s v="B&amp;B CATERINA - URBANIA"/>
  </r>
  <r>
    <x v="5"/>
    <s v="B&amp;B CATONTINO di LILLI ADRIANA"/>
    <s v="via catontino 26"/>
    <x v="7"/>
    <s v="SASSOCORVARO"/>
    <m/>
    <s v="info@catontino.it"/>
    <s v="B&amp;B CATONTINO di LILLI ADRIANA - SASSOCORVARO"/>
  </r>
  <r>
    <x v="5"/>
    <s v="B&amp;B CAVALIER GENTILE"/>
    <s v="VIA CAVALIER GENTILE 161"/>
    <x v="33"/>
    <m/>
    <s v="www.cavaliergentile.it"/>
    <s v="info@cavaliergentile.it"/>
    <s v="B&amp;B CAVALIER GENTILE - FANO"/>
  </r>
  <r>
    <x v="5"/>
    <s v="B&amp;B CELESTE LORETO CONERO"/>
    <s v="piazza Leon Dehon 20"/>
    <x v="15"/>
    <s v="loc.Villa Musone"/>
    <m/>
    <s v="celesteloretoconero@libero.it"/>
    <s v="B&amp;B CELESTE LORETO CONERO - LORETO"/>
  </r>
  <r>
    <x v="5"/>
    <s v="B&amp;B CELLAVECCHIA"/>
    <s v="via Apecchiese 6"/>
    <x v="58"/>
    <s v="SANT' ANGELO IN VADO"/>
    <s v="www.cellavecchia.com"/>
    <s v="info@cellavecchia.com"/>
    <s v="B&amp;B CELLAVECCHIA - SANT'ANGELO IN VADO"/>
  </r>
  <r>
    <x v="5"/>
    <s v="B&amp;B CENSORI MARIA VINCENZA"/>
    <s v="viale M. Federici 87"/>
    <x v="151"/>
    <m/>
    <m/>
    <s v="censorimariavincenza@alice.it"/>
    <s v="B&amp;B CENSORI MARIA VINCENZA - ASCOLI PICENO"/>
  </r>
  <r>
    <x v="5"/>
    <s v="B&amp;B CENTRO CENTRO"/>
    <s v="via Minucia 8"/>
    <x v="151"/>
    <m/>
    <m/>
    <s v="bnbcentrocentro@gmail.com"/>
    <s v="B&amp;B CENTRO CENTRO - ASCOLI PICENO"/>
  </r>
  <r>
    <x v="5"/>
    <s v="B&amp;B CENTRO CITTA'"/>
    <s v="via adriano cecchetti 31"/>
    <x v="17"/>
    <s v="CIVITANOVA MARCHE"/>
    <m/>
    <s v="leombrunitermoidra@gmail.com"/>
    <s v="B&amp;B CENTRO CITTA' - CIVITANOVA MARCHE"/>
  </r>
  <r>
    <x v="5"/>
    <s v="B&amp;B CENTRO E MARE"/>
    <s v="via Dalmazia  137"/>
    <x v="17"/>
    <m/>
    <m/>
    <s v="bbcentroemare@gmail.com"/>
    <s v="B&amp;B CENTRO E MARE - CIVITANOVA MARCHE"/>
  </r>
  <r>
    <x v="5"/>
    <s v="B&amp;B CENTRO IPPICO ANDREA"/>
    <s v="contrada Marignano 9"/>
    <x v="148"/>
    <s v="POTENZA PICENA"/>
    <s v="www.centro-ippico.com"/>
    <s v="info@centro-ippico.com"/>
    <s v="B&amp;B CENTRO IPPICO ANDREA - POTENZA PICENA"/>
  </r>
  <r>
    <x v="5"/>
    <s v="B&amp;B CENTRO STORICO"/>
    <s v="Via Mastai Ferretti 54"/>
    <x v="16"/>
    <s v="SENIGALLIA"/>
    <m/>
    <s v="pcicetti@libero.it"/>
    <s v="B&amp;B CENTRO STORICO - SENIGALLIA"/>
  </r>
  <r>
    <x v="5"/>
    <s v="B&amp;B CERQUATTI"/>
    <s v="via dei Cerquatti 26"/>
    <x v="26"/>
    <s v="CINGOLI"/>
    <s v="www.cingolibeb.it"/>
    <s v="luigi.ciattaglia@alice.it"/>
    <s v="B&amp;B CERQUATTI - CINGOLI"/>
  </r>
  <r>
    <x v="5"/>
    <s v="B&amp;B CERVARE 21 di ROBERTO DE DURO"/>
    <s v="c.da Cervare 21"/>
    <x v="99"/>
    <s v="CERVARE"/>
    <s v="www.cervare21.it"/>
    <s v="r.deduro@hotmail.it"/>
    <s v="B&amp;B CERVARE 21 di ROBERTO DE DURO - MONTELUPONE"/>
  </r>
  <r>
    <x v="5"/>
    <s v="B&amp;B CHALET IL CERBIATTO"/>
    <m/>
    <x v="201"/>
    <m/>
    <m/>
    <s v="ilcerbiattoussita@gmail.com"/>
    <s v="B&amp;B CHALET IL CERBIATTO - USSITA"/>
  </r>
  <r>
    <x v="5"/>
    <s v="B&amp;B CHARTARIA"/>
    <s v="via Adriatico 4"/>
    <x v="151"/>
    <s v="ASCOLI PICENO"/>
    <s v="www.chartaria.it"/>
    <s v="info@chartaria.it"/>
    <s v="B&amp;B CHARTARIA - ASCOLI PICENO"/>
  </r>
  <r>
    <x v="5"/>
    <s v="B&amp;B CHARTARIA II"/>
    <s v="Via Adriatico 4"/>
    <x v="151"/>
    <s v="ASCOLI PICENO"/>
    <m/>
    <m/>
    <s v="B&amp;B CHARTARIA II - ASCOLI PICENO"/>
  </r>
  <r>
    <x v="5"/>
    <s v="B&amp;B CHEZ CLEO"/>
    <s v="via della fornace 41"/>
    <x v="33"/>
    <s v="FANO"/>
    <m/>
    <s v="simo.vince@libero.it"/>
    <s v="B&amp;B CHEZ CLEO - FANO"/>
  </r>
  <r>
    <x v="5"/>
    <s v="B&amp;B CHIARALUCE ELENA"/>
    <s v="via trieste 20 20"/>
    <x v="15"/>
    <s v="LORETO"/>
    <m/>
    <s v="elenachiara34@gmail.com"/>
    <s v="B&amp;B CHIARALUCE ELENA - LORETO"/>
  </r>
  <r>
    <x v="5"/>
    <s v="B&amp;B CIAO ANCONA"/>
    <s v="via Brodolini 12"/>
    <x v="10"/>
    <m/>
    <m/>
    <m/>
    <s v="B&amp;B CIAO ANCONA - ANCONA"/>
  </r>
  <r>
    <x v="5"/>
    <s v="B&amp;B CIARABONITTE"/>
    <s v="frazione Vezzano 8"/>
    <x v="157"/>
    <s v="ARQUATA DEL TRONTO"/>
    <m/>
    <s v="mbenfatti54@libero.it"/>
    <s v="B&amp;B CIARABONITTE - ARQUATA DEL TRONTO"/>
  </r>
  <r>
    <x v="5"/>
    <s v="B&amp;B CIARROCCHI NAZZARENO"/>
    <s v="contrada Marina 52"/>
    <x v="55"/>
    <s v="CAMPOFILONE"/>
    <m/>
    <s v="info@bbdazare.it"/>
    <s v="B&amp;B CIARROCCHI NAZZARENO - CAMPOFILONE"/>
  </r>
  <r>
    <x v="5"/>
    <s v="B&amp;B CIELO APERTO di IVEY CLARE"/>
    <s v="via del cavaliere 44"/>
    <x v="19"/>
    <s v="ACQUAVIVA PICENA"/>
    <s v="www.cieloaperto.com"/>
    <s v="clareivey@alice.it"/>
    <s v="B&amp;B CIELO APERTO di IVEY CLARE - ACQUAVIVA PICENA"/>
  </r>
  <r>
    <x v="5"/>
    <s v="B&amp;B CIMA DELLE STELLE"/>
    <s v="via F. M. Raffaelli 1"/>
    <x v="26"/>
    <s v="CINGOLI"/>
    <s v="www.cimadellestelle.com"/>
    <s v="battagliacorrado@libero.it"/>
    <s v="B&amp;B CIMA DELLE STELLE - CINGOLI"/>
  </r>
  <r>
    <x v="5"/>
    <s v="B&amp;B CIPRIANI GIANCARLO"/>
    <s v="via G.Battista Boni 19"/>
    <x v="148"/>
    <m/>
    <m/>
    <s v="info@casacipriani.it"/>
    <s v="B&amp;B CIPRIANI GIANCARLO - POTENZA PICENA"/>
  </r>
  <r>
    <x v="5"/>
    <s v="B&amp;B CIPRIANI MARCO"/>
    <s v="via I.Nievo 8"/>
    <x v="22"/>
    <s v="Falconara Marittima"/>
    <s v="www.airbnb.it"/>
    <s v="flyout@tiscali.it"/>
    <s v="B&amp;B CIPRIANI MARCO - FALCONARA MARITTIMA"/>
  </r>
  <r>
    <x v="5"/>
    <s v="B&amp;B CITTA' DELLA FORTUNA"/>
    <s v="Via Alessandrini 43"/>
    <x v="33"/>
    <s v="FANO"/>
    <s v="www.cittadellafortuna.it"/>
    <s v="cittadellafortuna@gmail.com"/>
    <s v="B&amp;B CITTA' DELLA FORTUNA - FANO"/>
  </r>
  <r>
    <x v="5"/>
    <s v="B&amp;B CITTA' DELLA FORTUNA/APOLLO"/>
    <s v="Via Alessandrini 43/D"/>
    <x v="33"/>
    <s v="FANO"/>
    <s v="www.cittadellafortuna.it"/>
    <s v="cittadellafortuna@gmail.com"/>
    <s v="B&amp;B CITTA' DELLA FORTUNA/APOLLO - FANO"/>
  </r>
  <r>
    <x v="5"/>
    <s v="B&amp;B CITTA' DELLA FORTUNA/AURORA"/>
    <s v="Via Alessandrini 43/E"/>
    <x v="33"/>
    <s v="FANO"/>
    <s v="www.cittadellafortuna.it"/>
    <s v="cittadellafortuna@gmail.com"/>
    <s v="B&amp;B CITTA' DELLA FORTUNA/AURORA - FANO"/>
  </r>
  <r>
    <x v="5"/>
    <s v="B&amp;B CLAUDIO TASSI"/>
    <s v="piazza pretare 9"/>
    <x v="157"/>
    <s v="ARQUATA DEL TRONTO"/>
    <s v="arquatadeltronto.com"/>
    <s v="villacaponi@libero.it"/>
    <s v="B&amp;B CLAUDIO TASSI - ARQUATA DEL TRONTO"/>
  </r>
  <r>
    <x v="5"/>
    <s v="B&amp;B COCCI OLIVIERO"/>
    <s v="via Adige 104"/>
    <x v="163"/>
    <m/>
    <m/>
    <s v="ollycc@alice.it; cocci@arredafrigor2.it"/>
    <s v="B&amp;B COCCI OLIVIERO - PORTO SANT'ELPIDIO"/>
  </r>
  <r>
    <x v="5"/>
    <s v="B&amp;B COL DI LUNA"/>
    <s v="Avenale,1 1"/>
    <x v="26"/>
    <s v="CINGOLI"/>
    <s v="www.coldiluna.com"/>
    <s v="info@coldiluna.com"/>
    <s v="B&amp;B COL DI LUNA - CINGOLI"/>
  </r>
  <r>
    <x v="5"/>
    <s v="B&amp;B COLLE DEL SOLE"/>
    <s v="via Piani d'Aspio 3"/>
    <x v="8"/>
    <s v="loc.Coppo"/>
    <s v="www.colledelsolesirolo.it"/>
    <s v="info@colledelsolesirolo.it"/>
    <s v="B&amp;B COLLE DEL SOLE - SIROLO"/>
  </r>
  <r>
    <x v="5"/>
    <s v="B&amp;B COLLE LAURO"/>
    <s v="frazione massignano 110"/>
    <x v="10"/>
    <s v="ANCONA"/>
    <s v="www.collelauro.com"/>
    <s v="info@collelauro.com"/>
    <s v="B&amp;B COLLE LAURO - ANCONA"/>
  </r>
  <r>
    <x v="5"/>
    <s v="B&amp;B COLLE SANTANDREA"/>
    <s v="contrada colle santandrea 6"/>
    <x v="3"/>
    <s v="RIPATRANSONE"/>
    <s v="www.collesantandrea.it"/>
    <s v="info@collesantandrea.it"/>
    <s v="B&amp;B COLLE SANTANDREA - RIPATRANSONE"/>
  </r>
  <r>
    <x v="5"/>
    <s v="B&amp;B COLLESOLE"/>
    <s v="BONCIO 6"/>
    <x v="155"/>
    <m/>
    <m/>
    <s v="paolomarini57@gmail.com"/>
    <s v="B&amp;B COLLESOLE - GRADARA"/>
  </r>
  <r>
    <x v="5"/>
    <s v="B&amp;B COLLINA ROSA"/>
    <s v="Contrada Camera di Fermo 9"/>
    <x v="37"/>
    <s v="FERMO"/>
    <s v="www.collinarosa.it"/>
    <s v="r.valentini2009@gmail.com"/>
    <s v="B&amp;B COLLINA ROSA - FERMO"/>
  </r>
  <r>
    <x v="5"/>
    <s v="B&amp;B CONERO RANCH"/>
    <s v="c.da Scossicci 55"/>
    <x v="23"/>
    <m/>
    <s v="www.coneroranch.it"/>
    <s v="info@coneroranch.it"/>
    <s v="B&amp;B CONERO RANCH - PORTO RECANATI"/>
  </r>
  <r>
    <x v="5"/>
    <s v="B&amp;B CORINALDO HOLIDAY"/>
    <s v="strada dei sartini 10"/>
    <x v="60"/>
    <s v="CORINALDO"/>
    <s v="www.corinaldoholiday.it"/>
    <s v="info@corinaldoholiday.it"/>
    <s v="B&amp;B CORINALDO HOLIDAY - CORINALDO"/>
  </r>
  <r>
    <x v="5"/>
    <s v="B&amp;B CORRADO RAFFAELE"/>
    <s v="VIA F.LLI BANDIERA 28"/>
    <x v="16"/>
    <m/>
    <m/>
    <s v="consorzio.costruttori@legalmail.it"/>
    <s v="B&amp;B CORRADO RAFFAELE - SENIGALLIA"/>
  </r>
  <r>
    <x v="5"/>
    <s v="B&amp;B CORTE ROSSA"/>
    <s v="Cesare Battisti 28"/>
    <x v="85"/>
    <m/>
    <m/>
    <s v="bbcorterossa@libero.it"/>
    <s v="B&amp;B CORTE ROSSA - FOSSOMBRONE"/>
  </r>
  <r>
    <x v="5"/>
    <s v="B&amp;B COUNTRY - LA CONTEA"/>
    <s v="frazione Statte 1"/>
    <x v="42"/>
    <s v="CAMERINO"/>
    <m/>
    <s v="mmseri@virgilio.it"/>
    <s v="B&amp;B COUNTRY - LA CONTEA - CAMERINO"/>
  </r>
  <r>
    <x v="5"/>
    <s v="B&amp;B COUNTRY HOUSE VIEWS"/>
    <s v="LAGO DI BOLSENA 7"/>
    <x v="33"/>
    <s v="PONTESASSO"/>
    <m/>
    <s v="lrapa@inasitalianwelfare.co.uk"/>
    <s v="B&amp;B COUNTRY HOUSE VIEWS - FANO"/>
  </r>
  <r>
    <x v="5"/>
    <s v="B&amp;B CRAZY HORSE di CROCETTI LUIGI"/>
    <s v="Via Le Rote 6"/>
    <x v="114"/>
    <s v="VAL SANT'ANGELO"/>
    <m/>
    <m/>
    <s v="B&amp;B CRAZY HORSE di CROCETTI LUIGI - PIEVE TORINA"/>
  </r>
  <r>
    <x v="5"/>
    <s v="B&amp;B CRISTINA"/>
    <s v="via Vallemiano 9"/>
    <x v="10"/>
    <m/>
    <m/>
    <s v="cristina.cognini@gmail.com"/>
    <s v="B&amp;B CRISTINA - ANCONA"/>
  </r>
  <r>
    <x v="5"/>
    <s v="B&amp;B CRISTINA &amp; LAURA di MAGGI MARIA GABRIELLA"/>
    <s v="via dei sibillini 1"/>
    <x v="202"/>
    <s v="BOLOGNOLA"/>
    <m/>
    <s v="gabriella_maggi@ibero.it"/>
    <s v="B&amp;B CRISTINA &amp; LAURA di MAGGI MARIA GABRIELLA - BOLOGNOLA"/>
  </r>
  <r>
    <x v="5"/>
    <s v="B&amp;B CRISTINI CRISTINA"/>
    <s v="strada frontino 23"/>
    <x v="86"/>
    <s v="ACQUALAGNA"/>
    <m/>
    <s v="cri.cristini@alice.it"/>
    <s v="B&amp;B CRISTINI CRISTINA - ACQUALAGNA"/>
  </r>
  <r>
    <x v="5"/>
    <s v="B&amp;B CRIVELLI"/>
    <s v="Via Duca D'Aosta 2"/>
    <x v="37"/>
    <s v="TORRE DI PALME"/>
    <m/>
    <s v="mtbtorre@tiscalinet.it"/>
    <s v="B&amp;B CRIVELLI - FERMO"/>
  </r>
  <r>
    <x v="5"/>
    <s v="B&amp;B CUBO CON VISTA"/>
    <s v="VIA TAVULLIA 71"/>
    <x v="155"/>
    <m/>
    <s v="www.cuboconvista.it"/>
    <s v="info@cuboconvista.it"/>
    <s v="B&amp;B CUBO CON VISTA - GRADARA"/>
  </r>
  <r>
    <x v="5"/>
    <s v="B&amp;B CUORE"/>
    <s v="frazione Collefalciano 19"/>
    <x v="35"/>
    <s v="ACQUASANTA TERME"/>
    <s v="www.bb-cuore.it"/>
    <s v="info@bb-cuore.it"/>
    <s v="B&amp;B CUORE - ACQUASANTA TERME"/>
  </r>
  <r>
    <x v="5"/>
    <s v="B&amp;B CURI MAURIZIO"/>
    <s v="contrada Coste 24"/>
    <x v="54"/>
    <m/>
    <m/>
    <s v="info@lagolosacm.it"/>
    <s v="B&amp;B CURI MAURIZIO - MONTELPARO"/>
  </r>
  <r>
    <x v="5"/>
    <s v="B&amp;B DA BIANCHINA"/>
    <s v="via Leopardi 12"/>
    <x v="9"/>
    <m/>
    <m/>
    <s v="dabianchina@libero.it"/>
    <s v="B&amp;B DA BIANCHINA - NUMANA"/>
  </r>
  <r>
    <x v="5"/>
    <s v="B&amp;B DA CRISTINA"/>
    <s v="via Pretarolo 14"/>
    <x v="150"/>
    <m/>
    <s v="www.dacristina.it"/>
    <s v="info@dacristina.it"/>
    <s v="B&amp;B DA CRISTINA - MONSAMPOLO DEL TRONTO"/>
  </r>
  <r>
    <x v="5"/>
    <s v="B&amp;B DA DANY"/>
    <m/>
    <x v="203"/>
    <s v="MONTE SAN VITO"/>
    <m/>
    <s v="bbdadany@libero.it"/>
    <s v="B&amp;B DA DANY - MONTE SAN VITO"/>
  </r>
  <r>
    <x v="5"/>
    <s v="B&amp;B DA EZIO"/>
    <s v="contrada Abbadia di Fiastra 15"/>
    <x v="6"/>
    <m/>
    <m/>
    <s v="gustodopedoc@gmail.com"/>
    <s v="B&amp;B DA EZIO - TOLENTINO"/>
  </r>
  <r>
    <x v="5"/>
    <s v="B&amp;B DA GIULIANA"/>
    <s v="Piazza Costantino Rozzi 3"/>
    <x v="204"/>
    <s v="FOLIGNANO"/>
    <m/>
    <m/>
    <s v="B&amp;B DA GIULIANA - FOLIGNANO"/>
  </r>
  <r>
    <x v="5"/>
    <s v="B&amp;B DA GUSTIN"/>
    <s v="via Castello 22"/>
    <x v="125"/>
    <m/>
    <s v="www.dagustin.it/bed-and-breakfast-urbino"/>
    <s v="info@dagustin.it"/>
    <s v="B&amp;B DA GUSTIN - SERRUNGARINA"/>
  </r>
  <r>
    <x v="5"/>
    <s v="B&amp;B DA LARRY"/>
    <s v="via Guazzi 11"/>
    <x v="69"/>
    <m/>
    <m/>
    <s v="gabriele-ferri@alice.it"/>
    <s v="B&amp;B DA LARRY - PESARO"/>
  </r>
  <r>
    <x v="5"/>
    <s v="B&amp;B DA MARIA"/>
    <s v="piazza Ugo Bassi  45"/>
    <x v="10"/>
    <m/>
    <m/>
    <s v="bnbdamaria@gmail.com"/>
    <s v="B&amp;B DA MARIA - ANCONA"/>
  </r>
  <r>
    <x v="5"/>
    <s v="B&amp;B DA MARIA"/>
    <s v="Piedivalle 20"/>
    <x v="45"/>
    <s v="MONTEFORTINO"/>
    <m/>
    <s v="bbdamaria@alice.it"/>
    <s v="B&amp;B DA MARIA - MONTEFORTINO"/>
  </r>
  <r>
    <x v="5"/>
    <s v="B&amp;B da NONNA SOLE"/>
    <s v="strada statale Nord 210 39"/>
    <x v="47"/>
    <s v="."/>
    <s v="."/>
    <s v="tania.ferroni@tiscali.it"/>
    <s v="B&amp;B da NONNA SOLE - PORTO SAN GIORGIO"/>
  </r>
  <r>
    <x v="5"/>
    <s v="B&amp;B DA NONNA TERESA"/>
    <s v="C.so G.Mazzini 170"/>
    <x v="12"/>
    <m/>
    <m/>
    <s v="danonnateresa@aol.fr"/>
    <s v="B&amp;B DA NONNA TERESA - SAN BENEDETTO DEL TRONTO"/>
  </r>
  <r>
    <x v="5"/>
    <s v="B&amp;B DA PENS"/>
    <s v="via Virgilio 19"/>
    <x v="69"/>
    <m/>
    <m/>
    <s v="penseriniluca@gmail.com; stefaniaiowa@yahoo.it"/>
    <s v="B&amp;B DA PENS - PESARO"/>
  </r>
  <r>
    <x v="5"/>
    <s v="B&amp;B DA PEPPENNADIA"/>
    <s v="strada del Boncio 20"/>
    <x v="69"/>
    <s v="Fiorenzuola di Focara"/>
    <m/>
    <s v="peppennadia14@vodafone.it"/>
    <s v="B&amp;B DA PEPPENNADIA - PESARO"/>
  </r>
  <r>
    <x v="5"/>
    <s v="B&amp;B DA RITA"/>
    <s v="via Amalfi  69"/>
    <x v="9"/>
    <m/>
    <s v="www.laperladelconerobb.it"/>
    <s v="info@laperladelconerobb.it"/>
    <s v="B&amp;B DA RITA - NUMANA"/>
  </r>
  <r>
    <x v="5"/>
    <s v="B&amp;B DA ROBY"/>
    <s v="via claudio ridolfi 10"/>
    <x v="60"/>
    <s v="CORINALDO"/>
    <m/>
    <s v="luciagiov@tin.it"/>
    <s v="B&amp;B DA ROBY - CORINALDO"/>
  </r>
  <r>
    <x v="5"/>
    <s v="B&amp;B DA SILVA VERA LUCIA"/>
    <s v="via figuretta 8"/>
    <x v="121"/>
    <s v="FRONTALE"/>
    <m/>
    <s v="veraluce@libero.it"/>
    <s v="B&amp;B DA SILVA VERA LUCIA - APIRO"/>
  </r>
  <r>
    <x v="5"/>
    <s v="B&amp;B DA SUGARI'"/>
    <s v="viale Mazzini 6"/>
    <x v="2"/>
    <m/>
    <s v="www.dasugari.it"/>
    <s v="cadia.carloni@alice.it; cadia.carloni@indesit.com"/>
    <s v="B&amp;B DA SUGARI' - SAN SEVERINO MARCHE"/>
  </r>
  <r>
    <x v="5"/>
    <s v="B&amp;B DA TEMPERI'"/>
    <s v="loc. Quintodecimo 2"/>
    <x v="35"/>
    <s v="Quintodecimo"/>
    <s v="www.datemperi.com"/>
    <s v="biebidatemperi@libero.it"/>
    <s v="B&amp;B DA TEMPERI' - ACQUASANTA TERME"/>
  </r>
  <r>
    <x v="5"/>
    <s v="B&amp;B DAFNE"/>
    <s v="rua Spino Talucci 9"/>
    <x v="151"/>
    <s v="ASCOLI PICENO"/>
    <s v="www.dafneascoli.blogspot.com"/>
    <s v="camillodilorenzo@libero.it"/>
    <s v="B&amp;B DAFNE - ASCOLI PICENO"/>
  </r>
  <r>
    <x v="5"/>
    <s v="B&amp;B DAI CASOLI"/>
    <s v="strada del boncio 61"/>
    <x v="69"/>
    <s v="PESARO"/>
    <s v="www.daicasoli.it"/>
    <s v="casoli@libero.it"/>
    <s v="B&amp;B DAI CASOLI - PESARO"/>
  </r>
  <r>
    <x v="5"/>
    <s v="B&amp;B DAI NONNI"/>
    <s v="loc. Arcofiato 14"/>
    <x v="42"/>
    <m/>
    <s v="www.dainonni.it"/>
    <s v="info@dainonni.it"/>
    <s v="B&amp;B DAI NONNI - CAMERINO"/>
  </r>
  <r>
    <x v="5"/>
    <s v="B&amp;B DAI RAGAZZI PAZZI"/>
    <s v="C.DA MENOCCHIA 98"/>
    <x v="120"/>
    <m/>
    <s v="www.dairagazzipazzi.com"/>
    <s v="info@dairagazzipazzi.com"/>
    <s v="B&amp;B DAI RAGAZZI PAZZI - MONTEFIORE DELL'ASO"/>
  </r>
  <r>
    <x v="5"/>
    <s v="B&amp;B DAL CAPO"/>
    <s v="contrada Marina 3"/>
    <x v="55"/>
    <s v="CAMPOFILONE"/>
    <s v="www.bb-dalcapo.it"/>
    <s v="lucia-mat@libero.it"/>
    <s v="B&amp;B DAL CAPO - CAMPOFILONE"/>
  </r>
  <r>
    <x v="5"/>
    <s v="B&amp;B DALLA BRUNA"/>
    <s v="via R. Sanzio 1"/>
    <x v="196"/>
    <s v="MORCIOLA"/>
    <s v="beb dalla bruna"/>
    <s v="coapautotrasporti@libero.it"/>
    <s v="B&amp;B DALLA BRUNA - VALLEFOGLIA"/>
  </r>
  <r>
    <x v="5"/>
    <s v="B&amp;B D'ANGELO DANIELE"/>
    <s v="via Lava 60"/>
    <x v="30"/>
    <m/>
    <m/>
    <s v="fideas.tonino@fideas.it"/>
    <s v="B&amp;B D'ANGELO DANIELE - OFFIDA"/>
  </r>
  <r>
    <x v="5"/>
    <s v="B&amp;B DEDICATO A TE"/>
    <m/>
    <x v="99"/>
    <m/>
    <m/>
    <s v="carlaandreani@virgilio.it"/>
    <s v="B&amp;B DEDICATO A TE - MONTELUPONE"/>
  </r>
  <r>
    <x v="5"/>
    <s v="B&amp;B DEGLI ANGELI"/>
    <s v="frazione varano 228"/>
    <x v="10"/>
    <s v="ANCONA"/>
    <s v="www.bbdegliangeli.it"/>
    <s v="info@bbdegliangeli.it"/>
    <s v="B&amp;B DEGLI ANGELI - ANCONA"/>
  </r>
  <r>
    <x v="5"/>
    <s v="B&amp;B DEGLI ANGELI"/>
    <s v="via Angeli 1"/>
    <x v="111"/>
    <s v="loc.Capoluogo"/>
    <m/>
    <s v="bebdegliangeli@libero.it"/>
    <s v="B&amp;B DEGLI ANGELI - SANT'ELPIDIO A MARE"/>
  </r>
  <r>
    <x v="5"/>
    <s v="B&amp;B DEGL'INNOCENTI MARIA ALESSANDRA"/>
    <s v="corso Garibaldi 20"/>
    <x v="58"/>
    <m/>
    <m/>
    <s v="arpen@arpen.it"/>
    <s v="B&amp;B DEGL'INNOCENTI MARIA ALESSANDRA - SANT'ANGELO IN VADO"/>
  </r>
  <r>
    <x v="5"/>
    <s v="B&amp;B DEI CESARI"/>
    <s v="via Monsignor Campetti 21"/>
    <x v="139"/>
    <m/>
    <m/>
    <s v="cesari55@libero.it"/>
    <s v="B&amp;B DEI CESARI - TREIA"/>
  </r>
  <r>
    <x v="5"/>
    <s v="B&amp;B DEI MERLETTI"/>
    <s v="via III Ottobre 8"/>
    <x v="151"/>
    <s v="ASCOLI PICENO"/>
    <m/>
    <s v="info@bebdeimerletti.it"/>
    <s v="B&amp;B DEI MERLETTI - ASCOLI PICENO"/>
  </r>
  <r>
    <x v="5"/>
    <s v="B&amp;B del CASTELLO"/>
    <s v="via e. fileni 30"/>
    <x v="12"/>
    <s v="SAN BENEDETTO DEL TRONTO"/>
    <s v="www.bbdelcastello.it"/>
    <s v="mail@bbdelcastello.it"/>
    <s v="B&amp;B del CASTELLO - SAN BENEDETTO DEL TRONTO"/>
  </r>
  <r>
    <x v="5"/>
    <s v="B&amp;B DEL GATTO MARIA"/>
    <s v="via Montegranarese  320"/>
    <x v="111"/>
    <s v="loc. Capoluogo"/>
    <m/>
    <m/>
    <s v="B&amp;B DEL GATTO MARIA - SANT'ELPIDIO A MARE"/>
  </r>
  <r>
    <x v="5"/>
    <s v="B&amp;B DEL PODESTA'"/>
    <s v="Corso della Repubblica 33"/>
    <x v="21"/>
    <s v="FABRIANO"/>
    <m/>
    <s v="info@bbdelpodesta.it"/>
    <s v="B&amp;B DEL PODESTA' - FABRIANO"/>
  </r>
  <r>
    <x v="5"/>
    <s v="B&amp;B DEL TEATRO"/>
    <s v="via Giacomo Leopardi 28"/>
    <x v="75"/>
    <s v="CAGLI"/>
    <s v="www.bbdelteatro.it"/>
    <s v="info@bbdelteatro.it"/>
    <s v="B&amp;B DEL TEATRO - CAGLI"/>
  </r>
  <r>
    <x v="5"/>
    <s v="B&amp;B DELLA TARTANA"/>
    <s v="via della Tartana 17"/>
    <x v="19"/>
    <m/>
    <s v="www.bbdellatartana.it"/>
    <s v="info@bbdellatartana.it"/>
    <s v="B&amp;B DELLA TARTANA - ACQUAVIVA PICENA"/>
  </r>
  <r>
    <x v="5"/>
    <s v="B&amp;B DELLE DUCHESSE"/>
    <s v="via Santa Margherita 22"/>
    <x v="1"/>
    <s v="URBINO"/>
    <s v="www.albergoraffaello.com"/>
    <s v="info@albergoraffaello.com"/>
    <s v="B&amp;B DELLE DUCHESSE - URBINO"/>
  </r>
  <r>
    <x v="5"/>
    <s v="B&amp;B DELLE STELLE DI BORZACCHINI VALERIO E PERONI CARLA"/>
    <s v="corso di Sotto 22"/>
    <x v="151"/>
    <s v="ASCOLI PICENO"/>
    <m/>
    <s v="valerioborzacchini@securemail.it"/>
    <s v="B&amp;B DELLE STELLE DI BORZACCHINI VALERIO E PERONI CARLA - ASCOLI PICENO"/>
  </r>
  <r>
    <x v="5"/>
    <s v="B&amp;B DELL'ORSO GIUSEPPE"/>
    <s v="via Regina Margherita 2"/>
    <x v="27"/>
    <m/>
    <m/>
    <s v="peppecotto@tiscali.it"/>
    <s v="B&amp;B DELL'ORSO GIUSEPPE - LORO PICENO"/>
  </r>
  <r>
    <x v="5"/>
    <s v="B&amp;B DEN HARTOG CORNELIS MAARTEN"/>
    <s v="via San Pietro Martire 17"/>
    <x v="205"/>
    <m/>
    <m/>
    <s v="cees.denhartog@hotmail.com"/>
    <s v="B&amp;B DEN HARTOG CORNELIS MAARTEN - MONTOTTONE"/>
  </r>
  <r>
    <x v="5"/>
    <s v="B&amp;B DENOPOPE"/>
    <s v="c.da San Carlo 18"/>
    <x v="139"/>
    <s v="TREIA"/>
    <m/>
    <s v="denopope@gmail.com"/>
    <s v="B&amp;B DENOPOPE - TREIA"/>
  </r>
  <r>
    <x v="5"/>
    <s v="B&amp;B DI CRISTOFARO FIORENZA"/>
    <s v="Frazione Colonnata 101"/>
    <x v="151"/>
    <s v="COLONNATA"/>
    <m/>
    <m/>
    <s v="B&amp;B DI CRISTOFARO FIORENZA - ASCOLI PICENO"/>
  </r>
  <r>
    <x v="5"/>
    <s v="B&amp;B DI GABRIELE ARGIGNANO"/>
    <s v="ARGIGNANO  4L"/>
    <x v="21"/>
    <s v="FABRIANO"/>
    <m/>
    <s v="tinti.gabriele@yahoo.it"/>
    <s v="B&amp;B DI GABRIELE ARGIGNANO - FABRIANO"/>
  </r>
  <r>
    <x v="5"/>
    <s v="B&amp;B di GALEASSI FRANCO"/>
    <s v="via Giovan Battista Pergolesi 29"/>
    <x v="158"/>
    <s v="ROSORA"/>
    <m/>
    <s v="franco.galeassi@gmail.com"/>
    <s v="B&amp;B di GALEASSI FRANCO - ROSORA"/>
  </r>
  <r>
    <x v="5"/>
    <s v="B&amp;B di LUCARELLI PAOLO"/>
    <s v="via della resistenza 3"/>
    <x v="33"/>
    <s v="FANO"/>
    <m/>
    <s v="lucarellipaolo1@tin.it"/>
    <s v="B&amp;B di LUCARELLI PAOLO - FANO"/>
  </r>
  <r>
    <x v="5"/>
    <s v="B&amp;B DI MALLONI FERDINANDO"/>
    <s v="via bagno 10"/>
    <x v="35"/>
    <s v="ACQUASANTA TERME"/>
    <m/>
    <m/>
    <s v="B&amp;B DI MALLONI FERDINANDO - ACQUASANTA TERME"/>
  </r>
  <r>
    <x v="5"/>
    <s v="B&amp;B DI WEALTHAL PERRY GREGORY"/>
    <s v="localita' palazzo avenale 40"/>
    <x v="26"/>
    <s v="CINGOLI"/>
    <s v="www.peritalia.com"/>
    <s v="gregoryperry@libero.it"/>
    <s v="B&amp;B DI WEALTHAL PERRY GREGORY - CINGOLI"/>
  </r>
  <r>
    <x v="5"/>
    <s v="B&amp;B DIAMANTI PAOLA"/>
    <s v="via IV Novembre 124"/>
    <x v="163"/>
    <s v="PORTO SANT' ELPIDIO"/>
    <m/>
    <s v="diamanti57@libero.it"/>
    <s v="B&amp;B DIAMANTI PAOLA - PORTO SANT'ELPIDIO"/>
  </r>
  <r>
    <x v="5"/>
    <s v="B&amp;B DILETTI DANIELE"/>
    <s v="contrada Molino 93"/>
    <x v="71"/>
    <s v="MONTE SAN MARTINO"/>
    <s v="www.ilnidodelfalco.com"/>
    <s v="info@ilnidodelfalco.com"/>
    <s v="B&amp;B DILETTI DANIELE - MONTE SAN MARTINO"/>
  </r>
  <r>
    <x v="5"/>
    <s v="B&amp;B DIMORA DELLA ROVERE"/>
    <s v="via della Rovere 4"/>
    <x v="155"/>
    <s v="www.dimoradellarovere.com"/>
    <m/>
    <s v="info@dimoradellarovere.com"/>
    <s v="B&amp;B DIMORA DELLA ROVERE - GRADARA"/>
  </r>
  <r>
    <x v="5"/>
    <s v="B&amp;B DIMORA GIOSAFATTI"/>
    <s v="via Tito Betuzio Barro 11"/>
    <x v="151"/>
    <m/>
    <m/>
    <s v="manolo861985@libero.it"/>
    <s v="B&amp;B DIMORA GIOSAFATTI - ASCOLI PICENO"/>
  </r>
  <r>
    <x v="5"/>
    <s v="B&amp;B DIMORA MALATESTA"/>
    <s v="via Zanvettori 2"/>
    <x v="155"/>
    <s v="Gradara"/>
    <m/>
    <s v="arianna.tagliabracci@virgilio.it"/>
    <s v="B&amp;B DIMORA MALATESTA - GRADARA"/>
  </r>
  <r>
    <x v="5"/>
    <s v="B&amp;B DIMORA NEL BORGO"/>
    <s v="corso Serpente Aureo 27"/>
    <x v="30"/>
    <s v="offida"/>
    <m/>
    <s v="guidolo@msn.com"/>
    <s v="B&amp;B DIMORA NEL BORGO - OFFIDA"/>
  </r>
  <r>
    <x v="5"/>
    <s v="B&amp;B DIMORA ROSSO PICENO"/>
    <s v="c.da Tesino 99/a"/>
    <x v="30"/>
    <m/>
    <s v="www.dimorarossopiceno.it"/>
    <s v="info@dimorarossopiceno.it"/>
    <s v="B&amp;B DIMORA ROSSO PICENO - OFFIDA"/>
  </r>
  <r>
    <x v="5"/>
    <s v="B&amp;B DIMORA STORICA CASTELLO DI MONTERADO"/>
    <s v="piazza Roma 18"/>
    <x v="119"/>
    <s v="MONTERADO"/>
    <s v="www.castellodimonterado.it"/>
    <s v="info@castellodimonterado.it"/>
    <s v="B&amp;B DIMORA STORICA CASTELLO DI MONTERADO - TRECASTELLI"/>
  </r>
  <r>
    <x v="5"/>
    <s v="B&amp;B DIMORANTICA"/>
    <s v="via san marco 75"/>
    <x v="37"/>
    <s v="FERMO"/>
    <s v="www.dimorantica.com"/>
    <s v="synodia@virgilio.it"/>
    <s v="B&amp;B DIMORANTICA - FERMO"/>
  </r>
  <r>
    <x v="5"/>
    <s v="B&amp;B DINI CARLO"/>
    <s v="Via voc. Santa Lucia  sn"/>
    <x v="76"/>
    <m/>
    <m/>
    <s v="raffaele.dini@virgilio.it"/>
    <s v="B&amp;B DINI CARLO - MERCATELLO SUL METAURO"/>
  </r>
  <r>
    <x v="5"/>
    <s v="B&amp;B DOLCE BUONGIORNO"/>
    <s v="Via S. Formentini 89"/>
    <x v="12"/>
    <s v="SAN BENEDETTO DEL TRONTO"/>
    <m/>
    <s v="giovannimenzietti@libero.it"/>
    <s v="B&amp;B DOLCE BUONGIORNO - SAN BENEDETTO DEL TRONTO"/>
  </r>
  <r>
    <x v="5"/>
    <s v="B&amp;B DOLCE MIELE"/>
    <s v="contrada menocchia crocefisso 105"/>
    <x v="122"/>
    <s v="CARASSAI"/>
    <s v="www.bedandbreakfastdolcemiele.it"/>
    <s v="bbdolcemiele@hotmail.it"/>
    <s v="B&amp;B DOLCE MIELE - CARASSAI"/>
  </r>
  <r>
    <x v="5"/>
    <s v="B&amp;B DOMUS FLOREA"/>
    <s v="via Achille Argenti 29"/>
    <x v="151"/>
    <s v="ASCOLI PICENO"/>
    <s v="www.bbascolidomusflorea.it"/>
    <s v="massettipierpaolo@libero.it"/>
    <s v="B&amp;B DOMUS FLOREA - ASCOLI PICENO"/>
  </r>
  <r>
    <x v="5"/>
    <s v="B&amp;B DOMUS MONTESANTO"/>
    <s v="corso Vittorio Emanuele II 35"/>
    <x v="148"/>
    <s v="POTENZA PICENA"/>
    <m/>
    <s v="marche_olden_times@yahoo.it"/>
    <s v="B&amp;B DOMUS MONTESANTO - POTENZA PICENA"/>
  </r>
  <r>
    <x v="5"/>
    <s v="B&amp;B DOREMI"/>
    <s v="Via Fontanelle Passatempo 24"/>
    <x v="44"/>
    <s v="PASSATEMPO"/>
    <m/>
    <s v="info@doremi-osimo.com"/>
    <s v="B&amp;B DOREMI - OSIMO"/>
  </r>
  <r>
    <x v="5"/>
    <s v="B&amp;B DORMI DA NOI"/>
    <s v="via Pola 24"/>
    <x v="17"/>
    <m/>
    <s v="www.dormidanoi.it"/>
    <s v="info@dormidanoi.it"/>
    <s v="B&amp;B DORMI DA NOI - CIVITANOVA MARCHE"/>
  </r>
  <r>
    <x v="5"/>
    <s v="B&amp;B DORMO AL MARE"/>
    <s v="via Capri 5"/>
    <x v="9"/>
    <m/>
    <s v="www.dormoalmare.com"/>
    <s v="eleonora@dormoalmare.com"/>
    <s v="B&amp;B DORMO AL MARE - NUMANA"/>
  </r>
  <r>
    <x v="5"/>
    <s v="B&amp;B DREAMTIME"/>
    <s v="via dei Laureati 86"/>
    <x v="12"/>
    <m/>
    <s v="www.dreamtimebb.com"/>
    <s v="info@dreamtimebb.com"/>
    <s v="B&amp;B DREAMTIME - SAN BENEDETTO DEL TRONTO"/>
  </r>
  <r>
    <x v="5"/>
    <s v="B&amp;B DROGHINI DAVIDE"/>
    <s v="frazione Fenigli 135"/>
    <x v="91"/>
    <s v="frazione Fenigli"/>
    <m/>
    <s v="studiogiulianorossi@libero.it"/>
    <s v="B&amp;B DROGHINI DAVIDE - PERGOLA"/>
  </r>
  <r>
    <x v="5"/>
    <s v="B&amp;B DRUPAROSA"/>
    <s v="via Vaccarilese 17"/>
    <x v="137"/>
    <s v="frazione Vaccarile"/>
    <s v="www.druparosa.it"/>
    <s v="druparosa@gmail.com"/>
    <s v="B&amp;B DRUPAROSA - OSTRA"/>
  </r>
  <r>
    <x v="5"/>
    <s v="B&amp;B DUE PASSI DAL MARE"/>
    <s v="via Ettore Bocci 61"/>
    <x v="148"/>
    <s v="PORTO POTENZA"/>
    <s v="www.duepassidalmare.eu"/>
    <s v="info@duepassidalmare.eu"/>
    <s v="B&amp;B DUE PASSI DAL MARE - POTENZA PICENA"/>
  </r>
  <r>
    <x v="5"/>
    <s v="B&amp;B DUE TORRI"/>
    <s v="via Cesare Battisti 51"/>
    <x v="49"/>
    <m/>
    <s v="vissoimmobiliare.com"/>
    <s v="visso83@email.it"/>
    <s v="B&amp;B DUE TORRI - VISSO"/>
  </r>
  <r>
    <x v="5"/>
    <s v="B&amp;B EL KOT"/>
    <s v="via del Baldo 8"/>
    <x v="196"/>
    <s v="loc. Montefabbri"/>
    <s v="www.elkot.it"/>
    <s v="marcolino.66@hotmail.it"/>
    <s v="B&amp;B EL KOT - VALLEFOGLIA"/>
  </r>
  <r>
    <x v="5"/>
    <s v="B&amp;B EL SITO"/>
    <s v="LOCALITA'  ELCITO  29"/>
    <x v="2"/>
    <s v="LOCALITA' ELCITO"/>
    <m/>
    <m/>
    <s v="B&amp;B EL SITO - SAN SEVERINO MARCHE"/>
  </r>
  <r>
    <x v="5"/>
    <s v="B&amp;B ELENA MONALDI"/>
    <s v="via Sant'Antonio 122"/>
    <x v="51"/>
    <s v="PETRITOLI"/>
    <s v="www.bluemoonresort.it"/>
    <s v="elena.monaldi@gmail.com"/>
    <s v="B&amp;B ELENA MONALDI - PETRITOLI"/>
  </r>
  <r>
    <x v="5"/>
    <s v="B&amp;B ELISABETTA ACHILLE"/>
    <s v="corso cavour 75"/>
    <x v="37"/>
    <s v="FERMO"/>
    <s v="info@beb-fermo.com"/>
    <s v="eliachil@alice.it"/>
    <s v="B&amp;B ELISABETTA ACHILLE - FERMO"/>
  </r>
  <r>
    <x v="5"/>
    <s v="B&amp;B EMILIA MARILYN TROLI"/>
    <s v="frazione Pozza 100"/>
    <x v="35"/>
    <s v="POZZA"/>
    <m/>
    <s v="emily75t@live.it"/>
    <s v="B&amp;B EMILIA MARILYN TROLI - ACQUASANTA TERME"/>
  </r>
  <r>
    <x v="5"/>
    <s v="B&amp;B EMILIANI GRAZIELLA"/>
    <s v="localita' marcucci 16"/>
    <x v="26"/>
    <s v="CINGOLI"/>
    <m/>
    <m/>
    <s v="B&amp;B EMILIANI GRAZIELLA - CINGOLI"/>
  </r>
  <r>
    <x v="5"/>
    <s v="B&amp;B EMMA DEL ZOMPO"/>
    <s v="via piemonte 147"/>
    <x v="12"/>
    <s v="SAN BENEDETTO DEL TRONTO"/>
    <m/>
    <m/>
    <s v="B&amp;B EMMA DEL ZOMPO - SAN BENEDETTO DEL TRONTO"/>
  </r>
  <r>
    <x v="5"/>
    <s v="B&amp;B ER COLOSSEO"/>
    <s v="via fratelli rosselli 126bis"/>
    <x v="5"/>
    <m/>
    <m/>
    <s v="l.bresciani55@gmail.com"/>
    <s v="B&amp;B ER COLOSSEO - GROTTAMMARE"/>
  </r>
  <r>
    <x v="5"/>
    <s v="B&amp;B ERIKA"/>
    <s v="VIA A.MURRI 15/A"/>
    <x v="12"/>
    <m/>
    <m/>
    <s v="bberika_sbt@outlook.it"/>
    <s v="B&amp;B ERIKA - SAN BENEDETTO DEL TRONTO"/>
  </r>
  <r>
    <x v="5"/>
    <s v="B&amp;B FABERIUS"/>
    <s v="Via Ramelli 104"/>
    <x v="21"/>
    <s v="FABRIANO"/>
    <m/>
    <s v="faberiusfabriano@gmail.com"/>
    <s v="B&amp;B FABERIUS - FABRIANO"/>
  </r>
  <r>
    <x v="5"/>
    <s v="B&amp;B FABIANI ANDREA"/>
    <s v="contrada bagliano 25"/>
    <x v="206"/>
    <s v="MOGLIANO"/>
    <s v="www.thecountryhouse.it"/>
    <s v="info@thecountryhouse.it"/>
    <s v="B&amp;B FABIANI ANDREA - MOGLIANO"/>
  </r>
  <r>
    <x v="5"/>
    <s v="B&amp;B FALASCONI MARCO"/>
    <s v="via R. Sanzio 11"/>
    <x v="152"/>
    <m/>
    <m/>
    <s v="benniroberta@virgilio.it"/>
    <s v="B&amp;B FALASCONI MARCO - FERMIGNANO"/>
  </r>
  <r>
    <x v="5"/>
    <s v="B&amp;B FALCONI CHIARA"/>
    <s v="l.go Falconi 3"/>
    <x v="37"/>
    <s v="FERMO"/>
    <m/>
    <s v="falconi.chiara@alice.it"/>
    <s v="B&amp;B FALCONI CHIARA - FERMO"/>
  </r>
  <r>
    <x v="5"/>
    <s v="B&amp;B FAMIGLIA DE ANGELIS"/>
    <s v="via Canali 10"/>
    <x v="3"/>
    <s v="RIPATRANSONE"/>
    <s v="www.bbfamigliadeangelis.it"/>
    <s v="teresa.pierantozzi@alice.it"/>
    <s v="B&amp;B FAMIGLIA DE ANGELIS - RIPATRANSONE"/>
  </r>
  <r>
    <x v="5"/>
    <s v="B&amp;B FATTORINI SAURO"/>
    <s v="via Brigata Messina 12/a"/>
    <x v="33"/>
    <m/>
    <m/>
    <s v="marilena.spadoni@gmail.com"/>
    <s v="B&amp;B FATTORINI SAURO - FANO"/>
  </r>
  <r>
    <x v="5"/>
    <s v="B&amp;B FERMATA 135"/>
    <s v="FRATELLI ROSSELLI  135"/>
    <x v="5"/>
    <m/>
    <s v="www.fermata135.it"/>
    <s v="info@fermata135.it"/>
    <s v="B&amp;B FERMATA 135 - GROTTAMMARE"/>
  </r>
  <r>
    <x v="5"/>
    <s v="B&amp;B FERMO D'AMARE"/>
    <s v="via Pagani 50"/>
    <x v="37"/>
    <s v="FERMO"/>
    <s v="https://sites.google.com/site/bbfermodamare/home"/>
    <s v="mon-cherie@hotmail.it"/>
    <s v="B&amp;B FERMO D'AMARE - FERMO"/>
  </r>
  <r>
    <x v="5"/>
    <s v="B&amp;B FERMO STORICA"/>
    <s v="CESARE BATTISTI 14"/>
    <x v="37"/>
    <s v="FERMO"/>
    <s v="www.fermostorica.com"/>
    <s v="info@fermostorica.com"/>
    <s v="B&amp;B FERMO STORICA - FERMO"/>
  </r>
  <r>
    <x v="5"/>
    <s v="B&amp;B FIL DI FUMO"/>
    <s v="via Tozzano 52/a"/>
    <x v="151"/>
    <s v="frazione Castagneti Alto"/>
    <s v="www.benale.net"/>
    <s v="info@benale.net"/>
    <s v="B&amp;B FIL DI FUMO - ASCOLI PICENO"/>
  </r>
  <r>
    <x v="5"/>
    <s v="B&amp;B FIOCCO"/>
    <s v="via delle Frazioni 17"/>
    <x v="207"/>
    <s v="ROTELLA"/>
    <s v="www.fioccobb.weebly.com"/>
    <s v="andreafiocco@hotmail.it"/>
    <s v="B&amp;B FIOCCO - ROTELLA"/>
  </r>
  <r>
    <x v="5"/>
    <s v="B&amp;B FIORAVANTI EMIDIO"/>
    <s v="viale Treviri 212"/>
    <x v="151"/>
    <s v="ASCOLI PICENO"/>
    <m/>
    <m/>
    <s v="B&amp;B FIORAVANTI EMIDIO - ASCOLI PICENO"/>
  </r>
  <r>
    <x v="5"/>
    <s v="B&amp;B FIORAVANTI SANDRA"/>
    <s v="CORSO G.MAZZINI 335"/>
    <x v="151"/>
    <m/>
    <m/>
    <m/>
    <s v="B&amp;B FIORAVANTI SANDRA - ASCOLI PICENO"/>
  </r>
  <r>
    <x v="5"/>
    <s v="B&amp;B FLAT"/>
    <s v="via marche 83"/>
    <x v="16"/>
    <s v="SENIGALLIA"/>
    <m/>
    <m/>
    <s v="B&amp;B FLAT - SENIGALLIA"/>
  </r>
  <r>
    <x v="5"/>
    <s v="B&amp;B FLORIANI"/>
    <s v="contrada Montanello 3"/>
    <x v="0"/>
    <s v="MACERATA"/>
    <s v="www.florianicompagnoni.it"/>
    <s v="agritur.floriani@tiscali.it"/>
    <s v="B&amp;B FLORIANI - MACERATA"/>
  </r>
  <r>
    <x v="5"/>
    <s v="B&amp;B FLORIDA"/>
    <s v="località Campana 2"/>
    <x v="26"/>
    <m/>
    <m/>
    <m/>
    <s v="B&amp;B FLORIDA - CINGOLI"/>
  </r>
  <r>
    <x v="5"/>
    <s v="B&amp;B FOGLINI LIVIA"/>
    <s v="contrada san savino 51"/>
    <x v="51"/>
    <s v="PETRITOLI"/>
    <s v="www.ilbiologicodilivia.com"/>
    <s v="foam.bio@gmail.com"/>
    <s v="B&amp;B FOGLINI LIVIA - PETRITOLI"/>
  </r>
  <r>
    <x v="5"/>
    <s v="B&amp;B FONTE ANTICA"/>
    <s v="strada dei Cappuccini 11"/>
    <x v="16"/>
    <s v="Scapezzano"/>
    <m/>
    <s v="marilenamoroni@libero.it"/>
    <s v="B&amp;B FONTE ANTICA - SENIGALLIA"/>
  </r>
  <r>
    <x v="5"/>
    <s v="B&amp;B FONTE DELL'ARIA"/>
    <m/>
    <x v="208"/>
    <s v="loc. Dignano"/>
    <m/>
    <s v="federicabartolibabu@yahoo.it"/>
    <s v="B&amp;B FONTE DELL'ARIA - SERRAVALLE DI CHIENTI"/>
  </r>
  <r>
    <x v="5"/>
    <s v="B&amp;B FONTE D'ERCOLE"/>
    <s v="via Fonte d'Ercole 9"/>
    <x v="96"/>
    <s v="MONTALTO DELLE MARCHE"/>
    <m/>
    <s v="tassotti.raffaele@libero.it"/>
    <s v="B&amp;B FONTE D'ERCOLE - MONTALTO DELLE MARCHE"/>
  </r>
  <r>
    <x v="5"/>
    <s v="B&amp;B FONTE GIULIA"/>
    <s v="via Fonte Giulia 47"/>
    <x v="17"/>
    <s v="Santa Maria Apparente"/>
    <s v="www.bebfontegiulia.com"/>
    <s v="info@bebfontegiulia.com"/>
    <s v="B&amp;B FONTE GIULIA - CIVITANOVA MARCHE"/>
  </r>
  <r>
    <x v="5"/>
    <s v="B&amp;B FONTE GRIMA"/>
    <s v="via Montefeltresca 167"/>
    <x v="184"/>
    <s v="Ponte Cappuccini"/>
    <s v="www.fontegrima.it"/>
    <s v="annamaria.salucci@gmail.com"/>
    <s v="B&amp;B FONTE GRIMA - PIETRARUBBIA"/>
  </r>
  <r>
    <x v="5"/>
    <s v="B&amp;B FONTEBELLA"/>
    <s v="via Fontebella 17/b"/>
    <x v="41"/>
    <m/>
    <m/>
    <s v="bbfontebella@libero.it"/>
    <s v="B&amp;B FONTEBELLA - MONTEMARCIANO"/>
  </r>
  <r>
    <x v="5"/>
    <s v="B&amp;B FONTEBIGONCIO"/>
    <s v="contrada Fontebigoncio 1"/>
    <x v="6"/>
    <s v="TOLENTINO"/>
    <s v="www.bbfontebigoncio.it"/>
    <s v="bbfontebigoncio@tiscali.it"/>
    <s v="B&amp;B FONTEBIGONCIO - TOLENTINO"/>
  </r>
  <r>
    <x v="5"/>
    <s v="B&amp;B FONTECORONA"/>
    <s v="via Don Minzoni 1"/>
    <x v="72"/>
    <m/>
    <s v="www.fontecorona.it"/>
    <s v="loretta.cantiani@gmail.com"/>
    <s v="B&amp;B FONTECORONA - SERRA SAN QUIRICO"/>
  </r>
  <r>
    <x v="5"/>
    <s v="B&amp;B FONTEFRESCA"/>
    <s v="frazione moscano vallemontagnana 111"/>
    <x v="21"/>
    <s v="FABRIANO"/>
    <s v="www.fontefresca.com"/>
    <s v="info@fontefresca.com"/>
    <s v="B&amp;B FONTEFRESCA - FABRIANO"/>
  </r>
  <r>
    <x v="5"/>
    <s v="B&amp;B FONTESPINO"/>
    <s v="via fontespino 9"/>
    <x v="1"/>
    <s v="URBINO"/>
    <s v="www.bbfontespino.it"/>
    <s v="restavileuomo@libero.it"/>
    <s v="B&amp;B FONTESPINO - URBINO"/>
  </r>
  <r>
    <x v="5"/>
    <s v="B&amp;B FORTUNA EMANUELA"/>
    <s v="frazione Capodacqua 9d"/>
    <x v="157"/>
    <s v="loc. Capodacqua"/>
    <m/>
    <s v="emanuela.fortuna@tin.it"/>
    <s v="B&amp;B FORTUNA EMANUELA - ARQUATA DEL TRONTO"/>
  </r>
  <r>
    <x v="5"/>
    <s v="B&amp;B FOX'S HILL"/>
    <s v="localita' sant' andrea in serra d' ocre 1"/>
    <x v="80"/>
    <s v="URBANIA"/>
    <s v="www.foxhill.it"/>
    <s v="fox.elizabeth@libero.it"/>
    <s v="B&amp;B FOX'S HILL - URBANIA"/>
  </r>
  <r>
    <x v="5"/>
    <s v="B&amp;B FRANCESCO BERBELLINI"/>
    <s v="via Giacomo Leopardi 19"/>
    <x v="37"/>
    <m/>
    <m/>
    <s v="francescoberbellini@gmail.com"/>
    <s v="B&amp;B FRANCESCO BERBELLINI - FERMO"/>
  </r>
  <r>
    <x v="5"/>
    <s v="B&amp;B FRANCIONI DONATELLA"/>
    <s v="frazione valdiea 9"/>
    <x v="42"/>
    <s v="CAMERINO"/>
    <m/>
    <m/>
    <s v="B&amp;B FRANCIONI DONATELLA - CAMERINO"/>
  </r>
  <r>
    <x v="5"/>
    <s v="B&amp;B FUNARI ALBERTO"/>
    <s v="via borgo Caucci 3"/>
    <x v="209"/>
    <s v="frazione Sant'Elpidio Morico"/>
    <s v="http://leduetorrinere.blogspot.it/"/>
    <s v="leduetorri@live.it"/>
    <s v="B&amp;B FUNARI ALBERTO - MONSAMPIETRO MORICO"/>
  </r>
  <r>
    <x v="5"/>
    <s v="B&amp;B FUORI ROTTA"/>
    <s v="via Calatafimi 16"/>
    <x v="12"/>
    <m/>
    <s v="www.bbfuorirotta.it"/>
    <s v="carlo.chiaromonte@tin.it"/>
    <s v="B&amp;B FUORI ROTTA - SAN BENEDETTO DEL TRONTO"/>
  </r>
  <r>
    <x v="5"/>
    <s v="B&amp;B GALIE'"/>
    <s v="Rua dei Falconieri 6"/>
    <x v="151"/>
    <s v="ASCOLI PICENO"/>
    <m/>
    <m/>
    <s v="B&amp;B GALIE' - ASCOLI PICENO"/>
  </r>
  <r>
    <x v="5"/>
    <s v="B&amp;B GALLETTO"/>
    <s v="via N. Sauro 131"/>
    <x v="47"/>
    <m/>
    <m/>
    <s v="bbgalletto@gmail.com"/>
    <s v="B&amp;B GALLETTO - PORTO SAN GIORGIO"/>
  </r>
  <r>
    <x v="5"/>
    <s v="B&amp;B GALLI ENRICO"/>
    <s v="via Giovanni Pascoli 1"/>
    <x v="58"/>
    <s v="SANT' ANGELO IN VADO"/>
    <s v="http://www.madonnagrande.com"/>
    <s v="info@madonnagrande.com"/>
    <s v="B&amp;B GALLI ENRICO - SANT'ANGELO IN VADO"/>
  </r>
  <r>
    <x v="5"/>
    <s v="B&amp;B GALLIANO"/>
    <s v="via Galliano  18"/>
    <x v="49"/>
    <m/>
    <m/>
    <s v="smeaconsulsrl@libero.it"/>
    <s v="B&amp;B GALLIANO - VISSO"/>
  </r>
  <r>
    <x v="5"/>
    <s v="B&amp;B GARDEN"/>
    <s v="via Martin Luther King 35"/>
    <x v="152"/>
    <s v="FERMIGNANO"/>
    <s v="www.bbgarden.it"/>
    <s v="bedandbreakfastgarden@gmail.com"/>
    <s v="B&amp;B GARDEN - FERMIGNANO"/>
  </r>
  <r>
    <x v="5"/>
    <s v="B&amp;B GARDENIA"/>
    <s v="via benedetto croce 6"/>
    <x v="17"/>
    <s v="CIVITANOVA MARCHE"/>
    <m/>
    <s v="dirire@alice.it"/>
    <s v="B&amp;B GARDENIA - CIVITANOVA MARCHE"/>
  </r>
  <r>
    <x v="5"/>
    <s v="B&amp;B GEBAUER PETRA"/>
    <s v="SANTO STEFANO  1"/>
    <x v="137"/>
    <s v="OSTRA"/>
    <m/>
    <s v="petragebauer@libero.it"/>
    <s v="B&amp;B GEBAUER PETRA - OSTRA"/>
  </r>
  <r>
    <x v="5"/>
    <s v="B&amp;B GECO di FARES GIANCARLO"/>
    <s v="VIA CABIANO  32"/>
    <x v="3"/>
    <m/>
    <s v="www.bebgeco.it"/>
    <s v="info@bebgeco.com"/>
    <s v="B&amp;B GECO di FARES GIANCARLO - RIPATRANSONE"/>
  </r>
  <r>
    <x v="5"/>
    <s v="B&amp;B GENTILI TERESA MARIA"/>
    <s v="via Antonio Perpenti 15"/>
    <x v="37"/>
    <s v="FERMO"/>
    <m/>
    <s v="bbteresagentili@yahoo.it"/>
    <s v="B&amp;B GENTILI TERESA MARIA - FERMO"/>
  </r>
  <r>
    <x v="5"/>
    <s v="B&amp;B GIANFRANCO FALCONETTI"/>
    <s v="Via della rocca 7"/>
    <x v="157"/>
    <s v="ARQUATA DEL TRONTO"/>
    <s v="www.laterradellemeraviglie.it"/>
    <s v="g.falcon@tiscali.it"/>
    <s v="B&amp;B GIANFRANCO FALCONETTI - ARQUATA DEL TRONTO"/>
  </r>
  <r>
    <x v="5"/>
    <s v="B&amp;B GIANLUIGI SPAZIANI"/>
    <s v="via dei Ligustri 1"/>
    <x v="5"/>
    <s v="GROTTAMMARE"/>
    <m/>
    <m/>
    <s v="B&amp;B GIANLUIGI SPAZIANI - GROTTAMMARE"/>
  </r>
  <r>
    <x v="5"/>
    <s v="B&amp;B GIANPAOLO LUCHINI"/>
    <s v="localita' Secchiano strada Cagli Pianello 123"/>
    <x v="75"/>
    <s v="CAGLI"/>
    <m/>
    <m/>
    <s v="B&amp;B GIANPAOLO LUCHINI - CAGLI"/>
  </r>
  <r>
    <x v="5"/>
    <s v="B&amp;B GIARDINO DELLE FATE"/>
    <s v="Frazione Pretare 1"/>
    <x v="157"/>
    <s v="PRETARE"/>
    <s v="www.giardinodellefate.it"/>
    <s v="bbgiardinodellefate@libero.it"/>
    <s v="B&amp;B GIARDINO DELLE FATE - ARQUATA DEL TRONTO"/>
  </r>
  <r>
    <x v="5"/>
    <s v="B&amp;B GIARDINO MEDITERRANEO"/>
    <s v="via Carlo Alberto Dalla Chiesa 58"/>
    <x v="19"/>
    <s v="Acquaviva Picena"/>
    <s v="www.giardinomediterraneo.altervista.org"/>
    <s v="bbilgiardinomediterraneo@outlook.it"/>
    <s v="B&amp;B GIARDINO MEDITERRANEO - ACQUAVIVA PICENA"/>
  </r>
  <r>
    <x v="5"/>
    <s v="B&amp;B GILI"/>
    <s v="VIA PIERO GOBETTI 17"/>
    <x v="169"/>
    <m/>
    <s v="http://www.gilibedbreakfast.com/"/>
    <s v="bb.gili2015@gmail.com"/>
    <s v="B&amp;B GILI - CASTELFIDARDO"/>
  </r>
  <r>
    <x v="5"/>
    <s v="B&amp;B GIORGINI MARINELLA"/>
    <s v="strada Belvedere 1"/>
    <x v="94"/>
    <m/>
    <s v="www.beb-marinella.jimdo.com"/>
    <s v="massimofranchini53@gmail.com"/>
    <s v="B&amp;B GIORGINI MARINELLA - SAN COSTANZO"/>
  </r>
  <r>
    <x v="5"/>
    <s v="B&amp;B GIOVANNA EUPIZI"/>
    <s v="viale saladini 2"/>
    <x v="157"/>
    <s v="ARQUATA DEL TRONTO"/>
    <m/>
    <m/>
    <s v="B&amp;B GIOVANNA EUPIZI - ARQUATA DEL TRONTO"/>
  </r>
  <r>
    <x v="5"/>
    <s v="B&amp;B GIOVANNI DELLACASA"/>
    <s v="loc. Cesolo 134"/>
    <x v="2"/>
    <m/>
    <m/>
    <s v="prehistoricfuture@hotmail.com"/>
    <s v="B&amp;B GIOVANNI DELLACASA - SAN SEVERINO MARCHE"/>
  </r>
  <r>
    <x v="5"/>
    <s v="B&amp;B GIRASOLI"/>
    <s v="FRAZIONE MOZZANO 65/D"/>
    <x v="151"/>
    <s v="ASCOLI PICENO"/>
    <m/>
    <s v="donatella_bollentini@hotmail.it"/>
    <s v="B&amp;B GIRASOLI - ASCOLI PICENO"/>
  </r>
  <r>
    <x v="5"/>
    <s v="B&amp;B GIROVAGANDO"/>
    <s v="via dei Tigli 31/a"/>
    <x v="163"/>
    <s v="PORTO SANT' ELPIDIO"/>
    <s v="www.bebmarche.it"/>
    <s v="info@bebmarche.it"/>
    <s v="B&amp;B GIROVAGANDO - PORTO SANT'ELPIDIO"/>
  </r>
  <r>
    <x v="5"/>
    <s v="B&amp;B GLI ALBERELLI"/>
    <s v="C.da Paludi 344"/>
    <x v="37"/>
    <m/>
    <m/>
    <s v="renren_2@libero.it"/>
    <s v="B&amp;B GLI ALBERELLI - FERMO"/>
  </r>
  <r>
    <x v="5"/>
    <s v="B&amp;B GLI ARTISTI"/>
    <s v="via Botticelli 6"/>
    <x v="47"/>
    <s v="PORTO SAN GIORGIO"/>
    <s v="www.gliartisti.altervista.org"/>
    <s v="b-bgliartisti@tiscali.it"/>
    <s v="B&amp;B GLI ARTISTI - PORTO SAN GIORGIO"/>
  </r>
  <r>
    <x v="5"/>
    <s v="B&amp;B GLI AURI"/>
    <s v="via San Bernardino 51"/>
    <x v="1"/>
    <s v="URBINO"/>
    <m/>
    <s v="beb.gliauri@gmail.com"/>
    <s v="B&amp;B GLI AURI - URBINO"/>
  </r>
  <r>
    <x v="5"/>
    <s v="B&amp;B GLI ELFI"/>
    <s v="via Paganello 15"/>
    <x v="161"/>
    <s v="CUPRAMONTANA"/>
    <m/>
    <s v="silvia.zannini@tin.it; elficupramontana@gmail.com"/>
    <s v="B&amp;B GLI ELFI - CUPRAMONTANA"/>
  </r>
  <r>
    <x v="5"/>
    <s v="B&amp;B GLI ULIVI"/>
    <s v="Via Lago Maggiore  34"/>
    <x v="69"/>
    <s v="VILLA CECCOLINI"/>
    <m/>
    <s v="luca.vagno@gmail.com"/>
    <s v="B&amp;B GLI ULIVI - PESARO"/>
  </r>
  <r>
    <x v="5"/>
    <s v="B&amp;B GLI ULIVI"/>
    <s v="via De Dominicis 30"/>
    <x v="10"/>
    <m/>
    <s v="http://www.ulivibb.it"/>
    <s v="info@ulivibb.it"/>
    <s v="B&amp;B GLI ULIVI - ANCONA"/>
  </r>
  <r>
    <x v="5"/>
    <s v="B&amp;B GLICINE"/>
    <s v="Frazione Montesicuro 211"/>
    <x v="10"/>
    <s v="ANCONA"/>
    <s v="www.glicineancona.it"/>
    <s v="glicine.ancona@virgilio.it"/>
    <s v="B&amp;B GLICINE - ANCONA"/>
  </r>
  <r>
    <x v="5"/>
    <s v="B&amp;B GLICINE"/>
    <s v="via T. Tasso 14"/>
    <x v="17"/>
    <m/>
    <s v="www.glicine.eu"/>
    <s v="info@glicine.eu"/>
    <s v="B&amp;B GLICINE - CIVITANOVA MARCHE"/>
  </r>
  <r>
    <x v="5"/>
    <s v="B&amp;B GLORIA"/>
    <s v="via Ruggeri  43"/>
    <x v="10"/>
    <m/>
    <m/>
    <s v="mauriz65@tiscali.it"/>
    <s v="B&amp;B GLORIA - ANCONA"/>
  </r>
  <r>
    <x v="5"/>
    <s v="B&amp;B GOGA &amp; ROMEO"/>
    <s v="via F.Tumiati 11"/>
    <x v="69"/>
    <s v="Pesaro"/>
    <m/>
    <s v="oliospellava@yahoo.it"/>
    <s v="B&amp;B GOGA &amp; ROMEO - PESARO"/>
  </r>
  <r>
    <x v="5"/>
    <s v="B&amp;B GRADARA"/>
    <s v="via Tavullia 28"/>
    <x v="155"/>
    <s v="GRADARA"/>
    <m/>
    <s v="emanuelatf1@gmail.com"/>
    <s v="B&amp;B GRADARA - GRADARA"/>
  </r>
  <r>
    <x v="5"/>
    <s v="B&amp;B GRAN CASO"/>
    <s v="via Pantelleria 1"/>
    <x v="151"/>
    <s v="ASCOLI PICENO"/>
    <m/>
    <s v="bbgrancaso@gmail.com"/>
    <s v="B&amp;B GRAN CASO - ASCOLI PICENO"/>
  </r>
  <r>
    <x v="5"/>
    <s v="B&amp;B GRANCI MARIA GRAZIA"/>
    <s v="via Martiri della Liberta' 20"/>
    <x v="31"/>
    <s v="APECCHIO"/>
    <m/>
    <m/>
    <s v="B&amp;B GRANCI MARIA GRAZIA - APECCHIO"/>
  </r>
  <r>
    <x v="5"/>
    <s v="B&amp;B GRAZIELLA NICOLAI"/>
    <s v="PIAGGE 240"/>
    <x v="151"/>
    <s v="ASCOLI PICENO"/>
    <s v="sedo.ascoli@gmail.com"/>
    <m/>
    <s v="B&amp;B GRAZIELLA NICOLAI - ASCOLI PICENO"/>
  </r>
  <r>
    <x v="5"/>
    <s v="B&amp;B GREEN HARMONY di BIANCA MARIA CASALI"/>
    <s v="contrada Misericordia 6"/>
    <x v="47"/>
    <m/>
    <m/>
    <s v="bianca.casali@virgilio.it"/>
    <s v="B&amp;B GREEN HARMONY di BIANCA MARIA CASALI - PORTO SAN GIORGIO"/>
  </r>
  <r>
    <x v="5"/>
    <s v="B&amp;B GRETA"/>
    <s v="LOC. CARIGNANO 57"/>
    <x v="33"/>
    <s v="CARIGNANO"/>
    <m/>
    <s v="giovannigiommi@alice.it"/>
    <s v="B&amp;B GRETA - FANO"/>
  </r>
  <r>
    <x v="5"/>
    <s v="B&amp;B GRIGRA'"/>
    <s v="via Trento  5"/>
    <x v="10"/>
    <m/>
    <m/>
    <s v="morris662009@libero.it"/>
    <s v="B&amp;B GRIGRA' - ANCONA"/>
  </r>
  <r>
    <x v="5"/>
    <s v="B&amp;B GUARNERI IVANA"/>
    <s v="via frana 33a"/>
    <x v="5"/>
    <s v="GROTTAMMARE"/>
    <s v="www.activebroker.agenzie.cas.it"/>
    <s v="ivanaguarneri@email.it"/>
    <s v="B&amp;B GUARNERI IVANA - GROTTAMMARE"/>
  </r>
  <r>
    <x v="5"/>
    <s v="B&amp;B GUERRIERI ALESSANDRO"/>
    <s v="frazione Abetito 111"/>
    <x v="84"/>
    <m/>
    <m/>
    <s v="annabastiani@outlook.com"/>
    <s v="B&amp;B GUERRIERI ALESSANDRO - MONTEGALLO"/>
  </r>
  <r>
    <x v="5"/>
    <s v="B&amp;B GUSTISSIMO"/>
    <s v="loc. Fontedonne 5"/>
    <x v="142"/>
    <s v="FONTEDONNE"/>
    <s v="www.gustissimo.com"/>
    <s v="info@gustissimo.com"/>
    <s v="B&amp;B GUSTISSIMO - FORCE"/>
  </r>
  <r>
    <x v="5"/>
    <s v="B&amp;B GYM &amp; TENNIS IL FALCO"/>
    <s v="via Pago sn"/>
    <x v="188"/>
    <m/>
    <m/>
    <s v="marco.tamberi@profilomagazine.it"/>
    <s v="B&amp;B GYM &amp; TENNIS IL FALCO - OFFAGNA"/>
  </r>
  <r>
    <x v="5"/>
    <s v="B&amp;B HAPPY"/>
    <s v="via Palermo 32"/>
    <x v="163"/>
    <s v="Faleriense"/>
    <m/>
    <s v="happybeb14@gmail.com"/>
    <s v="B&amp;B HAPPY - PORTO SANT'ELPIDIO"/>
  </r>
  <r>
    <x v="5"/>
    <s v="B&amp;B HAPPY FAMILY"/>
    <s v="via Monte San Michele 30"/>
    <x v="12"/>
    <m/>
    <m/>
    <s v="happyfamily.italy@gmail.com"/>
    <s v="B&amp;B HAPPY FAMILY - SAN BENEDETTO DEL TRONTO"/>
  </r>
  <r>
    <x v="5"/>
    <s v="B&amp;B HAPPY HOUSES"/>
    <s v="viale Emilio Betti 15"/>
    <x v="42"/>
    <s v="www.happyhouses.it"/>
    <m/>
    <s v="info@happyhouses.it"/>
    <s v="B&amp;B HAPPY HOUSES - CAMERINO"/>
  </r>
  <r>
    <x v="5"/>
    <s v="B&amp;B HELVIA RECINA"/>
    <s v="via dei Velini 139"/>
    <x v="0"/>
    <m/>
    <m/>
    <s v="angela-biondi@alice.it"/>
    <s v="B&amp;B HELVIA RECINA - MACERATA"/>
  </r>
  <r>
    <x v="5"/>
    <s v="B&amp;B HOLY HOUSE"/>
    <s v="via Verdi 21"/>
    <x v="15"/>
    <m/>
    <s v="www.holyhouse.it"/>
    <s v="info@holyhouse.it"/>
    <s v="B&amp;B HOLY HOUSE - LORETO"/>
  </r>
  <r>
    <x v="5"/>
    <s v="B&amp;B HOUSE SAN NICOLO'"/>
    <s v="via Solferino 20"/>
    <x v="103"/>
    <s v="Montegiorgio"/>
    <s v="www.housesannicolo.it"/>
    <s v="info@housesannicolo.it"/>
    <s v="B&amp;B HOUSE SAN NICOLO' - MONTEGIORGIO"/>
  </r>
  <r>
    <x v="5"/>
    <s v="B&amp;B I .. GATTI DI RIPA"/>
    <s v="via Attone Bonaparte 1"/>
    <x v="3"/>
    <m/>
    <m/>
    <s v="igattidiripa@gmail.com"/>
    <s v="B&amp;B I .. GATTI DI RIPA - RIPATRANSONE"/>
  </r>
  <r>
    <x v="5"/>
    <s v="B&amp;B I CANONICI"/>
    <s v="via ca' i canonici 9"/>
    <x v="1"/>
    <s v="URBINO"/>
    <s v="www.canonici.it"/>
    <s v="info@canonici.it"/>
    <s v="B&amp;B I CANONICI - URBINO"/>
  </r>
  <r>
    <x v="5"/>
    <s v="B&amp;B I CILIEGI"/>
    <s v="via Molino Mensa 103"/>
    <x v="44"/>
    <s v="OSIMO"/>
    <s v="www.iciliegi.com"/>
    <s v="info@iciliegi.com"/>
    <s v="B&amp;B I CILIEGI - OSIMO"/>
  </r>
  <r>
    <x v="5"/>
    <s v="B&amp;B I CILIEGI"/>
    <s v="via Carducci  13"/>
    <x v="17"/>
    <m/>
    <m/>
    <s v="remoroma24@hotmail.it"/>
    <s v="B&amp;B I CILIEGI - CIVITANOVA MARCHE"/>
  </r>
  <r>
    <x v="5"/>
    <s v="B&amp;B I CINQUE COLLI"/>
    <s v="via Settembre 22"/>
    <x v="126"/>
    <m/>
    <m/>
    <s v="giacomomau@gmail.com"/>
    <s v="B&amp;B I CINQUE COLLI - POLLENZA"/>
  </r>
  <r>
    <x v="5"/>
    <s v="B&amp;B I COLORI DEL CONERO"/>
    <s v="via Colle Piceno 42"/>
    <x v="9"/>
    <m/>
    <s v="www.icoloridelconero.it"/>
    <s v="info@icoloridelconero.it"/>
    <s v="B&amp;B I COLORI DEL CONERO - NUMANA"/>
  </r>
  <r>
    <x v="5"/>
    <s v="B&amp;B I CUCALI"/>
    <s v="via Palestro 39 39"/>
    <x v="23"/>
    <m/>
    <s v="icucali.it"/>
    <s v="hello@icucali.it"/>
    <s v="B&amp;B I CUCALI - PORTO RECANATI"/>
  </r>
  <r>
    <x v="5"/>
    <s v="B&amp;B I FIORI DELLA CAVA"/>
    <s v="via della Cava 4"/>
    <x v="69"/>
    <m/>
    <s v="www.ifioridellacava.com"/>
    <s v="ifioridellacava@gmail.com"/>
    <s v="B&amp;B I FIORI DELLA CAVA - PESARO"/>
  </r>
  <r>
    <x v="5"/>
    <s v="B&amp;B I GIRASOLI di ANTONINI DANIELA"/>
    <s v="via dei Piceni 64"/>
    <x v="5"/>
    <s v="GROTTAMMARE"/>
    <m/>
    <s v="daniela.antonini2@gmail.com"/>
    <s v="B&amp;B I GIRASOLI di ANTONINI DANIELA - GROTTAMMARE"/>
  </r>
  <r>
    <x v="5"/>
    <s v="B&amp;B I TRE BASSOTTI"/>
    <s v="via Bramante 1"/>
    <x v="15"/>
    <m/>
    <m/>
    <s v="info@itrebassotti.it"/>
    <s v="B&amp;B I TRE BASSOTTI - LORETO"/>
  </r>
  <r>
    <x v="5"/>
    <s v="B&amp;B I TRE CILIEGI"/>
    <s v="vocabolo Felette Basse 571"/>
    <x v="145"/>
    <m/>
    <m/>
    <m/>
    <s v="B&amp;B I TRE CILIEGI - MATELICA"/>
  </r>
  <r>
    <x v="5"/>
    <s v="B&amp;B I TRE GELSI"/>
    <s v="strada Vecchia Pietralacroce 30"/>
    <x v="10"/>
    <m/>
    <s v="www.itregelsi.com"/>
    <s v="itregelsi.bb@gmail.com"/>
    <s v="B&amp;B I TRE GELSI - ANCONA"/>
  </r>
  <r>
    <x v="5"/>
    <s v="B&amp;B I TRE PULCINI"/>
    <s v="via marinuccia alta 4"/>
    <x v="36"/>
    <s v="FILOTTRANO"/>
    <s v="www.itrepulcini.it"/>
    <s v="info@itrepulcini.it"/>
    <s v="B&amp;B I TRE PULCINI - FILOTTRANO"/>
  </r>
  <r>
    <x v="5"/>
    <s v="B&amp;B I TRINCI"/>
    <s v="via Montecavallo 358"/>
    <x v="10"/>
    <s v="frazione Varano"/>
    <s v="conerotrinci@gmail.com"/>
    <s v="augustotrinci17@gmail.com"/>
    <s v="B&amp;B I TRINCI - ANCONA"/>
  </r>
  <r>
    <x v="5"/>
    <s v="B&amp;B IDIANA"/>
    <s v="via S. Voltattorni 3"/>
    <x v="12"/>
    <m/>
    <s v="bbidiana.weebly.com"/>
    <s v="bbidiana@libero.it"/>
    <s v="B&amp;B IDIANA - SAN BENEDETTO DEL TRONTO"/>
  </r>
  <r>
    <x v="5"/>
    <s v="B&amp;B IL BACO"/>
    <s v="piazza iv novembre 104"/>
    <x v="161"/>
    <s v="CUPRAMONTANA"/>
    <s v="www.ilbaco.net"/>
    <s v="info@ilbaco.net; francaustralia@tiscali.it"/>
    <s v="B&amp;B IL BACO - CUPRAMONTANA"/>
  </r>
  <r>
    <x v="5"/>
    <s v="B&amp;B IL BAIOCCO"/>
    <s v="C.da San Domenico 61"/>
    <x v="17"/>
    <s v="CIVITANOVA MARCHE"/>
    <m/>
    <s v="bbilbaiocco@hotmail.it"/>
    <s v="B&amp;B IL BAIOCCO - CIVITANOVA MARCHE"/>
  </r>
  <r>
    <x v="5"/>
    <s v="B&amp;B IL BATTISTERO di FIORAVANTI EUROSIA"/>
    <s v="piazza Arringo  19"/>
    <x v="151"/>
    <s v="Ascoli Piceno"/>
    <s v="www.battisteroascoli.it"/>
    <s v="info@battisteroascoli.it"/>
    <s v="B&amp;B IL BATTISTERO di FIORAVANTI EUROSIA - ASCOLI PICENO"/>
  </r>
  <r>
    <x v="5"/>
    <s v="B&amp;B IL BICICLO"/>
    <s v="via Dante Alighieri 3"/>
    <x v="152"/>
    <s v="FERMIGNANO"/>
    <m/>
    <s v="gostolialessandro@gmail.com"/>
    <s v="B&amp;B IL BICICLO - FERMIGNANO"/>
  </r>
  <r>
    <x v="5"/>
    <s v="B&amp;B IL BORGHETTO"/>
    <s v="via Borghetto 11"/>
    <x v="94"/>
    <s v="borghetto"/>
    <m/>
    <s v="silvialip@libero.it"/>
    <s v="B&amp;B IL BORGHETTO - SAN COSTANZO"/>
  </r>
  <r>
    <x v="5"/>
    <s v="B&amp;B IL BORGHETTO"/>
    <s v="via Tomassucci 9"/>
    <x v="128"/>
    <s v="GUALDO"/>
    <m/>
    <s v="claudia.zavaglini@gmail.com"/>
    <s v="B&amp;B IL BORGHETTO - GUALDO"/>
  </r>
  <r>
    <x v="5"/>
    <s v="B&amp;B IL BORGHETTO DI SOTTO"/>
    <s v="via Fantina 44"/>
    <x v="39"/>
    <m/>
    <m/>
    <s v="c.sparta@libero.it"/>
    <s v="B&amp;B IL BORGHETTO DI SOTTO - MONDAVIO"/>
  </r>
  <r>
    <x v="5"/>
    <s v="B&amp;B IL BORGO"/>
    <s v="BORGO MAZZINI 28"/>
    <x v="31"/>
    <s v="APECCHIO"/>
    <m/>
    <s v="stevemugs@gmail.com"/>
    <s v="B&amp;B IL BORGO - APECCHIO"/>
  </r>
  <r>
    <x v="5"/>
    <s v="B&amp;B IL BORGO"/>
    <s v="via del Borgo 12"/>
    <x v="129"/>
    <s v="Piandicastello"/>
    <m/>
    <m/>
    <s v="B&amp;B IL BORGO - MERCATINO CONCA"/>
  </r>
  <r>
    <x v="5"/>
    <s v="B&amp;B IL BORGO"/>
    <s v="via Trento 17"/>
    <x v="44"/>
    <s v="OSIMO"/>
    <s v="www.ilborgodiosimo.it"/>
    <s v="agenziadorimarco@yahoo.it"/>
    <s v="B&amp;B IL BORGO - OSIMO"/>
  </r>
  <r>
    <x v="5"/>
    <s v="B&amp;B IL BORGO"/>
    <s v="via borgo SantAntonio 11/a"/>
    <x v="49"/>
    <m/>
    <m/>
    <s v="info@ilborgovisso.it"/>
    <s v="B&amp;B IL BORGO - VISSO"/>
  </r>
  <r>
    <x v="5"/>
    <s v="B&amp;B IL BOSCHETTO"/>
    <s v="strada provinciale Faleriense 13"/>
    <x v="163"/>
    <m/>
    <s v="http://www.boschettobedandbreakfast.com/"/>
    <s v="info@boschettobedandbreakfast.com"/>
    <s v="B&amp;B IL BOSCHETTO - PORTO SANT'ELPIDIO"/>
  </r>
  <r>
    <x v="5"/>
    <s v="B&amp;B IL BOSCO DEGLI ALLORI"/>
    <s v="via Montacuto 85"/>
    <x v="10"/>
    <s v="Ancona"/>
    <m/>
    <s v="annalisapassarini@gmail.com"/>
    <s v="B&amp;B IL BOSCO DEGLI ALLORI - ANCONA"/>
  </r>
  <r>
    <x v="5"/>
    <s v="B&amp;B IL BOSCO DEI CICLAMINI"/>
    <s v="via Passo 26"/>
    <x v="110"/>
    <s v="MOMBAROCCIO"/>
    <m/>
    <s v="ilboscodeiciclamini@gmail.com"/>
    <s v="B&amp;B IL BOSCO DEI CICLAMINI - MOMBAROCCIO"/>
  </r>
  <r>
    <x v="5"/>
    <s v="B&amp;B IL BOSCO DI VALARGUE"/>
    <s v="frazione campodiegoli 71"/>
    <x v="21"/>
    <s v="FABRIANO"/>
    <m/>
    <m/>
    <s v="B&amp;B IL BOSCO DI VALARGUE - FABRIANO"/>
  </r>
  <r>
    <x v="5"/>
    <s v="B&amp;B IL BUGHETTO"/>
    <s v="via Poggiale 16"/>
    <x v="174"/>
    <s v="CARPEGNA"/>
    <s v="www.ilbughetto.it"/>
    <s v="info@ilbughetto.it"/>
    <s v="B&amp;B IL BUGHETTO - CARPEGNA"/>
  </r>
  <r>
    <x v="5"/>
    <s v="B&amp;B IL CAMPANILE"/>
    <s v="corso umberto i 1"/>
    <x v="130"/>
    <s v="MONTEDINOVE"/>
    <m/>
    <m/>
    <s v="B&amp;B IL CAMPANILE - MONTEDINOVE"/>
  </r>
  <r>
    <x v="5"/>
    <s v="B&amp;B IL CAMPO DEGLI OLIVI"/>
    <s v="via colonna 1"/>
    <x v="1"/>
    <s v="URBINO"/>
    <m/>
    <m/>
    <s v="B&amp;B IL CAMPO DEGLI OLIVI - URBINO"/>
  </r>
  <r>
    <x v="5"/>
    <s v="B&amp;B IL CANTASTORIE"/>
    <s v="c.da Asola 26"/>
    <x v="17"/>
    <m/>
    <m/>
    <s v="info@ilcantastorie.it"/>
    <s v="B&amp;B IL CANTASTORIE - CIVITANOVA MARCHE"/>
  </r>
  <r>
    <x v="5"/>
    <s v="B&amp;B IL CANTO DEL NERA"/>
    <s v="via Pietro Toselli 2"/>
    <x v="49"/>
    <m/>
    <s v="http://ilcantodelnera.blogspot.it/"/>
    <s v="cantodelnera@gmail.com"/>
    <s v="B&amp;B IL CANTO DEL NERA - VISSO"/>
  </r>
  <r>
    <x v="5"/>
    <s v="B&amp;B IL CANTUCCIO"/>
    <s v="Località Elcito 104"/>
    <x v="2"/>
    <s v="ELCITO"/>
    <m/>
    <s v="simona.cap@gmail.com"/>
    <s v="B&amp;B IL CANTUCCIO - SAN SEVERINO MARCHE"/>
  </r>
  <r>
    <x v="5"/>
    <s v="B&amp;B IL CASALE"/>
    <s v="via Montemarino 11"/>
    <x v="110"/>
    <s v="Montemarino"/>
    <s v="www.ilcasalespadoni.it"/>
    <s v="ilcasale.spadoni@libero.it"/>
    <s v="B&amp;B IL CASALE - MOMBAROCCIO"/>
  </r>
  <r>
    <x v="5"/>
    <s v="B&amp;B IL CASALE DEGLI INCANTI"/>
    <m/>
    <x v="6"/>
    <s v="TOLENTINO"/>
    <s v="www.ilcasaledegliincanti.com"/>
    <s v="giemmenne@gmail.com"/>
    <s v="B&amp;B IL CASALE DEGLI INCANTI - TOLENTINO"/>
  </r>
  <r>
    <x v="5"/>
    <s v="B&amp;B IL CASALE DEL DUCA"/>
    <s v="strada provinciale Montefabbri 104"/>
    <x v="1"/>
    <s v="Cal Duca"/>
    <s v="www.ilcasaledelduca.it"/>
    <s v="info@ilcasaledelduca.it"/>
    <s v="B&amp;B IL CASALE DEL DUCA - URBINO"/>
  </r>
  <r>
    <x v="5"/>
    <s v="B&amp;B IL CASALE DEL SOLE"/>
    <s v="via Jesi 21"/>
    <x v="137"/>
    <m/>
    <m/>
    <s v="ilcasaledelsole@virgilio.it"/>
    <s v="B&amp;B IL CASALE DEL SOLE - OSTRA"/>
  </r>
  <r>
    <x v="5"/>
    <s v="B&amp;B IL CASALE DI GIOVE"/>
    <s v="LOC.MAGLIANO 44"/>
    <x v="33"/>
    <s v="MAGLIANO"/>
    <m/>
    <s v="info@ilcasaledigiove.it"/>
    <s v="B&amp;B IL CASALE DI GIOVE - FANO"/>
  </r>
  <r>
    <x v="5"/>
    <s v="B&amp;B IL CASALE DI NANNI"/>
    <s v="contrada Biordi 3"/>
    <x v="113"/>
    <s v="PENNA SAN GIOVANNI"/>
    <m/>
    <s v="ilcasaledinanni@libero.it"/>
    <s v="B&amp;B IL CASALE DI NANNI - PENNA SAN GIOVANNI"/>
  </r>
  <r>
    <x v="5"/>
    <s v="B&amp;B IL CASONE"/>
    <s v="via Casone  3"/>
    <x v="99"/>
    <m/>
    <s v="www.bbilcasone.it"/>
    <s v="giusbu@libero.it"/>
    <s v="B&amp;B IL CASONE - MONTELUPONE"/>
  </r>
  <r>
    <x v="5"/>
    <s v="B&amp;B IL CASTELLANO"/>
    <s v="FRAZ. VALLECCHIA MONTECOLVO 14"/>
    <x v="35"/>
    <s v="ACQUASANTA TERME"/>
    <m/>
    <s v="ilcastellano@gmail.it"/>
    <s v="B&amp;B IL CASTELLANO - ACQUASANTA TERME"/>
  </r>
  <r>
    <x v="5"/>
    <s v="B&amp;B IL CASTELLO"/>
    <s v="via Castello di Barcaglione  14"/>
    <x v="22"/>
    <s v="loc. Barcaglione"/>
    <m/>
    <s v="ilcastellodibarcaglione@gmail.com"/>
    <s v="B&amp;B IL CASTELLO - FALCONARA MARITTIMA"/>
  </r>
  <r>
    <x v="5"/>
    <s v="B&amp;B IL CASTELLO"/>
    <s v="via G. Lapucci snc"/>
    <x v="210"/>
    <s v="loc.Castello di Fiordimonte"/>
    <s v="www.bnbilcastello.com"/>
    <s v="bnbilcastello@gmail.com"/>
    <s v="B&amp;B IL CASTELLO - FIORDIMONTE"/>
  </r>
  <r>
    <x v="5"/>
    <s v="B&amp;B IL CASTELLO"/>
    <s v="via Mazzini 9"/>
    <x v="120"/>
    <m/>
    <m/>
    <s v="ilcastello.montefiore@gmail.com"/>
    <s v="B&amp;B IL CASTELLO - MONTEFIORE DELL'ASO"/>
  </r>
  <r>
    <x v="5"/>
    <s v="B&amp;B IL CAVALLINO BIANCO"/>
    <s v="via cristoforo colombo 21"/>
    <x v="2"/>
    <s v="SAN SEVERINO MARCHE"/>
    <s v="www.bedandbreakfast-sanseverino.it"/>
    <s v="beb.lapieve@virgilio.it"/>
    <s v="B&amp;B IL CAVALLINO BIANCO - SAN SEVERINO MARCHE"/>
  </r>
  <r>
    <x v="5"/>
    <s v="B&amp;B IL CAVALLINO BIANCO"/>
    <s v="piazza Umberto I 7"/>
    <x v="157"/>
    <s v="ARQUATA DEL TRONTO"/>
    <s v="www.arquatadeltronto.com"/>
    <s v="cantalamessafmavv@libero.it"/>
    <s v="B&amp;B IL CAVALLINO BIANCO - ARQUATA DEL TRONTO"/>
  </r>
  <r>
    <x v="5"/>
    <s v="B&amp;B IL CENTRO"/>
    <s v="corso Giuseppe Garibaldi 27"/>
    <x v="10"/>
    <s v="ANCONA"/>
    <s v="ilcentro.vetrina-italia.it"/>
    <s v="info@vetrinaitalia.org"/>
    <s v="B&amp;B IL CENTRO - ANCONA"/>
  </r>
  <r>
    <x v="5"/>
    <s v="B&amp;B IL CHIARO DI LUNA"/>
    <s v="Castellano 1556"/>
    <x v="111"/>
    <m/>
    <s v="www.bbilchiarodiluna.com"/>
    <s v="ilchiarodiluna@outlook.com"/>
    <s v="B&amp;B IL CHIARO DI LUNA - SANT'ELPIDIO A MARE"/>
  </r>
  <r>
    <x v="5"/>
    <s v="B&amp;B IL CICLAMINO"/>
    <s v="via delle Convertite 15"/>
    <x v="151"/>
    <s v="ASCOLI PICENO"/>
    <s v="www.ilciclaminobnb.it"/>
    <s v="marcellavespa@hotmail.it"/>
    <s v="B&amp;B IL CICLAMINO - ASCOLI PICENO"/>
  </r>
  <r>
    <x v="5"/>
    <s v="B&amp;B IL CIELO IN UNA STANZA"/>
    <s v="via l. luciani 76"/>
    <x v="12"/>
    <s v="SAN BENEDETTO DEL TRONTO"/>
    <s v="www.cieloinunastanza.com"/>
    <s v="np@cieloinunastanza.com"/>
    <s v="B&amp;B IL CIELO IN UNA STANZA - SAN BENEDETTO DEL TRONTO"/>
  </r>
  <r>
    <x v="5"/>
    <s v="B&amp;B IL CILIEGIO"/>
    <s v="strada pronvinciale Faleriense 13"/>
    <x v="163"/>
    <m/>
    <s v="www.boschettobedandbreakfast.com"/>
    <s v="info@boschettobedandbreakfast.com"/>
    <s v="B&amp;B IL CILIEGIO - PORTO SANT'ELPIDIO"/>
  </r>
  <r>
    <x v="5"/>
    <s v="B&amp;B IL COLIBRI'"/>
    <s v="Località Villa Scagnoli SNC"/>
    <x v="62"/>
    <s v="AMANDOLA"/>
    <m/>
    <s v="francescadiiorio@hotmail.com"/>
    <s v="B&amp;B IL COLIBRI' - AMANDOLA"/>
  </r>
  <r>
    <x v="5"/>
    <s v="B&amp;B IL COLLE"/>
    <s v="via dell'Ornato 15"/>
    <x v="19"/>
    <m/>
    <m/>
    <s v="gasparrini.giorgio@virgilio.it"/>
    <s v="B&amp;B IL COLLE - ACQUAVIVA PICENA"/>
  </r>
  <r>
    <x v="5"/>
    <s v="B&amp;B IL CONCIO"/>
    <s v="via Concio 2A"/>
    <x v="8"/>
    <s v="loc. Valcastagno"/>
    <s v="www.ilconcio.it"/>
    <s v="info@ilconcio.it"/>
    <s v="B&amp;B IL CONCIO - SIROLO"/>
  </r>
  <r>
    <x v="5"/>
    <s v="B&amp;B IL CONVENTINO"/>
    <s v="via Monsignor Amici 1"/>
    <x v="201"/>
    <s v="USSITA"/>
    <m/>
    <s v="laura.marciani@libero.it"/>
    <s v="B&amp;B IL CONVENTINO - USSITA"/>
  </r>
  <r>
    <x v="5"/>
    <s v="B&amp;B IL CONVENTINO 44"/>
    <s v="Via Conventino 56"/>
    <x v="22"/>
    <s v="FALCONARA MARITTIMA"/>
    <s v="www.bbilconventino44.it"/>
    <s v="m.borsini@alice.it"/>
    <s v="B&amp;B IL CONVENTINO 44 - FALCONARA MARITTIMA"/>
  </r>
  <r>
    <x v="5"/>
    <s v="B&amp;B IL CORSO"/>
    <s v="c.so Cefalonia 51"/>
    <x v="37"/>
    <m/>
    <m/>
    <m/>
    <s v="B&amp;B IL CORSO - FERMO"/>
  </r>
  <r>
    <x v="5"/>
    <s v="B&amp;B IL COVO DEI PICCIONI"/>
    <s v="via Mazzini 21"/>
    <x v="169"/>
    <m/>
    <m/>
    <s v="ilcovodeipiccioni@live.it"/>
    <s v="B&amp;B IL COVO DEI PICCIONI - CASTELFIDARDO"/>
  </r>
  <r>
    <x v="5"/>
    <s v="B&amp;B IL DORMIGLIONE"/>
    <s v="via Custoza 32"/>
    <x v="17"/>
    <s v="civitanova marche"/>
    <s v="www.bebildormiglione.it"/>
    <s v="lucianaverdini@hotmail.it"/>
    <s v="B&amp;B IL DORMIGLIONE - CIVITANOVA MARCHE"/>
  </r>
  <r>
    <x v="5"/>
    <s v="B&amp;B IL FARO"/>
    <s v="via del Correggio, 27 27"/>
    <x v="12"/>
    <m/>
    <s v="www.bbilfaro.net"/>
    <s v="bebilfaro@gmail.com"/>
    <s v="B&amp;B IL FARO - SAN BENEDETTO DEL TRONTO"/>
  </r>
  <r>
    <x v="5"/>
    <s v="B&amp;B IL FICO GENTILE"/>
    <s v="C/DA FONTANA II 21"/>
    <x v="37"/>
    <m/>
    <s v="www.ilficogentile.it"/>
    <s v="danidea.cellamare@gmail.com"/>
    <s v="B&amp;B IL FICO GENTILE - FERMO"/>
  </r>
  <r>
    <x v="5"/>
    <s v="B&amp;B IL FIENILE"/>
    <s v="vocabolo Colle Sant' Antonio 150"/>
    <x v="145"/>
    <s v="MATELICA"/>
    <s v="www.il-fienile.it"/>
    <s v="mbblondel@gmail.com"/>
    <s v="B&amp;B IL FIENILE - MATELICA"/>
  </r>
  <r>
    <x v="5"/>
    <s v="B&amp;B IL FIENILE DI UGUCCIONI RENATO"/>
    <s v="via Sant' andrea in Villis 62"/>
    <x v="33"/>
    <s v="FANO"/>
    <m/>
    <s v="renaterry@libero.it"/>
    <s v="B&amp;B IL FIENILE DI UGUCCIONI RENATO - FANO"/>
  </r>
  <r>
    <x v="5"/>
    <s v="B&amp;B IL GELSO"/>
    <s v="strada Fabbrici Ville 60"/>
    <x v="16"/>
    <s v="SENIGALLIA"/>
    <m/>
    <s v="info@gelsoincollina.it"/>
    <s v="B&amp;B IL GELSO - SENIGALLIA"/>
  </r>
  <r>
    <x v="5"/>
    <s v="B&amp;B IL GELSOMINO"/>
    <s v="corso Europa 25"/>
    <x v="79"/>
    <m/>
    <m/>
    <s v="ilgelsomino25@alice.it"/>
    <s v="B&amp;B IL GELSOMINO - SASSOFELTRIO"/>
  </r>
  <r>
    <x v="5"/>
    <s v="B&amp;B IL GELSOMINO"/>
    <s v="via 2 Giugno 12"/>
    <x v="44"/>
    <s v="Osimo"/>
    <m/>
    <s v="bedilgelsomino@gmail.com"/>
    <s v="B&amp;B IL GELSOMINO - OSIMO"/>
  </r>
  <r>
    <x v="5"/>
    <s v="B&amp;B IL GHETTO"/>
    <s v="via Stretta 31"/>
    <x v="1"/>
    <s v="URBINO"/>
    <s v="www.ilghetto.net"/>
    <s v="ilghettourbino@gmail.com"/>
    <s v="B&amp;B IL GHETTO - URBINO"/>
  </r>
  <r>
    <x v="5"/>
    <s v="B&amp;B IL GIARDINO"/>
    <s v="strada picciano 21"/>
    <x v="57"/>
    <s v="TAVULLIA"/>
    <s v="www.bedandbreakfastilgiardino.com"/>
    <s v="info@bedandbreakfastilgiardino.com"/>
    <s v="B&amp;B IL GIARDINO - TAVULLIA"/>
  </r>
  <r>
    <x v="5"/>
    <s v="B&amp;B IL GIARDINO"/>
    <s v="via Firenze 11"/>
    <x v="151"/>
    <m/>
    <m/>
    <s v="mar24nar@libero.it"/>
    <s v="B&amp;B IL GIARDINO - ASCOLI PICENO"/>
  </r>
  <r>
    <x v="5"/>
    <s v="B&amp;B IL GIARDINO DEI LIMONI"/>
    <s v="localita' Rinaldi 16"/>
    <x v="109"/>
    <s v="MONTECASSIANO"/>
    <s v="www.bbilgiardinodeilimoni.it"/>
    <s v="info@bbilgiardinodeilimoni.it"/>
    <s v="B&amp;B IL GIARDINO DEI LIMONI - MONTECASSIANO"/>
  </r>
  <r>
    <x v="5"/>
    <s v="B&amp;B IL GIARDINO DELLE NOCI"/>
    <s v="Località Molino Ca' Guerra 48"/>
    <x v="171"/>
    <s v="loc. Casinina"/>
    <m/>
    <s v="ilariasanti89@libero.it"/>
    <s v="B&amp;B IL GIARDINO DELLE NOCI - AUDITORE"/>
  </r>
  <r>
    <x v="5"/>
    <s v="B&amp;B IL GIARDINO DELLE NOCI"/>
    <s v="strada Pescolla 35/a"/>
    <x v="163"/>
    <s v="PORTO SANT' ELPIDIO"/>
    <m/>
    <s v="ilgiardinodellenoci@libero.it"/>
    <s v="B&amp;B IL GIARDINO DELLE NOCI - PORTO SANT'ELPIDIO"/>
  </r>
  <r>
    <x v="5"/>
    <s v="B&amp;B IL GIARDINO DI ANNA"/>
    <s v="via tronto 1"/>
    <x v="10"/>
    <s v="ANCONA"/>
    <m/>
    <s v="n.cesaroni@tin.it"/>
    <s v="B&amp;B IL GIARDINO DI ANNA - ANCONA"/>
  </r>
  <r>
    <x v="5"/>
    <s v="B&amp;B IL GIARDINO di FABBRI MARIA CRISTINA"/>
    <s v="via Guglielmo Marconi 21"/>
    <x v="91"/>
    <s v="PERGOLA"/>
    <m/>
    <s v="info@ilgiardinobb.it"/>
    <s v="B&amp;B IL GIARDINO di FABBRI MARIA CRISTINA - PERGOLA"/>
  </r>
  <r>
    <x v="5"/>
    <s v="B&amp;B IL GIARDINO DI VIKI"/>
    <s v="Via Sicilia 43"/>
    <x v="17"/>
    <s v="CIVITANOVA MARCHE"/>
    <m/>
    <s v="lauramalaccari@libero.it"/>
    <s v="B&amp;B IL GIARDINO DI VIKI - CIVITANOVA MARCHE"/>
  </r>
  <r>
    <x v="5"/>
    <s v="B&amp;B IL GIARDINO ERBOSO"/>
    <s v="contrada collelungo 6"/>
    <x v="150"/>
    <s v="MONSAMPOLO DEL TRONTO"/>
    <s v="www.ilgiardinoerboso.it"/>
    <s v="info@ilgiardinoerboso.it"/>
    <s v="B&amp;B IL GIARDINO ERBOSO - MONSAMPOLO DEL TRONTO"/>
  </r>
  <r>
    <x v="5"/>
    <s v="B&amp;B IL GIARDINO RITROVATO"/>
    <s v="VIA VI STRADA 40"/>
    <x v="33"/>
    <s v="BELLOCCHI DI FANO"/>
    <m/>
    <s v="info@ilgiardinoritrovato.it"/>
    <s v="B&amp;B IL GIARDINO RITROVATO - FANO"/>
  </r>
  <r>
    <x v="5"/>
    <s v="B&amp;B IL GIARDINO SEGRETO"/>
    <s v="via Pretoriana 55"/>
    <x v="151"/>
    <s v="ASCOLI PICENO"/>
    <s v="www.ilgiardinosegreto.eu"/>
    <s v="info@ilgiardinosegreto.eu"/>
    <s v="B&amp;B IL GIARDINO SEGRETO - ASCOLI PICENO"/>
  </r>
  <r>
    <x v="5"/>
    <s v="B&amp;B IL GIARDINO SEGRETO"/>
    <s v="XXV APRILE 1"/>
    <x v="98"/>
    <s v="MONTOTTO"/>
    <m/>
    <s v="rsquercia@libero.it"/>
    <s v="B&amp;B IL GIARDINO SEGRETO - MONTERUBBIANO"/>
  </r>
  <r>
    <x v="5"/>
    <s v="B&amp;B IL GIBBO"/>
    <s v="VIA FONTE AVELLANA 37"/>
    <x v="138"/>
    <s v="FOCE"/>
    <m/>
    <s v="giuly.bartocci@virgilio.it"/>
    <s v="B&amp;B IL GIBBO - FRONTONE"/>
  </r>
  <r>
    <x v="5"/>
    <s v="B&amp;B IL GIGLIO"/>
    <s v="via indipendenza 43"/>
    <x v="17"/>
    <s v="CIVITANOVA MARCHE"/>
    <m/>
    <s v="ilgiglio.bb@gmail.com"/>
    <s v="B&amp;B IL GIGLIO - CIVITANOVA MARCHE"/>
  </r>
  <r>
    <x v="5"/>
    <s v="B&amp;B IL GIGLIO VERDE"/>
    <s v="via Principe Umberto 24"/>
    <x v="163"/>
    <m/>
    <m/>
    <s v="myriampistolesi@libero.it"/>
    <s v="B&amp;B IL GIGLIO VERDE - PORTO SANT'ELPIDIO"/>
  </r>
  <r>
    <x v="5"/>
    <s v="B&amp;B IL GIOGO"/>
    <s v="CONTRADA FONTERRANTE 10"/>
    <x v="98"/>
    <m/>
    <s v="www.ilgiogo.com"/>
    <s v="info@ilgiogo.com; prenotazioni@ilgiogo.com"/>
    <s v="B&amp;B IL GIOGO - MONTERUBBIANO"/>
  </r>
  <r>
    <x v="5"/>
    <s v="B&amp;B IL GIRASOLE"/>
    <s v="fraz. Fenigli 49"/>
    <x v="91"/>
    <m/>
    <m/>
    <s v="info@girasolepergola.it"/>
    <s v="B&amp;B IL GIRASOLE - PERGOLA"/>
  </r>
  <r>
    <x v="5"/>
    <s v="B&amp;B IL GIRASOLE"/>
    <s v="viale Santa Croce 68"/>
    <x v="172"/>
    <s v="CORRIDONIA"/>
    <s v="www.primitaly.it/bb/ilgirasole"/>
    <s v="info@bb-ilgirasole.it"/>
    <s v="B&amp;B IL GIRASOLE - CORRIDONIA"/>
  </r>
  <r>
    <x v="5"/>
    <s v="B&amp;B IL GIRASOLE"/>
    <s v="contrada Botonto 7"/>
    <x v="0"/>
    <m/>
    <s v="www.casailgirasole.it"/>
    <s v="bedbreakfastilgirasole@gmail.com"/>
    <s v="B&amp;B IL GIRASOLE - MACERATA"/>
  </r>
  <r>
    <x v="5"/>
    <s v="B&amp;B IL GIRASOLE FORTUNATO"/>
    <s v="via Dante Alighieri 2"/>
    <x v="23"/>
    <m/>
    <s v="www.ilgirasolefortunato.com"/>
    <s v="ilgirasolefortunato@libero.it"/>
    <s v="B&amp;B IL GIRASOLE FORTUNATO - PORTO RECANATI"/>
  </r>
  <r>
    <x v="5"/>
    <s v="B&amp;B IL GIRFALCO"/>
    <s v="via Ognissanti 1"/>
    <x v="37"/>
    <m/>
    <m/>
    <s v="bbilgirfalco@gmail.com"/>
    <s v="B&amp;B IL GIRFALCO - FERMO"/>
  </r>
  <r>
    <x v="5"/>
    <s v="B&amp;B IL GIUGGIOLO"/>
    <s v="via Cal Mazzante 14"/>
    <x v="1"/>
    <s v="URBINO"/>
    <s v="www.ilgiuggiolo.info"/>
    <s v="info@ilgiuggiolo.info"/>
    <s v="B&amp;B IL GIUGGIOLO - URBINO"/>
  </r>
  <r>
    <x v="5"/>
    <s v="B&amp;B IL GLICINE"/>
    <s v="strada san vitale 86"/>
    <x v="94"/>
    <s v="SAN COSTANZO"/>
    <m/>
    <s v="info@ilglicinefano.it"/>
    <s v="B&amp;B IL GLICINE - SAN COSTANZO"/>
  </r>
  <r>
    <x v="5"/>
    <s v="B&amp;B IL GLICINE"/>
    <s v="via Pietro Micca 31"/>
    <x v="23"/>
    <s v="PORTO RECANATI"/>
    <s v="www.bb-ilglicine.it"/>
    <s v="lanfranco@adriaticagestioni.it"/>
    <s v="B&amp;B IL GLICINE - PORTO RECANATI"/>
  </r>
  <r>
    <x v="5"/>
    <s v="B&amp;B IL GRANDE ALBERO"/>
    <s v="c.da Forchiusa 99"/>
    <x v="72"/>
    <m/>
    <m/>
    <s v="gilberto.sorci@libero.it"/>
    <s v="B&amp;B IL GRANDE ALBERO - SERRA SAN QUIRICO"/>
  </r>
  <r>
    <x v="5"/>
    <s v="B&amp;B IL GRECALE"/>
    <s v="via Archibugi 3"/>
    <x v="10"/>
    <s v="Ancona"/>
    <s v="www.ilgrecaleancona.it"/>
    <s v="info@ilgrecaleancona.it;"/>
    <s v="B&amp;B IL GRECALE - ANCONA"/>
  </r>
  <r>
    <x v="5"/>
    <s v="B&amp;B IL GROTTINO di DAVID CIUTI"/>
    <s v="piazza del Mercato 11"/>
    <x v="98"/>
    <m/>
    <m/>
    <s v="davidciuti@virgilio.it"/>
    <s v="B&amp;B IL GROTTINO di DAVID CIUTI - MONTERUBBIANO"/>
  </r>
  <r>
    <x v="5"/>
    <s v="B&amp;B IL GUFO RILASSATO"/>
    <s v="via XXIV Maggio 36"/>
    <x v="39"/>
    <s v="FRAZ. SAN MICHELE AL FIUME"/>
    <s v="www.ilguforilassato.com"/>
    <s v="info@ilguforilassato.com"/>
    <s v="B&amp;B IL GUFO RILASSATO - MONDAVIO"/>
  </r>
  <r>
    <x v="5"/>
    <s v="B&amp;B IL LECCINO"/>
    <s v="via Santa Croce 26"/>
    <x v="104"/>
    <m/>
    <s v="www.illeccino.it"/>
    <s v="irenepancotti@libero.it;"/>
    <s v="B&amp;B IL LECCINO - OSTRA VETERE"/>
  </r>
  <r>
    <x v="5"/>
    <s v="B&amp;B IL MAESTRALE"/>
    <s v="via Giulietti 78"/>
    <x v="8"/>
    <s v="SIROLO"/>
    <m/>
    <s v="luigi.giampieri@virgilio.it"/>
    <s v="B&amp;B IL MAESTRALE - SIROLO"/>
  </r>
  <r>
    <x v="5"/>
    <s v="B&amp;B IL MANDORLO"/>
    <s v="C.da Mornano 65"/>
    <x v="17"/>
    <s v="Civitanova Alta"/>
    <s v="www.ilmandorlobb.it"/>
    <s v="info@ilmandorlobb.it"/>
    <s v="B&amp;B IL MANDORLO - CIVITANOVA MARCHE"/>
  </r>
  <r>
    <x v="5"/>
    <s v="B&amp;B IL MARE IN MEZZO"/>
    <s v="via Montorso  87"/>
    <x v="15"/>
    <m/>
    <s v="www.ilmareinmezzo.com"/>
    <s v="info@ilmareinmezzo.com"/>
    <s v="B&amp;B IL MARE IN MEZZO - LORETO"/>
  </r>
  <r>
    <x v="5"/>
    <s v="B&amp;B IL MELOGRANO"/>
    <s v="contrada fonte trufo 13"/>
    <x v="73"/>
    <s v="MASSIGNANO"/>
    <s v="www.ilmelogranobb.it"/>
    <s v="atochry@gmail.com"/>
    <s v="B&amp;B IL MELOGRANO - MASSIGNANO"/>
  </r>
  <r>
    <x v="5"/>
    <s v="B&amp;B IL MERLO"/>
    <s v="strada provinciale valtesino 5"/>
    <x v="3"/>
    <s v="RIPATRANSONE"/>
    <s v="www.ilmerlo.eu"/>
    <s v="info@ilmerlo.eu"/>
    <s v="B&amp;B IL MERLO - RIPATRANSONE"/>
  </r>
  <r>
    <x v="5"/>
    <s v="B&amp;B IL MONCHETTO"/>
    <s v="via Monte Pallotta  31"/>
    <x v="1"/>
    <s v="Cà Staccolo"/>
    <m/>
    <s v="lauraquaresima@virgilio.it"/>
    <s v="B&amp;B IL MONCHETTO - URBINO"/>
  </r>
  <r>
    <x v="5"/>
    <s v="B&amp;B IL MUGHETTO"/>
    <s v="via San Liberato 7"/>
    <x v="109"/>
    <m/>
    <m/>
    <s v="info@ilmughetto.com"/>
    <s v="B&amp;B IL MUGHETTO - MONTECASSIANO"/>
  </r>
  <r>
    <x v="5"/>
    <s v="B&amp;B IL MULINO DI GELAGNA"/>
    <s v="frazione Gelagna Bassa 1"/>
    <x v="208"/>
    <s v="SERRAVALLE DI CHIENTI"/>
    <s v="www.ilmulinodigelagna.it"/>
    <s v="fausto.barboni@gmail.com"/>
    <s v="B&amp;B IL MULINO DI GELAGNA - SERRAVALLE DI CHIENTI"/>
  </r>
  <r>
    <x v="5"/>
    <s v="B&amp;B IL NASCONDIGLIO DI FAYERS MARK ANDREW"/>
    <s v="Villa Conti 21"/>
    <x v="62"/>
    <s v="AMANDOLA"/>
    <s v="nascondiglio.com"/>
    <s v="hideawayamandola@aol.com"/>
    <s v="B&amp;B IL NASCONDIGLIO DI FAYERS MARK ANDREW - AMANDOLA"/>
  </r>
  <r>
    <x v="5"/>
    <s v="B&amp;B IL NIDO"/>
    <m/>
    <x v="157"/>
    <s v="Piedilama"/>
    <s v="www.ilnidodipiedilama.com"/>
    <m/>
    <s v="B&amp;B IL NIDO - ARQUATA DEL TRONTO"/>
  </r>
  <r>
    <x v="5"/>
    <s v="B&amp;B IL NIDO"/>
    <s v="VIA B.G. DELLA VERNA 27"/>
    <x v="37"/>
    <s v="FERMO"/>
    <s v="www.bbilnido.it"/>
    <s v="danieleioi@libero.it"/>
    <s v="B&amp;B IL NIDO - FERMO"/>
  </r>
  <r>
    <x v="5"/>
    <s v="B&amp;B IL NIDO DEL FALCO"/>
    <s v="via dell'Università   13"/>
    <x v="37"/>
    <m/>
    <m/>
    <s v="erosfriscolanti@gmail.com"/>
    <s v="B&amp;B IL NIDO DEL FALCO - FERMO"/>
  </r>
  <r>
    <x v="5"/>
    <s v="B&amp;B IL NIDO DELLE ROSE di MANDOLINI NAZARIO"/>
    <s v="via Salvamaggio 19 L"/>
    <x v="211"/>
    <m/>
    <m/>
    <s v="nzr@libero.it; alessandratappezzeria@gmail.com"/>
    <s v="B&amp;B IL NIDO DELLE ROSE di MANDOLINI NAZARIO - MONTEMAGGIORE AL METAURO"/>
  </r>
  <r>
    <x v="5"/>
    <s v="B&amp;B IL NIDO DI ALICE"/>
    <s v="contrada Monti di Monterubbiano 4"/>
    <x v="29"/>
    <s v="LAPEDONA"/>
    <s v="www.bbilnidodialice.it"/>
    <s v="alelice@libero.it"/>
    <s v="B&amp;B IL NIDO DI ALICE - LAPEDONA"/>
  </r>
  <r>
    <x v="5"/>
    <s v="B&amp;B IL NIDO DI PAT"/>
    <s v="via A. Ponchielli 1/A"/>
    <x v="169"/>
    <s v="CASTELFIDARDO"/>
    <s v="www.ilnidodipat.it"/>
    <s v="ilnidodipat@tiscali.it"/>
    <s v="B&amp;B IL NIDO DI PAT - CASTELFIDARDO"/>
  </r>
  <r>
    <x v="5"/>
    <s v="B&amp;B IL PAPAVERO"/>
    <s v="strada provinciale Arceviese 98"/>
    <x v="16"/>
    <m/>
    <m/>
    <s v="claudia.b@lemarche.it"/>
    <s v="B&amp;B IL PAPAVERO - SENIGALLIA"/>
  </r>
  <r>
    <x v="5"/>
    <s v="B&amp;B IL PASSETTO"/>
    <s v="vicolo del Passetto 2"/>
    <x v="65"/>
    <s v="ROCCAFLUVIONE"/>
    <s v="www.passetto.eu"/>
    <s v="info@passetto.eu"/>
    <s v="B&amp;B IL PASSETTO - ROCCAFLUVIONE"/>
  </r>
  <r>
    <x v="5"/>
    <s v="B&amp;B IL PICACCHIO"/>
    <s v="contrada Picacchi 15"/>
    <x v="128"/>
    <s v="GUALDO"/>
    <s v="www.ilpicacchio.com"/>
    <s v="info@ilpicacchio.com"/>
    <s v="B&amp;B IL PICACCHIO - GUALDO"/>
  </r>
  <r>
    <x v="5"/>
    <s v="B&amp;B IL PICCHIO"/>
    <s v="via luigi mercantini 45"/>
    <x v="151"/>
    <s v="ASCOLI PICENO"/>
    <s v="www.ilpicchiobnb.it"/>
    <s v="info@ilpicchiobnb.it"/>
    <s v="B&amp;B IL PICCHIO - ASCOLI PICENO"/>
  </r>
  <r>
    <x v="5"/>
    <s v="B&amp;B IL PICCIONE VIAGGIATORE"/>
    <s v="via Martuccia  23"/>
    <x v="119"/>
    <s v="CASTEL CONONNA"/>
    <s v="www.ilpiccioneviaggiatore.eu"/>
    <s v="campagna@ilpiccioneviaggiatore.eu"/>
    <s v="B&amp;B IL PICCIONE VIAGGIATORE - TRECASTELLI"/>
  </r>
  <r>
    <x v="5"/>
    <s v="B&amp;B IL PICCOLO FRUTTETO"/>
    <s v="VIA FRANCESCO PANFILO 91"/>
    <x v="0"/>
    <s v="MACERATA"/>
    <m/>
    <s v="simonagiri@live.com"/>
    <s v="B&amp;B IL PICCOLO FRUTTETO - MACERATA"/>
  </r>
  <r>
    <x v="5"/>
    <s v="B&amp;B IL PICCOLO MELOGRANO"/>
    <s v="via Cavallino  66 T"/>
    <x v="170"/>
    <m/>
    <s v="www.ilpiccolomelograno.com"/>
    <s v="postmaster@ilpiccolomelograno.com"/>
    <s v="B&amp;B IL PICCOLO MELOGRANO - MONTECOSARO"/>
  </r>
  <r>
    <x v="5"/>
    <s v="B&amp;B IL POGGETTO di CARBONARI LUISA"/>
    <s v="via Poggetto 41"/>
    <x v="70"/>
    <s v="loc.Poggetto"/>
    <m/>
    <s v="bebilpoggetto@libero.it"/>
    <s v="B&amp;B IL POGGETTO di CARBONARI LUISA - SERRA SANT'ABBONDIO"/>
  </r>
  <r>
    <x v="5"/>
    <s v="B&amp;B IL POGGIO"/>
    <s v="via Cà Moneta 17"/>
    <x v="164"/>
    <s v="ca'moneta"/>
    <m/>
    <s v="dgabrielli@libero.it"/>
    <s v="B&amp;B IL POGGIO - MONTECOPIOLO"/>
  </r>
  <r>
    <x v="5"/>
    <s v="B&amp;B IL POGGIO"/>
    <s v="VIA POGGIO 13"/>
    <x v="212"/>
    <s v="Montelicciano"/>
    <m/>
    <s v="tala_m@hotmail.it"/>
    <s v="B&amp;B IL POGGIO - MONTE GRIMANO TERME"/>
  </r>
  <r>
    <x v="5"/>
    <s v="B&amp;B IL POGGIO"/>
    <s v="strada Micaloro 1"/>
    <x v="69"/>
    <s v="PESARO"/>
    <s v="www.ilpoggiopesaro.it"/>
    <s v="info@ilpoggiopesaro.it"/>
    <s v="B&amp;B IL POGGIO - PESARO"/>
  </r>
  <r>
    <x v="5"/>
    <s v="B&amp;B IL POGGIO"/>
    <s v="via Cà la Palma 2"/>
    <x v="79"/>
    <s v="SASSOFELTRIO"/>
    <m/>
    <s v="info@bbbettybike.it"/>
    <s v="B&amp;B IL POGGIO - SASSOFELTRIO"/>
  </r>
  <r>
    <x v="5"/>
    <s v="B&amp;B IL PONTE DI LEGNO"/>
    <s v="via Noce 6"/>
    <x v="37"/>
    <m/>
    <m/>
    <s v="em.dangelo@libero.it"/>
    <s v="B&amp;B IL PONTE DI LEGNO - FERMO"/>
  </r>
  <r>
    <x v="5"/>
    <s v="B&amp;B IL PORTICO DI FROLLONI GIUSEPPE"/>
    <s v="contrada Grisciotti 389 b"/>
    <x v="11"/>
    <s v="SARNANO"/>
    <m/>
    <s v="lucia.frolloni@yahoo.it"/>
    <s v="B&amp;B IL PORTICO DI FROLLONI GIUSEPPE - SARNANO"/>
  </r>
  <r>
    <x v="5"/>
    <s v="B&amp;B IL POSTO DELLE FARFALLE"/>
    <s v="FRAZ. COLLALTO 6"/>
    <x v="112"/>
    <m/>
    <m/>
    <s v="alida.cipriani@gmail.com"/>
    <s v="B&amp;B IL POSTO DELLE FARFALLE - GENGA"/>
  </r>
  <r>
    <x v="5"/>
    <s v="B&amp;B IL POZZO (LU PòZZE)"/>
    <s v="via Tronto 21/b"/>
    <x v="12"/>
    <m/>
    <m/>
    <s v="santangelo.annalisa@gmail.com"/>
    <s v="B&amp;B IL POZZO (LU PòZZE) - SAN BENEDETTO DEL TRONTO"/>
  </r>
  <r>
    <x v="5"/>
    <s v="B&amp;B IL POZZO DI VIVALPA"/>
    <s v="via S. Sebastiano  6"/>
    <x v="118"/>
    <m/>
    <s v="www.ilpozzodivivalpa.com"/>
    <s v="vivalpabandb@gmail.com; vito.valente@alice.it"/>
    <s v="B&amp;B IL POZZO DI VIVALPA - SERRA DE' CONTI"/>
  </r>
  <r>
    <x v="5"/>
    <s v="B&amp;B IL POZZO INCANTATO"/>
    <s v="c.da Sassari snc"/>
    <x v="151"/>
    <s v="fraz Venagrande"/>
    <s v="www.ilpozzoincantato.it"/>
    <s v="michettisilvia76@gmail.com"/>
    <s v="B&amp;B IL POZZO INCANTATO - ASCOLI PICENO"/>
  </r>
  <r>
    <x v="5"/>
    <s v="B&amp;B IL PUNTO MAGICO"/>
    <s v="via Pago 7"/>
    <x v="188"/>
    <m/>
    <s v="www.ilpuntomagico.it"/>
    <s v="info@ilpuntomagico.it"/>
    <s v="B&amp;B IL PUNTO MAGICO - OFFAGNA"/>
  </r>
  <r>
    <x v="5"/>
    <s v="B&amp;B IL QUADRIFOGLIO LA SIESTA"/>
    <s v="via Risorgimento 167"/>
    <x v="160"/>
    <m/>
    <s v="marco.pigliapoco@confartigianato.an.it"/>
    <s v="info@lasiestamoie.it"/>
    <s v="B&amp;B IL QUADRIFOGLIO LA SIESTA - MAIOLATI SPONTINI"/>
  </r>
  <r>
    <x v="5"/>
    <s v="B&amp;B IL REVELLONE"/>
    <s v="frazione falcioni 47"/>
    <x v="112"/>
    <s v="GENGA"/>
    <s v="www.revellone.it"/>
    <s v="info@revellone.it"/>
    <s v="B&amp;B IL REVELLONE - GENGA"/>
  </r>
  <r>
    <x v="5"/>
    <s v="B&amp;B IL RIFUGIO DEI CANTICI"/>
    <s v="via Del Colle  2/b"/>
    <x v="11"/>
    <m/>
    <s v="www.ilrifugiodeicantici.it"/>
    <s v="info@ilrifugiodeicantici.it"/>
    <s v="B&amp;B IL RIFUGIO DEI CANTICI - SARNANO"/>
  </r>
  <r>
    <x v="5"/>
    <s v="B&amp;B IL RIFUGIO DEL PITTORE"/>
    <s v="via Cavallotti 6"/>
    <x v="21"/>
    <s v="2° vicolo via Cavallotti"/>
    <m/>
    <s v="info@ilrifugiodelpittore.it"/>
    <s v="B&amp;B IL RIFUGIO DEL PITTORE - FABRIANO"/>
  </r>
  <r>
    <x v="5"/>
    <s v="B&amp;B IL ROCCOLO"/>
    <s v="contrada Petrella 32"/>
    <x v="3"/>
    <s v="RIPATRANSONE"/>
    <s v="www.bb-ilroccolo.it"/>
    <s v="arch.anelli@libero.it"/>
    <s v="B&amp;B IL ROCCOLO - RIPATRANSONE"/>
  </r>
  <r>
    <x v="5"/>
    <s v="B&amp;B IL RUSCELLO"/>
    <s v="via del Vettore 8"/>
    <x v="49"/>
    <m/>
    <m/>
    <s v="claudio.mazzotti@hotmail.it"/>
    <s v="B&amp;B IL RUSCELLO - VISSO"/>
  </r>
  <r>
    <x v="5"/>
    <s v="B&amp;B IL SAMBUCO"/>
    <s v="contrada Montanari 7"/>
    <x v="141"/>
    <s v="morrovalle"/>
    <s v="www.sambucomarche.it"/>
    <s v="info@sambucomarche.it"/>
    <s v="B&amp;B IL SAMBUCO - MORROVALLE"/>
  </r>
  <r>
    <x v="5"/>
    <s v="B&amp;B IL SENTIERO"/>
    <s v="via media 11"/>
    <x v="41"/>
    <s v="MONTEMARCIANO"/>
    <m/>
    <s v="paolo571957@libero.it"/>
    <s v="B&amp;B IL SENTIERO - MONTEMARCIANO"/>
  </r>
  <r>
    <x v="5"/>
    <s v="B&amp;B IL SENTIERO DEI GOTI"/>
    <s v="via Carponeto 6"/>
    <x v="212"/>
    <s v="Montelicciano"/>
    <m/>
    <s v="riccardomularoni@gmail.com"/>
    <s v="B&amp;B IL SENTIERO DEI GOTI - MONTE GRIMANO TERME"/>
  </r>
  <r>
    <x v="5"/>
    <s v="B&amp;B IL SETTIMO BORGO"/>
    <s v="viale degli eroi 78"/>
    <x v="60"/>
    <s v="CORINALDO"/>
    <s v="www.ilsettimoborgo.it"/>
    <s v="info@ilsettimoborgo.it"/>
    <s v="B&amp;B IL SETTIMO BORGO - CORINALDO"/>
  </r>
  <r>
    <x v="5"/>
    <s v="B&amp;B IL SOCCORSO"/>
    <s v="via Soccorso 2"/>
    <x v="76"/>
    <s v="MERCATELLO SUL METAURO"/>
    <s v="www.bbilsoccorso.it"/>
    <s v="info@bbilsoccorso.it"/>
    <s v="B&amp;B IL SOCCORSO - MERCATELLO SUL METAURO"/>
  </r>
  <r>
    <x v="5"/>
    <s v="B&amp;B IL SOGNO"/>
    <s v="p.zza Marconi 16"/>
    <x v="156"/>
    <m/>
    <s v="www.bbilsognogrottazzolina.com"/>
    <s v="bbilsogno@hotmail.com"/>
    <s v="B&amp;B IL SOGNO - GROTTAZZOLINA"/>
  </r>
  <r>
    <x v="5"/>
    <s v="B&amp;B IL SOL LEONE"/>
    <s v="via degli Orti 35"/>
    <x v="23"/>
    <m/>
    <s v="www.leonebbportorecanati.it"/>
    <s v="info@leonebbportorecanati.it"/>
    <s v="B&amp;B IL SOL LEONE - PORTO RECANATI"/>
  </r>
  <r>
    <x v="5"/>
    <s v="B&amp;B IL SOLE"/>
    <s v="via Giordano Bruno 4"/>
    <x v="10"/>
    <m/>
    <m/>
    <s v="serena.cartechini@libero.it"/>
    <s v="B&amp;B IL SOLE - ANCONA"/>
  </r>
  <r>
    <x v="5"/>
    <s v="B&amp;B IL SORBO"/>
    <s v="via Collamato 54"/>
    <x v="21"/>
    <m/>
    <s v="www.ilsorbo.altervista.org"/>
    <s v="adorno.trab@virgilio.it"/>
    <s v="B&amp;B IL SORBO - FABRIANO"/>
  </r>
  <r>
    <x v="5"/>
    <s v="B&amp;B IL TEATRO"/>
    <s v="via Antonio Gramsci 34"/>
    <x v="6"/>
    <s v="TOLENTINO"/>
    <m/>
    <s v="beb-il.teatro@libero.it"/>
    <s v="B&amp;B IL TEATRO - TOLENTINO"/>
  </r>
  <r>
    <x v="5"/>
    <s v="B&amp;B IL TEMPO RITROVATO"/>
    <s v="via dei Filodrammatici 4"/>
    <x v="151"/>
    <m/>
    <m/>
    <s v="marinagalosi48@gmail.com"/>
    <s v="B&amp;B IL TEMPO RITROVATO - ASCOLI PICENO"/>
  </r>
  <r>
    <x v="5"/>
    <s v="B&amp;B IL TESORO DI MARIO"/>
    <s v="via Tesoro 9"/>
    <x v="22"/>
    <s v="FALCONARA MARITTIMA"/>
    <s v="www.iltesorodimario.it"/>
    <s v="info@iltesorodimario.it"/>
    <s v="B&amp;B IL TESORO DI MARIO - FALCONARA MARITTIMA"/>
  </r>
  <r>
    <x v="5"/>
    <s v="B&amp;B IL TIGLIO"/>
    <s v="Via Luciano Manara 23"/>
    <x v="33"/>
    <s v="FANO"/>
    <s v="iltigliofano.altervista.org"/>
    <s v="bbiltiglio@libero.it"/>
    <s v="B&amp;B IL TIGLIO - FANO"/>
  </r>
  <r>
    <x v="5"/>
    <s v="B&amp;B IL TRAMONTO"/>
    <s v="via Per Montalboddo 54"/>
    <x v="60"/>
    <m/>
    <s v="www.colverde.com"/>
    <s v="massimo.perticaroli@hotmail.it"/>
    <s v="B&amp;B IL TRAMONTO - CORINALDO"/>
  </r>
  <r>
    <x v="5"/>
    <s v="B&amp;B IL TRAMONTO"/>
    <s v="via Cavour 118"/>
    <x v="30"/>
    <m/>
    <s v="www.iltramontoffida.it"/>
    <s v="info@iltramontoffida.it"/>
    <s v="B&amp;B IL TRAMONTO - OFFIDA"/>
  </r>
  <r>
    <x v="5"/>
    <s v="B&amp;B IL TRATTO di KATIA E GIANCARLO"/>
    <s v="via Nazario Sauro 19/A"/>
    <x v="151"/>
    <s v="loc.Campo Parignano"/>
    <m/>
    <s v="giancarlo.silvestri62@gmail.com"/>
    <s v="B&amp;B IL TRATTO di KATIA E GIANCARLO - ASCOLI PICENO"/>
  </r>
  <r>
    <x v="5"/>
    <s v="B&amp;B IL TRATTO IN CENTRO"/>
    <s v="VIA ANTONIO ORSINI 5"/>
    <x v="151"/>
    <m/>
    <m/>
    <s v="giancarlo.silvestri62@gmail.com"/>
    <s v="B&amp;B IL TRATTO IN CENTRO - ASCOLI PICENO"/>
  </r>
  <r>
    <x v="5"/>
    <s v="B&amp;B IL VECCHIO NESPOLO"/>
    <s v="via Serra 106"/>
    <x v="193"/>
    <m/>
    <s v="www.ilvecchionespolo.it"/>
    <s v="Info@ilvecchionespolo.it"/>
    <s v="B&amp;B IL VECCHIO NESPOLO - SAN MARCELLO"/>
  </r>
  <r>
    <x v="5"/>
    <s v="B&amp;B IL VECCHIO TIGLIO di ERCOLI ROBERTA"/>
    <s v="piazza Marconi 1"/>
    <x v="205"/>
    <m/>
    <m/>
    <s v="bettyre@libero.it"/>
    <s v="B&amp;B IL VECCHIO TIGLIO di ERCOLI ROBERTA - MONTOTTONE"/>
  </r>
  <r>
    <x v="5"/>
    <s v="B&amp;B IL VECCHIO TORCHIO"/>
    <s v="via Taccari 3"/>
    <x v="165"/>
    <m/>
    <s v="www.ilvecchiotorchio.onweb.it"/>
    <s v="ilvecchiotorchiobb@gmail.com"/>
    <s v="B&amp;B IL VECCHIO TORCHIO - SANTA VITTORIA IN MATENANO"/>
  </r>
  <r>
    <x v="5"/>
    <s v="B&amp;B IL VERDE PINO"/>
    <s v="via Chienti 24"/>
    <x v="10"/>
    <s v="loc.Torrette"/>
    <s v="ilverdepino@yahoo.it"/>
    <s v="www.ilverdepino.it"/>
    <s v="B&amp;B IL VERDE PINO - ANCONA"/>
  </r>
  <r>
    <x v="5"/>
    <s v="B&amp;B IL VIALE"/>
    <s v="Via Roma  60"/>
    <x v="170"/>
    <s v="MONTECOSARO SCALO"/>
    <m/>
    <s v="carla.rapagnani@libero.it"/>
    <s v="B&amp;B IL VIALE - MONTECOSARO"/>
  </r>
  <r>
    <x v="5"/>
    <s v="B&amp;B IL VIALE DEGLI ULIVI"/>
    <s v="strada Calcinara 321"/>
    <x v="111"/>
    <s v="loc.Capoluogo"/>
    <s v="www.ilvialedegliulivi.it"/>
    <s v="ilvialedegliulivi@hotmail.it"/>
    <s v="B&amp;B IL VIALE DEGLI ULIVI - SANT'ELPIDIO A MARE"/>
  </r>
  <r>
    <x v="5"/>
    <s v="B&amp;B IL VICOLO"/>
    <s v="VIA DELL'ORSO 21"/>
    <x v="1"/>
    <m/>
    <m/>
    <s v="riccardofoglietta@rocketmail.com"/>
    <s v="B&amp;B IL VICOLO - URBINO"/>
  </r>
  <r>
    <x v="5"/>
    <s v="B&amp;B IL VICOLO di VALENTINI FRANCO"/>
    <s v="Via Castello Nuovo 4"/>
    <x v="82"/>
    <s v="CASTIGNANO"/>
    <m/>
    <m/>
    <s v="B&amp;B IL VICOLO di VALENTINI FRANCO - CASTIGNANO"/>
  </r>
  <r>
    <x v="5"/>
    <s v="B&amp;B IL VILLINO"/>
    <s v="via giuseppe piccioni 3"/>
    <x v="124"/>
    <s v="BELFORTE DEL CHIENTI"/>
    <s v="www.il-villino.com/contattaci"/>
    <s v="info@il-villino.com"/>
    <s v="B&amp;B IL VILLINO - BELFORTE DEL CHIENTI"/>
  </r>
  <r>
    <x v="5"/>
    <s v="B&amp;B IMBRESCIA"/>
    <s v="via san paterniano 16"/>
    <x v="5"/>
    <s v="GROTTAMMARE"/>
    <m/>
    <s v="simoelori@alice.it"/>
    <s v="B&amp;B IMBRESCIA - GROTTAMMARE"/>
  </r>
  <r>
    <x v="5"/>
    <s v="B&amp;B IN CASA D'ARTE"/>
    <s v="via sabatucci 23"/>
    <x v="134"/>
    <s v="CASTELPLANIO"/>
    <s v="www.incasadarte.it"/>
    <s v="info@incasadarte.it"/>
    <s v="B&amp;B IN CASA D'ARTE - CASTELPLANIO"/>
  </r>
  <r>
    <x v="5"/>
    <s v="B&amp;B IN CASA D'ARTE - RESIDENZA STORICA"/>
    <s v="piazza della liberta' 6"/>
    <x v="134"/>
    <s v="CASTELPLANIO"/>
    <s v="www.incasadarte.it"/>
    <s v="info@incasadarte.it"/>
    <s v="B&amp;B IN CASA D'ARTE - RESIDENZA STORICA - CASTELPLANIO"/>
  </r>
  <r>
    <x v="5"/>
    <s v="B&amp;B IN CENTRO di LUIGINO DE LAURENTIS"/>
    <s v="via Mameli 6"/>
    <x v="12"/>
    <s v="centro storico"/>
    <s v="https://www.facebook.com/pages/B-B-IN-CENTRO/317172258297449"/>
    <s v="bbincentrosbt@gmail.com"/>
    <s v="B&amp;B IN CENTRO di LUIGINO DE LAURENTIS - SAN BENEDETTO DEL TRONTO"/>
  </r>
  <r>
    <x v="5"/>
    <s v="B&amp;B IN PRINCIPIO VITAE"/>
    <s v="via Bravi 3/a"/>
    <x v="56"/>
    <m/>
    <m/>
    <s v="mario.tanoni@gmail.com"/>
    <s v="B&amp;B IN PRINCIPIO VITAE - RECANATI"/>
  </r>
  <r>
    <x v="5"/>
    <s v="B&amp;B IN RIVA AL MARE"/>
    <s v="Via Litoranea  191"/>
    <x v="9"/>
    <s v="Marcelli"/>
    <m/>
    <s v="liduinovolatili@libero.it"/>
    <s v="B&amp;B IN RIVA AL MARE - NUMANA"/>
  </r>
  <r>
    <x v="5"/>
    <s v="B&amp;B IN VILLA"/>
    <s v="via Piceno 15"/>
    <x v="17"/>
    <m/>
    <s v="www.invillabb.it"/>
    <s v="info@invillabb.it"/>
    <s v="B&amp;B IN VILLA - CIVITANOVA MARCHE"/>
  </r>
  <r>
    <x v="5"/>
    <s v="B&amp;B INDIPENDENZA"/>
    <s v="via indipendenza 43"/>
    <x v="17"/>
    <s v="CIVITANOVA MARCHE"/>
    <s v="www.bbindipendenza.it"/>
    <s v="info@bbindipendenza.it"/>
    <s v="B&amp;B INDIPENDENZA - CIVITANOVA MARCHE"/>
  </r>
  <r>
    <x v="5"/>
    <s v="B&amp;B INES di MUNTEANU MIHAELA"/>
    <s v="c.da Mandolino 2"/>
    <x v="148"/>
    <s v="POTENZA PICENA"/>
    <s v="www.bebines.it"/>
    <s v="bb.ines2011@yahoo.ro"/>
    <s v="B&amp;B INES di MUNTEANU MIHAELA - POTENZA PICENA"/>
  </r>
  <r>
    <x v="5"/>
    <s v="B&amp;B INTERNO 24"/>
    <s v="via Rossini 20"/>
    <x v="47"/>
    <s v="Porto San Giorgio"/>
    <m/>
    <s v="achristina@libero.it"/>
    <s v="B&amp;B INTERNO 24 - PORTO SAN GIORGIO"/>
  </r>
  <r>
    <x v="5"/>
    <s v="B&amp;B IPPOCASTANO"/>
    <s v="viale europa 84"/>
    <x v="127"/>
    <s v="RAPAGNANO"/>
    <m/>
    <m/>
    <s v="B&amp;B IPPOCASTANO - RAPAGNANO"/>
  </r>
  <r>
    <x v="5"/>
    <s v="B&amp;B IRIS"/>
    <s v="via Filelfo 11"/>
    <x v="0"/>
    <m/>
    <s v="irisbandb.wix.com"/>
    <s v="irisbandb@gmail.com"/>
    <s v="B&amp;B IRIS - MACERATA"/>
  </r>
  <r>
    <x v="5"/>
    <s v="B&amp;B ISA"/>
    <s v="MONTORSETTO 13"/>
    <x v="15"/>
    <m/>
    <s v="http://www.bedandbreakfastisa.it/"/>
    <s v="info@bedandbreakfastisa.it"/>
    <s v="B&amp;B ISA - LORETO"/>
  </r>
  <r>
    <x v="5"/>
    <s v="B&amp;B ISABELLA"/>
    <s v="via litoranea 187"/>
    <x v="9"/>
    <s v="NUMANA"/>
    <s v="www.bebisa.it"/>
    <s v="beb05isa@virgilio.it"/>
    <s v="B&amp;B ISABELLA - NUMANA"/>
  </r>
  <r>
    <x v="5"/>
    <s v="B&amp;B ITALA di CORVATTA DANIELE"/>
    <s v="via Portorecanati 4"/>
    <x v="56"/>
    <s v="RECANATI"/>
    <s v="www.bandbitala.it"/>
    <s v="cor.dan@aruba.it"/>
    <s v="B&amp;B ITALA di CORVATTA DANIELE - RECANATI"/>
  </r>
  <r>
    <x v="5"/>
    <s v="B&amp;B JESA"/>
    <s v="via XX Settembre 60"/>
    <x v="81"/>
    <m/>
    <s v="bbjesa.oneminutesite.it"/>
    <s v="bbjesa@libero.it"/>
    <s v="B&amp;B JESA - MONTECAROTTO"/>
  </r>
  <r>
    <x v="5"/>
    <s v="B&amp;B KLEIN SEVERT ANNE CLAIRE VERONIQUE"/>
    <s v="via S. Pietro Martire 17"/>
    <x v="205"/>
    <m/>
    <s v="www.casolareresole.com"/>
    <s v="info@casolareresole.com"/>
    <s v="B&amp;B KLEIN SEVERT ANNE CLAIRE VERONIQUE - MONTOTTONE"/>
  </r>
  <r>
    <x v="5"/>
    <s v="B&amp;B L' ALVEAPE"/>
    <s v="via san marino 74"/>
    <x v="1"/>
    <s v="URBINO"/>
    <m/>
    <s v="alveapis@libero.it"/>
    <s v="B&amp;B L' ALVEAPE - URBINO"/>
  </r>
  <r>
    <x v="5"/>
    <s v="B&amp;B L' OLIMPO"/>
    <s v="via sicilia 44"/>
    <x v="17"/>
    <s v="CIVITANOVA MARCHE"/>
    <s v="www.bed-and-breakfast.it/pagina.cfm?ID=12618&amp;IDregion"/>
    <s v="serenella.pistilli@gmail.com"/>
    <s v="B&amp;B L' OLIMPO - CIVITANOVA MARCHE"/>
  </r>
  <r>
    <x v="5"/>
    <s v="B&amp;B LA BAITA SUL MARE"/>
    <s v="via Girardi 59"/>
    <x v="37"/>
    <s v="LIDO DI FERMO"/>
    <s v="www.labaitasulmare.com"/>
    <s v="torresimassimo@virgilio.it"/>
    <s v="B&amp;B LA BAITA SUL MARE - FERMO"/>
  </r>
  <r>
    <x v="5"/>
    <s v="B&amp;B LA BELLA URBINO"/>
    <s v="circonvallazione giro dei debitori 12"/>
    <x v="1"/>
    <s v="URBINO"/>
    <m/>
    <s v="francescogtt@hotmail.it"/>
    <s v="B&amp;B LA BELLA URBINO - URBINO"/>
  </r>
  <r>
    <x v="5"/>
    <s v="B&amp;B LA BIANCA"/>
    <s v="APRUTINA 94"/>
    <x v="148"/>
    <m/>
    <m/>
    <s v="labianca2011@gmail.com"/>
    <s v="B&amp;B LA BIANCA - POTENZA PICENA"/>
  </r>
  <r>
    <x v="5"/>
    <s v="B&amp;B LA CALANCA"/>
    <s v="localita' Rotorscio 12"/>
    <x v="72"/>
    <s v="SERRA SAN QUIRICO"/>
    <s v="www.bblacalanca.it"/>
    <s v="lacalanca@libero.it"/>
    <s v="B&amp;B LA CALANCA - SERRA SAN QUIRICO"/>
  </r>
  <r>
    <x v="5"/>
    <s v="B&amp;B LA CALLETTA 37"/>
    <s v="Via Venezia  37"/>
    <x v="9"/>
    <s v="MARCELLI"/>
    <m/>
    <s v="iceberg59@libero.it"/>
    <s v="B&amp;B LA CALLETTA 37 - NUMANA"/>
  </r>
  <r>
    <x v="5"/>
    <s v="B&amp;B LA CAMPAGNA DEL CONERO"/>
    <m/>
    <x v="10"/>
    <s v="loc. Massignano"/>
    <m/>
    <s v="mauri.biagi.vale@alice.it"/>
    <s v="B&amp;B LA CAMPAGNA DEL CONERO - ANCONA"/>
  </r>
  <r>
    <x v="5"/>
    <s v="B&amp;B LA CANOA"/>
    <s v="via guglielmo oberdan 38"/>
    <x v="12"/>
    <s v="SAN BENEDETTO DEL TRONTO"/>
    <s v="www.bblacanoa.com"/>
    <s v="violinoo@gmail.com"/>
    <s v="B&amp;B LA CANOA - SAN BENEDETTO DEL TRONTO"/>
  </r>
  <r>
    <x v="5"/>
    <s v="B&amp;B LA CANONICA"/>
    <m/>
    <x v="40"/>
    <s v="LOCALITA' PALAZZO"/>
    <m/>
    <s v="info@bedandbreakfast-lacanonica.it"/>
    <s v="B&amp;B LA CANONICA - ESANATOGLIA"/>
  </r>
  <r>
    <x v="5"/>
    <s v="B&amp;B LA CAPINERA"/>
    <s v="contrada Noci 7"/>
    <x v="154"/>
    <s v="frazione Castel d'Emilio"/>
    <s v="www.laterradeicastelli.it/dormire/bbla-capinera"/>
    <s v="robertacapinera@hotmail.it"/>
    <s v="B&amp;B LA CAPINERA - AGUGLIANO"/>
  </r>
  <r>
    <x v="5"/>
    <s v="B&amp;B LA CAPPELLANIA"/>
    <s v="c.da Cerreto 3"/>
    <x v="103"/>
    <s v="loc. Cerreto"/>
    <s v="www.cappellania.it"/>
    <s v="info@cappellania.it"/>
    <s v="B&amp;B LA CAPPELLANIA - MONTEGIORGIO"/>
  </r>
  <r>
    <x v="5"/>
    <s v="B&amp;B LA CAPUCCINA di CAPUCCI ALESSANDRO"/>
    <s v="via Catafolle  24"/>
    <x v="26"/>
    <s v="CATAFOLLE"/>
    <m/>
    <s v="monica.tronconi@tronconi.it"/>
    <s v="B&amp;B LA CAPUCCINA di CAPUCCI ALESSANDRO - CINGOLI"/>
  </r>
  <r>
    <x v="5"/>
    <s v="B&amp;B LA CARDINELLA"/>
    <s v="LOCALITA' FENILE 11/A"/>
    <x v="33"/>
    <m/>
    <s v="www.lacardinella.it"/>
    <s v="info@lacardinella.it"/>
    <s v="B&amp;B LA CARDINELLA - FANO"/>
  </r>
  <r>
    <x v="5"/>
    <s v="B&amp;B LA CASA DEGLI ULIVI. ART &amp; RESIDENCE"/>
    <s v="via San Pietro 7"/>
    <x v="119"/>
    <m/>
    <s v="www.lacasadegliulivi.eu"/>
    <s v="ipermanyer@yahoo.it"/>
    <s v="B&amp;B LA CASA DEGLI ULIVI. ART &amp; RESIDENCE - TRECASTELLI"/>
  </r>
  <r>
    <x v="5"/>
    <s v="B&amp;B LA CASA DEI GERANI VACANZE"/>
    <s v="via G. Bruno 34"/>
    <x v="5"/>
    <s v="Grottammare"/>
    <m/>
    <s v="casadeigeranei@gmail.com"/>
    <s v="B&amp;B LA CASA DEI GERANI VACANZE - GROTTAMMARE"/>
  </r>
  <r>
    <x v="5"/>
    <s v="B&amp;B LA CASA DEI PAPI"/>
    <s v="fraz. Collamato 15"/>
    <x v="21"/>
    <s v="borgo San Giustino"/>
    <m/>
    <s v="info@casadeipapi.it"/>
    <s v="B&amp;B LA CASA DEI PAPI - FABRIANO"/>
  </r>
  <r>
    <x v="5"/>
    <s v="B&amp;B LA CASA DEL CONTE"/>
    <s v="via gallo 6"/>
    <x v="157"/>
    <s v="ARQUATA DEL TRONTO"/>
    <m/>
    <s v="cantalamessafmavv@libero.it"/>
    <s v="B&amp;B LA CASA DEL CONTE - ARQUATA DEL TRONTO"/>
  </r>
  <r>
    <x v="5"/>
    <s v="B&amp;B LA CASA DEL MELOCOTOGNO"/>
    <s v="contrada Forola 17"/>
    <x v="19"/>
    <s v="ACQUAVIVA PICENA"/>
    <s v="www.lacasadelmelocotogno.it"/>
    <s v="info@lacasadelmelocotogno.it"/>
    <s v="B&amp;B LA CASA DEL MELOCOTOGNO - ACQUAVIVA PICENA"/>
  </r>
  <r>
    <x v="5"/>
    <s v="B&amp;B LA CASA DEL PRETE"/>
    <s v="Corso Vittorio Emanuele II 26"/>
    <x v="3"/>
    <s v="Centro"/>
    <s v="www.invacanzanellemarche.eu"/>
    <s v="info@invacanzanellemarche.eu"/>
    <s v="B&amp;B LA CASA DEL PRETE - RIPATRANSONE"/>
  </r>
  <r>
    <x v="5"/>
    <s v="B&amp;B LA CASA DEL SOLE"/>
    <s v="via del Bersaglio 33"/>
    <x v="33"/>
    <s v="FANO"/>
    <m/>
    <s v="lacasadelsole@hotmail.it"/>
    <s v="B&amp;B LA CASA DEL SOLE - FANO"/>
  </r>
  <r>
    <x v="5"/>
    <s v="B&amp;B LA CASA DEL SOLE"/>
    <s v="contrada Coste da Sole 7/a"/>
    <x v="29"/>
    <s v="LAPEDONA"/>
    <m/>
    <s v="laradelgatto@libero.it"/>
    <s v="B&amp;B LA CASA DEL SOLE - LAPEDONA"/>
  </r>
  <r>
    <x v="5"/>
    <s v="B&amp;B LA CASA DEL SOLE E DELLA LUNA"/>
    <s v="frazione Montacuto 43/a"/>
    <x v="10"/>
    <s v="ANCONA"/>
    <m/>
    <s v="alessia.carfagna@libero.it"/>
    <s v="B&amp;B LA CASA DEL SOLE E DELLA LUNA - ANCONA"/>
  </r>
  <r>
    <x v="5"/>
    <s v="B&amp;B LA CASA DEL VIAGGIATORE"/>
    <s v="via Quintino Sella 19"/>
    <x v="16"/>
    <m/>
    <s v="www.casadelviaggiatoresenigallia.it"/>
    <s v="info@casadelviaggiatoresenigallia.it"/>
    <s v="B&amp;B LA CASA DEL VIAGGIATORE - SENIGALLIA"/>
  </r>
  <r>
    <x v="5"/>
    <s v="B&amp;B LA CASA DEL VIAGGIATORE DI BELOTTI FRANCESCA"/>
    <s v="contrada san lorenzo 1"/>
    <x v="213"/>
    <s v="MASSA FERMANA"/>
    <m/>
    <s v="info@lacasadelviaggiatorebb.com"/>
    <s v="B&amp;B LA CASA DEL VIAGGIATORE DI BELOTTI FRANCESCA - MASSA FERMANA"/>
  </r>
  <r>
    <x v="5"/>
    <s v="B&amp;B LA CASA DELL'ARTISTA"/>
    <s v="via Bianchi 8"/>
    <x v="37"/>
    <s v="FERMO"/>
    <s v="www.lacasadellartista.com"/>
    <s v="info@lacasadellartista.com"/>
    <s v="B&amp;B LA CASA DELL'ARTISTA - FERMO"/>
  </r>
  <r>
    <x v="5"/>
    <s v="B&amp;B LA CASA DELLE FATE"/>
    <s v="via Carignano  69"/>
    <x v="33"/>
    <m/>
    <m/>
    <s v="fenixginnastica@gmail.com"/>
    <s v="B&amp;B LA CASA DELLE FATE - FANO"/>
  </r>
  <r>
    <x v="5"/>
    <s v="B&amp;B LA CASA DELL'ORTIGIANA"/>
    <s v="via Santa Croce 38"/>
    <x v="201"/>
    <m/>
    <s v="www.lacasadellortigiana.it"/>
    <s v="info@lacasadellortigiana.it"/>
    <s v="B&amp;B LA CASA DELL'ORTIGIANA - USSITA"/>
  </r>
  <r>
    <x v="5"/>
    <s v="B&amp;B LA CASA DI ALFREDO"/>
    <s v="strada Provinciale S.Elpidio 30"/>
    <x v="163"/>
    <m/>
    <s v="www.lacasadialfredo.it"/>
    <s v="info@lacasadialfredo.it"/>
    <s v="B&amp;B LA CASA DI ALFREDO - PORTO SANT'ELPIDIO"/>
  </r>
  <r>
    <x v="5"/>
    <s v="B&amp;B LA CASA DI ANGELICA"/>
    <s v="via Roma 19"/>
    <x v="133"/>
    <s v="ALTIDONA"/>
    <m/>
    <s v="maurogiommetti@tin.it"/>
    <s v="B&amp;B LA CASA DI ANGELICA - ALTIDONA"/>
  </r>
  <r>
    <x v="5"/>
    <s v="B&amp;B LA CASA DI ASSUNTA"/>
    <s v="via Pancalducci 42"/>
    <x v="0"/>
    <m/>
    <m/>
    <s v="lacasadiassunta@virgilio.it"/>
    <s v="B&amp;B LA CASA DI ASSUNTA - MACERATA"/>
  </r>
  <r>
    <x v="5"/>
    <s v="B&amp;B LA CASA DI CENCIO"/>
    <s v="corso Dante Alighieri 39"/>
    <x v="70"/>
    <m/>
    <m/>
    <s v="vitdiam@tin.it"/>
    <s v="B&amp;B LA CASA DI CENCIO - SERRA SANT'ABBONDIO"/>
  </r>
  <r>
    <x v="5"/>
    <s v="B&amp;B LA CASA DI CLELIA"/>
    <s v="VIA MONTEBELLO 10"/>
    <x v="73"/>
    <m/>
    <m/>
    <s v="dimoraclelia@gmail.com"/>
    <s v="B&amp;B LA CASA DI CLELIA - MASSIGNANO"/>
  </r>
  <r>
    <x v="5"/>
    <s v="B&amp;B LA CASA DI FANO"/>
    <s v="corso Matteotti 173"/>
    <x v="33"/>
    <m/>
    <m/>
    <s v="info@lacasadifano.it"/>
    <s v="B&amp;B LA CASA DI FANO - FANO"/>
  </r>
  <r>
    <x v="5"/>
    <s v="B&amp;B LA CASA DI GAETANO E VITTORIA"/>
    <s v="via Garibaldi 38"/>
    <x v="3"/>
    <m/>
    <s v="www.lacasadigaetanoevittoria.it"/>
    <s v="casagaetanovittoria@gmail.com"/>
    <s v="B&amp;B LA CASA DI GAETANO E VITTORIA - RIPATRANSONE"/>
  </r>
  <r>
    <x v="5"/>
    <s v="B&amp;B LA CASA DI LICIA di BUGLIONI ANNA PAOLA"/>
    <s v="frazione Montesicuro 198"/>
    <x v="10"/>
    <s v="ANCONA"/>
    <m/>
    <s v="bb@lacasadilicia.it"/>
    <s v="B&amp;B LA CASA DI LICIA di BUGLIONI ANNA PAOLA - ANCONA"/>
  </r>
  <r>
    <x v="5"/>
    <s v="B&amp;B LA CASA DI LUCY"/>
    <s v="c.da Tesino 78"/>
    <x v="30"/>
    <m/>
    <s v="www.lacasadilucy.it"/>
    <s v="luciagabrielli@alice.it"/>
    <s v="B&amp;B LA CASA DI LUCY - OFFIDA"/>
  </r>
  <r>
    <x v="5"/>
    <s v="B&amp;B LA CASA DI PAGLIA"/>
    <s v="via Borgo san Rocco 19"/>
    <x v="40"/>
    <m/>
    <m/>
    <s v="luca.paglia83@gmail.com"/>
    <s v="B&amp;B LA CASA DI PAGLIA - ESANATOGLIA"/>
  </r>
  <r>
    <x v="5"/>
    <s v="B&amp;B LA CASA DI SABRINA"/>
    <s v="viale della Repubblica 19"/>
    <x v="65"/>
    <m/>
    <s v="www.lacollinadeltartufo.it"/>
    <s v="bbrina@hotmail.it; info@lacollinadeltartufo.it"/>
    <s v="B&amp;B LA CASA DI SABRINA - ROCCAFLUVIONE"/>
  </r>
  <r>
    <x v="5"/>
    <s v="B&amp;B LA CASA DI TINA"/>
    <s v="via Marche 2"/>
    <x v="5"/>
    <m/>
    <m/>
    <s v="lacasaditina@libero.it"/>
    <s v="B&amp;B LA CASA DI TINA - GROTTAMMARE"/>
  </r>
  <r>
    <x v="5"/>
    <s v="B&amp;B LA CASA DI TOMMI"/>
    <s v="via dei Tigli 27"/>
    <x v="163"/>
    <m/>
    <m/>
    <s v="lacasaditommi@gmail.com"/>
    <s v="B&amp;B LA CASA DI TOMMI - PORTO SANT'ELPIDIO"/>
  </r>
  <r>
    <x v="5"/>
    <s v="B&amp;B LA CASA DI VALE"/>
    <s v="strada comunale Morazzano 72"/>
    <x v="126"/>
    <m/>
    <m/>
    <s v="renzoscarponi@libero.it"/>
    <s v="B&amp;B LA CASA DI VALE - POLLENZA"/>
  </r>
  <r>
    <x v="5"/>
    <s v="B&amp;B LA CASA IN COLLINA"/>
    <s v="via Santa Maria 32"/>
    <x v="54"/>
    <m/>
    <m/>
    <m/>
    <s v="B&amp;B LA CASA IN COLLINA - MONTELPARO"/>
  </r>
  <r>
    <x v="5"/>
    <s v="B&amp;B LA CASA SUL FIUME"/>
    <s v="contrada tesino 29"/>
    <x v="105"/>
    <s v="COSSIGNANO"/>
    <s v="www.unmarediaccoglienza.com"/>
    <s v="paola.nardinocchi@libero.it"/>
    <s v="B&amp;B LA CASA SUL FIUME - COSSIGNANO"/>
  </r>
  <r>
    <x v="5"/>
    <s v="B&amp;B LA CASA TRA GLI ULIVI"/>
    <s v="strada Palazzaccio - Contrada Migliarino 25/a"/>
    <x v="17"/>
    <s v="CIVITANOVA MARCHE"/>
    <s v="www.lacasatragliulivi.com"/>
    <s v="sandra@lacasatragliulivi.com"/>
    <s v="B&amp;B LA CASA TRA GLI ULIVI - CIVITANOVA MARCHE"/>
  </r>
  <r>
    <x v="5"/>
    <s v="B&amp;B LA CASETTA"/>
    <s v="Largo Neviera  8"/>
    <x v="20"/>
    <s v="MONDOLFO"/>
    <m/>
    <s v="francyprio@inwind.it"/>
    <s v="B&amp;B LA CASETTA - MONDOLFO"/>
  </r>
  <r>
    <x v="5"/>
    <s v="B&amp;B LA CASETTA"/>
    <s v="via del Mare 4-6"/>
    <x v="166"/>
    <m/>
    <m/>
    <s v="moniapacenti73@gmail.com"/>
    <s v="B&amp;B LA CASETTA - MORRO D'ALBA"/>
  </r>
  <r>
    <x v="5"/>
    <s v="B&amp;B LA CASETTA"/>
    <s v="via Molino 1"/>
    <x v="188"/>
    <m/>
    <s v="www.lacasettaoffagna.ea23.com"/>
    <s v="lacasetta.bedandbreakfast@gmail.com"/>
    <s v="B&amp;B LA CASETTA - OFFAGNA"/>
  </r>
  <r>
    <x v="5"/>
    <s v="B&amp;B LA CASETTA"/>
    <s v="via G. Voltattorni 128"/>
    <x v="12"/>
    <s v="SAN BENEDETTO DEL TRONTO"/>
    <m/>
    <s v="lumarinelli@virgilio.it"/>
    <s v="B&amp;B LA CASETTA - SAN BENEDETTO DEL TRONTO"/>
  </r>
  <r>
    <x v="5"/>
    <s v="B&amp;B LA CASETTA DEL BORGO"/>
    <s v="via del Borgo Antico 5"/>
    <x v="1"/>
    <s v="loc.Pantiere"/>
    <m/>
    <s v="beblacasettadelborgo@gmail.com"/>
    <s v="B&amp;B LA CASETTA DEL BORGO - URBINO"/>
  </r>
  <r>
    <x v="5"/>
    <s v="B&amp;B LA CASETTA DEL VECCHIO MOLINO"/>
    <s v="via Costa del Molino 18"/>
    <x v="214"/>
    <m/>
    <s v="www.casettadelvecchiomolino.com"/>
    <s v="gloria.squadroni@virgilio.it"/>
    <s v="B&amp;B LA CASETTA DEL VECCHIO MOLINO - POGGIO SAN MARCELLO"/>
  </r>
  <r>
    <x v="5"/>
    <s v="B&amp;B LA CASETTA ROSA"/>
    <s v="via di Villa Giulia 51/d"/>
    <x v="33"/>
    <m/>
    <s v="lacasettarosa@yahoo.it"/>
    <s v="lacasettarosa@yahoo.it"/>
    <s v="B&amp;B LA CASETTA ROSA - FANO"/>
  </r>
  <r>
    <x v="5"/>
    <s v="B&amp;B LA CASETTA ROSSA 1840"/>
    <s v="villa rustici 24"/>
    <x v="62"/>
    <s v="AMANDOLA"/>
    <m/>
    <s v="casettarossa1840@hotmail.it"/>
    <s v="B&amp;B LA CASETTA ROSSA 1840 - AMANDOLA"/>
  </r>
  <r>
    <x v="5"/>
    <s v="B&amp;B LA CASINA CELESTE"/>
    <s v="via fanella 47"/>
    <x v="33"/>
    <s v="FANO"/>
    <m/>
    <s v="esposito.raffaella@alice.it"/>
    <s v="B&amp;B LA CASINA CELESTE - FANO"/>
  </r>
  <r>
    <x v="5"/>
    <s v="B&amp;B LA CASINA DEL VICOLO DI SOTTO"/>
    <s v="frazione castelletta 11/Z"/>
    <x v="21"/>
    <s v="FABRIANO"/>
    <s v="www.lacasinadelvicolodisotto.it"/>
    <s v="info@lacasinadelvicolodisotto.it"/>
    <s v="B&amp;B LA CASINA DEL VICOLO DI SOTTO - FABRIANO"/>
  </r>
  <r>
    <x v="5"/>
    <s v="B&amp;B LA CASINA DI GINA"/>
    <s v="VIA MULINO DI SAN FILIPPO 11"/>
    <x v="131"/>
    <s v="RUSTICO"/>
    <m/>
    <s v="bassotti2010@hotmail.com"/>
    <s v="B&amp;B LA CASINA DI GINA - POLVERIGI"/>
  </r>
  <r>
    <x v="5"/>
    <s v="B&amp;B LA CASITA"/>
    <s v="c.da Monte Radaldo 60"/>
    <x v="165"/>
    <m/>
    <s v="www.lacasitabb.it"/>
    <s v="info@lacasitabb.it"/>
    <s v="B&amp;B LA CASITA - SANTA VITTORIA IN MATENANO"/>
  </r>
  <r>
    <x v="5"/>
    <s v="B&amp;B LA CASTRA"/>
    <s v="VIA MUGELLINI 19"/>
    <x v="148"/>
    <m/>
    <s v="www.lacastra.it"/>
    <s v="info@lacastra.it"/>
    <s v="B&amp;B LA CASTRA - POTENZA PICENA"/>
  </r>
  <r>
    <x v="5"/>
    <s v="B&amp;B LA CELESTE"/>
    <s v="contrada Celeste  7"/>
    <x v="17"/>
    <s v="CIVITANOVA MARCHE"/>
    <s v="http://lacelestebb.wix.com/la-celeste-beb"/>
    <s v="lucamalag@libero.it"/>
    <s v="B&amp;B LA CELESTE - CIVITANOVA MARCHE"/>
  </r>
  <r>
    <x v="5"/>
    <s v="B&amp;B LA CERCUA"/>
    <m/>
    <x v="16"/>
    <s v="CANNELLA"/>
    <s v="www.lacercua.com"/>
    <s v="info@lacercua.com"/>
    <s v="B&amp;B LA CERCUA - SENIGALLIA"/>
  </r>
  <r>
    <x v="5"/>
    <s v="B&amp;B LA CHIARINA"/>
    <s v="via d'Argillano 3"/>
    <x v="151"/>
    <s v="ASCOLI PICENO"/>
    <s v="www.lachiarina.com"/>
    <s v="lachiarinabedbreak@libero.it"/>
    <s v="B&amp;B LA CHIARINA - ASCOLI PICENO"/>
  </r>
  <r>
    <x v="5"/>
    <s v="B&amp;B LA CHIOCA"/>
    <s v="via delle Filande 3"/>
    <x v="26"/>
    <s v="CINGOLI"/>
    <s v="www.beblachioca.it"/>
    <s v="michelec87@alice.it"/>
    <s v="B&amp;B LA CHIOCA - CINGOLI"/>
  </r>
  <r>
    <x v="5"/>
    <s v="B&amp;B LA CICALA"/>
    <s v="via L. Cicalè 23"/>
    <x v="0"/>
    <m/>
    <s v="www.bed-and-breakfast-macerata.it"/>
    <s v="migliorelli.andrea@yahoo.it"/>
    <s v="B&amp;B LA CICALA - MACERATA"/>
  </r>
  <r>
    <x v="5"/>
    <s v="B&amp;B LA CILICCHIA"/>
    <s v="c.da Colonna 8"/>
    <x v="154"/>
    <s v="AGUGLIANO"/>
    <s v="www.lacilicchia.it"/>
    <s v="info@lacilicchia.it"/>
    <s v="B&amp;B LA CILICCHIA - AGUGLIANO"/>
  </r>
  <r>
    <x v="5"/>
    <s v="B&amp;B LA CIUETTA"/>
    <s v="STRADA VECCHIA DI PIETRALACROCE 46/A"/>
    <x v="10"/>
    <s v="ANCONA"/>
    <m/>
    <s v="andreacaimmi@libero.it"/>
    <s v="B&amp;B LA CIUETTA - ANCONA"/>
  </r>
  <r>
    <x v="5"/>
    <s v="B&amp;B LA COCCINELLA"/>
    <s v="via Umberto I 37"/>
    <x v="74"/>
    <m/>
    <s v="www.bandblacoccinella.it"/>
    <s v="bandblacoccinella@gmail.com"/>
    <s v="B&amp;B LA COCCINELLA - FIASTRA"/>
  </r>
  <r>
    <x v="5"/>
    <s v="B&amp;B LA COCCINELLA"/>
    <s v="via Fonte Marta  400"/>
    <x v="11"/>
    <m/>
    <m/>
    <s v="leo1671@tiscali.it"/>
    <s v="B&amp;B LA COCCINELLA - SARNANO"/>
  </r>
  <r>
    <x v="5"/>
    <s v="B&amp;B LA COCCINELLA"/>
    <s v="VIA MAZZINI 30"/>
    <x v="204"/>
    <s v="PIANE DI MORRO"/>
    <m/>
    <s v="pikkio94@libero.it"/>
    <s v="B&amp;B LA COCCINELLA - FOLIGNANO"/>
  </r>
  <r>
    <x v="5"/>
    <s v="B&amp;B LA COLLINA DEL CUORE"/>
    <s v="via Generale U. Nobile 2"/>
    <x v="15"/>
    <m/>
    <s v="www.lacollinanelcuore.com"/>
    <s v="info@lacollinanelcuore.com"/>
    <s v="B&amp;B LA COLLINA DEL CUORE - LORETO"/>
  </r>
  <r>
    <x v="5"/>
    <s v="B&amp;B LA COLLINA DORATA"/>
    <s v="via Torre 26"/>
    <x v="188"/>
    <s v="Offagna"/>
    <s v="www.lacollinadorata.it"/>
    <s v="lacollinadorata@gmail.com"/>
    <s v="B&amp;B LA COLLINA DORATA - OFFAGNA"/>
  </r>
  <r>
    <x v="5"/>
    <s v="B&amp;B LA COLLINETTA"/>
    <s v="c.da Campetella 32"/>
    <x v="126"/>
    <m/>
    <m/>
    <s v="info@bblacollinetta.it"/>
    <s v="B&amp;B LA COLLINETTA - POLLENZA"/>
  </r>
  <r>
    <x v="5"/>
    <s v="B&amp;B LA COLLINETTA di BRUSCHINI VITTORIA"/>
    <s v="via ponte magno 5"/>
    <x v="136"/>
    <s v="MONTE ROBERTO"/>
    <s v="www.lacollinetta.eu"/>
    <s v="info@lacollinetta.eu; la-collinetta@hotmail.com"/>
    <s v="B&amp;B LA COLLINETTA di BRUSCHINI VITTORIA - MONTE ROBERTO"/>
  </r>
  <r>
    <x v="5"/>
    <s v="B&amp;B LA COLOMBAIA"/>
    <s v="via Serrabernacchia 1"/>
    <x v="112"/>
    <s v="Serrabernacchia"/>
    <s v="www.lacolombaia.eu"/>
    <s v="info@lacolombaia.eu"/>
    <s v="B&amp;B LA COLOMBAIA - GENGA"/>
  </r>
  <r>
    <x v="5"/>
    <s v="B&amp;B LA CONCA"/>
    <s v="contrada Ceresola 44"/>
    <x v="63"/>
    <s v="SMERILLO"/>
    <m/>
    <s v="laconca@micso.net"/>
    <s v="B&amp;B LA CONCA - SMERILLO"/>
  </r>
  <r>
    <x v="5"/>
    <s v="B&amp;B LA COPPARA"/>
    <s v="c.da Capovallazza snc"/>
    <x v="201"/>
    <s v="frazione Vallazza"/>
    <m/>
    <s v="temp.caterina@tiscali.it"/>
    <s v="B&amp;B LA COPPARA - USSITA"/>
  </r>
  <r>
    <x v="5"/>
    <s v="B&amp;B LA CORTE"/>
    <s v="via Laura Zampeschi 22"/>
    <x v="6"/>
    <s v="TOLENTINO"/>
    <s v="www.residencelacorte.eu"/>
    <s v="info@residencelacorte.eu"/>
    <s v="B&amp;B LA CORTE - TOLENTINO"/>
  </r>
  <r>
    <x v="5"/>
    <s v="B&amp;B LA CORTE"/>
    <s v="via Pompeiana 390"/>
    <x v="37"/>
    <s v="FERMO"/>
    <s v="www.lacortefermo.it"/>
    <s v="info@lacortefermo.it"/>
    <s v="B&amp;B LA CORTE - FERMO"/>
  </r>
  <r>
    <x v="5"/>
    <s v="B&amp;B LA CORTE UNO"/>
    <s v="VIA POMPEIANA 390"/>
    <x v="37"/>
    <s v="Fermo"/>
    <s v="www.lacortefermo.it"/>
    <s v="info@lacortefermo.it"/>
    <s v="B&amp;B LA CORTE UNO - FERMO"/>
  </r>
  <r>
    <x v="5"/>
    <s v="B&amp;B LA CULLA DEI SABINI"/>
    <s v="via dei Sabini 6"/>
    <x v="151"/>
    <s v="ASCOLI PICENO"/>
    <s v="www.laculladeisabini.it"/>
    <s v="culla.sabini@yahoo.it"/>
    <s v="B&amp;B LA CULLA DEI SABINI - ASCOLI PICENO"/>
  </r>
  <r>
    <x v="5"/>
    <s v="B&amp;B LA DAMA"/>
    <s v="ACQUARELLO  8"/>
    <x v="29"/>
    <m/>
    <s v="www.podereladama.com"/>
    <s v="danamar.gm@gmail.com"/>
    <s v="B&amp;B LA DAMA - LAPEDONA"/>
  </r>
  <r>
    <x v="5"/>
    <s v="B&amp;B LA DIMORA"/>
    <s v="via Tommasi 11"/>
    <x v="22"/>
    <s v="loc.Castelferretti"/>
    <m/>
    <s v="em.menga@alice.it"/>
    <s v="B&amp;B LA DIMORA - FALCONARA MARITTIMA"/>
  </r>
  <r>
    <x v="5"/>
    <s v="B&amp;B LA DIMORA DEL GAMBERO"/>
    <s v="via Michelangelo Buonarroti 25"/>
    <x v="20"/>
    <s v="MAROTTA"/>
    <s v="www.dimoradelgambero.eu"/>
    <s v="info@dimoradelgambero.eu"/>
    <s v="B&amp;B LA DIMORA DEL GAMBERO - MONDOLFO"/>
  </r>
  <r>
    <x v="5"/>
    <s v="B&amp;B LA DOGARESSA"/>
    <s v="via colle dei pini 8"/>
    <x v="32"/>
    <s v="CUPRA MARITTIMA"/>
    <m/>
    <m/>
    <s v="B&amp;B LA DOGARESSA - CUPRA MARITTIMA"/>
  </r>
  <r>
    <x v="5"/>
    <s v="B&amp;B LA DOLCE VIA DI CIOTTI CLAUDIA"/>
    <s v="Corso Giuseppe Mazzini 194"/>
    <x v="151"/>
    <s v="ASCOLI PICENO"/>
    <m/>
    <s v="claudiaciotti@hotmail.it"/>
    <s v="B&amp;B LA DOLCE VIA DI CIOTTI CLAUDIA - ASCOLI PICENO"/>
  </r>
  <r>
    <x v="5"/>
    <s v="B&amp;B LA FABULA"/>
    <s v="via Monte Colombo 11"/>
    <x v="8"/>
    <s v="SAN LORENZO"/>
    <s v="www.lafabula.it"/>
    <s v="info@lafabula.it"/>
    <s v="B&amp;B LA FABULA - SIROLO"/>
  </r>
  <r>
    <x v="5"/>
    <s v="B&amp;B LA FINESTRA SUI MONTI"/>
    <s v="via S.Ercolano snc"/>
    <x v="201"/>
    <s v="Tempori"/>
    <m/>
    <s v="archettavisso@yahoo.it"/>
    <s v="B&amp;B LA FINESTRA SUI MONTI - USSITA"/>
  </r>
  <r>
    <x v="5"/>
    <s v="B&amp;B LA FINESTRA SUL CONERO"/>
    <s v="via Giovanni XIII 14"/>
    <x v="169"/>
    <s v="S. AGOSTINO"/>
    <s v="www.lafinestrasulconero.it"/>
    <s v="info@lafinestrasulconero.it"/>
    <s v="B&amp;B LA FINESTRA SUL CONERO - CASTELFIDARDO"/>
  </r>
  <r>
    <x v="5"/>
    <s v="B&amp;B LA FINESTRA SUL FIUME"/>
    <s v="VIA UMBERTO I  30"/>
    <x v="85"/>
    <m/>
    <s v="www.ritarinci.com"/>
    <s v="rita.rinci@gmail.com"/>
    <s v="B&amp;B LA FINESTRA SUL FIUME - FOSSOMBRONE"/>
  </r>
  <r>
    <x v="5"/>
    <s v="B&amp;B LA FIORENZUOLA di TRUFFI TANIA E FERRI ALESSANDRO"/>
    <s v="via Fiorenzuola 21"/>
    <x v="58"/>
    <m/>
    <s v="www.lafiorenzuola.it"/>
    <s v="lafiorenzuolabeb@gmail.com"/>
    <s v="B&amp;B LA FIORENZUOLA di TRUFFI TANIA E FERRI ALESSANDRO - SANT'ANGELO IN VADO"/>
  </r>
  <r>
    <x v="5"/>
    <s v="B&amp;B LA FOCE"/>
    <s v="via fonte avellana 19"/>
    <x v="138"/>
    <s v="FRONTONE"/>
    <s v="www.beblafoce.it"/>
    <s v="cinisco@alice.it; info@beblafoce.it"/>
    <s v="B&amp;B LA FOCE - FRONTONE"/>
  </r>
  <r>
    <x v="5"/>
    <s v="B&amp;B LA FONTANA DEI CANI"/>
    <s v="via giuseppe sacconi 15"/>
    <x v="151"/>
    <s v="ASCOLI PICENO"/>
    <s v="http://lafontanadeicanibedandbreakfast.it"/>
    <s v="info@lafontanadeicanibedandbreakfast.it"/>
    <s v="B&amp;B LA FONTANA DEI CANI - ASCOLI PICENO"/>
  </r>
  <r>
    <x v="5"/>
    <s v="B&amp;B LA FONTE"/>
    <s v="c.da Campanotico 240"/>
    <x v="11"/>
    <m/>
    <m/>
    <s v="portofranco.sx@gmail.com"/>
    <s v="B&amp;B LA FONTE - SARNANO"/>
  </r>
  <r>
    <x v="5"/>
    <s v="B&amp;B LA FORESTERIA"/>
    <s v="Via Coppa 8"/>
    <x v="44"/>
    <s v="OSIMO"/>
    <m/>
    <s v="info@mediaservicesrl.info;"/>
    <s v="B&amp;B LA FORESTERIA - OSIMO"/>
  </r>
  <r>
    <x v="5"/>
    <s v="B&amp;B LA FORMICA"/>
    <s v="via Aosta 1"/>
    <x v="151"/>
    <m/>
    <s v="www.bblaformica.it"/>
    <s v="info@bblaformica.it"/>
    <s v="B&amp;B LA FORMICA - ASCOLI PICENO"/>
  </r>
  <r>
    <x v="5"/>
    <s v="B&amp;B LA FORMICA di URTINI FRANCESCA"/>
    <s v="VIA BOLOGNA 9"/>
    <x v="196"/>
    <s v="MONTECCHIO DI VALLEFOGLIA"/>
    <m/>
    <s v="laformicabb@gmail.com"/>
    <s v="B&amp;B LA FORMICA di URTINI FRANCESCA - VALLEFOGLIA"/>
  </r>
  <r>
    <x v="5"/>
    <s v="B&amp;B LA FUCHSIA"/>
    <s v="via a. L.Corvalan 7"/>
    <x v="169"/>
    <s v="CASTELFIDARDO"/>
    <s v="www.lafuchsia.it"/>
    <s v="info@lafuchsia.it"/>
    <s v="B&amp;B LA FUCHSIA - CASTELFIDARDO"/>
  </r>
  <r>
    <x v="5"/>
    <s v="B&amp;B LA GAZZA LADRA"/>
    <s v="via Nuti 1"/>
    <x v="69"/>
    <s v="PESARO"/>
    <s v="www.lagazzaladrabb.it"/>
    <s v="info@lagazzaladrabb.it"/>
    <s v="B&amp;B LA GAZZA LADRA - PESARO"/>
  </r>
  <r>
    <x v="5"/>
    <s v="B&amp;B LA GIRANDOLA"/>
    <s v="via Piana 66"/>
    <x v="161"/>
    <s v="CUPRAMONTANA"/>
    <s v="www.lagirandola.eu"/>
    <s v="info@lagirandola.eu"/>
    <s v="B&amp;B LA GIRANDOLA - CUPRAMONTANA"/>
  </r>
  <r>
    <x v="5"/>
    <s v="B&amp;B LA GRANDE AGAVE"/>
    <s v="strada della Siligata 12"/>
    <x v="69"/>
    <s v="PESARO"/>
    <s v="www.lagrandeagave.it"/>
    <s v="lagrandeagave@gmail.com"/>
    <s v="B&amp;B LA GRANDE AGAVE - PESARO"/>
  </r>
  <r>
    <x v="5"/>
    <s v="B&amp;B LA LANTERNA"/>
    <s v="via Lucio Tarunzio 58"/>
    <x v="37"/>
    <m/>
    <s v="www.lalanternafermo.it"/>
    <s v="bb@lalanternafermo.it"/>
    <s v="B&amp;B LA LANTERNA - FERMO"/>
  </r>
  <r>
    <x v="5"/>
    <s v="B&amp;B LA LAVANDA DEL BORGO"/>
    <s v="VIA CAPO D'ACQUA 4"/>
    <x v="8"/>
    <m/>
    <m/>
    <s v="lalavandadelborgo@libero.it"/>
    <s v="B&amp;B LA LAVANDA DEL BORGO - SIROLO"/>
  </r>
  <r>
    <x v="5"/>
    <s v="B&amp;B LA LAVANDA DEL BORGO BIS"/>
    <s v="VIA SAN LORENZO 5"/>
    <x v="8"/>
    <s v="SIROLO"/>
    <m/>
    <s v="lalavandadelborgo@libero.it"/>
    <s v="B&amp;B LA LAVANDA DEL BORGO BIS - SIROLO"/>
  </r>
  <r>
    <x v="5"/>
    <s v="B&amp;B LA LIBELLULA DEL CONERO"/>
    <s v="Via Picchi 13"/>
    <x v="8"/>
    <m/>
    <s v="www.lalibelluladelconero.com"/>
    <s v="aledaina@live.it"/>
    <s v="B&amp;B LA LIBELLULA DEL CONERO - SIROLO"/>
  </r>
  <r>
    <x v="5"/>
    <s v="B&amp;B LA LOCANDA DEL PICCHIO"/>
    <s v="via Rossini 9"/>
    <x v="15"/>
    <s v="LORETO"/>
    <s v="www.locandadelpicchio.it"/>
    <s v="info@locandadelpicchio.it"/>
    <s v="B&amp;B LA LOCANDA DEL PICCHIO - LORETO"/>
  </r>
  <r>
    <x v="5"/>
    <s v="B&amp;B LA LOCANDA DELLA CIVETTA PAOLA PARASECOLI"/>
    <s v="via Caserine 1"/>
    <x v="65"/>
    <m/>
    <m/>
    <m/>
    <s v="B&amp;B LA LOCANDA DELLA CIVETTA PAOLA PARASECOLI - ROCCAFLUVIONE"/>
  </r>
  <r>
    <x v="5"/>
    <s v="B&amp;B LA LOCANDA DI CAVOLETO"/>
    <s v="Località CAVOLETO 8"/>
    <x v="78"/>
    <s v="PIANDIMELETO"/>
    <s v="www.lalocandadicavoleto.it"/>
    <s v="info@lalocandadicavoleto.it"/>
    <s v="B&amp;B LA LOCANDA DI CAVOLETO - PIANDIMELETO"/>
  </r>
  <r>
    <x v="5"/>
    <s v="B&amp;B LA LUNA E LA FORTEZZA"/>
    <s v="contrada S. Maria in accubitu  14"/>
    <x v="19"/>
    <s v="ACQUAVIVA PICENA"/>
    <s v="www.lalunaelafortezza.com"/>
    <s v="info@lalunaelafortezza.com"/>
    <s v="B&amp;B LA LUNA E LA FORTEZZA - ACQUAVIVA PICENA"/>
  </r>
  <r>
    <x v="5"/>
    <s v="B&amp;B LA MADONNINA"/>
    <s v="via Santa Maria 1"/>
    <x v="161"/>
    <s v="CUPRAMONTANA"/>
    <m/>
    <s v="bb.lamadonnina@alice.it"/>
    <s v="B&amp;B LA MADONNINA - CUPRAMONTANA"/>
  </r>
  <r>
    <x v="5"/>
    <s v="B&amp;B LA MADONNINA DEI PANTANI"/>
    <s v="via Madonna dei Pantani 1 bis"/>
    <x v="145"/>
    <m/>
    <m/>
    <s v="lamadonninadeipantani@gmail.com"/>
    <s v="B&amp;B LA MADONNINA DEI PANTANI - MATELICA"/>
  </r>
  <r>
    <x v="5"/>
    <s v="B&amp;B LA MAGNOLIA"/>
    <s v="localita' chiaruccia 84"/>
    <x v="33"/>
    <s v="FANO"/>
    <s v="www.bedandbreakfastlamagnolia.it"/>
    <s v="magnoliafano@virgilio.it"/>
    <s v="B&amp;B LA MAGNOLIA - FANO"/>
  </r>
  <r>
    <x v="5"/>
    <s v="B&amp;B LA MAGNOLIA"/>
    <s v="Via Gaggera 4"/>
    <x v="155"/>
    <s v="GRADARA"/>
    <m/>
    <s v="lamagnolia.gradara@gmail.com"/>
    <s v="B&amp;B LA MAGNOLIA - GRADARA"/>
  </r>
  <r>
    <x v="5"/>
    <s v="B&amp;B LA MAISON DE NADINE"/>
    <s v="via Canale 33"/>
    <x v="69"/>
    <s v="PESARO"/>
    <m/>
    <s v="nadia.sorbini@gmail.com"/>
    <s v="B&amp;B LA MAISON DE NADINE - PESARO"/>
  </r>
  <r>
    <x v="5"/>
    <s v="B&amp;B LA MAISON JUJUBE"/>
    <s v="VIA UMBERTO I 28"/>
    <x v="141"/>
    <s v="MORROVALLE"/>
    <s v="www.lamaisonjujube.it"/>
    <s v="lamaisonjujube@gmail.com"/>
    <s v="B&amp;B LA MAISON JUJUBE - MORROVALLE"/>
  </r>
  <r>
    <x v="5"/>
    <s v="B&amp;B LA MANSARDINA"/>
    <s v="via Ussita 5/A"/>
    <x v="49"/>
    <m/>
    <m/>
    <s v="manishika@email.it"/>
    <s v="B&amp;B LA MANSARDINA - VISSO"/>
  </r>
  <r>
    <x v="5"/>
    <s v="B&amp;B LA MANSUETA"/>
    <s v="localita' Sasso Campagna 13"/>
    <x v="72"/>
    <s v="SERRA SAN QUIRICO"/>
    <m/>
    <s v="lamansueta@gmail.com"/>
    <s v="B&amp;B LA MANSUETA - SERRA SAN QUIRICO"/>
  </r>
  <r>
    <x v="5"/>
    <s v="B&amp;B LA MARINA"/>
    <s v="via Pascoli 14/a"/>
    <x v="12"/>
    <m/>
    <m/>
    <s v="bblamarina@gmail.com"/>
    <s v="B&amp;B LA MARINA - SAN BENEDETTO DEL TRONTO"/>
  </r>
  <r>
    <x v="5"/>
    <s v="B&amp;B LA MIMOSA"/>
    <s v="via palmiro togliatti 10"/>
    <x v="124"/>
    <s v="BELFORTE DEL CHIENTI"/>
    <m/>
    <s v="tamaracapradossi@gmail.com"/>
    <s v="B&amp;B LA MIMOSA - BELFORTE DEL CHIENTI"/>
  </r>
  <r>
    <x v="5"/>
    <s v="B&amp;B LA MOJA"/>
    <s v="via Trieste 15"/>
    <x v="160"/>
    <m/>
    <m/>
    <s v="carlinoferri@libero.it"/>
    <s v="B&amp;B LA MOJA - MAIOLATI SPONTINI"/>
  </r>
  <r>
    <x v="5"/>
    <s v="B&amp;B LA NATURA"/>
    <s v="via San Bartolo - loc. Rancitella 2"/>
    <x v="1"/>
    <s v="loc. Rancitella - via San Bartolo"/>
    <s v="www.bblanatura.it"/>
    <s v="info@bblanatura.it"/>
    <s v="B&amp;B LA NATURA - URBINO"/>
  </r>
  <r>
    <x v="5"/>
    <s v="B&amp;B LA NEVIERA NEL POZZO"/>
    <s v="via San Martino 33"/>
    <x v="30"/>
    <s v="OFFIDA"/>
    <s v="www.offidanelpozzo.it"/>
    <s v="info@offidanelpozzo.it"/>
    <s v="B&amp;B LA NEVIERA NEL POZZO - OFFIDA"/>
  </r>
  <r>
    <x v="5"/>
    <s v="B&amp;B LA NICCHIA"/>
    <s v="via roma 91"/>
    <x v="161"/>
    <s v="CUPRAMONTANA"/>
    <m/>
    <s v="cherubini.simone@alice.it"/>
    <s v="B&amp;B LA NICCHIA - CUPRAMONTANA"/>
  </r>
  <r>
    <x v="5"/>
    <s v="B&amp;B LA NICCHIA DI MERCATO"/>
    <s v="via Gaspare Spontini 7"/>
    <x v="160"/>
    <m/>
    <s v="www.beb.lanicchiadimercato.com/"/>
    <s v="lanicchiadimercato@gmail.com"/>
    <s v="B&amp;B LA NICCHIA DI MERCATO - MAIOLATI SPONTINI"/>
  </r>
  <r>
    <x v="5"/>
    <s v="B&amp;B LA PACE"/>
    <s v="via Bottegno  1"/>
    <x v="174"/>
    <s v="Campo c/o Belforte all'Isauro"/>
    <s v="www.la-pace.it"/>
    <s v="info@la-pace.it"/>
    <s v="B&amp;B LA PACE - CARPEGNA"/>
  </r>
  <r>
    <x v="5"/>
    <s v="B&amp;B LA PACE TRA GLI OLIVI"/>
    <s v="via Pontaccio 2"/>
    <x v="110"/>
    <m/>
    <s v="www.bblapacetragliolivi.com"/>
    <s v="sparvingolo@libero.it"/>
    <s v="B&amp;B LA PACE TRA GLI OLIVI - MOMBAROCCIO"/>
  </r>
  <r>
    <x v="5"/>
    <s v="B&amp;B LA PARISIENNE"/>
    <s v="G. Fiorini 13"/>
    <x v="16"/>
    <m/>
    <s v="www.bblaparisienne.it"/>
    <s v="luciano.girolimetti@tiscali.it"/>
    <s v="B&amp;B LA PARISIENNE - SENIGALLIA"/>
  </r>
  <r>
    <x v="5"/>
    <s v="B&amp;B LA PENNICA"/>
    <s v="strada Berardinelli Scapezzano 294"/>
    <x v="16"/>
    <m/>
    <m/>
    <s v="info@lapennica.it"/>
    <s v="B&amp;B LA PENNICA - SENIGALLIA"/>
  </r>
  <r>
    <x v="5"/>
    <s v="B&amp;B LA PERLA DEL CONERO"/>
    <s v="via Amalfi  71"/>
    <x v="9"/>
    <m/>
    <s v="www.laperladelconerobb.it"/>
    <s v="info@laperladelconerobb.it"/>
    <s v="B&amp;B LA PERLA DEL CONERO - NUMANA"/>
  </r>
  <r>
    <x v="5"/>
    <s v="B&amp;B LA PERSIANA"/>
    <s v="VIA SENIGALLIA 14"/>
    <x v="10"/>
    <s v="ANCONA"/>
    <m/>
    <s v="lapersiana2016@gmail.com"/>
    <s v="B&amp;B LA PERSIANA - ANCONA"/>
  </r>
  <r>
    <x v="5"/>
    <s v="B&amp;B LA PETRELLA DI LORENZO MARIA RITA"/>
    <s v="via Salaria  236"/>
    <x v="151"/>
    <s v="VILLA S. ANTONIO"/>
    <s v="www.lapetrellabb.altervista.org"/>
    <s v="matir57@hotmail.it"/>
    <s v="B&amp;B LA PETRELLA DI LORENZO MARIA RITA - ASCOLI PICENO"/>
  </r>
  <r>
    <x v="5"/>
    <s v="B&amp;B LA PIANTATA"/>
    <s v="BATTISTA SFORZA 7"/>
    <x v="1"/>
    <m/>
    <m/>
    <s v="inesistente@regione.marche.it"/>
    <s v="B&amp;B LA PIANTATA - URBINO"/>
  </r>
  <r>
    <x v="5"/>
    <s v="B&amp;B LA PIAZZA DELLA TORRE"/>
    <s v="via della Torre 1"/>
    <x v="215"/>
    <m/>
    <s v="lapiazzadellatorre.freshcreator.com"/>
    <s v="lapiazzadellatorre@libero.it"/>
    <s v="B&amp;B LA PIAZZA DELLA TORRE - PIAGGE"/>
  </r>
  <r>
    <x v="5"/>
    <s v="B&amp;B LA PIAZZETTA"/>
    <s v="piazza Emidio Collina 1"/>
    <x v="35"/>
    <s v="Acquasanta Terme"/>
    <s v="https://www.facebook.com/lapiazzettabb"/>
    <s v="lapiazzettabb@hotmail.it"/>
    <s v="B&amp;B LA PIAZZETTA - ACQUASANTA TERME"/>
  </r>
  <r>
    <x v="5"/>
    <s v="B&amp;B LA PIAZZETTA DI SISTI VITTORIA"/>
    <s v="via Montello 10"/>
    <x v="151"/>
    <s v="ASCOLI PICENO"/>
    <m/>
    <s v="giovannozzi.marco@gmail.com"/>
    <s v="B&amp;B LA PIAZZETTA DI SISTI VITTORIA - ASCOLI PICENO"/>
  </r>
  <r>
    <x v="5"/>
    <s v="B&amp;B LA PIEVE"/>
    <s v="localita' pieve 42"/>
    <x v="2"/>
    <s v="SAN SEVERINO MARCHE"/>
    <m/>
    <m/>
    <s v="B&amp;B LA PIEVE - SAN SEVERINO MARCHE"/>
  </r>
  <r>
    <x v="5"/>
    <s v="B&amp;B LA PINETA"/>
    <s v="via Forquini 4"/>
    <x v="196"/>
    <s v="loc.Colbordolo"/>
    <s v="www.lapineta-bb.it"/>
    <s v="bbla.pineta@alice.it"/>
    <s v="B&amp;B LA PINETA - VALLEFOGLIA"/>
  </r>
  <r>
    <x v="5"/>
    <s v="B&amp;B LA PINETA DI BINNI MARIA COLOMBA"/>
    <s v="corso vittorio emanuele iii 3"/>
    <x v="150"/>
    <s v="MONSAMPOLO DEL TRONTO"/>
    <m/>
    <s v="annamaria.leonetti@gmail.com"/>
    <s v="B&amp;B LA PINETA DI BINNI MARIA COLOMBA - MONSAMPOLO DEL TRONTO"/>
  </r>
  <r>
    <x v="5"/>
    <s v="B&amp;B LA PINETINA"/>
    <s v="via IV Novembre 8"/>
    <x v="47"/>
    <m/>
    <m/>
    <s v="info@bb-lapinetina.it"/>
    <s v="B&amp;B LA PINETINA - PORTO SAN GIORGIO"/>
  </r>
  <r>
    <x v="5"/>
    <s v="B&amp;B LA PINTURETTA"/>
    <s v="via Fornaci 26"/>
    <x v="124"/>
    <m/>
    <s v="www.lapinturetta.com"/>
    <s v="info@lapinturetta.com"/>
    <s v="B&amp;B LA PINTURETTA - BELFORTE DEL CHIENTI"/>
  </r>
  <r>
    <x v="5"/>
    <s v="B&amp;B LA PIRACANTA"/>
    <s v="VIA TOGLIATTI 110"/>
    <x v="10"/>
    <m/>
    <m/>
    <s v="m2val1960@gmail.com"/>
    <s v="B&amp;B LA PIRACANTA - ANCONA"/>
  </r>
  <r>
    <x v="5"/>
    <s v="B&amp;B LA POIANA"/>
    <s v="PIEVE DI GAIFA  32"/>
    <x v="1"/>
    <s v="LAVATICCI"/>
    <m/>
    <s v="info@lapoianaurbino.it"/>
    <s v="B&amp;B LA POIANA - URBINO"/>
  </r>
  <r>
    <x v="5"/>
    <s v="B&amp;B LA POJANA"/>
    <s v="Via Campolargo 34"/>
    <x v="216"/>
    <s v="PETRIOLO"/>
    <s v="http://allapoiana.com/it/home-1/"/>
    <s v="info@allapoiana.com"/>
    <s v="B&amp;B LA POJANA - PETRIOLO"/>
  </r>
  <r>
    <x v="5"/>
    <s v="B&amp;B LA POSTA"/>
    <s v="strada Pescia' 1"/>
    <x v="156"/>
    <s v="GROTTAZZOLINA"/>
    <s v="www.beblaposta.it"/>
    <s v="info@beblaposta.it"/>
    <s v="B&amp;B LA POSTA - GROTTAZZOLINA"/>
  </r>
  <r>
    <x v="5"/>
    <s v="B&amp;B LA PULCIA"/>
    <s v="Via Cattolica 16"/>
    <x v="155"/>
    <s v="GRADARA"/>
    <m/>
    <s v="lapulciagradara@gmail.com"/>
    <s v="B&amp;B LA PULCIA - GRADARA"/>
  </r>
  <r>
    <x v="5"/>
    <s v="B&amp;B LA QUIETE DI ROS"/>
    <s v="c.da Castellano 41"/>
    <x v="141"/>
    <m/>
    <s v="www.bb30.it"/>
    <s v="battistellirosaria@gmail.com"/>
    <s v="B&amp;B LA QUIETE DI ROS - MORROVALLE"/>
  </r>
  <r>
    <x v="5"/>
    <s v="B&amp;B LA RANA"/>
    <s v="via Camposanto Vecchio 53"/>
    <x v="16"/>
    <m/>
    <m/>
    <s v="marcosignoriluigi@alice.it"/>
    <s v="B&amp;B LA RANA - SENIGALLIA"/>
  </r>
  <r>
    <x v="5"/>
    <s v="B&amp;B LA ROSA"/>
    <s v="via T.Tasso 41"/>
    <x v="17"/>
    <m/>
    <m/>
    <s v="beblarosacivitanova@gmail.com"/>
    <s v="B&amp;B LA ROSA - CIVITANOVA MARCHE"/>
  </r>
  <r>
    <x v="5"/>
    <s v="B&amp;B LA ROSA ANTICA"/>
    <s v="via Ghetto 1"/>
    <x v="155"/>
    <m/>
    <s v="https://www.facebook.com/BbLaRosaAntica?hc_location=timeline"/>
    <s v="marilena.turroni@gmail.com"/>
    <s v="B&amp;B LA ROSA ANTICA - GRADARA"/>
  </r>
  <r>
    <x v="5"/>
    <s v="B&amp;B LA ROSA DI ANTONIO"/>
    <s v="via Monticelli 183"/>
    <x v="151"/>
    <m/>
    <m/>
    <s v="antonellabevini@yahoo.it; larosadiantonio@yahoo.it"/>
    <s v="B&amp;B LA ROSA DI ANTONIO - ASCOLI PICENO"/>
  </r>
  <r>
    <x v="5"/>
    <s v="B&amp;B LA ROSA DI SABBIA"/>
    <s v="lungomare Marconi 30"/>
    <x v="16"/>
    <m/>
    <m/>
    <m/>
    <s v="B&amp;B LA ROSA DI SABBIA - SENIGALLIA"/>
  </r>
  <r>
    <x v="5"/>
    <s v="B&amp;B LA ROSA ROSSA"/>
    <s v="via del burano 1"/>
    <x v="75"/>
    <s v="CAGLI"/>
    <m/>
    <s v="teresin@live.it"/>
    <s v="B&amp;B LA ROSA ROSSA - CAGLI"/>
  </r>
  <r>
    <x v="5"/>
    <s v="B&amp;B LA ROTONDA IN COLLINA"/>
    <s v="via Gaglianvecchio 15"/>
    <x v="2"/>
    <m/>
    <m/>
    <s v="larotondaincollina@gmail.com"/>
    <s v="B&amp;B LA ROTONDA IN COLLINA - SAN SEVERINO MARCHE"/>
  </r>
  <r>
    <x v="5"/>
    <s v="B&amp;B LA SCALA DI SETA"/>
    <s v="via Fratelli Bandiera 7"/>
    <x v="69"/>
    <m/>
    <m/>
    <s v="lascaladiseta2014@gmail.com"/>
    <s v="B&amp;B LA SCALA DI SETA - PESARO"/>
  </r>
  <r>
    <x v="5"/>
    <s v="B&amp;B LA SCALETTA"/>
    <s v="via dei Sabini 33"/>
    <x v="151"/>
    <s v="ASCOLI PICENO"/>
    <m/>
    <m/>
    <s v="B&amp;B LA SCALETTA - ASCOLI PICENO"/>
  </r>
  <r>
    <x v="5"/>
    <s v="B&amp;B LA SCENTELLA"/>
    <s v="contrada Sant' Antonio 4"/>
    <x v="51"/>
    <s v="PETRITOLI"/>
    <s v="www.scentella.it"/>
    <s v="info@scentella.it"/>
    <s v="B&amp;B LA SCENTELLA - PETRITOLI"/>
  </r>
  <r>
    <x v="5"/>
    <s v="B&amp;B LA SCUOLA"/>
    <s v="via palazzo del piano 3"/>
    <x v="1"/>
    <s v="URBINO"/>
    <s v="www.bblascuola.it/"/>
    <s v="acecco@tin.it"/>
    <s v="B&amp;B LA SCUOLA - URBINO"/>
  </r>
  <r>
    <x v="5"/>
    <s v="B&amp;B LA SELVA FESTEGGIANTE"/>
    <s v="via S. Vincenzo 57"/>
    <x v="32"/>
    <m/>
    <m/>
    <s v="chiappini.loredana@fastwebnet.it"/>
    <s v="B&amp;B LA SELVA FESTEGGIANTE - CUPRA MARITTIMA"/>
  </r>
  <r>
    <x v="5"/>
    <s v="B&amp;B LA SERRA DEL SASSO"/>
    <s v="via a. battelli 8"/>
    <x v="79"/>
    <s v="SASSOFELTRIO"/>
    <s v="http://www.laserradelsasso.it"/>
    <s v="odecca@email.it"/>
    <s v="B&amp;B LA SERRA DEL SASSO - SASSOFELTRIO"/>
  </r>
  <r>
    <x v="5"/>
    <s v="B&amp;B LA SIGNORA CASA"/>
    <s v="viale Alcide de Gasperi 182"/>
    <x v="5"/>
    <s v="GROTTAMMARE"/>
    <s v="www.lasignoracasa.com"/>
    <s v="info@lasignoracasa.com"/>
    <s v="B&amp;B LA SIGNORA CASA - GROTTAMMARE"/>
  </r>
  <r>
    <x v="5"/>
    <s v="B&amp;B LA SOFFITTA"/>
    <s v="via g. moretti 36"/>
    <x v="12"/>
    <s v="SAN BENEDETTO DEL TRONTO"/>
    <m/>
    <s v="silviascrem@yahoo.it"/>
    <s v="B&amp;B LA SOFFITTA - SAN BENEDETTO DEL TRONTO"/>
  </r>
  <r>
    <x v="5"/>
    <s v="B&amp;B LA SORGENTE DEI SALI"/>
    <s v="via Vallonica 23"/>
    <x v="139"/>
    <m/>
    <m/>
    <s v="compagniadellazandella@gmail.com"/>
    <s v="B&amp;B LA SORGENTE DEI SALI - TREIA"/>
  </r>
  <r>
    <x v="5"/>
    <s v="B&amp;B LA SPASELLA"/>
    <s v="sp 89 70"/>
    <x v="65"/>
    <s v="Ponte Paoletti Strada Provinciale SP89"/>
    <m/>
    <s v="vinicioferracuti@libero.it"/>
    <s v="B&amp;B LA SPASELLA - ROCCAFLUVIONE"/>
  </r>
  <r>
    <x v="5"/>
    <s v="B&amp;B LA SPIGHETTA"/>
    <s v="frazione Gallignano 177"/>
    <x v="10"/>
    <s v="ANCONA"/>
    <m/>
    <s v="mitiko5@tiscali.it"/>
    <s v="B&amp;B LA SPIGHETTA - ANCONA"/>
  </r>
  <r>
    <x v="5"/>
    <s v="B&amp;B LA STANZA DELLE FATE"/>
    <s v="via Belvedere 192"/>
    <x v="186"/>
    <m/>
    <m/>
    <s v="info@lestanzedellefate.it"/>
    <s v="B&amp;B LA STANZA DELLE FATE - CASTELSANTANGELO SUL NERA"/>
  </r>
  <r>
    <x v="5"/>
    <s v="B&amp;B LA STELLA D'ORO"/>
    <s v="via della Carena 24"/>
    <x v="17"/>
    <m/>
    <s v="www.lastelladoro.it"/>
    <s v="info@lastelladoro.it"/>
    <s v="B&amp;B LA STELLA D'ORO - CIVITANOVA MARCHE"/>
  </r>
  <r>
    <x v="5"/>
    <s v="B&amp;B LA SUITE"/>
    <s v="VIA CIVITANOVA 80"/>
    <x v="17"/>
    <s v="CIVITANOVA MARCHE"/>
    <m/>
    <s v="lasuitecivitanova@gmail.com"/>
    <s v="B&amp;B LA SUITE - CIVITANOVA MARCHE"/>
  </r>
  <r>
    <x v="5"/>
    <s v="B&amp;B LA SUITE"/>
    <s v="CONTRADA ISOLA 32"/>
    <x v="14"/>
    <s v="Monteprandone"/>
    <m/>
    <s v="peppe.giostra@gmail.com"/>
    <s v="B&amp;B LA SUITE - MONTEPRANDONE"/>
  </r>
  <r>
    <x v="5"/>
    <s v="B&amp;B LA TANA"/>
    <s v="via buonconsiglio 9"/>
    <x v="138"/>
    <s v="FRONTONE"/>
    <m/>
    <s v="ferdinando.raggi@libero.it; info@latanabed.it"/>
    <s v="B&amp;B LA TANA - FRONTONE"/>
  </r>
  <r>
    <x v="5"/>
    <s v="B&amp;B LA TANA DELLA TIGRE"/>
    <s v="frazione coccore 10"/>
    <x v="21"/>
    <s v="FABRIANO"/>
    <s v="www.latanadellatigre.com"/>
    <s v="np.tigre@email.it"/>
    <s v="B&amp;B LA TANA DELLA TIGRE - FABRIANO"/>
  </r>
  <r>
    <x v="5"/>
    <s v="B&amp;B LA TANA DI BAGHERA"/>
    <s v="via sauro 131"/>
    <x v="47"/>
    <s v="PORTO SAN GIORGIO"/>
    <m/>
    <s v="stef.cesarini@gmail.com"/>
    <s v="B&amp;B LA TANA DI BAGHERA - PORTO SAN GIORGIO"/>
  </r>
  <r>
    <x v="5"/>
    <s v="B&amp;B LA TARTARUGA"/>
    <s v="via silvano mecozzi 5"/>
    <x v="17"/>
    <s v="CIVITANOVA MARCHE"/>
    <s v="www.latartarugabb.it"/>
    <s v="info@latartarugabb.it"/>
    <s v="B&amp;B LA TARTARUGA - CIVITANOVA MARCHE"/>
  </r>
  <r>
    <x v="5"/>
    <s v="B&amp;B LA TERRAZZA"/>
    <s v="VIA ORSINI 20"/>
    <x v="69"/>
    <m/>
    <m/>
    <s v="t.nerone@yahoo.it"/>
    <s v="B&amp;B LA TERRAZZA - PESARO"/>
  </r>
  <r>
    <x v="5"/>
    <s v="B&amp;B LA TERRAZZA"/>
    <s v="via Nino Bixio 4"/>
    <x v="23"/>
    <m/>
    <m/>
    <s v="bblaterrazza.pr@libero.it"/>
    <s v="B&amp;B LA TERRAZZA - PORTO RECANATI"/>
  </r>
  <r>
    <x v="5"/>
    <s v="B&amp;B LA TERRAZZA SUL MARE"/>
    <s v="viale alcide de gasperi 7"/>
    <x v="5"/>
    <s v="GROTTAMMARE"/>
    <s v="www.laterrazzasulmare.eu"/>
    <s v="info@laterrazzasulmare.eu"/>
    <s v="B&amp;B LA TERRAZZA SUL MARE - GROTTAMMARE"/>
  </r>
  <r>
    <x v="5"/>
    <s v="B&amp;B LA TORRE"/>
    <s v="via Gorizia 82"/>
    <x v="17"/>
    <s v="Civitanova Marche"/>
    <s v="http://latorrebbcivitanov.wix.com/torre"/>
    <s v="latorrebbcivitanova@gmail.com"/>
    <s v="B&amp;B LA TORRE - CIVITANOVA MARCHE"/>
  </r>
  <r>
    <x v="5"/>
    <s v="B&amp;B LA TORRE DEL POGGIO"/>
    <s v="frazione poggio 78"/>
    <x v="10"/>
    <s v="ANCONA"/>
    <m/>
    <s v="info@latorredelpoggio.it"/>
    <s v="B&amp;B LA TORRE DEL POGGIO - ANCONA"/>
  </r>
  <r>
    <x v="5"/>
    <s v="B&amp;B LA TORRETTA"/>
    <s v="Via Veterani 22"/>
    <x v="1"/>
    <s v="URBINO"/>
    <m/>
    <s v="omar76r@libero.it"/>
    <s v="B&amp;B LA TORRETTA - URBINO"/>
  </r>
  <r>
    <x v="5"/>
    <s v="B&amp;B LA TORRETTA BIANCA"/>
    <s v="Via Col di Tenda 60"/>
    <x v="12"/>
    <s v="SAN BENEDETTO DEL TRONTO"/>
    <s v="www.bebtorre.com"/>
    <s v="tchristel@bebtorre.com; info@bebtorre.com"/>
    <s v="B&amp;B LA TORRETTA BIANCA - SAN BENEDETTO DEL TRONTO"/>
  </r>
  <r>
    <x v="5"/>
    <s v="B&amp;B LA VALIGIA"/>
    <s v="via Piana 43"/>
    <x v="161"/>
    <m/>
    <s v="https://sites.google.com/site/beblavaligia/"/>
    <s v="bedandbreakfastlavaligia@gmail.com"/>
    <s v="B&amp;B LA VALIGIA - CUPRAMONTANA"/>
  </r>
  <r>
    <x v="5"/>
    <s v="B&amp;B LA VALLE"/>
    <s v="Via della valle 1"/>
    <x v="1"/>
    <s v="URBINO"/>
    <s v="www.bblavalle.com"/>
    <s v="prenotazioni@bblavalle.com"/>
    <s v="B&amp;B LA VALLE - URBINO"/>
  </r>
  <r>
    <x v="5"/>
    <s v="B&amp;B LA VECCHIA FONTE 2"/>
    <s v="loc. Spinete s.n.c."/>
    <x v="185"/>
    <s v="loc. Spinete"/>
    <s v="www.lavecchiafonte.net"/>
    <s v="info@lavecchiafonte.net"/>
    <s v="B&amp;B LA VECCHIA FONTE 2 - PIEVEBOVIGLIANA"/>
  </r>
  <r>
    <x v="5"/>
    <s v="B&amp;B LA VECCHIA SCUOLA"/>
    <s v="VIA CESARINA 20"/>
    <x v="36"/>
    <s v="FILOTTRANO"/>
    <m/>
    <s v="rentrooms.cesarina@gmail.com"/>
    <s v="B&amp;B LA VECCHIA SCUOLA - FILOTTRANO"/>
  </r>
  <r>
    <x v="5"/>
    <s v="B&amp;B LA VENA DI SACCUTI COSTANTINO"/>
    <s v="via villa la vena 24"/>
    <x v="62"/>
    <s v="AMANDOLA"/>
    <m/>
    <s v="giuliosaccuti@live.com"/>
    <s v="B&amp;B LA VENA DI SACCUTI COSTANTINO - AMANDOLA"/>
  </r>
  <r>
    <x v="5"/>
    <s v="B&amp;B LA VILLA"/>
    <s v="via della Villa 20"/>
    <x v="2"/>
    <s v="loc.Cesolo"/>
    <s v="www.lavillateloni.it"/>
    <s v="teloniale@gmail.com"/>
    <s v="B&amp;B LA VILLA - SAN SEVERINO MARCHE"/>
  </r>
  <r>
    <x v="5"/>
    <s v="B&amp;B LA VILLA DEGLI ORTI"/>
    <s v="via Flaminia Nord 153"/>
    <x v="75"/>
    <m/>
    <m/>
    <s v="m.tassi@libero.it"/>
    <s v="B&amp;B LA VILLA DEGLI ORTI - CAGLI"/>
  </r>
  <r>
    <x v="5"/>
    <s v="B&amp;B LA VILLETTA"/>
    <s v="via del Caravaggio 13"/>
    <x v="12"/>
    <m/>
    <s v="www.bblavillettasbt.it"/>
    <s v="bb.lavilletta@yahoo.it"/>
    <s v="B&amp;B LA VILLETTA - SAN BENEDETTO DEL TRONTO"/>
  </r>
  <r>
    <x v="5"/>
    <s v="B&amp;B LADY D"/>
    <s v="via Ischia Prima 203"/>
    <x v="5"/>
    <s v="GROTTAMMARE"/>
    <s v="www.bbladyd.altervista.org"/>
    <s v="bbladyd@gmail.com"/>
    <s v="B&amp;B LADY D - GROTTAMMARE"/>
  </r>
  <r>
    <x v="5"/>
    <s v="B&amp;B LAETITIA"/>
    <s v="c.da Messieri 49"/>
    <x v="3"/>
    <m/>
    <s v="www.beblaetitia.altervista.org"/>
    <s v="deangelisanna1@libero.it"/>
    <s v="B&amp;B LAETITIA - RIPATRANSONE"/>
  </r>
  <r>
    <x v="5"/>
    <s v="B&amp;B L'AGRIFOGLIO"/>
    <s v="Viale Trento e Trieste 30"/>
    <x v="6"/>
    <m/>
    <m/>
    <s v="info@beblagrifoglio.it"/>
    <s v="B&amp;B L'AGRIFOGLIO - TOLENTINO"/>
  </r>
  <r>
    <x v="5"/>
    <s v="B&amp;B L'ALBERGO DI IERI"/>
    <s v="corso Giacomo Leopardi 19"/>
    <x v="208"/>
    <s v="SERRAVALLE DI CHIENTI"/>
    <s v="www.albergodieri.it"/>
    <s v="giomaros@alice.it; info@albergodieri.it"/>
    <s v="B&amp;B L'ALBERGO DI IERI - SERRAVALLE DI CHIENTI"/>
  </r>
  <r>
    <x v="5"/>
    <s v="B&amp;B L'ALBERO VERDE"/>
    <s v="vicolo San Francesco 2/A"/>
    <x v="99"/>
    <m/>
    <m/>
    <s v="info@lalberoverde.com"/>
    <s v="B&amp;B L'ALBERO VERDE - MONTELUPONE"/>
  </r>
  <r>
    <x v="5"/>
    <s v="B&amp;B LAND &amp; SEA"/>
    <s v="via Marina 14"/>
    <x v="55"/>
    <s v="Campofilone"/>
    <s v="www.bblandandsea.it"/>
    <s v="info@bblandandsea.it"/>
    <s v="B&amp;B LAND &amp; SEA - CAMPOFILONE"/>
  </r>
  <r>
    <x v="5"/>
    <s v="B&amp;B L'ANGOLO FIORITO"/>
    <s v="via strada provinciale pieve di cagna 21"/>
    <x v="1"/>
    <s v="RANCITELLA"/>
    <m/>
    <s v="bblangolofiorito@libero.it"/>
    <s v="B&amp;B L'ANGOLO FIORITO - URBINO"/>
  </r>
  <r>
    <x v="5"/>
    <s v="B&amp;B LANGUAGE AND ART"/>
    <s v="via dei Soderini 16"/>
    <x v="151"/>
    <s v="ASCOLI PICENO"/>
    <s v="www.languageandart.com"/>
    <s v="info@languageandart.com"/>
    <s v="B&amp;B LANGUAGE AND ART - ASCOLI PICENO"/>
  </r>
  <r>
    <x v="5"/>
    <s v="B&amp;B L'ANTICO"/>
    <s v="via Montelatiere 78"/>
    <x v="193"/>
    <m/>
    <m/>
    <s v="laura.f_1989@hotmail.it"/>
    <s v="B&amp;B L'ANTICO - SAN MARCELLO"/>
  </r>
  <r>
    <x v="5"/>
    <s v="B&amp;B L'ANTICO E LA QUERCIA"/>
    <s v="via colle Cervinara 8"/>
    <x v="217"/>
    <s v="MALTIGNANO"/>
    <s v="www.bbdormire.com; www.lanticoelaquercia.it"/>
    <s v="emidiolegno@libero.it"/>
    <s v="B&amp;B L'ANTICO E LA QUERCIA - MALTIGNANO"/>
  </r>
  <r>
    <x v="5"/>
    <s v="B&amp;B L'APE REGINA"/>
    <s v="c.da Verrame 3"/>
    <x v="3"/>
    <s v="loc. San Savino di Ripatransone"/>
    <s v="www.bbaperegina.it"/>
    <s v="info@bbaperegina.it"/>
    <s v="B&amp;B L'APE REGINA - RIPATRANSONE"/>
  </r>
  <r>
    <x v="5"/>
    <s v="B&amp;B LARA GAGGINI"/>
    <s v="via Vocabolo Serre Alte 308"/>
    <x v="145"/>
    <m/>
    <s v="www.serre-alte.com"/>
    <s v="lara.gaggini@alice.it"/>
    <s v="B&amp;B LARA GAGGINI - MATELICA"/>
  </r>
  <r>
    <x v="5"/>
    <s v="B&amp;B L'ARA VECCHIA"/>
    <s v="frazione Giustimana 90"/>
    <x v="151"/>
    <s v="bivio Giustimana"/>
    <s v="www.musicanelmondo.it"/>
    <s v="musicanelmondo@gmail.com"/>
    <s v="B&amp;B L'ARA VECCHIA - ASCOLI PICENO"/>
  </r>
  <r>
    <x v="5"/>
    <s v="B&amp;B L'ARMONIA"/>
    <s v="via Serraloggia 186"/>
    <x v="21"/>
    <m/>
    <m/>
    <s v="mauriziobuselli19@gmail.com"/>
    <s v="B&amp;B L'ARMONIA - FABRIANO"/>
  </r>
  <r>
    <x v="5"/>
    <s v="B&amp;B L'ARTISTA di MOSCARDELLI PATRIZIO"/>
    <s v="contrada Colle di Vecchio 5"/>
    <x v="3"/>
    <s v="RIPATRANSONE"/>
    <s v="www.artistabb.com"/>
    <s v="artistabb@gmail.com"/>
    <s v="B&amp;B L'ARTISTA di MOSCARDELLI PATRIZIO - RIPATRANSONE"/>
  </r>
  <r>
    <x v="5"/>
    <s v="B&amp;B L'ASSIOLO"/>
    <s v="strada del Castellano 71/d"/>
    <x v="10"/>
    <m/>
    <m/>
    <s v="assiolobedandbreakfast@gmail.com"/>
    <s v="B&amp;B L'ASSIOLO - ANCONA"/>
  </r>
  <r>
    <x v="5"/>
    <s v="B&amp;B L'AURORA"/>
    <s v="via Risorgimento  25"/>
    <x v="54"/>
    <s v="c.da Coste"/>
    <s v="www.bb-laurora.com"/>
    <s v="info@bb-laurora.com"/>
    <s v="B&amp;B L'AURORA - MONTELPARO"/>
  </r>
  <r>
    <x v="5"/>
    <s v="B&amp;B LAVANDA"/>
    <s v="c.so Boccalini 30"/>
    <x v="15"/>
    <m/>
    <s v="www.lavandabb.it"/>
    <s v="raffaellagervasoni@icloud.it"/>
    <s v="B&amp;B LAVANDA - LORETO"/>
  </r>
  <r>
    <x v="5"/>
    <s v="B&amp;B LE 2 FARFALLE"/>
    <s v="via Montemarciano 45"/>
    <x v="137"/>
    <m/>
    <m/>
    <s v="rosella.marinelli@alice.it"/>
    <s v="B&amp;B LE 2 FARFALLE - OSTRA"/>
  </r>
  <r>
    <x v="5"/>
    <s v="B&amp;B LE ANTICHE VOLTE"/>
    <s v="VIA DELL'ORNATO 32"/>
    <x v="19"/>
    <m/>
    <s v="www.leantichevolte.com"/>
    <s v="info@leantichevolte.com"/>
    <s v="B&amp;B LE ANTICHE VOLTE - ACQUAVIVA PICENA"/>
  </r>
  <r>
    <x v="5"/>
    <s v="B&amp;B LE AZALEE"/>
    <s v="via delle Azalee 10"/>
    <x v="9"/>
    <m/>
    <s v="www.le-azalee.it"/>
    <s v="info@le-azalee.it"/>
    <s v="B&amp;B LE AZALEE - NUMANA"/>
  </r>
  <r>
    <x v="5"/>
    <s v="B&amp;B LE BEGONIE"/>
    <s v="via 424/ma 1"/>
    <x v="151"/>
    <s v="Monticelli"/>
    <s v="www.lebegonie.it"/>
    <s v="info@lebegonie.it"/>
    <s v="B&amp;B LE BEGONIE - ASCOLI PICENO"/>
  </r>
  <r>
    <x v="3"/>
    <s v="B&amp;B LE BELLE MARCHE"/>
    <s v="contrada Valdice snc"/>
    <x v="56"/>
    <m/>
    <m/>
    <s v="morettistudio@virgilio.it"/>
    <s v="B&amp;B LE BELLE MARCHE - RECANATI"/>
  </r>
  <r>
    <x v="5"/>
    <s v="B&amp;B LE BUMBARELLE"/>
    <s v="via Cannelle 18"/>
    <x v="192"/>
    <m/>
    <s v="www.lebumbarelle.it"/>
    <s v="info@lebumbarelle.it"/>
    <s v="B&amp;B LE BUMBARELLE - TAVOLETO"/>
  </r>
  <r>
    <x v="5"/>
    <s v="B&amp;B LE CALLE"/>
    <s v="via Paolo Uccello 4"/>
    <x v="1"/>
    <s v="LOCALITA' TRASANNI"/>
    <s v="http://bblecalle.it"/>
    <s v="le.calle@yahoo.it"/>
    <s v="B&amp;B LE CALLE - URBINO"/>
  </r>
  <r>
    <x v="5"/>
    <s v="B&amp;B LE CUPOLE"/>
    <s v="strada Fornace Mancini 178"/>
    <x v="69"/>
    <m/>
    <m/>
    <s v="alessandro.domen@gmail.com"/>
    <s v="B&amp;B LE CUPOLE - PESARO"/>
  </r>
  <r>
    <x v="5"/>
    <s v="B&amp;B LE DIVE"/>
    <s v="via G. Pascoli 8"/>
    <x v="137"/>
    <m/>
    <m/>
    <s v="bbledive@hotmail.com"/>
    <s v="B&amp;B LE DIVE - OSTRA"/>
  </r>
  <r>
    <x v="5"/>
    <s v="B&amp;B LE DOLCI NOTE"/>
    <s v="GIORGI 27"/>
    <x v="69"/>
    <m/>
    <m/>
    <s v="sabrina.santangeli@alice.it"/>
    <s v="B&amp;B LE DOLCI NOTE - PESARO"/>
  </r>
  <r>
    <x v="5"/>
    <s v="B&amp;B LE DUE PALME"/>
    <s v="VIA SAN MICHELE 3"/>
    <x v="8"/>
    <s v="SIROLO"/>
    <s v="www.leduepalmesirolo.it"/>
    <s v="info@leduepalmesirolo.it"/>
    <s v="B&amp;B LE DUE PALME - SIROLO"/>
  </r>
  <r>
    <x v="5"/>
    <s v="B&amp;B LE DUE TORRI di MORETTI ESTHER MARIANNA"/>
    <s v="frazione aspio 74"/>
    <x v="10"/>
    <s v="ANCONA"/>
    <m/>
    <s v="leduetorri@alice.it"/>
    <s v="B&amp;B LE DUE TORRI di MORETTI ESTHER MARIANNA - ANCONA"/>
  </r>
  <r>
    <x v="5"/>
    <s v="B&amp;B LE DUNE di ALESIANI ANDREA"/>
    <s v="viale del Commercio 210/a"/>
    <x v="151"/>
    <s v="ASCOLI PICENO"/>
    <m/>
    <s v="ledune.ap@alice.it"/>
    <s v="B&amp;B LE DUNE di ALESIANI ANDREA - ASCOLI PICENO"/>
  </r>
  <r>
    <x v="5"/>
    <s v="B&amp;B LE FATE"/>
    <s v="via della Repubblica 11"/>
    <x v="207"/>
    <m/>
    <m/>
    <s v="com.rotella@tiscali.it"/>
    <s v="B&amp;B LE FATE - ROTELLA"/>
  </r>
  <r>
    <x v="5"/>
    <s v="B&amp;B LE FOGLIE RIDENTI"/>
    <s v="c.da Sant'Angelo 59"/>
    <x v="6"/>
    <m/>
    <m/>
    <s v="localcure@yahoo.de"/>
    <s v="B&amp;B LE FOGLIE RIDENTI - TOLENTINO"/>
  </r>
  <r>
    <x v="5"/>
    <s v="B&amp;B LE FORNACI"/>
    <s v="via G.Puccini 12"/>
    <x v="169"/>
    <m/>
    <m/>
    <s v="berna.prosperi@gmail.com"/>
    <s v="B&amp;B LE FORNACI - CASTELFIDARDO"/>
  </r>
  <r>
    <x v="5"/>
    <s v="B&amp;B LE GISSELLE"/>
    <s v="contrada Guazzetti snc"/>
    <x v="34"/>
    <m/>
    <s v="www.legisselle.com"/>
    <s v="legisselle@legisselle.com; amministrazione@sgm.com"/>
    <s v="B&amp;B LE GISSELLE - MONTEGRANARO"/>
  </r>
  <r>
    <x v="5"/>
    <s v="B&amp;B LE GRAZIE"/>
    <s v="Strada comunale Grazie 14/C"/>
    <x v="16"/>
    <s v="SENIGALLIA"/>
    <m/>
    <m/>
    <s v="B&amp;B LE GRAZIE - SENIGALLIA"/>
  </r>
  <r>
    <x v="5"/>
    <s v="B&amp;B LE GROTTE"/>
    <s v="c.da.S.Maria 1"/>
    <x v="130"/>
    <s v="MONTEDINOVE"/>
    <s v="www.legrotte.net"/>
    <s v="legrotte.montedinove@libero.it"/>
    <s v="B&amp;B LE GROTTE - MONTEDINOVE"/>
  </r>
  <r>
    <x v="5"/>
    <s v="B&amp;B LE LOGGE"/>
    <s v="via Angelo Battelli 28"/>
    <x v="123"/>
    <m/>
    <m/>
    <s v="cris.sper@alice.it"/>
    <s v="B&amp;B LE LOGGE - MACERATA FELTRIA"/>
  </r>
  <r>
    <x v="5"/>
    <s v="B&amp;B LE MACINE DA PIERO'"/>
    <s v="via interno Cupro 9/b"/>
    <x v="161"/>
    <m/>
    <m/>
    <s v="fiorentini.48@virgilio.it"/>
    <s v="B&amp;B LE MACINE DA PIERO' - CUPRAMONTANA"/>
  </r>
  <r>
    <x v="5"/>
    <s v="B&amp;B LE MAGNOLIE"/>
    <s v="via Verdi 20"/>
    <x v="218"/>
    <m/>
    <m/>
    <s v="info.beblemagnolie@gmail.com"/>
    <s v="B&amp;B LE MAGNOLIE - CERRETO D'ESI"/>
  </r>
  <r>
    <x v="5"/>
    <s v="B&amp;B LE MAGNOLIE"/>
    <s v="Via Gentile 1"/>
    <x v="17"/>
    <s v="FONTESPINA"/>
    <s v="www.lemagnolie.bb.it"/>
    <s v="info@lemagnolie-bb.it"/>
    <s v="B&amp;B LE MAGNOLIE - CIVITANOVA MARCHE"/>
  </r>
  <r>
    <x v="5"/>
    <s v="B&amp;B LE MARGHERITE di MARIELLA SVERGOLA"/>
    <s v="via Circonvallazione Conero 31"/>
    <x v="9"/>
    <s v="NUMANA"/>
    <m/>
    <s v="info@lemargheritenumana.com"/>
    <s v="B&amp;B LE MARGHERITE di MARIELLA SVERGOLA - NUMANA"/>
  </r>
  <r>
    <x v="5"/>
    <s v="B&amp;B LE MONACHETTE di ROMAGNOLI CARLA"/>
    <s v="via Fonte di Campo 20"/>
    <x v="151"/>
    <s v="ASCOLI PICENO"/>
    <s v="www.lemonachette.com"/>
    <s v="lemonachette@gmail.com"/>
    <s v="B&amp;B LE MONACHETTE di ROMAGNOLI CARLA - ASCOLI PICENO"/>
  </r>
  <r>
    <x v="5"/>
    <s v="B&amp;B LE NEREIDI"/>
    <s v="via Mazzini 17"/>
    <x v="8"/>
    <s v="centro storico"/>
    <s v="www.lenereidisirolo.com"/>
    <s v="info@lenereidisirolo.com"/>
    <s v="B&amp;B LE NEREIDI - SIROLO"/>
  </r>
  <r>
    <x v="5"/>
    <s v="B&amp;B LE ORTENZIE DI GAUDENZI ANGELA MARIA"/>
    <s v="via vincenzo bellini 56"/>
    <x v="66"/>
    <s v="FALERONE"/>
    <m/>
    <m/>
    <s v="B&amp;B LE ORTENZIE DI GAUDENZI ANGELA MARIA - FALERONE"/>
  </r>
  <r>
    <x v="5"/>
    <s v="B&amp;B LE PALME"/>
    <s v="via San Martino 43/3"/>
    <x v="5"/>
    <m/>
    <m/>
    <s v="verzilli@hotmail.com"/>
    <s v="B&amp;B LE PALME - GROTTAMMARE"/>
  </r>
  <r>
    <x v="5"/>
    <s v="B&amp;B LE QUATTRO STAGIONI"/>
    <s v="via Caminate 75"/>
    <x v="33"/>
    <m/>
    <m/>
    <s v="bblequattrostagioni@gmail.com"/>
    <s v="B&amp;B LE QUATTRO STAGIONI - FANO"/>
  </r>
  <r>
    <x v="5"/>
    <s v="B&amp;B LE QUERCE"/>
    <s v="via Casina 103"/>
    <x v="164"/>
    <s v="loc. Madonna di Pugliano"/>
    <m/>
    <s v="lequercemontecopiolo@gmail.com"/>
    <s v="B&amp;B LE QUERCE - MONTECOPIOLO"/>
  </r>
  <r>
    <x v="5"/>
    <s v="B&amp;B LE QUERCE"/>
    <s v="via della Ferrovia  25"/>
    <x v="10"/>
    <m/>
    <m/>
    <s v="luigigiorgino@virgilio.it"/>
    <s v="B&amp;B LE QUERCE - ANCONA"/>
  </r>
  <r>
    <x v="5"/>
    <s v="B&amp;B LE QUERCE"/>
    <s v="via Vallechifenti 75"/>
    <x v="95"/>
    <m/>
    <s v="www.bedandbreakfastlequerce.it"/>
    <s v="ice661@hotmail.it"/>
    <s v="B&amp;B LE QUERCE - APPIGNANO DEL TRONTO"/>
  </r>
  <r>
    <x v="5"/>
    <s v="B&amp;B LE RONDINI"/>
    <s v="via leonardo da vinci 2"/>
    <x v="33"/>
    <s v="FANO"/>
    <m/>
    <s v="gmagna@libero.it"/>
    <s v="B&amp;B LE RONDINI - FANO"/>
  </r>
  <r>
    <x v="5"/>
    <s v="B&amp;B LE RONDINI"/>
    <s v="piazza del Redentore 1"/>
    <x v="12"/>
    <m/>
    <s v="www.bblerondini.com"/>
    <s v="bblerondini@gmail.com"/>
    <s v="B&amp;B LE RONDINI - SAN BENEDETTO DEL TRONTO"/>
  </r>
  <r>
    <x v="5"/>
    <s v="B&amp;B LE ROSE"/>
    <s v="via Petritoli 11"/>
    <x v="219"/>
    <m/>
    <m/>
    <s v="federica.belluccini@alice.it"/>
    <s v="B&amp;B LE ROSE - MONTEFANO"/>
  </r>
  <r>
    <x v="5"/>
    <s v="B&amp;B LE ROSE DI TERESINA"/>
    <s v="via Campo Lungo 1"/>
    <x v="76"/>
    <m/>
    <m/>
    <s v="serenella.martelli@alice.it"/>
    <s v="B&amp;B LE ROSE DI TERESINA - MERCATELLO SUL METAURO"/>
  </r>
  <r>
    <x v="5"/>
    <s v="B&amp;B LE SEFORE"/>
    <m/>
    <x v="88"/>
    <s v="frazione Massaprofoglio"/>
    <m/>
    <m/>
    <s v="B&amp;B LE SEFORE - MUCCIA"/>
  </r>
  <r>
    <x v="5"/>
    <s v="B&amp;B LE STANZE DEL CHIOSTRO"/>
    <s v="piazza Gramsci 15"/>
    <x v="118"/>
    <m/>
    <m/>
    <s v="lestanzedelchiostro@gmail.com"/>
    <s v="B&amp;B LE STANZE DEL CHIOSTRO - SERRA DE' CONTI"/>
  </r>
  <r>
    <x v="5"/>
    <s v="B&amp;B LE STANZE DI CARLOTTA"/>
    <s v="via Molino Guarnieri 35"/>
    <x v="44"/>
    <m/>
    <s v="www.lestanzedicarlotta.it"/>
    <s v="info@lestanzedicarlotta.it"/>
    <s v="B&amp;B LE STANZE DI CARLOTTA - OSIMO"/>
  </r>
  <r>
    <x v="5"/>
    <s v="B&amp;B LE STANZE DI GIO"/>
    <s v="via Piani d'Aspio 14"/>
    <x v="8"/>
    <s v="ancona"/>
    <m/>
    <s v="lestanzedigio@libero.it"/>
    <s v="B&amp;B LE STANZE DI GIO - SIROLO"/>
  </r>
  <r>
    <x v="5"/>
    <s v="B&amp;B LE TAMERICI"/>
    <s v="strada Orcianense 91"/>
    <x v="220"/>
    <s v="SAN GIORGIO DI PESARO"/>
    <s v="www.letamerici.biz"/>
    <s v="info@letamerici.biz"/>
    <s v="B&amp;B LE TAMERICI - SAN GIORGIO DI PESARO"/>
  </r>
  <r>
    <x v="5"/>
    <s v="B&amp;B LE TERRAZZE DEI POETI"/>
    <s v="via Venezia 16"/>
    <x v="47"/>
    <s v="PORTO SAN GIORGIO"/>
    <s v="www.leterrazzedeipoeti.com"/>
    <s v="leterrazzedeipoeti@gmail.com"/>
    <s v="B&amp;B LE TERRAZZE DEI POETI - PORTO SAN GIORGIO"/>
  </r>
  <r>
    <x v="5"/>
    <s v="B&amp;B LE VIOLE"/>
    <s v="via Brigata Messina 207"/>
    <x v="33"/>
    <s v="Centinarola"/>
    <m/>
    <s v="francesco.pezzolesi@virgilio.it"/>
    <s v="B&amp;B LE VIOLE - FANO"/>
  </r>
  <r>
    <x v="5"/>
    <s v="B&amp;B LEC E LAC"/>
    <s v="via Manciano 7"/>
    <x v="161"/>
    <m/>
    <s v="www.lecelac.com"/>
    <s v="luisapellicioli@gmail.com"/>
    <s v="B&amp;B LEC E LAC - CUPRAMONTANA"/>
  </r>
  <r>
    <x v="5"/>
    <s v="B&amp;B LEONE"/>
    <s v="viale Giacomo Leopardi 59"/>
    <x v="42"/>
    <m/>
    <m/>
    <s v="info@b&amp;bcollepiano.com"/>
    <s v="B&amp;B LEONE - CAMERINO"/>
  </r>
  <r>
    <x v="5"/>
    <s v="B&amp;B L'ESSENZA DEI SOGNI"/>
    <s v="via Torrione 35"/>
    <x v="17"/>
    <s v="Civitanova Marche"/>
    <m/>
    <s v="stefania7101@yahoo.it"/>
    <s v="B&amp;B L'ESSENZA DEI SOGNI - CIVITANOVA MARCHE"/>
  </r>
  <r>
    <x v="5"/>
    <s v="B&amp;B LI DOLCI COLLI"/>
    <s v="contrada lornano 47"/>
    <x v="0"/>
    <s v="MACERATA"/>
    <s v="www.lidolcicolli.it"/>
    <s v="info@lidolcicolli.it"/>
    <s v="B&amp;B LI DOLCI COLLI - MACERATA"/>
  </r>
  <r>
    <x v="5"/>
    <s v="B&amp;B LICIOTTI GIANCARLO"/>
    <s v="VIA GARIBALDI 15"/>
    <x v="34"/>
    <m/>
    <m/>
    <s v="g.liciotti@live.it"/>
    <s v="B&amp;B LICIOTTI GIANCARLO - MONTEGRANARO"/>
  </r>
  <r>
    <x v="5"/>
    <s v="B&amp;B LINA BATTELLINI"/>
    <s v="VIA LA BASTIDE MURAT 10"/>
    <x v="6"/>
    <s v="TOLENTINO"/>
    <m/>
    <s v="adaborgiani@virgilio.it"/>
    <s v="B&amp;B LINA BATTELLINI - TOLENTINO"/>
  </r>
  <r>
    <x v="5"/>
    <s v="B&amp;B L'INFINITO"/>
    <s v="via Mortarolo 1"/>
    <x v="8"/>
    <s v="SIROLO"/>
    <s v="www.bb-infinito.com"/>
    <s v="info@bb-infinito.com"/>
    <s v="B&amp;B L'INFINITO - SIROLO"/>
  </r>
  <r>
    <x v="5"/>
    <s v="B&amp;B L'INFINITO"/>
    <s v="contrada castelletta 11"/>
    <x v="17"/>
    <s v="CIVITANOVA MARCHE"/>
    <s v="www.bbinfinito.it"/>
    <s v="bb.infinito@yahoo.it"/>
    <s v="B&amp;B L'INFINITO - CIVITANOVA MARCHE"/>
  </r>
  <r>
    <x v="5"/>
    <s v="B&amp;B LIOLA'"/>
    <s v="via Bagno 27"/>
    <x v="131"/>
    <m/>
    <s v="www.liolabb.com"/>
    <s v="info@liolabb.com"/>
    <s v="B&amp;B LIOLA' - POLVERIGI"/>
  </r>
  <r>
    <x v="5"/>
    <s v="B&amp;B LO SCORNABECCO"/>
    <s v="via Antonio Fratti 18"/>
    <x v="16"/>
    <s v="Scapezzano"/>
    <s v="www.loscornabecco.it"/>
    <s v="loscornabecco@alice.it"/>
    <s v="B&amp;B LO SCORNABECCO - SENIGALLIA"/>
  </r>
  <r>
    <x v="5"/>
    <s v="B&amp;B LO SFIZIO"/>
    <s v="vicolo Leoni 3"/>
    <x v="161"/>
    <s v="CUPRAMONTANA"/>
    <s v="www.bblosfizio.it"/>
    <s v="lory.lagoccia@libero.it"/>
    <s v="B&amp;B LO SFIZIO - CUPRAMONTANA"/>
  </r>
  <r>
    <x v="5"/>
    <s v="B&amp;B LO SQUALO"/>
    <s v="via Marconi 75"/>
    <x v="5"/>
    <m/>
    <m/>
    <s v="info@hotellosqualo.it"/>
    <s v="B&amp;B LO SQUALO - GROTTAMMARE"/>
  </r>
  <r>
    <x v="5"/>
    <s v="B&amp;B LOCANDA DEGLI ANGELI"/>
    <s v="CASE SPARSE 143"/>
    <x v="75"/>
    <s v="FRAZ. ABBADIA DI NARO"/>
    <m/>
    <s v="locandadegliangelidirita@gmail.com"/>
    <s v="B&amp;B LOCANDA DEGLI ANGELI - CAGLI"/>
  </r>
  <r>
    <x v="5"/>
    <s v="B&amp;B L'OCCHIO DELLA MONTAGNA"/>
    <s v="via Santa Croce 38/a"/>
    <x v="201"/>
    <s v="loc. Sorbo"/>
    <m/>
    <s v="f.vita58@libero.it"/>
    <s v="B&amp;B L'OCCHIO DELLA MONTAGNA - USSITA"/>
  </r>
  <r>
    <x v="5"/>
    <s v="B&amp;B LOGGIA DEI MERCANTI"/>
    <s v="via e. soderini 8"/>
    <x v="44"/>
    <s v="OSIMO"/>
    <s v="www.allevamentologgiadeimercanti.com"/>
    <s v="info@allevamentologgiadeimercanti.it"/>
    <s v="B&amp;B LOGGIA DEI MERCANTI - OSIMO"/>
  </r>
  <r>
    <x v="5"/>
    <s v="B&amp;B LOGGIA SERVANZI"/>
    <s v="piazza del popolo 98"/>
    <x v="2"/>
    <s v="SAN SEVERINO MARCHE"/>
    <s v="www.loggiaservanzi.it"/>
    <s v="info@loggiaservanzi.it"/>
    <s v="B&amp;B LOGGIA SERVANZI - SAN SEVERINO MARCHE"/>
  </r>
  <r>
    <x v="5"/>
    <s v="B&amp;B LOLA"/>
    <s v="via massa 7"/>
    <x v="188"/>
    <s v="OFFAGNA"/>
    <m/>
    <s v="info@bblola.it"/>
    <s v="B&amp;B LOLA - OFFAGNA"/>
  </r>
  <r>
    <x v="5"/>
    <s v="B&amp;B L'OLEANDRO BIANCO"/>
    <s v="VIA PEROZZI 15"/>
    <x v="69"/>
    <m/>
    <m/>
    <s v="fabio687@libero.it"/>
    <s v="B&amp;B L'OLEANDRO BIANCO - PESARO"/>
  </r>
  <r>
    <x v="5"/>
    <s v="B&amp;B L'OLIVETO"/>
    <s v="contrada San Domenico 53/a"/>
    <x v="17"/>
    <m/>
    <m/>
    <s v="raniericatia1@gmail.com"/>
    <s v="B&amp;B L'OLIVETO - CIVITANOVA MARCHE"/>
  </r>
  <r>
    <x v="5"/>
    <s v="B&amp;B LOLU"/>
    <s v="via Ballestra 69"/>
    <x v="5"/>
    <m/>
    <m/>
    <s v="acasadilolu@gmail.com"/>
    <s v="B&amp;B LOLU - GROTTAMMARE"/>
  </r>
  <r>
    <x v="5"/>
    <s v="B&amp;B L'OROLOGIO"/>
    <s v="via dell'Università 5"/>
    <x v="37"/>
    <s v="FERMO"/>
    <m/>
    <s v="remiamg@gmail.com; lorenzoluciani@tin.it"/>
    <s v="B&amp;B L'OROLOGIO - FERMO"/>
  </r>
  <r>
    <x v="5"/>
    <s v="B&amp;B L'ORTO MARINO"/>
    <s v="contrada alvata 24"/>
    <x v="148"/>
    <s v="POTENZA PICENA"/>
    <s v="www.pettorossi.it/ortomarino/"/>
    <s v="ortomarino@gmail.com"/>
    <s v="B&amp;B L'ORTO MARINO - POTENZA PICENA"/>
  </r>
  <r>
    <x v="5"/>
    <s v="B&amp;B L'OSSERVATORIO"/>
    <s v="strada Cerreto 6"/>
    <x v="69"/>
    <s v="loc.Cerreto di Novilara"/>
    <m/>
    <s v="residenzalacanonica@libero.it"/>
    <s v="B&amp;B L'OSSERVATORIO - PESARO"/>
  </r>
  <r>
    <x v="5"/>
    <s v="B&amp;B LOUNGE"/>
    <s v="via Cesare Battisti 105"/>
    <x v="163"/>
    <s v="zona centro"/>
    <s v="www.bblounge.it"/>
    <s v="info@bblounge.it"/>
    <s v="B&amp;B LOUNGE - PORTO SANT'ELPIDIO"/>
  </r>
  <r>
    <x v="5"/>
    <s v="B&amp;B LOVE SUITE NIDO D'AMORE"/>
    <s v="loc. Cantoniera 12"/>
    <x v="174"/>
    <m/>
    <s v="www.lovesuites.it"/>
    <s v="riccibr1@virgilio.it"/>
    <s v="B&amp;B LOVE SUITE NIDO D'AMORE - CARPEGNA"/>
  </r>
  <r>
    <x v="5"/>
    <s v="B&amp;B LUANA"/>
    <s v="via Grazie Fiastra 43/F"/>
    <x v="27"/>
    <s v="Loro Piceno"/>
    <m/>
    <s v="daluana@virgilio.it"/>
    <s v="B&amp;B LUANA - LORO PICENO"/>
  </r>
  <r>
    <x v="5"/>
    <s v="B&amp;B LUCHETTI DANILA"/>
    <s v="via della Badia 2"/>
    <x v="24"/>
    <m/>
    <m/>
    <s v="studioquattro@studioquattromail.it"/>
    <s v="B&amp;B LUCHETTI DANILA - CANTIANO"/>
  </r>
  <r>
    <x v="5"/>
    <s v="B&amp;B LUCHETTI GIAMPIERO"/>
    <s v="via della Repubblica 5"/>
    <x v="206"/>
    <m/>
    <m/>
    <s v="luchettigiampiero@virgilio.it"/>
    <s v="B&amp;B LUCHETTI GIAMPIERO - MOGLIANO"/>
  </r>
  <r>
    <x v="5"/>
    <s v="B&amp;B LUCILLA VILLA"/>
    <s v="via G.Torelli 5"/>
    <x v="69"/>
    <s v="Pesaro"/>
    <s v="www.bnblucillavilla.it"/>
    <s v="mt.pampaloni@gmail.com"/>
    <s v="B&amp;B LUCILLA VILLA - PESARO"/>
  </r>
  <r>
    <x v="5"/>
    <s v="B&amp;B LUCIO ACCIACCAFERRI"/>
    <m/>
    <x v="151"/>
    <s v="FRAZ. PIAGGE"/>
    <m/>
    <m/>
    <s v="B&amp;B LUCIO ACCIACCAFERRI - ASCOLI PICENO"/>
  </r>
  <r>
    <x v="5"/>
    <s v="B&amp;B LUCY"/>
    <s v="via G.Spontini 6"/>
    <x v="69"/>
    <m/>
    <m/>
    <s v="lucia.biondi.86@gmail.com"/>
    <s v="B&amp;B LUCY - PESARO"/>
  </r>
  <r>
    <x v="5"/>
    <s v="B&amp;B LUNA BIANCA DI CIARLONI ROSSANA"/>
    <s v="Via Gualdo  11"/>
    <x v="119"/>
    <s v="Brugnetto"/>
    <s v="www.bblunabianca.it"/>
    <s v="info@bblunabianca.it"/>
    <s v="B&amp;B LUNA BIANCA DI CIARLONI ROSSANA - TRECASTELLI"/>
  </r>
  <r>
    <x v="5"/>
    <s v="B&amp;B LUNA ROSSA"/>
    <s v="Via Fioretti 10"/>
    <x v="148"/>
    <s v="POTENZA PICENA"/>
    <m/>
    <s v="lunarossa_BB@hotmail.it"/>
    <s v="B&amp;B LUNA ROSSA - POTENZA PICENA"/>
  </r>
  <r>
    <x v="5"/>
    <s v="B&amp;B LUPUS IN FABULA"/>
    <s v="Strada Pian dell'Elmo snc"/>
    <x v="121"/>
    <s v="PIAN DELL'ELMO"/>
    <s v="www.lupusinfabula-bed-breakfast.it"/>
    <s v="ale.pagliuca@tin.it"/>
    <s v="B&amp;B LUPUS IN FABULA - APIRO"/>
  </r>
  <r>
    <x v="5"/>
    <s v="B&amp;B L'USIGNOLO"/>
    <s v="via Loreto 244"/>
    <x v="151"/>
    <s v="FRAZIONE VALLI"/>
    <m/>
    <s v="marianna@usignolobb.it"/>
    <s v="B&amp;B L'USIGNOLO - ASCOLI PICENO"/>
  </r>
  <r>
    <x v="5"/>
    <s v="B&amp;B LUZI GRAZIELLA"/>
    <s v="localita' san giorgio 19"/>
    <x v="80"/>
    <s v="URBANIA"/>
    <m/>
    <m/>
    <s v="B&amp;B LUZI GRAZIELLA - URBANIA"/>
  </r>
  <r>
    <x v="5"/>
    <s v="B&amp;B MA IDA"/>
    <s v="Frazione Casaregnano 12"/>
    <x v="65"/>
    <s v="ROCCAFLUVIONE"/>
    <m/>
    <s v="perozzi.v@libero.it; autoper4x4@libero.it"/>
    <s v="B&amp;B MA IDA - ROCCAFLUVIONE"/>
  </r>
  <r>
    <x v="5"/>
    <s v="B&amp;B MACERATA"/>
    <s v="Via 2 agosto 1980 15"/>
    <x v="0"/>
    <s v="MACERATA"/>
    <m/>
    <s v="bbmacerata@gmail.com"/>
    <s v="B&amp;B MACERATA - MACERATA"/>
  </r>
  <r>
    <x v="5"/>
    <s v="B&amp;B MACERATASUBITO"/>
    <s v="via Brigata Macerata 2"/>
    <x v="0"/>
    <s v="MACERATA"/>
    <m/>
    <s v="s.santuccis@libero.it"/>
    <s v="B&amp;B MACERATASUBITO - MACERATA"/>
  </r>
  <r>
    <x v="5"/>
    <s v="B&amp;B MADONNA DEGLI ANGELI"/>
    <s v="STRADA COM.LE MADONNA DEGLI ANGELI 90"/>
    <x v="33"/>
    <s v="BORGO DELLA LUCA"/>
    <s v="www.madonnadegliangeli.it"/>
    <s v="info@madonnadegliangeli.it"/>
    <s v="B&amp;B MADONNA DEGLI ANGELI - FANO"/>
  </r>
  <r>
    <x v="5"/>
    <s v="B&amp;B MAGGIOCIONDOLO"/>
    <s v="Frazione Rocchetta 58"/>
    <x v="21"/>
    <s v="FABRIANO"/>
    <s v="www.maggiociondolo.com"/>
    <s v="bebmaggiociondolo@libero.it"/>
    <s v="B&amp;B MAGGIOCIONDOLO - FABRIANO"/>
  </r>
  <r>
    <x v="5"/>
    <s v="B&amp;B MAIANO"/>
    <s v="via Lunga 10"/>
    <x v="69"/>
    <s v="loc. Candelora"/>
    <m/>
    <s v="lorena.righi@gmail.com"/>
    <s v="B&amp;B MAIANO - PESARO"/>
  </r>
  <r>
    <x v="5"/>
    <s v="B&amp;B MAISON DE CAMPAGNE"/>
    <s v="contrada Salvano 30"/>
    <x v="37"/>
    <m/>
    <m/>
    <s v="gigifratta@gmail.com"/>
    <s v="B&amp;B MAISON DE CAMPAGNE - FERMO"/>
  </r>
  <r>
    <x v="5"/>
    <s v="B&amp;B MAISON d'O"/>
    <s v="via panoramica 1"/>
    <x v="28"/>
    <s v="GABICCE MARE"/>
    <m/>
    <s v="paolamichelacci@michelacci.com"/>
    <s v="B&amp;B MAISON d'O - GABICCE MARE"/>
  </r>
  <r>
    <x v="5"/>
    <s v="B&amp;B MAISON RUA"/>
    <s v="VIA DEI LEGNAIUOLI 4"/>
    <x v="151"/>
    <m/>
    <m/>
    <s v="info@bbmaisonruà.it"/>
    <s v="B&amp;B MAISON RUA - ASCOLI PICENO"/>
  </r>
  <r>
    <x v="5"/>
    <s v="B&amp;B MAMMA GINA"/>
    <s v="cda valle apparignano  16"/>
    <x v="19"/>
    <s v="ACQUAVIVA PICENA"/>
    <s v="www.mammagina.info"/>
    <s v="gina.marchetti@tin.it"/>
    <s v="B&amp;B MAMMA GINA - ACQUAVIVA PICENA"/>
  </r>
  <r>
    <x v="5"/>
    <s v="B&amp;B MAMMAMARIA"/>
    <s v="via del paradiso 9"/>
    <x v="137"/>
    <s v="OSTRA"/>
    <m/>
    <s v="papetti@interfree.it"/>
    <s v="B&amp;B MAMMAMARIA - OSTRA"/>
  </r>
  <r>
    <x v="5"/>
    <s v="B&amp;B MARCHE TOURISM"/>
    <s v="via Don Minzoni (piano 4/5) 31"/>
    <x v="38"/>
    <m/>
    <s v="www.affittacamerelalocomotiva.it"/>
    <s v="lalocomotiva01@tiscali.it"/>
    <s v="B&amp;B MARCHE TOURISM - CHIARAVALLE"/>
  </r>
  <r>
    <x v="5"/>
    <s v="B&amp;B MARCHE TOURISM"/>
    <s v="Via Santa Vittoria 33"/>
    <x v="47"/>
    <s v="PORTO SAN GIORGIO"/>
    <s v="www.marche-tourism.com"/>
    <s v="prenotazioni@marche-tourism.com"/>
    <s v="B&amp;B MARCHE TOURISM - PORTO SAN GIORGIO"/>
  </r>
  <r>
    <x v="5"/>
    <s v="B&amp;B MARCONI MARISA"/>
    <s v="via salaria 92"/>
    <x v="168"/>
    <s v="CASTEL DI LAMA"/>
    <m/>
    <s v="info@marisamarconi.com"/>
    <s v="B&amp;B MARCONI MARISA - CASTEL DI LAMA"/>
  </r>
  <r>
    <x v="5"/>
    <s v="B&amp;B MARE E MONTI"/>
    <s v="VIA SAN FRANCESCO  20"/>
    <x v="30"/>
    <m/>
    <s v="www.bbmareemonti.it"/>
    <s v="info@bbmareemonti.it"/>
    <s v="B&amp;B MARE E MONTI - OFFIDA"/>
  </r>
  <r>
    <x v="5"/>
    <s v="B&amp;B MARE E MONTI"/>
    <s v="contrada agelli 52"/>
    <x v="51"/>
    <s v="PETRITOLI"/>
    <s v="www.mareemontimarche.com"/>
    <s v="info@mareemontimarche.com"/>
    <s v="B&amp;B MARE E MONTI - PETRITOLI"/>
  </r>
  <r>
    <x v="5"/>
    <s v="B&amp;B MAREMONTI"/>
    <s v="Via Picena Superiore 17"/>
    <x v="65"/>
    <s v="ROCCAFLUVIONE"/>
    <s v="www.roccafluvione.net"/>
    <s v="bedandbreakfast@roccafluvione.net"/>
    <s v="B&amp;B MAREMONTI - ROCCAFLUVIONE"/>
  </r>
  <r>
    <x v="5"/>
    <s v="B&amp;B MAREMURO'"/>
    <s v="contrada Marina 47"/>
    <x v="55"/>
    <s v="CAMPOFILONE"/>
    <s v="www.maremuro.it"/>
    <s v="voinotna@libero.it"/>
    <s v="B&amp;B MAREMURO' - CAMPOFILONE"/>
  </r>
  <r>
    <x v="5"/>
    <s v="B&amp;B MAREVISTA"/>
    <s v="viale romagna 1/A"/>
    <x v="33"/>
    <s v="FANO"/>
    <s v="www.marevista.it"/>
    <s v="a_monni@yahoo.it"/>
    <s v="B&amp;B MAREVISTA - FANO"/>
  </r>
  <r>
    <x v="5"/>
    <s v="B&amp;B MARGHERITA"/>
    <s v="Strada pirano 21"/>
    <x v="57"/>
    <s v="TAVULLIA"/>
    <s v="www.bb-margherita.net"/>
    <s v="info@bb-margherita.net"/>
    <s v="B&amp;B MARGHERITA - TAVULLIA"/>
  </r>
  <r>
    <x v="5"/>
    <s v="B&amp;B MARGUE'"/>
    <s v="via San Francesco d'Assisi 48"/>
    <x v="163"/>
    <m/>
    <m/>
    <s v="info@bbmargue.it"/>
    <s v="B&amp;B MARGUE' - PORTO SANT'ELPIDIO"/>
  </r>
  <r>
    <x v="5"/>
    <s v="B&amp;B MARIA GIUSEPPINA MASTORE"/>
    <s v="via San Marino 19"/>
    <x v="1"/>
    <m/>
    <m/>
    <s v="pinamastore@gmail.com"/>
    <s v="B&amp;B MARIA GIUSEPPINA MASTORE - URBINO"/>
  </r>
  <r>
    <x v="5"/>
    <s v="B&amp;B MARIA POLISIA CIABATTONI"/>
    <s v="piazza pretare 9"/>
    <x v="157"/>
    <s v="ARQUATA DEL TRONTO"/>
    <s v="arquatadeltronto.com"/>
    <s v="villacaponi@libero.it"/>
    <s v="B&amp;B MARIA POLISIA CIABATTONI - ARQUATA DEL TRONTO"/>
  </r>
  <r>
    <x v="5"/>
    <s v="B&amp;B MARIA ROSA SCICOLONE"/>
    <s v="via G.Panelli 3"/>
    <x v="19"/>
    <s v="ACQUAVIVA PICENA"/>
    <s v="www.bbmari.it"/>
    <s v="maribb@gmail.com"/>
    <s v="B&amp;B MARIA ROSA SCICOLONE - ACQUAVIVA PICENA"/>
  </r>
  <r>
    <x v="5"/>
    <s v="B&amp;B MARIABELLA DI CATRARO FRANCESCO"/>
    <s v="Via Alessandro Manzoni, 28 28"/>
    <x v="15"/>
    <s v="Villa Musone"/>
    <s v="http://bedandbreakfastmariabella.weebly.com"/>
    <s v="bebmariabella@lbero.it"/>
    <s v="B&amp;B MARIABELLA DI CATRARO FRANCESCO - LORETO"/>
  </r>
  <r>
    <x v="5"/>
    <s v="B&amp;B MARINA SPADINI"/>
    <s v="A. BATTELLI 10"/>
    <x v="212"/>
    <m/>
    <s v="www.bbmontegrimanoterme.it"/>
    <s v="spadini@bbmontegrimanoterme.it"/>
    <s v="B&amp;B MARINA SPADINI - MONTE GRIMANO TERME"/>
  </r>
  <r>
    <x v="5"/>
    <s v="B&amp;B MARTELLONI CESARE"/>
    <s v="via pianacce 67"/>
    <x v="86"/>
    <s v="ACQUALAGNA"/>
    <s v="www.lalocandadellabbazia.it"/>
    <s v="info@lalocandadellabbazia.it"/>
    <s v="B&amp;B MARTELLONI CESARE - ACQUALAGNA"/>
  </r>
  <r>
    <x v="5"/>
    <s v="B&amp;B MATRIOSKA"/>
    <s v="via Andrea De Gabrielli 49"/>
    <x v="33"/>
    <s v="città"/>
    <m/>
    <s v="matrioska.italy@gmail.com"/>
    <s v="B&amp;B MATRIOSKA - FANO"/>
  </r>
  <r>
    <x v="5"/>
    <s v="B&amp;B MATTIA MERCURI"/>
    <s v="via Castellara 14/3"/>
    <x v="17"/>
    <m/>
    <m/>
    <s v="rosatilula@gmail.it"/>
    <s v="B&amp;B MATTIA MERCURI - CIVITANOVA MARCHE"/>
  </r>
  <r>
    <x v="5"/>
    <s v="B&amp;B MAURIZIO BALDUCCI"/>
    <s v="via Don Luigi Sturzo 7"/>
    <x v="76"/>
    <m/>
    <m/>
    <s v="casabalduccimercatello@gmail.com"/>
    <s v="B&amp;B MAURIZIO BALDUCCI - MERCATELLO SUL METAURO"/>
  </r>
  <r>
    <x v="5"/>
    <s v="B&amp;B MELLON"/>
    <s v="Via Salaria Inferiore SNC"/>
    <x v="59"/>
    <s v="VILLA SAN GIUSEPPE"/>
    <s v="www.bebmellon.com"/>
    <s v="bebmellon@gmail.com"/>
    <s v="B&amp;B MELLON - COLLI DEL TRONTO"/>
  </r>
  <r>
    <x v="5"/>
    <s v="B&amp;B MERCURI SILVIA"/>
    <s v="DELLE PRIMULE 43"/>
    <x v="151"/>
    <m/>
    <m/>
    <s v="info@bbilgattoelavolpe.it"/>
    <s v="B&amp;B MERCURI SILVIA - ASCOLI PICENO"/>
  </r>
  <r>
    <x v="5"/>
    <s v="B&amp;B MERISTELLA"/>
    <s v="strada nazionale adriatica sud 1"/>
    <x v="33"/>
    <s v="FANO"/>
    <m/>
    <s v="ligima@infinito.it"/>
    <s v="B&amp;B MERISTELLA - FANO"/>
  </r>
  <r>
    <x v="5"/>
    <s v="B&amp;B MERY'S HOUSE"/>
    <s v="viale Romagna 28"/>
    <x v="33"/>
    <m/>
    <s v="www.meyhouse.it"/>
    <s v="maria.arias@hotmail.it"/>
    <s v="B&amp;B MERY'S HOUSE - FANO"/>
  </r>
  <r>
    <x v="5"/>
    <s v="B&amp;B MEZZOBAIOCCO"/>
    <s v="Via San Rocco  17"/>
    <x v="2"/>
    <s v="SAN SEVERINO MARCHE"/>
    <m/>
    <s v="mezzobaioccosanseverino@gmail.com"/>
    <s v="B&amp;B MEZZOBAIOCCO - SAN SEVERINO MARCHE"/>
  </r>
  <r>
    <x v="5"/>
    <s v="B&amp;B MILLE UNA NOTTE"/>
    <s v="Contrada San Michele 12"/>
    <x v="97"/>
    <s v="MONTE GIBERTO"/>
    <m/>
    <s v="roberta.evandri@virgilio.it"/>
    <s v="B&amp;B MILLE UNA NOTTE - MONTE GIBERTO"/>
  </r>
  <r>
    <x v="5"/>
    <s v="B&amp;B MILLEFIORI"/>
    <s v="via N.Biagiola 4"/>
    <x v="56"/>
    <s v="RECANATI"/>
    <s v="http://millefiori-recanati.blogspot.com/"/>
    <s v="millefiorirecanati@email.it"/>
    <s v="B&amp;B MILLEFIORI - RECANATI"/>
  </r>
  <r>
    <x v="5"/>
    <s v="B&amp;B MILU'"/>
    <s v="via Giacomo Leopardi 31"/>
    <x v="17"/>
    <s v="CIVITANOVA MARCHE"/>
    <s v="www.bbmilu.it"/>
    <s v="bbmilu@gmail.it"/>
    <s v="B&amp;B MILU' - CIVITANOVA MARCHE"/>
  </r>
  <r>
    <x v="5"/>
    <s v="B&amp;B MIMI' E COCO'"/>
    <s v="via Umberto Giordano 9"/>
    <x v="151"/>
    <s v="fraz.ne Monterocco"/>
    <s v="www.mimiecocobb.it"/>
    <s v="mimi@mimiecocobb.it"/>
    <s v="B&amp;B MIMI' E COCO' - ASCOLI PICENO"/>
  </r>
  <r>
    <x v="5"/>
    <s v="B&amp;B MINIERA - CASA ROSSA"/>
    <s v="via fornace 1"/>
    <x v="1"/>
    <s v="URBINO"/>
    <m/>
    <s v="egisto@delbianco.de"/>
    <s v="B&amp;B MINIERA - CASA ROSSA - URBINO"/>
  </r>
  <r>
    <x v="5"/>
    <s v="B&amp;B MISTRETTA ROSSANA"/>
    <s v="frazione san silvestro strada squartagallo 131"/>
    <x v="16"/>
    <s v="SENIGALLIA"/>
    <m/>
    <s v="rossanamistretta@hotmail.it"/>
    <s v="B&amp;B MISTRETTA ROSSANA - SENIGALLIA"/>
  </r>
  <r>
    <x v="5"/>
    <s v="B&amp;B MOCHI EDMONDO ADOLFO FEDERICO"/>
    <s v="via dante alighieri 41"/>
    <x v="31"/>
    <s v="APECCHIO"/>
    <m/>
    <s v="elenamochi@hotmail.it"/>
    <s v="B&amp;B MOCHI EDMONDO ADOLFO FEDERICO - APECCHIO"/>
  </r>
  <r>
    <x v="5"/>
    <s v="B&amp;B MONSERCHIO"/>
    <s v="PIGNO MONTE MARTELLO  52"/>
    <x v="75"/>
    <m/>
    <m/>
    <s v="k.strian@esaway.it"/>
    <s v="B&amp;B MONSERCHIO - CAGLI"/>
  </r>
  <r>
    <x v="5"/>
    <s v="B&amp;B MONTANARI MARINA"/>
    <s v="PIAZZA SAN MARTINO 14"/>
    <x v="64"/>
    <s v="MONTALFOGLIO"/>
    <m/>
    <s v="info@locandasanmartino.it;"/>
    <s v="B&amp;B MONTANARI MARINA - SAN LORENZO IN CAMPO"/>
  </r>
  <r>
    <x v="5"/>
    <s v="B&amp;B MONTANINI ROBERTO"/>
    <s v="CONTRADA SAN MARTINO 95"/>
    <x v="37"/>
    <s v="FERMO"/>
    <m/>
    <m/>
    <s v="B&amp;B MONTANINI ROBERTO - FERMO"/>
  </r>
  <r>
    <x v="5"/>
    <s v="B&amp;B MONTE DELLE ALLODOLE"/>
    <s v="via Ca' Bergamo 6"/>
    <x v="1"/>
    <m/>
    <m/>
    <s v="magi.marisa@libero.it"/>
    <s v="B&amp;B MONTE DELLE ALLODOLE - URBINO"/>
  </r>
  <r>
    <x v="5"/>
    <s v="B&amp;B MONTE GUSCIO"/>
    <m/>
    <x v="3"/>
    <s v="RIPATRANSONE"/>
    <m/>
    <s v="cazippi@it"/>
    <s v="B&amp;B MONTE GUSCIO - RIPATRANSONE"/>
  </r>
  <r>
    <x v="5"/>
    <s v="B&amp;B MONTE MARE di SAURO CORINALDESI"/>
    <s v="frazione poggio 1a"/>
    <x v="10"/>
    <s v="ANCONA"/>
    <m/>
    <s v="emanuele.agostinelli@fastnet.it"/>
    <s v="B&amp;B MONTE MARE di SAURO CORINALDESI - ANCONA"/>
  </r>
  <r>
    <x v="5"/>
    <s v="B&amp;B MONTE SAN PIETRO"/>
    <m/>
    <x v="80"/>
    <s v="Monte San Pietro"/>
    <s v="www.bbmontesanpietro.it"/>
    <s v="info@bbmontesanpietro.it"/>
    <s v="B&amp;B MONTE SAN PIETRO - URBANIA"/>
  </r>
  <r>
    <x v="5"/>
    <s v="B&amp;B MONTECHIARO DI LENTI RITA"/>
    <s v="via Valdivico snc"/>
    <x v="206"/>
    <m/>
    <s v="www.trattoriamontechiaro.it"/>
    <s v="info@trattoriamontechiaro.it"/>
    <s v="B&amp;B MONTECHIARO DI LENTI RITA - MOGLIANO"/>
  </r>
  <r>
    <x v="5"/>
    <s v="B&amp;B MONTECOSARO"/>
    <s v="via Monte San Michele  3"/>
    <x v="170"/>
    <s v="Montecosaro Alto"/>
    <s v="www.bbmontecosaro.it"/>
    <s v="andrea-quattrini@libero.it"/>
    <s v="B&amp;B MONTECOSARO - MONTECOSARO"/>
  </r>
  <r>
    <x v="5"/>
    <s v="B&amp;B MONTECUCCO"/>
    <s v="Montecucco 15"/>
    <x v="220"/>
    <m/>
    <m/>
    <s v="sabi.roberti@gmail.com"/>
    <s v="B&amp;B MONTECUCCO - SAN GIORGIO DI PESARO"/>
  </r>
  <r>
    <x v="5"/>
    <s v="B&amp;B MONTEGALLO"/>
    <s v="VIA MONTEGALLO 11"/>
    <x v="44"/>
    <s v="SAN BIAGIO"/>
    <s v="www.bbmontegallo.com"/>
    <s v="bbmontegallo@gmail.com"/>
    <s v="B&amp;B MONTEGALLO - OSIMO"/>
  </r>
  <r>
    <x v="5"/>
    <s v="B&amp;B MONTELUPONE di ANTONIO BEDINI"/>
    <s v="via Regina Margherita 8"/>
    <x v="99"/>
    <s v="MONTELUPONE"/>
    <s v="www.bedandbreakfast.it"/>
    <s v="mister.bedini@libero.it"/>
    <s v="B&amp;B MONTELUPONE di ANTONIO BEDINI - MONTELUPONE"/>
  </r>
  <r>
    <x v="5"/>
    <s v="B&amp;B MONTEROCCO"/>
    <s v="via Monterocco 58"/>
    <x v="151"/>
    <s v="ASCOLI PICENO"/>
    <s v="www.bbmonterocco.it"/>
    <s v="info@bbmonterocco.it"/>
    <s v="B&amp;B MONTEROCCO - ASCOLI PICENO"/>
  </r>
  <r>
    <x v="5"/>
    <s v="B&amp;B MONTESSORI"/>
    <s v="via Montessori 5"/>
    <x v="169"/>
    <m/>
    <m/>
    <s v="alessio.cupido@hotmail.it"/>
    <s v="B&amp;B MONTESSORI - CASTELFIDARDO"/>
  </r>
  <r>
    <x v="5"/>
    <s v="B&amp;B MORETTI GIUSEPPE"/>
    <s v="via Pian del Vescovo 16"/>
    <x v="75"/>
    <m/>
    <m/>
    <s v="giusep.moretti@gmail.com"/>
    <s v="B&amp;B MORETTI GIUSEPPE - CAGLI"/>
  </r>
  <r>
    <x v="5"/>
    <s v="B&amp;B MOSCA BIANCA"/>
    <s v="fraz.Castel Trosino 9"/>
    <x v="151"/>
    <m/>
    <m/>
    <s v="info@bebmoscabianca.it"/>
    <s v="B&amp;B MOSCA BIANCA - ASCOLI PICENO"/>
  </r>
  <r>
    <x v="5"/>
    <s v="B&amp;B MOZZORECCHIA MARINO"/>
    <s v="via Paludi 409"/>
    <x v="37"/>
    <m/>
    <m/>
    <s v="info@mariomozzorecchia.it"/>
    <s v="B&amp;B MOZZORECCHIA MARINO - FERMO"/>
  </r>
  <r>
    <x v="5"/>
    <s v="B&amp;B MOZZORECCHIA MARIO"/>
    <s v="via Paludi 409"/>
    <x v="37"/>
    <m/>
    <m/>
    <s v="info@mariomozzorecchia.it"/>
    <s v="B&amp;B MOZZORECCHIA MARIO - FERMO"/>
  </r>
  <r>
    <x v="5"/>
    <s v="B&amp;B MULINO BARCHIO di ENZO FAZIO"/>
    <s v="via Barchio 3"/>
    <x v="161"/>
    <s v="CUPRAMONTANA"/>
    <s v="www.barchio.it"/>
    <s v="info@barchio.it"/>
    <s v="B&amp;B MULINO BARCHIO di ENZO FAZIO - CUPRAMONTANA"/>
  </r>
  <r>
    <x v="5"/>
    <s v="B&amp;B MULINO BARCHIO di PATRICK HOULIHAN"/>
    <s v="via Barchio 3"/>
    <x v="161"/>
    <s v="CUPRAMONTANA"/>
    <s v="www.barchio.it"/>
    <s v="info@barchio.it"/>
    <s v="B&amp;B MULINO BARCHIO di PATRICK HOULIHAN - CUPRAMONTANA"/>
  </r>
  <r>
    <x v="5"/>
    <s v="B&amp;B MULINO BIANCO"/>
    <s v="via Serronchia 1"/>
    <x v="221"/>
    <s v="Serronchia"/>
    <s v="https://www.mulinobianco.nl"/>
    <s v="info@mulinobianco.nl"/>
    <s v="B&amp;B MULINO BIANCO - POGGIO SAN VICINO"/>
  </r>
  <r>
    <x v="5"/>
    <s v="B&amp;B MULINO DELLA RICAVATA"/>
    <s v="via Porta Celle  5"/>
    <x v="80"/>
    <s v="MOLINO ARCAVATA"/>
    <s v="www.mulinodellaricavata.com"/>
    <s v="info@mulinodellaricavata.com"/>
    <s v="B&amp;B MULINO DELLA RICAVATA - URBANIA"/>
  </r>
  <r>
    <x v="5"/>
    <s v="B&amp;B NARDONI"/>
    <s v="via Palazzi 26"/>
    <x v="199"/>
    <m/>
    <s v="www.bbnardoni.it"/>
    <s v="info@bbnardoni.it"/>
    <s v="B&amp;B NARDONI - SPINETOLI"/>
  </r>
  <r>
    <x v="5"/>
    <s v="B&amp;B NATURE COLORS"/>
    <s v="via vasco da gama 100"/>
    <x v="17"/>
    <s v="FONTESPINA"/>
    <s v="http://www.naturecolorsbedandbreakfast.com/"/>
    <s v="naturecolorsbb@gmail.com"/>
    <s v="B&amp;B NATURE COLORS - CIVITANOVA MARCHE"/>
  </r>
  <r>
    <x v="5"/>
    <s v="B&amp;B NEPI MARIA ASSUNTA"/>
    <s v="frazione santa maria 115"/>
    <x v="35"/>
    <s v="ACQUASANTA TERME"/>
    <m/>
    <s v="guaiani@itol.it"/>
    <s v="B&amp;B NEPI MARIA ASSUNTA - ACQUASANTA TERME"/>
  </r>
  <r>
    <x v="5"/>
    <s v="B&amp;B NIDO DELLE RONDINI"/>
    <s v="via Benedetto da Cingoli 1"/>
    <x v="26"/>
    <s v="CINGOLI"/>
    <m/>
    <s v="ilnidodellerondini@gmail.com"/>
    <s v="B&amp;B NIDO DELLE RONDINI - CINGOLI"/>
  </r>
  <r>
    <x v="5"/>
    <s v="B&amp;B NIDO SULLE COLLINE"/>
    <s v="via San Francesco 2"/>
    <x v="119"/>
    <m/>
    <m/>
    <s v="info@nidosullecolline.eu"/>
    <s v="B&amp;B NIDO SULLE COLLINE - TRECASTELLI"/>
  </r>
  <r>
    <x v="5"/>
    <s v="B&amp;B NONNA LINDA"/>
    <s v="via Angelo Battelli 29"/>
    <x v="175"/>
    <s v="MONTE CERIGNONE"/>
    <m/>
    <m/>
    <s v="B&amp;B NONNA LINDA - MONTE CERIGNONE"/>
  </r>
  <r>
    <x v="5"/>
    <s v="B&amp;B NONNA LUISA"/>
    <s v="via Roma 6"/>
    <x v="43"/>
    <m/>
    <s v="www.bbnonnaluisa.it"/>
    <s v="bbnonnaluisa@libero.it"/>
    <s v="B&amp;B NONNA LUISA - MONTEFALCONE APPENNINO"/>
  </r>
  <r>
    <x v="5"/>
    <s v="B&amp;B NONNA PIA"/>
    <s v="frazione Favalanciata 5"/>
    <x v="35"/>
    <s v="ACQUASANTA TERME"/>
    <s v="www.nonnapia.it"/>
    <s v="info@nonnapia.it"/>
    <s v="B&amp;B NONNA PIA - ACQUASANTA TERME"/>
  </r>
  <r>
    <x v="5"/>
    <s v="B&amp;B NONNA RINA"/>
    <s v="via B. Tacchi 9"/>
    <x v="80"/>
    <m/>
    <m/>
    <s v="ny75nina@libero.it"/>
    <s v="B&amp;B NONNA RINA - URBANIA"/>
  </r>
  <r>
    <x v="5"/>
    <s v="B&amp;B NONNA RINA"/>
    <s v="via Mazzini 38"/>
    <x v="16"/>
    <s v="loc. Montignano"/>
    <s v="www.nonnarina.altervista.org"/>
    <s v="buccisabrina@virgilio.it"/>
    <s v="B&amp;B NONNA RINA - SENIGALLIA"/>
  </r>
  <r>
    <x v="5"/>
    <s v="B&amp;B NONNA VELINA"/>
    <s v="via montefeltresca 121"/>
    <x v="184"/>
    <s v="PIETRARUBBIA"/>
    <m/>
    <m/>
    <s v="B&amp;B NONNA VELINA - PIETRARUBBIA"/>
  </r>
  <r>
    <x v="5"/>
    <s v="B&amp;B NONNA VERA"/>
    <s v="via Parrocchiale 42"/>
    <x v="57"/>
    <s v="Belvedere Fogliense"/>
    <m/>
    <s v="lucygiunta@hotmail.it"/>
    <s v="B&amp;B NONNA VERA - TAVULLIA"/>
  </r>
  <r>
    <x v="5"/>
    <s v="B&amp;B NONNO DINO"/>
    <s v="via Sassari 31"/>
    <x v="151"/>
    <s v="ASCOLI PICENO"/>
    <m/>
    <s v="nonnodinoaffittacamere@gmail.com"/>
    <s v="B&amp;B NONNO DINO - ASCOLI PICENO"/>
  </r>
  <r>
    <x v="5"/>
    <s v="B&amp;B NORMA"/>
    <s v="contrada piana santi 89"/>
    <x v="73"/>
    <s v="MASSIGNANO"/>
    <m/>
    <s v="norma.steca@alice.it"/>
    <s v="B&amp;B NORMA - MASSIGNANO"/>
  </r>
  <r>
    <x v="5"/>
    <s v="B&amp;B NORMA"/>
    <s v="corso xx settembre 10"/>
    <x v="120"/>
    <s v="MONTEFIORE DELL' ASO"/>
    <m/>
    <s v="norma.steca@alice.it"/>
    <s v="B&amp;B NORMA - MONTEFIORE DELL'ASO"/>
  </r>
  <r>
    <x v="5"/>
    <s v="B&amp;B NOTTEDI di FRANCESCO PIRANI"/>
    <s v="via Molino Guarnieri 27"/>
    <x v="44"/>
    <s v="OSIMO"/>
    <s v="www.bbnottedi.it"/>
    <s v="anna@bbnottedi.it"/>
    <s v="B&amp;B NOTTEDI di FRANCESCO PIRANI - OSIMO"/>
  </r>
  <r>
    <x v="5"/>
    <s v="B&amp;B NOTTI A PESARO"/>
    <s v="VIA DELLA NEVIERA 10"/>
    <x v="69"/>
    <s v="PESARO"/>
    <m/>
    <s v="nottiapesaro@gmail.com"/>
    <s v="B&amp;B NOTTI A PESARO - PESARO"/>
  </r>
  <r>
    <x v="5"/>
    <s v="B&amp;B NUBICUCULIA"/>
    <s v="via dei pini 20"/>
    <x v="9"/>
    <s v="NUMANA"/>
    <m/>
    <s v="nubicuculiabeb@hotmail.com"/>
    <s v="B&amp;B NUBICUCULIA - NUMANA"/>
  </r>
  <r>
    <x v="5"/>
    <s v="B&amp;B NUOVA LOGGIA"/>
    <s v="via Serraloggia 151"/>
    <x v="21"/>
    <s v="FABRIANO"/>
    <s v="www.bblelogge.it"/>
    <s v="nuovaloggia@gmail.com"/>
    <s v="B&amp;B NUOVA LOGGIA - FABRIANO"/>
  </r>
  <r>
    <x v="5"/>
    <s v="B&amp;B OASI"/>
    <s v="via Torquato Tasso 119"/>
    <x v="111"/>
    <s v="loc. Castellano"/>
    <s v="http://www.bedbreakfastoasi.joomlafree.it"/>
    <s v="bboasitizianaciucani@gmail.com"/>
    <s v="B&amp;B OASI - SANT'ELPIDIO A MARE"/>
  </r>
  <r>
    <x v="5"/>
    <s v="B&amp;B OASI 83"/>
    <s v="via Sabotino 83"/>
    <x v="12"/>
    <m/>
    <s v="www.oasi83.it"/>
    <s v="info@oasi83.it"/>
    <s v="B&amp;B OASI 83 - SAN BENEDETTO DEL TRONTO"/>
  </r>
  <r>
    <x v="5"/>
    <s v="B&amp;B OCCHI DI MARE"/>
    <s v="via Nicola Copernico 34"/>
    <x v="12"/>
    <s v="san benedetto del tronto"/>
    <m/>
    <s v="bbocchidimare@gmail.com"/>
    <s v="B&amp;B OCCHI DI MARE - SAN BENEDETTO DEL TRONTO"/>
  </r>
  <r>
    <x v="5"/>
    <s v="B&amp;B OEHL GLORIA WILHELMINE"/>
    <s v="via Abbazia Rosara 131"/>
    <x v="151"/>
    <s v="frazione Rosara"/>
    <m/>
    <m/>
    <s v="B&amp;B OEHL GLORIA WILHELMINE - ASCOLI PICENO"/>
  </r>
  <r>
    <x v="5"/>
    <s v="B&amp;B ON THE BEACH"/>
    <s v="via dei Laureati 115"/>
    <x v="12"/>
    <s v="PORTO D' ASCOLI"/>
    <m/>
    <s v="valerioisopi@gmail.com"/>
    <s v="B&amp;B ON THE BEACH - SAN BENEDETTO DEL TRONTO"/>
  </r>
  <r>
    <x v="5"/>
    <s v="B&amp;B ONDA BLU"/>
    <s v="via Don Minzoni 45"/>
    <x v="163"/>
    <s v="PORTO SANT' ELPIDIO"/>
    <s v="www.bedandbreakfastondablu.it"/>
    <s v="info@bedandbreakfastondablu.it"/>
    <s v="B&amp;B ONDA BLU - PORTO SANT'ELPIDIO"/>
  </r>
  <r>
    <x v="5"/>
    <s v="B&amp;B ORCHIDEA"/>
    <s v="via Tasso 11"/>
    <x v="17"/>
    <s v="centro"/>
    <s v="www.bandbcivitanovamarche.it"/>
    <s v="orchideabandb@gmail.com"/>
    <s v="B&amp;B ORCHIDEA - CIVITANOVA MARCHE"/>
  </r>
  <r>
    <x v="5"/>
    <s v="B&amp;B ORCHIDEA HOUSE"/>
    <s v="via Tasso 9"/>
    <x v="17"/>
    <m/>
    <s v="orchideacivitanova.wix.com/orchideahouse"/>
    <s v="orchideahousecivitanova@gmail.com"/>
    <s v="B&amp;B ORCHIDEA HOUSE - CIVITANOVA MARCHE"/>
  </r>
  <r>
    <x v="5"/>
    <s v="B&amp;B ORMEROD JACQUELINE"/>
    <s v="loc.Campo di Bove 2/a"/>
    <x v="26"/>
    <s v="CAMPO DI BOVE"/>
    <s v="info@lemarchelettings.it"/>
    <m/>
    <s v="B&amp;B ORMEROD JACQUELINE - CINGOLI"/>
  </r>
  <r>
    <x v="5"/>
    <s v="B&amp;B ORMEROD THOMAS JEREMY"/>
    <s v="loc.Campo di Bove 2"/>
    <x v="26"/>
    <s v="CAMPO DI BOVE"/>
    <m/>
    <s v="info@lemarchelettings.it"/>
    <s v="B&amp;B ORMEROD THOMAS JEREMY - CINGOLI"/>
  </r>
  <r>
    <x v="5"/>
    <s v="B&amp;B ORSINI ELISABETTA"/>
    <s v="via Vicolo Brandi  142B"/>
    <x v="157"/>
    <s v="Trisungo"/>
    <s v="www.bbtrisungo.it"/>
    <s v="orsini.el@libero.it"/>
    <s v="B&amp;B ORSINI ELISABETTA - ARQUATA DEL TRONTO"/>
  </r>
  <r>
    <x v="5"/>
    <s v="B&amp;B OSPITI"/>
    <s v="via Bruno Buozzi 47/a"/>
    <x v="11"/>
    <m/>
    <m/>
    <m/>
    <s v="B&amp;B OSPITI - SARNANO"/>
  </r>
  <r>
    <x v="5"/>
    <s v="B&amp;B OSTRA CHE BELLO"/>
    <s v="via Ringhiera 10"/>
    <x v="137"/>
    <m/>
    <s v="www.ostrachebello.com"/>
    <s v="info@ostrachebello.com"/>
    <s v="B&amp;B OSTRA CHE BELLO - OSTRA"/>
  </r>
  <r>
    <x v="5"/>
    <s v="B&amp;B OTTAVIANELLI CARMEN"/>
    <s v="via B. Biagetti 9"/>
    <x v="23"/>
    <m/>
    <m/>
    <m/>
    <s v="B&amp;B OTTAVIANELLI CARMEN - PORTO RECANATI"/>
  </r>
  <r>
    <x v="5"/>
    <s v="B&amp;B PACI SANDRO"/>
    <s v="via del galletto 12"/>
    <x v="167"/>
    <s v="CAMERANO"/>
    <m/>
    <s v="paci.sandro@alice.it"/>
    <s v="B&amp;B PACI SANDRO - CAMERANO"/>
  </r>
  <r>
    <x v="5"/>
    <s v="B&amp;B PAGLIA E FIENO"/>
    <s v="via del Molino 19"/>
    <x v="216"/>
    <s v="Abbadia di Fiastra"/>
    <m/>
    <s v="abbadiadifiastra@gmail.com"/>
    <s v="B&amp;B PAGLIA E FIENO - PETRIOLO"/>
  </r>
  <r>
    <x v="5"/>
    <s v="B&amp;B PALADINI ROBERTO"/>
    <s v="via Bencivenne Paganucci 23"/>
    <x v="75"/>
    <s v="CAGLI"/>
    <m/>
    <s v="robertopaladini56@gmail.com"/>
    <s v="B&amp;B PALADINI ROBERTO - CAGLI"/>
  </r>
  <r>
    <x v="5"/>
    <s v="B&amp;B PALAZZO BOSCARETO"/>
    <s v="Via N. Boscareto 4"/>
    <x v="60"/>
    <s v="CORINALDO"/>
    <s v="www.palazzoboscareto.com"/>
    <s v="info@palazzoboscareto.com"/>
    <s v="B&amp;B PALAZZO BOSCARETO - CORINALDO"/>
  </r>
  <r>
    <x v="5"/>
    <s v="B&amp;B PALAZZO DALLA CASAPICCOLA"/>
    <s v="piazzale Gioberti 2"/>
    <x v="56"/>
    <s v="RECANATI"/>
    <s v="www.palazzodallacasapiccola.it"/>
    <s v="am.palaz@palazzodallacasapiccola.it"/>
    <s v="B&amp;B PALAZZO DALLA CASAPICCOLA - RECANATI"/>
  </r>
  <r>
    <x v="5"/>
    <s v="B&amp;B PALAZZO DEL PODESTA'"/>
    <s v="via G. Garibaldi 63"/>
    <x v="118"/>
    <m/>
    <s v="www.bebpalazzodelpodesta.altervista.org"/>
    <s v="federici.ico@gmail.com; federici.ico@libero.it"/>
    <s v="B&amp;B PALAZZO DEL PODESTA' - SERRA DE' CONTI"/>
  </r>
  <r>
    <x v="5"/>
    <s v="B&amp;B PALAZZO FASSITELLI"/>
    <s v="piazza umberto I 5"/>
    <x v="105"/>
    <s v="COSSIGNANO"/>
    <s v="www.palazzofassitelli.com"/>
    <s v="info@palazzofassitelli.com"/>
    <s v="B&amp;B PALAZZO FASSITELLI - COSSIGNANO"/>
  </r>
  <r>
    <x v="5"/>
    <s v="B&amp;B PALAZZO MIGLIANI"/>
    <s v="via dei Bonaccorsi  11"/>
    <x v="151"/>
    <s v="Ascoli Piceno"/>
    <s v="www.palazzomigliani.it"/>
    <s v="valerionovelli.ap@gmail.com"/>
    <s v="B&amp;B PALAZZO MIGLIANI - ASCOLI PICENO"/>
  </r>
  <r>
    <x v="5"/>
    <s v="B&amp;B PALAZZO MUTI"/>
    <s v="frazione Mezzanotte 5"/>
    <x v="91"/>
    <m/>
    <s v="www.palazzomuti.it"/>
    <s v="info@palazzomuti.it"/>
    <s v="B&amp;B PALAZZO MUTI - PERGOLA"/>
  </r>
  <r>
    <x v="5"/>
    <s v="B&amp;B PALAZZO NICOLETTI BALLATI BONAFFINI"/>
    <s v="corso serpente aureo 58"/>
    <x v="30"/>
    <s v="OFFIDA"/>
    <s v="www.baronedellolmo.com"/>
    <s v="info@baronedellolmo.it"/>
    <s v="B&amp;B PALAZZO NICOLETTI BALLATI BONAFFINI - OFFIDA"/>
  </r>
  <r>
    <x v="5"/>
    <s v="B&amp;B PALAZZO ROMANI ADAMI"/>
    <s v="corso Cavour 94"/>
    <x v="37"/>
    <s v="FERMO"/>
    <s v="www.palazzoromaniadami.com"/>
    <s v="info@palazzoromaniadami.com"/>
    <s v="B&amp;B PALAZZO ROMANI ADAMI - FERMO"/>
  </r>
  <r>
    <x v="5"/>
    <s v="B&amp;B PALAZZO RUFFINI"/>
    <s v="via Roma 2"/>
    <x v="139"/>
    <s v="TREIA"/>
    <m/>
    <m/>
    <s v="B&amp;B PALAZZO RUFFINI - TREIA"/>
  </r>
  <r>
    <x v="5"/>
    <s v="B&amp;B PALME IN RIVIERA"/>
    <s v="via S. Formentini 74"/>
    <x v="12"/>
    <s v="SAN BENEDETTO DEL TRONTO"/>
    <s v="www.chartaria.it"/>
    <s v="info@chartaria.it"/>
    <s v="B&amp;B PALME IN RIVIERA - SAN BENEDETTO DEL TRONTO"/>
  </r>
  <r>
    <x v="5"/>
    <s v="B&amp;B PALOMBA"/>
    <s v="località Palombare 2"/>
    <x v="42"/>
    <s v="loc.Palombare"/>
    <s v="www.palomba.it"/>
    <s v="info@palomba.it"/>
    <s v="B&amp;B PALOMBA - CAMERINO"/>
  </r>
  <r>
    <x v="5"/>
    <s v="B&amp;B PANORAMA"/>
    <s v="via c. lombroso 7"/>
    <x v="12"/>
    <s v="SAN BENEDETTO DEL TRONTO"/>
    <m/>
    <s v="liberi57@tiscali.it"/>
    <s v="B&amp;B PANORAMA - SAN BENEDETTO DEL TRONTO"/>
  </r>
  <r>
    <x v="5"/>
    <s v="B&amp;B PANORAMIC"/>
    <s v="Strada Tresole 44"/>
    <x v="69"/>
    <s v="PESARO"/>
    <s v="www.bebpanoramic.it"/>
    <s v="info@bebpanoramic.it"/>
    <s v="B&amp;B PANORAMIC - PESARO"/>
  </r>
  <r>
    <x v="5"/>
    <s v="B&amp;B PANTORANO"/>
    <s v="via del Pozzo 11"/>
    <x v="199"/>
    <m/>
    <m/>
    <s v="massimiliano.dimichele@istruzione.it"/>
    <s v="B&amp;B PANTORANO - SPINETOLI"/>
  </r>
  <r>
    <x v="5"/>
    <s v="B&amp;B PAOETTA"/>
    <s v="via Monte Nerone 1"/>
    <x v="163"/>
    <m/>
    <s v="www.bedpaoetta.it"/>
    <s v="bedpao@libero.it"/>
    <s v="B&amp;B PAOETTA - PORTO SANT'ELPIDIO"/>
  </r>
  <r>
    <x v="5"/>
    <s v="B&amp;B PAOLI ADAMO"/>
    <s v="VIA S.PATERNIANO 7/A"/>
    <x v="80"/>
    <s v="URBANIA"/>
    <m/>
    <m/>
    <s v="B&amp;B PAOLI ADAMO - URBANIA"/>
  </r>
  <r>
    <x v="5"/>
    <s v="B&amp;B PAOLO VITALI DE BONDA"/>
    <s v="piazza Gramsci 1"/>
    <x v="44"/>
    <m/>
    <m/>
    <s v="studiolegalevitali@hotmail.it"/>
    <s v="B&amp;B PAOLO VITALI DE BONDA - OSIMO"/>
  </r>
  <r>
    <x v="5"/>
    <s v="B&amp;B PAPI"/>
    <s v="via picena 51"/>
    <x v="132"/>
    <s v="SAN GINESIO"/>
    <m/>
    <s v="milepapi@tin.it"/>
    <s v="B&amp;B PAPI - SAN GINESIO"/>
  </r>
  <r>
    <x v="5"/>
    <s v="B&amp;B PARISI ROSARIA"/>
    <s v="c.da Solagna 1"/>
    <x v="51"/>
    <s v="moregnano"/>
    <m/>
    <s v="info.raggiodisole@hotmail.com"/>
    <s v="B&amp;B PARISI ROSARIA - PETRITOLI"/>
  </r>
  <r>
    <x v="5"/>
    <s v="B&amp;B PARVA DOMUS"/>
    <s v="sobborgo Fornaci 15"/>
    <x v="81"/>
    <s v="MONTECAROTTO"/>
    <s v="www.agriturismoparvadomus.it"/>
    <s v="info@agriturismoparvadomus.it"/>
    <s v="B&amp;B PARVA DOMUS - MONTECAROTTO"/>
  </r>
  <r>
    <x v="5"/>
    <s v="B&amp;B PASQUALON"/>
    <s v="via O.Giansanti 5"/>
    <x v="69"/>
    <s v="Pesaro"/>
    <m/>
    <s v="bb.pasqualon@gmail.com"/>
    <s v="B&amp;B PASQUALON - PESARO"/>
  </r>
  <r>
    <x v="5"/>
    <s v="B&amp;B PATRIZIO"/>
    <s v="corso Camillo Benso Conte di Cavour 8"/>
    <x v="12"/>
    <s v="SAN BENEDETTO DEL TRONTO"/>
    <s v="http://patrizio.it"/>
    <s v="bb@patrizio.it"/>
    <s v="B&amp;B PATRIZIO - SAN BENEDETTO DEL TRONTO"/>
  </r>
  <r>
    <x v="5"/>
    <s v="B&amp;B PENNESI GIUSEPPE"/>
    <s v="contrada Aso 16"/>
    <x v="29"/>
    <s v="LAPEDONA"/>
    <m/>
    <m/>
    <s v="B&amp;B PENNESI GIUSEPPE - LAPEDONA"/>
  </r>
  <r>
    <x v="5"/>
    <s v="B&amp;B PEOPLE"/>
    <s v="Via Pescolla 27"/>
    <x v="87"/>
    <m/>
    <s v="www.bed-and-breakfast.it"/>
    <s v="rossana_1977@libero.it"/>
    <s v="B&amp;B PEOPLE - CASTORANO"/>
  </r>
  <r>
    <x v="5"/>
    <s v="B&amp;B PEPEROSA"/>
    <s v="contrada paludi 319"/>
    <x v="37"/>
    <s v="FERMO"/>
    <m/>
    <s v="bedandbreakfast.peperosa@gmail.com"/>
    <s v="B&amp;B PEPEROSA - FERMO"/>
  </r>
  <r>
    <x v="5"/>
    <s v="B&amp;B PERFETTI SERGIO"/>
    <s v="Contrada Fienarette 97"/>
    <x v="113"/>
    <s v="PENNA SAN GIOVANNI"/>
    <s v="www.beblaquiete.eu"/>
    <s v="marinaperfetti@alice.it"/>
    <s v="B&amp;B PERFETTI SERGIO - PENNA SAN GIOVANNI"/>
  </r>
  <r>
    <x v="5"/>
    <s v="B&amp;B PERFUME DO MAR"/>
    <s v="VIALE DELLA VITTORIA 214"/>
    <x v="47"/>
    <m/>
    <m/>
    <s v="thiagoindiani@hotmail.com"/>
    <s v="B&amp;B PERFUME DO MAR - PORTO SAN GIORGIO"/>
  </r>
  <r>
    <x v="5"/>
    <s v="B&amp;B PERONI ALESSANDRA"/>
    <s v="contrada palazzi 15"/>
    <x v="87"/>
    <s v="CASTORANO"/>
    <m/>
    <m/>
    <s v="B&amp;B PERONI ALESSANDRA - CASTORANO"/>
  </r>
  <r>
    <x v="5"/>
    <s v="B&amp;B PESARO-MARE"/>
    <s v="via Sara Levi Nathan  68"/>
    <x v="69"/>
    <m/>
    <m/>
    <s v="bebpesaromare@gmx.com"/>
    <s v="B&amp;B PESARO-MARE - PESARO"/>
  </r>
  <r>
    <x v="5"/>
    <s v="B&amp;B PETRUCCI EMANUELA N° 12"/>
    <s v="via bernardino vittazzi 1"/>
    <x v="186"/>
    <s v="CASTELSANTANGELO SUL NERA"/>
    <m/>
    <m/>
    <s v="B&amp;B PETRUCCI EMANUELA N° 12 - CASTELSANTANGELO SUL NERA"/>
  </r>
  <r>
    <x v="5"/>
    <s v="B&amp;B PETRUCCI EMANUELA N° 14"/>
    <s v="via bernardino vittazzi 1"/>
    <x v="186"/>
    <s v="CASTELSANTANGELO SUL NERA"/>
    <s v="www.fontedellangelo.it"/>
    <s v="fontedellangelo@gmail.com"/>
    <s v="B&amp;B PETRUCCI EMANUELA N° 14 - CASTELSANTANGELO SUL NERA"/>
  </r>
  <r>
    <x v="5"/>
    <s v="B&amp;B PHOENIX HOUSE"/>
    <s v="via Santa Maria 45"/>
    <x v="132"/>
    <m/>
    <m/>
    <s v="jennymhall@hotmail.com"/>
    <s v="B&amp;B PHOENIX HOUSE - SAN GINESIO"/>
  </r>
  <r>
    <x v="5"/>
    <s v="B&amp;B PIANE DI ENEA"/>
    <s v="C.da Piane 4"/>
    <x v="82"/>
    <s v="Ripaberarda"/>
    <m/>
    <s v="mariaelvira63@gmail.com"/>
    <s v="B&amp;B PIANE DI ENEA - CASTIGNANO"/>
  </r>
  <r>
    <x v="5"/>
    <s v="B&amp;B PIANOZERO di ROSATI NICOLETTA"/>
    <s v="via Santa maria Goretti 3"/>
    <x v="12"/>
    <m/>
    <s v="www.pianozerobb.it"/>
    <s v="shianico67@gmail.com"/>
    <s v="B&amp;B PIANOZERO di ROSATI NICOLETTA - SAN BENEDETTO DEL TRONTO"/>
  </r>
  <r>
    <x v="5"/>
    <s v="B&amp;B PIAZZA DEL PAPA"/>
    <s v="via S. Bernardino 1"/>
    <x v="58"/>
    <m/>
    <s v="www.piazzadelpapa.it"/>
    <s v="elibrinci@gmail.com"/>
    <s v="B&amp;B PIAZZA DEL PAPA - SANT'ANGELO IN VADO"/>
  </r>
  <r>
    <x v="5"/>
    <s v="B&amp;B PIAZZA DEL POPOLO"/>
    <s v="via Cesare Battisti 16"/>
    <x v="151"/>
    <s v="ASCOLI PICENO"/>
    <s v="www.bbpiazzadelpopolo.it"/>
    <s v="info@bbpiazzadelpopolo.it"/>
    <s v="B&amp;B PIAZZA DEL POPOLO - ASCOLI PICENO"/>
  </r>
  <r>
    <x v="5"/>
    <s v="B&amp;B PIAZZA VERDE"/>
    <s v="viale Piemonte 3"/>
    <x v="148"/>
    <m/>
    <m/>
    <m/>
    <s v="B&amp;B PIAZZA VERDE - POTENZA PICENA"/>
  </r>
  <r>
    <x v="5"/>
    <s v="B&amp;B PIAZZETTA"/>
    <s v="CORSO MARCONI 9"/>
    <x v="37"/>
    <m/>
    <m/>
    <s v="tizianagrillo@micso.it"/>
    <s v="B&amp;B PIAZZETTA - FERMO"/>
  </r>
  <r>
    <x v="5"/>
    <s v="B&amp;B PICCIONI GIUSEPPINA"/>
    <s v="via Dino Angelini 64"/>
    <x v="151"/>
    <m/>
    <m/>
    <s v="info@languageandart.com"/>
    <s v="B&amp;B PICCIONI GIUSEPPINA - ASCOLI PICENO"/>
  </r>
  <r>
    <x v="5"/>
    <s v="B&amp;B PICCOLO BORGO"/>
    <s v="via San Pietro 17"/>
    <x v="41"/>
    <m/>
    <m/>
    <s v="dorianadegliemili@gmail.com"/>
    <s v="B&amp;B PICCOLO BORGO - MONTEMARCIANO"/>
  </r>
  <r>
    <x v="5"/>
    <s v="B&amp;B PICCOLO EDEN"/>
    <s v="via Santa Maria in Triaria 10"/>
    <x v="80"/>
    <m/>
    <m/>
    <s v="alvonimonica@gmail.com"/>
    <s v="B&amp;B PICCOLO EDEN - URBANIA"/>
  </r>
  <r>
    <x v="5"/>
    <s v="B&amp;B PICENO"/>
    <s v="via Collecchio 1"/>
    <x v="168"/>
    <m/>
    <m/>
    <s v="info@bbpiceno.it"/>
    <s v="B&amp;B PICENO - CASTEL DI LAMA"/>
  </r>
  <r>
    <x v="5"/>
    <s v="B&amp;B PIERMARTIRI ALBERTO"/>
    <s v="via Pergolesi 16"/>
    <x v="163"/>
    <m/>
    <m/>
    <s v="wcecosrl@gmail.com"/>
    <s v="B&amp;B PIERMARTIRI ALBERTO - PORTO SANT'ELPIDIO"/>
  </r>
  <r>
    <x v="5"/>
    <s v="B&amp;B PIGIOTTO"/>
    <s v="via Petrucci 55"/>
    <x v="69"/>
    <s v="Pesaro centro"/>
    <s v="www.pigiotto.it"/>
    <s v="pigiotto.pesaro@gmail.com"/>
    <s v="B&amp;B PIGIOTTO - PESARO"/>
  </r>
  <r>
    <x v="5"/>
    <s v="B&amp;B PINETA di CILIBERTO VITTORIA"/>
    <s v="VIA CA'BALDISSERRA 53"/>
    <x v="184"/>
    <s v="PIETRARUBBIA"/>
    <m/>
    <s v="carpegna@ascompesaro.it"/>
    <s v="B&amp;B PINETA di CILIBERTO VITTORIA - PIETRARUBBIA"/>
  </r>
  <r>
    <x v="5"/>
    <s v="B&amp;B PINO MARITTIMO"/>
    <s v="via Lombardia 1"/>
    <x v="17"/>
    <m/>
    <s v="www.pinomarittimo.com"/>
    <s v="vincenzosquadroni@libero.it"/>
    <s v="B&amp;B PINO MARITTIMO - CIVITANOVA MARCHE"/>
  </r>
  <r>
    <x v="5"/>
    <s v="B&amp;B PIPPINELLA"/>
    <s v="via Metauro  12"/>
    <x v="80"/>
    <m/>
    <m/>
    <s v="palini.italo@teletu.it"/>
    <s v="B&amp;B PIPPINELLA - URBANIA"/>
  </r>
  <r>
    <x v="5"/>
    <s v="B&amp;B PIPPO"/>
    <s v="via Dante Alighieri 295"/>
    <x v="17"/>
    <m/>
    <m/>
    <s v="francescociccale@alice.it"/>
    <s v="B&amp;B PIPPO - CIVITANOVA MARCHE"/>
  </r>
  <r>
    <x v="5"/>
    <s v="B&amp;B PISANI RENZO"/>
    <s v="via Montefeltresca 80/1"/>
    <x v="164"/>
    <m/>
    <m/>
    <s v="losgana@yahoo.it"/>
    <s v="B&amp;B PISANI RENZO - MONTECOPIOLO"/>
  </r>
  <r>
    <x v="5"/>
    <s v="B&amp;B PISTOLESI RONNY"/>
    <s v="via Principe Umberto 33"/>
    <x v="163"/>
    <m/>
    <m/>
    <s v="ronny.pistolesi@gmail.com"/>
    <s v="B&amp;B PISTOLESI RONNY - PORTO SANT'ELPIDIO"/>
  </r>
  <r>
    <x v="5"/>
    <s v="B&amp;B PLATEOLA DI DE ANGELIS ROSA"/>
    <s v="via della Piazzarola 52"/>
    <x v="151"/>
    <s v="ASCOLI PICENO"/>
    <m/>
    <m/>
    <s v="B&amp;B PLATEOLA DI DE ANGELIS ROSA - ASCOLI PICENO"/>
  </r>
  <r>
    <x v="5"/>
    <s v="B&amp;B PODERE DEL FAGIANO"/>
    <s v="contrada rofanello 28"/>
    <x v="6"/>
    <s v="TOLENTINO"/>
    <s v="www.poderedelfagiano.it"/>
    <s v="gustavog63@tiscali.it"/>
    <s v="B&amp;B PODERE DEL FAGIANO - TOLENTINO"/>
  </r>
  <r>
    <x v="5"/>
    <s v="B&amp;B PODERE IL LECCIO"/>
    <s v="via San Marco di Sotto 16"/>
    <x v="161"/>
    <s v="CUPRAMONTANA"/>
    <s v="www.podereilleccio.it"/>
    <s v="podereilleccio@gmail.com; mauriziofico@gmail.com"/>
    <s v="B&amp;B PODERE IL LECCIO - CUPRAMONTANA"/>
  </r>
  <r>
    <x v="5"/>
    <s v="B&amp;B POGGIO DEL SOLE"/>
    <s v="via Poggio del Sole 42/44"/>
    <x v="9"/>
    <m/>
    <m/>
    <s v="info@poggiodelsole.it"/>
    <s v="B&amp;B POGGIO DEL SOLE - NUMANA"/>
  </r>
  <r>
    <x v="5"/>
    <s v="B&amp;B POGGIO VERDE"/>
    <s v="C.DA COLLE 25"/>
    <x v="207"/>
    <m/>
    <m/>
    <s v="mara.clementi@gmail.com"/>
    <s v="B&amp;B POGGIO VERDE - ROTELLA"/>
  </r>
  <r>
    <x v="5"/>
    <s v="B&amp;B PONTEMARE"/>
    <s v="Via Bignamini 23"/>
    <x v="10"/>
    <s v="COLLEMARINO"/>
    <m/>
    <s v="bbpontemare@gmail.com"/>
    <s v="B&amp;B PONTEMARE - ANCONA"/>
  </r>
  <r>
    <x v="5"/>
    <s v="B&amp;B PORTA DA SOLE"/>
    <s v="via San Pietro 2"/>
    <x v="198"/>
    <m/>
    <m/>
    <s v="vitalibas@gmail.com"/>
    <s v="B&amp;B PORTA DA SOLE - ORTEZZANO"/>
  </r>
  <r>
    <x v="5"/>
    <s v="B&amp;B PORTA DEL PIANO"/>
    <s v="viale G. Miliani 3"/>
    <x v="21"/>
    <m/>
    <s v="www.bbportadelpiano.it"/>
    <s v="r.mearelli@gmail.com"/>
    <s v="B&amp;B PORTA DEL PIANO - FABRIANO"/>
  </r>
  <r>
    <x v="5"/>
    <s v="B&amp;B PORTOCIVITANOVA"/>
    <s v="via Vittorio Veneto 63"/>
    <x v="17"/>
    <m/>
    <m/>
    <s v="peretti5@alice.it"/>
    <s v="B&amp;B PORTOCIVITANOVA - CIVITANOVA MARCHE"/>
  </r>
  <r>
    <x v="5"/>
    <s v="B&amp;B PREMA DHAM"/>
    <s v="strada Santa Lucia 19"/>
    <x v="69"/>
    <s v="Ginestreto di Pesaro"/>
    <s v="www.associazionepremadham.com"/>
    <s v="info@associazionepremadham.com"/>
    <s v="B&amp;B PREMA DHAM - PESARO"/>
  </r>
  <r>
    <x v="5"/>
    <s v="B&amp;B PREVIGNANO LUIGI"/>
    <s v="Frazione Piagge 390"/>
    <x v="151"/>
    <s v="ASCOLI PICENO"/>
    <m/>
    <s v="luigiprevignano@libero.it"/>
    <s v="B&amp;B PREVIGNANO LUIGI - ASCOLI PICENO"/>
  </r>
  <r>
    <x v="5"/>
    <s v="B&amp;B PRIMA O POI"/>
    <s v="LOCALITA' PONTINIA 8"/>
    <x v="42"/>
    <s v="LOCALITA' PONTINIA"/>
    <m/>
    <s v="b_bprimaopoi@libero.it"/>
    <s v="B&amp;B PRIMA O POI - CAMERINO"/>
  </r>
  <r>
    <x v="5"/>
    <s v="B&amp;B PRINCIPERTO"/>
    <s v="via San Biagio  110"/>
    <x v="36"/>
    <m/>
    <m/>
    <s v="robertocantori@libero.it"/>
    <s v="B&amp;B PRINCIPERTO - FILOTTRANO"/>
  </r>
  <r>
    <x v="5"/>
    <s v="B&amp;B PRINCIVALLI MARIA STELLA"/>
    <s v="CONTRADA FILETTE 30"/>
    <x v="82"/>
    <s v="CASTIGNANO"/>
    <m/>
    <m/>
    <s v="B&amp;B PRINCIVALLI MARIA STELLA - CASTIGNANO"/>
  </r>
  <r>
    <x v="5"/>
    <s v="B&amp;B PROFUMO DI  MAGNOLIA"/>
    <s v="via Giovanni Cimabue 1"/>
    <x v="17"/>
    <s v="CIVITANOVA MARCHE"/>
    <m/>
    <s v="bebprofumodimagnolia@libero.it"/>
    <s v="B&amp;B PROFUMO DI  MAGNOLIA - CIVITANOVA MARCHE"/>
  </r>
  <r>
    <x v="5"/>
    <s v="B&amp;B PROFUMO DI NARDO"/>
    <s v="strada provinciale valtesino 242"/>
    <x v="5"/>
    <s v="GROTTAMMARE"/>
    <s v="www.profumodinardo.it"/>
    <s v="emanuela_torquati@yahoo.it"/>
    <s v="B&amp;B PROFUMO DI NARDO - GROTTAMMARE"/>
  </r>
  <r>
    <x v="5"/>
    <s v="B&amp;B PROFUMODIPANE"/>
    <s v="via Buffolareccia 13"/>
    <x v="15"/>
    <s v="LORETO"/>
    <m/>
    <s v="bbprofumodipane@gmail.com"/>
    <s v="B&amp;B PROFUMODIPANE - LORETO"/>
  </r>
  <r>
    <x v="5"/>
    <s v="B&amp;B PUNTO E A CAPO"/>
    <s v="via Maggini 130"/>
    <x v="10"/>
    <m/>
    <m/>
    <s v="puntoeacapobb@hotmail.com"/>
    <s v="B&amp;B PUNTO E A CAPO - ANCONA"/>
  </r>
  <r>
    <x v="5"/>
    <s v="B&amp;B QUERCIABELLA"/>
    <s v="strada querciabella 185"/>
    <x v="16"/>
    <s v="SENIGALLIA"/>
    <s v="www.bbquerciabella.it"/>
    <s v="querciabella@hotmail.it"/>
    <s v="B&amp;B QUERCIABELLA - SENIGALLIA"/>
  </r>
  <r>
    <x v="5"/>
    <s v="B&amp;B QUIETE SUL META"/>
    <s v="via Papa Clemente XI 4"/>
    <x v="61"/>
    <m/>
    <s v="www.quietesulmeta.com"/>
    <s v="info@quietesulmeta.com"/>
    <s v="B&amp;B QUIETE SUL META - BORGO PACE"/>
  </r>
  <r>
    <x v="5"/>
    <s v="B&amp;B RAFFAELLO"/>
    <s v="via Papa Giovanni XXIII 48"/>
    <x v="196"/>
    <s v="Bottega  di  Colbordolo"/>
    <m/>
    <s v="bb-raffaello.davide@libero.it"/>
    <s v="B&amp;B RAFFAELLO - VALLEFOGLIA"/>
  </r>
  <r>
    <x v="5"/>
    <s v="B&amp;B RAGGIO DI LUNA"/>
    <s v="localita' Casini Soccorso 29"/>
    <x v="16"/>
    <s v="SENIGALLIA"/>
    <s v="www.ilraggiodiluna.it"/>
    <s v="bbraggiodiluna@alice.it"/>
    <s v="B&amp;B RAGGIO DI LUNA - SENIGALLIA"/>
  </r>
  <r>
    <x v="5"/>
    <s v="B&amp;B RASPINO MASSIMILANO"/>
    <s v="Via d'Argillano 13"/>
    <x v="151"/>
    <s v="ASCOLI PICENO"/>
    <m/>
    <m/>
    <s v="B&amp;B RASPINO MASSIMILANO - ASCOLI PICENO"/>
  </r>
  <r>
    <x v="5"/>
    <s v="B&amp;B REGGIMENTO"/>
    <s v="via Fabriano 12"/>
    <x v="151"/>
    <s v="ASCOLI PICENO"/>
    <s v="reggimentoascoli.blogspot.com"/>
    <s v="corradetti.stefano@gmail.com"/>
    <s v="B&amp;B REGGIMENTO - ASCOLI PICENO"/>
  </r>
  <r>
    <x v="5"/>
    <s v="B&amp;B REGINA MARGHERITA"/>
    <s v="via Tornabuoni 27"/>
    <x v="51"/>
    <m/>
    <m/>
    <s v="andrea.mars92@gmail.com"/>
    <s v="B&amp;B REGINA MARGHERITA - PETRITOLI"/>
  </r>
  <r>
    <x v="5"/>
    <s v="B&amp;B REMO CUTRINA"/>
    <s v="Via San Marco 31"/>
    <x v="37"/>
    <m/>
    <m/>
    <m/>
    <s v="B&amp;B REMO CUTRINA - FERMO"/>
  </r>
  <r>
    <x v="5"/>
    <s v="B&amp;B RENALBA"/>
    <s v="contrada  santa lucia alta 48"/>
    <x v="12"/>
    <s v="SAN BENEDETTO DEL TRONTO"/>
    <s v="www.renalba.it"/>
    <s v="info@renalba.it"/>
    <s v="B&amp;B RENALBA - SAN BENEDETTO DEL TRONTO"/>
  </r>
  <r>
    <x v="5"/>
    <s v="B&amp;B RESIDENZA LA CANONICA"/>
    <s v="strada Cerreto 6"/>
    <x v="69"/>
    <s v="PESARO"/>
    <s v="www.residenzalacanonica.com"/>
    <s v="residenzalacanonica@libero.it"/>
    <s v="B&amp;B RESIDENZA LA CANONICA - PESARO"/>
  </r>
  <r>
    <x v="5"/>
    <s v="B&amp;B RESIDENZA LEONARDO"/>
    <s v="via Andrea Costa 19"/>
    <x v="22"/>
    <s v="FALCONARA MARITTIMA"/>
    <s v="www.residenzaleonardo.com"/>
    <s v="info@residenzaleonardo.com"/>
    <s v="B&amp;B RESIDENZA LEONARDO - FALCONARA MARITTIMA"/>
  </r>
  <r>
    <x v="5"/>
    <s v="B&amp;B RESTOQUI"/>
    <s v="via Varino Favorino 8"/>
    <x v="42"/>
    <m/>
    <m/>
    <s v="restoquibeb@gmail.com"/>
    <s v="B&amp;B RESTOQUI - CAMERINO"/>
  </r>
  <r>
    <x v="5"/>
    <s v="B&amp;B RIBECA'S"/>
    <s v="viale Garibaldi 14"/>
    <x v="5"/>
    <m/>
    <m/>
    <s v="massi.todisco@gmail.com"/>
    <s v="B&amp;B RIBECA'S - GROTTAMMARE"/>
  </r>
  <r>
    <x v="5"/>
    <s v="B&amp;B RICCI LIDIA"/>
    <s v="via Andrea Passari 36"/>
    <x v="103"/>
    <s v="MONTEGIORGIO"/>
    <m/>
    <s v="lidia_ricci@libero.it"/>
    <s v="B&amp;B RICCI LIDIA - MONTEGIORGIO"/>
  </r>
  <r>
    <x v="5"/>
    <s v="B&amp;B RIVA DEGLI OLIVI"/>
    <s v="VIA BOTTACCIO 14"/>
    <x v="52"/>
    <m/>
    <m/>
    <s v="rivadegliolivi@gmail.com"/>
    <s v="B&amp;B RIVA DEGLI OLIVI - CARTOCETO"/>
  </r>
  <r>
    <x v="5"/>
    <s v="B&amp;B RIVER"/>
    <s v="Via della Bonifica 40"/>
    <x v="151"/>
    <s v="MARINO DEL TRONTO - ASCOLI PICENO"/>
    <m/>
    <s v="domenico.angelini@geopec.it"/>
    <s v="B&amp;B RIVER - ASCOLI PICENO"/>
  </r>
  <r>
    <x v="5"/>
    <s v="B&amp;B RIVER - EMIDIO SANTRONI"/>
    <s v="via lombardia 64"/>
    <x v="12"/>
    <s v="SAN BENEDETTO DEL TRONTO"/>
    <s v="www.unmarediaccoglienza.com"/>
    <s v="bbriversbt@gmail.com"/>
    <s v="B&amp;B RIVER - EMIDIO SANTRONI - SAN BENEDETTO DEL TRONTO"/>
  </r>
  <r>
    <x v="5"/>
    <s v="B&amp;B ROBERTA"/>
    <s v="via Litoranea 76"/>
    <x v="9"/>
    <m/>
    <s v="www.bebroberta.com"/>
    <s v="b.end.b.roberta@gmail.com"/>
    <s v="B&amp;B ROBERTA - NUMANA"/>
  </r>
  <r>
    <x v="5"/>
    <s v="B&amp;B ROCCA BELLA"/>
    <s v="via Roccabella 15"/>
    <x v="4"/>
    <s v="JESI"/>
    <s v="www.roccabella.eu"/>
    <s v="info@bedandbreakfast-roccabella.it"/>
    <s v="B&amp;B ROCCA BELLA - JESI"/>
  </r>
  <r>
    <x v="5"/>
    <s v="B&amp;B ROMA"/>
    <s v="via roma 22"/>
    <x v="12"/>
    <s v="SAN BENEDETTO DEL TRONTO"/>
    <s v="http://www.bbromasanbenedetto.it/"/>
    <s v="sciarramassimo@aliceposta.it"/>
    <s v="B&amp;B ROMA - SAN BENEDETTO DEL TRONTO"/>
  </r>
  <r>
    <x v="5"/>
    <s v="B&amp;B ROMAGNOLI EDMEO"/>
    <s v="a. Negri 7"/>
    <x v="85"/>
    <s v="FOSSOMBRONE"/>
    <m/>
    <s v="bedandbreakfast.romagnoli@gmail.com"/>
    <s v="B&amp;B ROMAGNOLI EDMEO - FOSSOMBRONE"/>
  </r>
  <r>
    <x v="5"/>
    <s v="B&amp;B ROSA PRISCILLA"/>
    <s v="via Siena 16"/>
    <x v="163"/>
    <s v="PORTO SANT' ELPIDIO"/>
    <s v="www.azzurromarerosapriscilla.it"/>
    <s v="alfred5@alice.it"/>
    <s v="B&amp;B ROSA PRISCILLA - PORTO SANT'ELPIDIO"/>
  </r>
  <r>
    <x v="5"/>
    <s v="B&amp;B ROSA SPINA"/>
    <s v="via San Germano 3"/>
    <x v="151"/>
    <s v="centro giardini pub."/>
    <s v="www.rosaspina.ap.it"/>
    <s v="salettarosaspina@libero.it"/>
    <s v="B&amp;B ROSA SPINA - ASCOLI PICENO"/>
  </r>
  <r>
    <x v="5"/>
    <s v="B&amp;B ROSE DI PANE - ANCONA CENTRO"/>
    <s v="via C. Battisti 18"/>
    <x v="10"/>
    <m/>
    <s v="www.rosedipane.it"/>
    <s v="paola.lenci@txm.it"/>
    <s v="B&amp;B ROSE DI PANE - ANCONA CENTRO - ANCONA"/>
  </r>
  <r>
    <x v="5"/>
    <s v="B&amp;B ROSE E MERLETTI"/>
    <s v="via Risorgimento 39"/>
    <x v="79"/>
    <m/>
    <m/>
    <s v="gabellini@live.it"/>
    <s v="B&amp;B ROSE E MERLETTI - SASSOFELTRIO"/>
  </r>
  <r>
    <x v="5"/>
    <s v="B&amp;B ROSELLA"/>
    <s v="via Vespucci 5/c"/>
    <x v="16"/>
    <m/>
    <m/>
    <s v="fede.brt@libero.it"/>
    <s v="B&amp;B ROSELLA - SENIGALLIA"/>
  </r>
  <r>
    <x v="5"/>
    <s v="B&amp;B ROSS HOUSE"/>
    <s v="via Madonna d'Ete 1/a"/>
    <x v="37"/>
    <m/>
    <m/>
    <s v="info@bb-rosshouse.it"/>
    <s v="B&amp;B ROSS HOUSE - FERMO"/>
  </r>
  <r>
    <x v="5"/>
    <s v="B&amp;B RUSTICO di TOLA PERLA CRISTINA"/>
    <s v="via beato tommaso  20"/>
    <x v="6"/>
    <s v="MACERATA"/>
    <m/>
    <m/>
    <s v="B&amp;B RUSTICO di TOLA PERLA CRISTINA - TOLENTINO"/>
  </r>
  <r>
    <x v="5"/>
    <s v="B&amp;B S. ERCOLANO COUNTRY"/>
    <s v="Via S. Ercolano 24"/>
    <x v="201"/>
    <s v="TEMPORI"/>
    <m/>
    <s v="s.ercolano.country@gmail.com"/>
    <s v="B&amp;B S. ERCOLANO COUNTRY - USSITA"/>
  </r>
  <r>
    <x v="5"/>
    <s v="B&amp;B SABBATINI ISOLINA"/>
    <s v="via Capri 4"/>
    <x v="9"/>
    <s v="MARCELLI"/>
    <m/>
    <s v="info@ristorantemariolino.it"/>
    <s v="B&amp;B SABBATINI ISOLINA - NUMANA"/>
  </r>
  <r>
    <x v="5"/>
    <s v="B&amp;B SALTARECCIO"/>
    <s v="contrada Saltareccio  8"/>
    <x v="29"/>
    <m/>
    <m/>
    <s v="cornelia.stump@libero.it"/>
    <s v="B&amp;B SALTARECCIO - LAPEDONA"/>
  </r>
  <r>
    <x v="5"/>
    <s v="B&amp;B SALTARI SIMONE"/>
    <s v="via Macerata 306"/>
    <x v="117"/>
    <s v="MONTE SAN GIUSTO"/>
    <s v="www.cameresaltari.it"/>
    <s v="cameresaltari@libero.it"/>
    <s v="B&amp;B SALTARI SIMONE - MONTE SAN GIUSTO"/>
  </r>
  <r>
    <x v="5"/>
    <s v="B&amp;B SALTO NEL CUORE DI PENSERINI MANUEL"/>
    <s v="via del Poggio 1"/>
    <x v="175"/>
    <s v="MONTE CERIGNONE"/>
    <m/>
    <m/>
    <s v="B&amp;B SALTO NEL CUORE DI PENSERINI MANUEL - MONTE CERIGNONE"/>
  </r>
  <r>
    <x v="5"/>
    <s v="B&amp;B SALVUCCI GABRIELLA"/>
    <s v="contrada Rambona 47"/>
    <x v="126"/>
    <s v="POLLENZA"/>
    <m/>
    <s v="gabriellasalvucci@yahoo.it"/>
    <s v="B&amp;B SALVUCCI GABRIELLA - POLLENZA"/>
  </r>
  <r>
    <x v="5"/>
    <s v="B&amp;B SAN BARNABA"/>
    <s v="c.da Tesino 232"/>
    <x v="30"/>
    <s v="San Barnaba"/>
    <s v="www.bbsanbarnaba.com"/>
    <s v="bbsanbarnaba@bbsanbarnaba.com"/>
    <s v="B&amp;B SAN BARNABA - OFFIDA"/>
  </r>
  <r>
    <x v="5"/>
    <s v="B&amp;B SAN BARTOLO"/>
    <s v="via Panaro 61"/>
    <x v="69"/>
    <m/>
    <m/>
    <s v="bebsanbartolo@gmail.com"/>
    <s v="B&amp;B SAN BARTOLO - PESARO"/>
  </r>
  <r>
    <x v="5"/>
    <s v="B&amp;B SAN BENEDETTO"/>
    <s v="via Roma 119"/>
    <x v="12"/>
    <m/>
    <m/>
    <s v="m.luisaurbani@gmail.com"/>
    <s v="B&amp;B SAN BENEDETTO - SAN BENEDETTO DEL TRONTO"/>
  </r>
  <r>
    <x v="5"/>
    <s v="B&amp;B SAN DANIELE"/>
    <s v="strada di Gaviano 3"/>
    <x v="67"/>
    <s v="Monteciccardo"/>
    <m/>
    <s v="falcioniclara@gmail.com"/>
    <s v="B&amp;B SAN DANIELE - MONTECICCARDO"/>
  </r>
  <r>
    <x v="5"/>
    <s v="B&amp;B SAN DONATO"/>
    <s v="SAN DONATO 57"/>
    <x v="175"/>
    <m/>
    <m/>
    <s v="katia.03@libero.it"/>
    <s v="B&amp;B SAN DONATO - MONTE CERIGNONE"/>
  </r>
  <r>
    <x v="5"/>
    <s v="B&amp;B SAN FELICE"/>
    <s v="via Sanguineti 24"/>
    <x v="166"/>
    <m/>
    <m/>
    <s v="gillian.arger@gmail.com"/>
    <s v="B&amp;B SAN FELICE - MORRO D'ALBA"/>
  </r>
  <r>
    <x v="5"/>
    <s v="B&amp;B SAN FRANCESCO"/>
    <s v="via raffaello 9"/>
    <x v="1"/>
    <s v="URBINO"/>
    <s v="www.bbsanfrancescourbino.com"/>
    <s v="info@bbsanfrancescourbino.com"/>
    <s v="B&amp;B SAN FRANCESCO - URBINO"/>
  </r>
  <r>
    <x v="5"/>
    <s v="B&amp;B SAN FRANCESCO"/>
    <s v="c.da Monti 11"/>
    <x v="96"/>
    <s v="MONTALTO MARCHE"/>
    <s v="www.agriturismosanfrancesco.it"/>
    <s v="informazioni@agriturismosanfrancesco.it"/>
    <s v="B&amp;B SAN FRANCESCO - MONTALTO DELLE MARCHE"/>
  </r>
  <r>
    <x v="5"/>
    <s v="B&amp;B SAN LORENZO"/>
    <s v="VICOLO SAN LORENZO 16"/>
    <x v="218"/>
    <m/>
    <s v="www.sanlorenzobb.it"/>
    <s v="p.stroppa@pecgeometrian.it"/>
    <s v="B&amp;B SAN LORENZO - CERRETO D'ESI"/>
  </r>
  <r>
    <x v="5"/>
    <s v="B&amp;B SAN LORENZO COUNTRY HOUSE"/>
    <s v="via madonnina 1"/>
    <x v="8"/>
    <s v="SIROLO"/>
    <m/>
    <s v="info@plarossi.it"/>
    <s v="B&amp;B SAN LORENZO COUNTRY HOUSE - SIROLO"/>
  </r>
  <r>
    <x v="5"/>
    <s v="B&amp;B SAN MARTINO"/>
    <s v="C.da San Martino 1"/>
    <x v="82"/>
    <m/>
    <m/>
    <s v="info@sanmartinobeb.it; sanmartinobb@gmail.com"/>
    <s v="B&amp;B SAN MARTINO - CASTIGNANO"/>
  </r>
  <r>
    <x v="5"/>
    <s v="B&amp;B SAN NICOLA"/>
    <s v="via del Popolo 38"/>
    <x v="6"/>
    <s v="Tolentino"/>
    <s v="www.bb-san-nicola-tolentino.it"/>
    <s v="robertosforzini@tiscalinet.it"/>
    <s v="B&amp;B SAN NICOLA - TOLENTINO"/>
  </r>
  <r>
    <x v="5"/>
    <s v="B&amp;B SAN PATERNIANO"/>
    <s v="via San Paterniano 3"/>
    <x v="26"/>
    <s v="CINGOLI"/>
    <s v="www.sanpaterniano.com"/>
    <s v="info@sanpaterniano.com"/>
    <s v="B&amp;B SAN PATERNIANO - CINGOLI"/>
  </r>
  <r>
    <x v="5"/>
    <s v="B&amp;B SAN PIETRO FUORI LE MURA"/>
    <s v="via san pietro 14"/>
    <x v="75"/>
    <s v="CAGLI"/>
    <m/>
    <s v="mhlpieri@gmail.com"/>
    <s v="B&amp;B SAN PIETRO FUORI LE MURA - CAGLI"/>
  </r>
  <r>
    <x v="5"/>
    <s v="B&amp;B SAN ROCCO"/>
    <s v="via San Rocco  31"/>
    <x v="2"/>
    <m/>
    <m/>
    <s v="bebsanrocco@tiscali.it"/>
    <s v="B&amp;B SAN ROCCO - SAN SEVERINO MARCHE"/>
  </r>
  <r>
    <x v="5"/>
    <s v="B&amp;B SAN VALENTINO"/>
    <s v="via SanValentino 50"/>
    <x v="44"/>
    <s v="OSIMO"/>
    <s v="www.bbsanvalentino.it"/>
    <s v="info@bbsanvalentino.it; l.frampolli@gmail.com"/>
    <s v="B&amp;B SAN VALENTINO - OSIMO"/>
  </r>
  <r>
    <x v="5"/>
    <s v="B&amp;B SAN VITO"/>
    <s v="via San Vito sul Cesano 74"/>
    <x v="64"/>
    <m/>
    <m/>
    <m/>
    <s v="B&amp;B SAN VITO - SAN LORENZO IN CAMPO"/>
  </r>
  <r>
    <x v="5"/>
    <s v="B&amp;B SANPOLO 1544"/>
    <s v="via Aurelio Saffi 3"/>
    <x v="1"/>
    <m/>
    <s v="www.sanpolo1544.it"/>
    <s v="info@sanpolo1544.it"/>
    <s v="B&amp;B SANPOLO 1544 - URBINO"/>
  </r>
  <r>
    <x v="5"/>
    <s v="B&amp;B SANTA CATERINA"/>
    <s v="contrada Santa Caterina  21"/>
    <x v="19"/>
    <s v="ACQUAVIVA PICENA"/>
    <s v="www.bbsantacaterina.it"/>
    <s v="info@bbsantacaterina.it"/>
    <s v="B&amp;B SANTA CATERINA - ACQUAVIVA PICENA"/>
  </r>
  <r>
    <x v="5"/>
    <s v="B&amp;B SANTA LUCIA"/>
    <s v="via Santa Lucia  6"/>
    <x v="12"/>
    <m/>
    <s v="www.bbsantaluciasbt.com"/>
    <s v="bbsantaluciasbt@gmail.com"/>
    <s v="B&amp;B SANTA LUCIA - SAN BENEDETTO DEL TRONTO"/>
  </r>
  <r>
    <x v="5"/>
    <s v="B&amp;B SANTA MARCIANA"/>
    <s v="via Castellaro  13/a"/>
    <x v="53"/>
    <m/>
    <m/>
    <m/>
    <s v="B&amp;B SANTA MARCIANA - MERGO"/>
  </r>
  <r>
    <x v="5"/>
    <s v="B&amp;B SANTA MARGHERITA"/>
    <s v="via Santa Margherita 3"/>
    <x v="1"/>
    <s v="URBINO"/>
    <m/>
    <m/>
    <s v="B&amp;B SANTA MARGHERITA - URBINO"/>
  </r>
  <r>
    <x v="5"/>
    <s v="B&amp;B SANT'ANDREA"/>
    <s v="VIA SANT'ANDREA 50"/>
    <x v="33"/>
    <s v="S. ANDREA IN VILLIS"/>
    <s v="www.santandreabb.it"/>
    <s v="info@santandreabb.it"/>
    <s v="B&amp;B SANT'ANDREA - FANO"/>
  </r>
  <r>
    <x v="5"/>
    <s v="B&amp;B SANTINELLI LUCA"/>
    <s v="via Cesanense  160/e"/>
    <x v="143"/>
    <s v="loc.Ponte Rio"/>
    <m/>
    <s v="pietrolucaelena@alice.it"/>
    <s v="B&amp;B SANTINELLI LUCA - MONTE PORZIO"/>
  </r>
  <r>
    <x v="5"/>
    <s v="B&amp;B SANTOMARO SEA LOFT"/>
    <s v="Via Pola 86"/>
    <x v="17"/>
    <m/>
    <s v="www.santomaro.com"/>
    <s v="info@santomaro.com"/>
    <s v="B&amp;B SANTOMARO SEA LOFT - CIVITANOVA MARCHE"/>
  </r>
  <r>
    <x v="5"/>
    <s v="B&amp;B SAPIENZA"/>
    <s v="via Francesco Sforza 14"/>
    <x v="37"/>
    <m/>
    <s v="www.bbsapienza.com"/>
    <s v="info@bbsapienza.com"/>
    <s v="B&amp;B SAPIENZA - FERMO"/>
  </r>
  <r>
    <x v="5"/>
    <s v="B&amp;B SAPORE DI MARE"/>
    <s v="PONZA 91"/>
    <x v="5"/>
    <m/>
    <m/>
    <s v="info@bbsaporedimare.it"/>
    <s v="B&amp;B SAPORE DI MARE - GROTTAMMARE"/>
  </r>
  <r>
    <x v="5"/>
    <s v="B&amp;B SAPORE DI SALE"/>
    <s v="via Pesaro 1"/>
    <x v="9"/>
    <m/>
    <m/>
    <s v="bedbreakfastsaporedisale@hotmail.com"/>
    <s v="B&amp;B SAPORE DI SALE - NUMANA"/>
  </r>
  <r>
    <x v="5"/>
    <s v="B&amp;B SARAMARE"/>
    <s v="VIA LORETO 37"/>
    <x v="9"/>
    <s v="NUMANA"/>
    <m/>
    <s v="saraalcantarini@yahoo.it"/>
    <s v="B&amp;B SARAMARE - NUMANA"/>
  </r>
  <r>
    <x v="5"/>
    <s v="B&amp;B SASSO FIORITO"/>
    <s v="via Monte Pallotta 12"/>
    <x v="1"/>
    <s v="loc. Sasso"/>
    <m/>
    <s v="mauro.sisti@alice.it"/>
    <s v="B&amp;B SASSO FIORITO - URBINO"/>
  </r>
  <r>
    <x v="5"/>
    <s v="B&amp;B SASSONIA"/>
    <s v="via ruggero ruggeri 20"/>
    <x v="33"/>
    <s v="FANO"/>
    <m/>
    <s v="bbsassonia@yahoo.it"/>
    <s v="B&amp;B SASSONIA - FANO"/>
  </r>
  <r>
    <x v="5"/>
    <s v="B&amp;B SBERGAMI PAOLA"/>
    <s v="via Trodica 9"/>
    <x v="172"/>
    <s v="San Claudio"/>
    <s v="www.bebaquisgrana.com"/>
    <s v="info@bebaquisgrana.com"/>
    <s v="B&amp;B SBERGAMI PAOLA - CORRIDONIA"/>
  </r>
  <r>
    <x v="5"/>
    <s v="B&amp;B SCALINATA LEOPARDI"/>
    <s v="Scalinata Giacomo Leopardi  9"/>
    <x v="151"/>
    <s v="ASCOLI PICENO"/>
    <m/>
    <s v="ventura@alice.it"/>
    <s v="B&amp;B SCALINATA LEOPARDI - ASCOLI PICENO"/>
  </r>
  <r>
    <x v="5"/>
    <s v="B&amp;B SCARAMUCCI"/>
    <s v="via Roma 119"/>
    <x v="168"/>
    <s v="CASTEL DI LAMA"/>
    <s v="bandbscaramucci.com"/>
    <s v="segreteriascaramucci@libero.it"/>
    <s v="B&amp;B SCARAMUCCI - CASTEL DI LAMA"/>
  </r>
  <r>
    <x v="5"/>
    <s v="B&amp;B SCATTOMATTO"/>
    <s v="via Zuccarini 7"/>
    <x v="10"/>
    <m/>
    <s v="www.bedandbreakfastscattomatto.com"/>
    <s v="scattomattoinfo@gmail.com"/>
    <s v="B&amp;B SCATTOMATTO - ANCONA"/>
  </r>
  <r>
    <x v="5"/>
    <s v="B&amp;B SCHWEMMER REINHOLD"/>
    <s v="via marino lucido 27"/>
    <x v="179"/>
    <s v="BELMONTE PICENO"/>
    <m/>
    <m/>
    <s v="B&amp;B SCHWEMMER REINHOLD - BELMONTE PICENO"/>
  </r>
  <r>
    <x v="5"/>
    <s v="B&amp;B SEA VIEW"/>
    <s v="via San Michele 8"/>
    <x v="8"/>
    <s v="SIROLO"/>
    <s v="www.seaview.it"/>
    <s v="info@seaview.it"/>
    <s v="B&amp;B SEA VIEW - SIROLO"/>
  </r>
  <r>
    <x v="5"/>
    <s v="B&amp;B SEA WEIV"/>
    <s v="via G. Marconi 38"/>
    <x v="199"/>
    <m/>
    <m/>
    <m/>
    <s v="B&amp;B SEA WEIV - SPINETOLI"/>
  </r>
  <r>
    <x v="5"/>
    <s v="B&amp;B SEIGNEUR HILL"/>
    <s v="contrada abbadetta 79"/>
    <x v="19"/>
    <m/>
    <s v="www.bbseigneurhill.it"/>
    <s v="info@bbseigneurhill.it"/>
    <s v="B&amp;B SEIGNEUR HILL - ACQUAVIVA PICENA"/>
  </r>
  <r>
    <x v="5"/>
    <s v="B&amp;B SEME DI MELA"/>
    <s v="via Monte Catria 6"/>
    <x v="2"/>
    <m/>
    <s v="http://www.semedimela.net/"/>
    <s v="semedimela.bb@gmail.com"/>
    <s v="B&amp;B SEME DI MELA - SAN SEVERINO MARCHE"/>
  </r>
  <r>
    <x v="5"/>
    <s v="B&amp;B SENIGALLIA DI ANDREANI MARINA"/>
    <s v="Via San Pietro, 11"/>
    <x v="119"/>
    <s v="CASTEL COLONNA-TRECASTELLI"/>
    <s v="www.bandbsenigallia.it"/>
    <s v="info@bandbsenigallia.it"/>
    <s v="B&amp;B SENIGALLIA DI ANDREANI MARINA - TRECASTELLI"/>
  </r>
  <r>
    <x v="5"/>
    <s v="B&amp;B SENTIERI SIBILLINI"/>
    <s v="via Belvedere 29"/>
    <x v="186"/>
    <s v="fraz. Vallinfante"/>
    <m/>
    <s v="stefaniaservili@gmail.com"/>
    <s v="B&amp;B SENTIERI SIBILLINI - CASTELSANTANGELO SUL NERA"/>
  </r>
  <r>
    <x v="5"/>
    <s v="B&amp;B SERAFINI"/>
    <s v="via Ciro Menotti 9"/>
    <x v="69"/>
    <s v="PESARO"/>
    <m/>
    <s v="floriana.serafini@alice.it"/>
    <s v="B&amp;B SERAFINI - PESARO"/>
  </r>
  <r>
    <x v="5"/>
    <s v="B&amp;B SERENA CAPECCI"/>
    <s v="via Dante Alighieri 31"/>
    <x v="148"/>
    <m/>
    <m/>
    <s v="serenacapecci@hotmail.it"/>
    <s v="B&amp;B SERENA CAPECCI - POTENZA PICENA"/>
  </r>
  <r>
    <x v="5"/>
    <s v="B&amp;B SEVERINI ELISA"/>
    <s v="via A.Moro 5"/>
    <x v="77"/>
    <m/>
    <m/>
    <s v="elisa.sev@libero.it; ma812000@yahoo.it"/>
    <s v="B&amp;B SEVERINI ELISA - MONTECALVO IN FOGLIA"/>
  </r>
  <r>
    <x v="5"/>
    <s v="B&amp;B SHABBY CHIC"/>
    <s v="via Sappanico 112"/>
    <x v="10"/>
    <m/>
    <m/>
    <s v="robertapiccia@tiscali.it"/>
    <s v="B&amp;B SHABBY CHIC - ANCONA"/>
  </r>
  <r>
    <x v="5"/>
    <s v="B&amp;B SILVI STEFANO"/>
    <s v="vicolo della Madonnina 8"/>
    <x v="65"/>
    <s v="ROCCAFLUVIONE"/>
    <m/>
    <m/>
    <s v="B&amp;B SILVI STEFANO - ROCCAFLUVIONE"/>
  </r>
  <r>
    <x v="5"/>
    <s v="B&amp;B SIVIERO FEDERICA"/>
    <s v="viale Antonio Gramsci 51"/>
    <x v="33"/>
    <s v="FANO"/>
    <m/>
    <s v="fede.vita15@libero.it"/>
    <s v="B&amp;B SIVIERO FEDERICA - FANO"/>
  </r>
  <r>
    <x v="5"/>
    <s v="B&amp;B SKIPPER di PAGLIARINI MICHELE"/>
    <s v="via sabotino 42"/>
    <x v="12"/>
    <s v="SAN BENEDETTO DEL TRONTO"/>
    <s v="www.bbskipper.it"/>
    <s v="info@bbskipper.it"/>
    <s v="B&amp;B SKIPPER di PAGLIARINI MICHELE - SAN BENEDETTO DEL TRONTO"/>
  </r>
  <r>
    <x v="5"/>
    <s v="B&amp;B SOGNI D'ORO"/>
    <s v="via g. di Vittorio 9 A"/>
    <x v="17"/>
    <m/>
    <s v="www.sognidoro.info"/>
    <s v="info@sognidoro.info"/>
    <s v="B&amp;B SOGNI D'ORO - CIVITANOVA MARCHE"/>
  </r>
  <r>
    <x v="5"/>
    <s v="B&amp;B SOLE E LUNA"/>
    <s v="c.da Colonna 12"/>
    <x v="154"/>
    <m/>
    <s v="www.solelunabb.altervista.org/"/>
    <s v="bb_soleluna@yahoo.it"/>
    <s v="B&amp;B SOLE E LUNA - AGUGLIANO"/>
  </r>
  <r>
    <x v="5"/>
    <s v="B&amp;B SOLE E LUNA"/>
    <s v="via Case Sparse 25"/>
    <x v="93"/>
    <s v="caccamo sul lago"/>
    <s v="www.soleelunabb.it"/>
    <s v="emanuela.seri@libero.it"/>
    <s v="B&amp;B SOLE E LUNA - SERRAPETRONA"/>
  </r>
  <r>
    <x v="5"/>
    <s v="B&amp;B SOLELUNA"/>
    <s v="via scossicci  64"/>
    <x v="23"/>
    <s v="PORTO RECANATI"/>
    <s v="www.bb-soleluna.it"/>
    <m/>
    <s v="B&amp;B SOLELUNA - PORTO RECANATI"/>
  </r>
  <r>
    <x v="5"/>
    <s v="B&amp;B SOLESTA'"/>
    <s v="via Gaspare Spontini 12"/>
    <x v="151"/>
    <m/>
    <m/>
    <s v="solestapiceno@gmail.com"/>
    <s v="B&amp;B SOLESTA' - ASCOLI PICENO"/>
  </r>
  <r>
    <x v="5"/>
    <s v="B&amp;B SONIA MINNICI"/>
    <s v="contrada parruccia 11"/>
    <x v="6"/>
    <s v="TOLENTINO"/>
    <s v="www.bbsolevento.it"/>
    <s v="bbsolevento@bbsolevento.it"/>
    <s v="B&amp;B SONIA MINNICI - TOLENTINO"/>
  </r>
  <r>
    <x v="5"/>
    <s v="B&amp;B SOTTO GLI ULIVI"/>
    <s v="via degli Olivi 3"/>
    <x v="5"/>
    <m/>
    <m/>
    <s v="giuseppe.paccasassi@virgilio.it"/>
    <s v="B&amp;B SOTTO GLI ULIVI - GROTTAMMARE"/>
  </r>
  <r>
    <x v="5"/>
    <s v="B&amp;B SOTTO LA ROCCA"/>
    <s v="vicolo degli orti 11"/>
    <x v="55"/>
    <s v="CAMPOFILONE"/>
    <m/>
    <s v="mstagnari@gmail.com"/>
    <s v="B&amp;B SOTTO LA ROCCA - CAMPOFILONE"/>
  </r>
  <r>
    <x v="5"/>
    <s v="B&amp;B SOTTO LE LOGGE"/>
    <s v="via Portici Ercolani 53"/>
    <x v="16"/>
    <m/>
    <m/>
    <s v="kimmiky@tiscali.it"/>
    <s v="B&amp;B SOTTO LE LOGGE - SENIGALLIA"/>
  </r>
  <r>
    <x v="5"/>
    <s v="B&amp;B SPECIAL MARCHE HOLIDAYS"/>
    <s v="via Barilari 21"/>
    <x v="10"/>
    <m/>
    <m/>
    <s v="marco.sartini.75@gmail.com"/>
    <s v="B&amp;B SPECIAL MARCHE HOLIDAYS - ANCONA"/>
  </r>
  <r>
    <x v="5"/>
    <s v="B&amp;B SPENSIERANDO"/>
    <s v="via sant' isidoro 40"/>
    <x v="60"/>
    <s v="CORINALDO"/>
    <m/>
    <s v="ivan.garbatini@alice.it"/>
    <s v="B&amp;B SPENSIERANDO - CORINALDO"/>
  </r>
  <r>
    <x v="5"/>
    <s v="B&amp;B SPICELLO di CINGOLANI SANDRO"/>
    <s v="Strada Spicello 24"/>
    <x v="220"/>
    <s v="SAN GIORGIO DI PESARO"/>
    <s v="www.cingolanisandro.it"/>
    <s v="info@cingolanisandro.it"/>
    <s v="B&amp;B SPICELLO di CINGOLANI SANDRO - SAN GIORGIO DI PESARO"/>
  </r>
  <r>
    <x v="5"/>
    <s v="B&amp;B SPINE'OLA"/>
    <s v="via Pio La Torre 5"/>
    <x v="199"/>
    <s v="SPINETOLI"/>
    <m/>
    <s v="RC1958@hotmail.it"/>
    <s v="B&amp;B SPINE'OLA - SPINETOLI"/>
  </r>
  <r>
    <x v="5"/>
    <s v="B&amp;B STANDARD"/>
    <s v="Corso Dalmazia 134"/>
    <x v="17"/>
    <m/>
    <m/>
    <s v="info@standardbnb.com"/>
    <s v="B&amp;B STANDARD - CIVITANOVA MARCHE"/>
  </r>
  <r>
    <x v="5"/>
    <s v="B&amp;B STANZA DEL COMMEDIANTE"/>
    <s v="via dell'Aquila 25"/>
    <x v="6"/>
    <m/>
    <m/>
    <s v="stanzadelcommediante@gmail.com"/>
    <s v="B&amp;B STANZA DEL COMMEDIANTE - TOLENTINO"/>
  </r>
  <r>
    <x v="5"/>
    <s v="B&amp;B STELLE DEL CONERO"/>
    <s v="via Alpi 17"/>
    <x v="10"/>
    <s v="ANCONA"/>
    <s v="www.stelledelconero.it"/>
    <s v="info@stelledelconero.it"/>
    <s v="B&amp;B STELLE DEL CONERO - ANCONA"/>
  </r>
  <r>
    <x v="5"/>
    <s v="B&amp;B STRAMENGA VINCENZO"/>
    <s v="via frana 33a"/>
    <x v="5"/>
    <s v="GROTTAMMARE"/>
    <s v="www.activebroker.agenzie.casa.it"/>
    <s v="stramengaenzo@email.it"/>
    <s v="B&amp;B STRAMENGA VINCENZO - GROTTAMMARE"/>
  </r>
  <r>
    <x v="5"/>
    <s v="B&amp;B SUITE SPA"/>
    <s v="via a. Diaz 64"/>
    <x v="37"/>
    <m/>
    <m/>
    <s v="gismondimassimiliano@gmail.com"/>
    <s v="B&amp;B SUITE SPA - FERMO"/>
  </r>
  <r>
    <x v="5"/>
    <s v="B&amp;B SUMMER"/>
    <m/>
    <x v="222"/>
    <m/>
    <s v="www.bbsummer.it"/>
    <s v="info@bbsummer.it"/>
    <s v="B&amp;B SUMMER - PEDASO"/>
  </r>
  <r>
    <x v="5"/>
    <s v="B&amp;B SUN SHINE"/>
    <s v="via Montecoriolano 12/b"/>
    <x v="148"/>
    <m/>
    <s v="www.countryhousesunshine.it"/>
    <s v="countryhousesunshine@gmail.com"/>
    <s v="B&amp;B SUN SHINE - POTENZA PICENA"/>
  </r>
  <r>
    <x v="5"/>
    <s v="B&amp;B SUNBEACH"/>
    <s v="via Sardegna 1/c"/>
    <x v="12"/>
    <m/>
    <s v="http://bbsunbeach.it"/>
    <s v="lusantori@gmail.com"/>
    <s v="B&amp;B SUNBEACH - SAN BENEDETTO DEL TRONTO"/>
  </r>
  <r>
    <x v="5"/>
    <s v="B&amp;B SUNFLOWER"/>
    <s v="via Montecamillone 1"/>
    <x v="169"/>
    <m/>
    <m/>
    <m/>
    <s v="B&amp;B SUNFLOWER - CASTELFIDARDO"/>
  </r>
  <r>
    <x v="5"/>
    <s v="B&amp;B TABART INN"/>
    <s v="via R. Papiri 24"/>
    <x v="45"/>
    <s v="MONTEFORTINO"/>
    <s v="www.tabart-inn.com"/>
    <s v="info@tabart-inn.com"/>
    <s v="B&amp;B TABART INN - MONTEFORTINO"/>
  </r>
  <r>
    <x v="5"/>
    <s v="B&amp;B TACHE"/>
    <s v="via Montegallo 27"/>
    <x v="44"/>
    <m/>
    <m/>
    <s v="montegallo.tache@gmail.com"/>
    <s v="B&amp;B TACHE - OSIMO"/>
  </r>
  <r>
    <x v="5"/>
    <s v="B&amp;B TARCHI LEONARDO"/>
    <s v="via Goffredo Mameli 46"/>
    <x v="17"/>
    <s v="CIVITANOVA MARCHE"/>
    <s v="www.bebilcortile.com"/>
    <s v="info@bebilcortile.com"/>
    <s v="B&amp;B TARCHI LEONARDO - CIVITANOVA MARCHE"/>
  </r>
  <r>
    <x v="5"/>
    <s v="B&amp;B TELE GIANNA"/>
    <s v="via G. Leopardi 6"/>
    <x v="171"/>
    <s v="CASININA"/>
    <s v="www.bb.telegianna.it"/>
    <s v="carla2009@alice.it"/>
    <s v="B&amp;B TELE GIANNA - AUDITORE"/>
  </r>
  <r>
    <x v="5"/>
    <s v="B&amp;B TEMPLARI NELLE MARCHE"/>
    <s v="via della Commenda 2"/>
    <x v="44"/>
    <s v="Casenuove"/>
    <s v="www.templarinellemarche.it"/>
    <s v="collesanfilippo@gmail.com"/>
    <s v="B&amp;B TEMPLARI NELLE MARCHE - OSIMO"/>
  </r>
  <r>
    <x v="5"/>
    <s v="B&amp;B TENUTA GORGIANO"/>
    <s v="località Gorgiano 2"/>
    <x v="42"/>
    <s v="Gorgiano"/>
    <m/>
    <s v="as.gorgiano@gmail.com"/>
    <s v="B&amp;B TENUTA GORGIANO - CAMERINO"/>
  </r>
  <r>
    <x v="5"/>
    <s v="B&amp;B TERRA DI MEZZO"/>
    <s v="C.da Sassari 279"/>
    <x v="151"/>
    <s v="frazione Venagrande"/>
    <s v="www.terradimezzo.marche.it"/>
    <s v="terradi12@yahoo.it"/>
    <s v="B&amp;B TERRA DI MEZZO - ASCOLI PICENO"/>
  </r>
  <r>
    <x v="5"/>
    <s v="B&amp;B TERRA E CIELO"/>
    <s v="vocabolo calmancino 4"/>
    <x v="58"/>
    <s v="SANT' ANGELO IN VADO"/>
    <s v="www.calmancino.eu"/>
    <s v="info@calmancino.eu"/>
    <s v="B&amp;B TERRA E CIELO - SANT'ANGELO IN VADO"/>
  </r>
  <r>
    <x v="5"/>
    <s v="B&amp;B TERRA MOSSA"/>
    <s v="via Santa Maria del Monte  8"/>
    <x v="214"/>
    <m/>
    <s v="www.bbterramossa.it"/>
    <s v="info@bbterramossa.it"/>
    <s v="B&amp;B TERRA MOSSA - POGGIO SAN MARCELLO"/>
  </r>
  <r>
    <x v="5"/>
    <s v="B&amp;B TERRAMARE"/>
    <s v="c.da Pescolla 7"/>
    <x v="87"/>
    <s v="loc. Pescolla"/>
    <s v="www.picenoterramare.it"/>
    <s v="info@picenoterramare.it"/>
    <s v="B&amp;B TERRAMARE - CASTORANO"/>
  </r>
  <r>
    <x v="5"/>
    <s v="B&amp;B TERRAZZA IN COLLINA"/>
    <s v="strada comunale Carignano 27/b"/>
    <x v="33"/>
    <m/>
    <m/>
    <s v="danyasfur@hotmail.com"/>
    <s v="B&amp;B TERRAZZA IN COLLINA - FANO"/>
  </r>
  <r>
    <x v="5"/>
    <s v="B&amp;B TERRAZZA SUL MARE"/>
    <s v="VIA MARZABOTTO 12"/>
    <x v="33"/>
    <m/>
    <m/>
    <s v="mei-pla1965@hotmail.it"/>
    <s v="B&amp;B TERRAZZA SUL MARE - FANO"/>
  </r>
  <r>
    <x v="5"/>
    <s v="B&amp;B TERRAZZA SUL MARE"/>
    <s v="via Umberto I 736"/>
    <x v="163"/>
    <m/>
    <m/>
    <s v="sulmare.terrazza@gmail.com"/>
    <s v="B&amp;B TERRAZZA SUL MARE - PORTO SANT'ELPIDIO"/>
  </r>
  <r>
    <x v="5"/>
    <s v="B&amp;B TERRE DI MARE"/>
    <s v="via Cavallotti 74"/>
    <x v="69"/>
    <m/>
    <m/>
    <s v="rolafe@alice.it"/>
    <s v="B&amp;B TERRE DI MARE - PESARO"/>
  </r>
  <r>
    <x v="5"/>
    <s v="B&amp;B THE RETREAT"/>
    <s v="via San Taddeo 12"/>
    <x v="142"/>
    <m/>
    <s v="www.lemarcheretreat.com"/>
    <s v="info@lemarcheretreat.com"/>
    <s v="B&amp;B THE RETREAT - FORCE"/>
  </r>
  <r>
    <x v="5"/>
    <s v="B&amp;B TIERRA CRISTIANA"/>
    <s v="contrada asola 12"/>
    <x v="17"/>
    <s v="CIVITANOVA MARCHE"/>
    <m/>
    <s v="info@tierra-cristiana.com"/>
    <s v="B&amp;B TIERRA CRISTIANA - CIVITANOVA MARCHE"/>
  </r>
  <r>
    <x v="5"/>
    <s v="B&amp;B TIMEOUT"/>
    <s v="via della Baviera 21"/>
    <x v="131"/>
    <m/>
    <s v="www.bbpolverigi.it"/>
    <s v="info@bb-timeout.it"/>
    <s v="B&amp;B TIMEOUT - POLVERIGI"/>
  </r>
  <r>
    <x v="5"/>
    <s v="B&amp;B TISI MARIO"/>
    <s v="via Salaria Inferiore 23"/>
    <x v="151"/>
    <s v="ASCOLI PICENO"/>
    <m/>
    <m/>
    <s v="B&amp;B TISI MARIO - ASCOLI PICENO"/>
  </r>
  <r>
    <x v="5"/>
    <s v="B&amp;B TOC TOC"/>
    <s v="TASSO  62"/>
    <x v="152"/>
    <s v="FERMIGNANO"/>
    <m/>
    <m/>
    <s v="B&amp;B TOC TOC - FERMIGNANO"/>
  </r>
  <r>
    <x v="5"/>
    <s v="B&amp;B TOCCHI SESTILIA"/>
    <s v="Fraz. Pozza 88"/>
    <x v="35"/>
    <s v="POZZA"/>
    <m/>
    <s v="giulio_deangelis@libero.it"/>
    <s v="B&amp;B TOCCHI SESTILIA - ACQUASANTA TERME"/>
  </r>
  <r>
    <x v="5"/>
    <s v="B&amp;B TOPI ANTONIO"/>
    <m/>
    <x v="80"/>
    <s v="Cà Filippo"/>
    <m/>
    <s v="topiantonio@virgilio.it"/>
    <s v="B&amp;B TOPI ANTONIO - URBANIA"/>
  </r>
  <r>
    <x v="5"/>
    <s v="B&amp;B TORRE COLOMBAIA"/>
    <s v="frazione Cagnano 4/a"/>
    <x v="35"/>
    <m/>
    <m/>
    <s v="torrecolombaia@virgilio.it"/>
    <s v="B&amp;B TORRE COLOMBAIA - ACQUASANTA TERME"/>
  </r>
  <r>
    <x v="5"/>
    <s v="B&amp;B TORRE D'ACQUAVIVA"/>
    <s v="via Molleone 5"/>
    <x v="75"/>
    <m/>
    <s v="www.torreacquaviva.it"/>
    <s v="amichelinitocci@yahoo.it"/>
    <s v="B&amp;B TORRE D'ACQUAVIVA - CAGLI"/>
  </r>
  <r>
    <x v="5"/>
    <s v="B&amp;B TORRE DI PALME"/>
    <s v="via nazario sauro 2"/>
    <x v="37"/>
    <s v="FERMO"/>
    <s v="www.bed-and-breakfast-torredipalme.it"/>
    <s v="torredipalmebb@virgilio.it"/>
    <s v="B&amp;B TORRE DI PALME - FERMO"/>
  </r>
  <r>
    <x v="5"/>
    <s v="B&amp;B TORRE DI PORTONOVO"/>
    <m/>
    <x v="10"/>
    <m/>
    <m/>
    <s v="torrediportonovo@gmail.com"/>
    <s v="B&amp;B TORRE DI PORTONOVO - ANCONA"/>
  </r>
  <r>
    <x v="5"/>
    <s v="B&amp;B TORRE SAN LORENZETTO"/>
    <s v="via del montale 113"/>
    <x v="60"/>
    <s v="CORINALDO"/>
    <m/>
    <s v="vitro@libero.it"/>
    <s v="B&amp;B TORRE SAN LORENZETTO - CORINALDO"/>
  </r>
  <r>
    <x v="5"/>
    <s v="B&amp;B TORRETTA BONAPARTE"/>
    <s v="contrada san girio 11"/>
    <x v="148"/>
    <s v="POTENZA PICENA"/>
    <s v="www.torrettabonaparte.com"/>
    <s v="torrettabonaparte@libero.it"/>
    <s v="B&amp;B TORRETTA BONAPARTE - POTENZA PICENA"/>
  </r>
  <r>
    <x v="5"/>
    <s v="B&amp;B TOSCANO RINALDO ANTONIO"/>
    <s v="vocabolo Serre Alte 1"/>
    <x v="145"/>
    <s v="MATELICA"/>
    <m/>
    <s v="toscano.cinzia@gmail.com"/>
    <s v="B&amp;B TOSCANO RINALDO ANTONIO - MATELICA"/>
  </r>
  <r>
    <x v="5"/>
    <s v="B&amp;B TRA LA ROCCA E IL MARE"/>
    <s v="via Bonopera 1"/>
    <x v="16"/>
    <m/>
    <m/>
    <s v="carottip@gmail.com"/>
    <s v="B&amp;B TRA LA ROCCA E IL MARE - SENIGALLIA"/>
  </r>
  <r>
    <x v="5"/>
    <s v="B&amp;B TRA LE TORRI"/>
    <s v="via dei Soderini 23"/>
    <x v="151"/>
    <s v="ASCOLI PICENO"/>
    <s v="www.traletorri.com"/>
    <s v="sandraalbanesi@libero.it"/>
    <s v="B&amp;B TRA LE TORRI - ASCOLI PICENO"/>
  </r>
  <r>
    <x v="5"/>
    <s v="B&amp;B TRA ULIVI E GINESTRE"/>
    <s v="via Bellaguardia 4"/>
    <x v="211"/>
    <m/>
    <m/>
    <s v="adelchi.biagioli@gmail.com"/>
    <s v="B&amp;B TRA ULIVI E GINESTRE - MONTEMAGGIORE AL METAURO"/>
  </r>
  <r>
    <x v="5"/>
    <s v="B&amp;B TRANSITA A TREIA"/>
    <s v="Via Carlo Didimi 31"/>
    <x v="139"/>
    <m/>
    <m/>
    <s v="martero89@hotmail.it"/>
    <s v="B&amp;B TRANSITA A TREIA - TREIA"/>
  </r>
  <r>
    <x v="5"/>
    <s v="B&amp;B TRAPANANTI ARIANNA"/>
    <s v="VICOLO CAPESTRO  14"/>
    <x v="37"/>
    <s v="PIAZZETTA"/>
    <m/>
    <s v="arianna.trapananti@gmail.com"/>
    <s v="B&amp;B TRAPANANTI ARIANNA - FERMO"/>
  </r>
  <r>
    <x v="5"/>
    <s v="B&amp;B TRE CIVETTE SUL COMO'"/>
    <s v="via S. Bernardino 12"/>
    <x v="52"/>
    <m/>
    <m/>
    <s v="didi.adri@libero.it"/>
    <s v="B&amp;B TRE CIVETTE SUL COMO' - CARTOCETO"/>
  </r>
  <r>
    <x v="5"/>
    <s v="B&amp;B TRE FINESTRE SUL MARE - CASABAGNARA"/>
    <s v="via Santa Lucia 10"/>
    <x v="5"/>
    <m/>
    <s v="www.casabagnara.it"/>
    <s v="caterina@casabagnara.it"/>
    <s v="B&amp;B TRE FINESTRE SUL MARE - CASABAGNARA - GROTTAMMARE"/>
  </r>
  <r>
    <x v="5"/>
    <s v="B&amp;B TRE ORTENZIE"/>
    <s v=" Roma 45"/>
    <x v="198"/>
    <m/>
    <m/>
    <s v="adolfogiulietti@gmail.com"/>
    <s v="B&amp;B TRE ORTENZIE - ORTEZZANO"/>
  </r>
  <r>
    <x v="5"/>
    <s v="B&amp;B TRENTA ROMOLO"/>
    <m/>
    <x v="157"/>
    <s v="PRETARE"/>
    <m/>
    <m/>
    <s v="B&amp;B TRENTA ROMOLO - ARQUATA DEL TRONTO"/>
  </r>
  <r>
    <x v="5"/>
    <s v="B&amp;B TRENTHOUSE"/>
    <s v="VIA TORQUATO TASSO 3"/>
    <x v="47"/>
    <s v="PORTO SAN GIORGIO"/>
    <m/>
    <s v="loryt59@gmail.com"/>
    <s v="B&amp;B TRENTHOUSE - PORTO SAN GIORGIO"/>
  </r>
  <r>
    <x v="5"/>
    <s v="B&amp;B TRESTELLE"/>
    <s v="via San Martino 10"/>
    <x v="10"/>
    <s v="ANCONA"/>
    <m/>
    <s v="bebtrestelle@gmail.com"/>
    <s v="B&amp;B TRESTELLE - ANCONA"/>
  </r>
  <r>
    <x v="5"/>
    <s v="B&amp;B TRUFFI E FERRI"/>
    <m/>
    <x v="58"/>
    <m/>
    <m/>
    <m/>
    <s v="B&amp;B TRUFFI E FERRI - SANT'ANGELO IN VADO"/>
  </r>
  <r>
    <x v="5"/>
    <s v="B&amp;B TUFILLA"/>
    <s v="VIA ASIAGO 2"/>
    <x v="151"/>
    <m/>
    <m/>
    <m/>
    <s v="B&amp;B TUFILLA - ASCOLI PICENO"/>
  </r>
  <r>
    <x v="5"/>
    <s v="B&amp;B TULLIANI"/>
    <s v="contrada Valle 1"/>
    <x v="128"/>
    <s v="GUALDO"/>
    <s v="www.montiazzurri.com"/>
    <s v="tulliani@montiazzurri.com"/>
    <s v="B&amp;B TULLIANI - GUALDO"/>
  </r>
  <r>
    <x v="5"/>
    <s v="B&amp;B TUTTATERRA"/>
    <s v="via Serralta 28"/>
    <x v="72"/>
    <m/>
    <s v="www.tuttaterra.it"/>
    <s v="info@tuttaterra.it"/>
    <s v="B&amp;B TUTTATERRA - SERRA SAN QUIRICO"/>
  </r>
  <r>
    <x v="5"/>
    <s v="B&amp;B TUTTO ENTRO 300 MT"/>
    <s v="via G. Leopardi 64"/>
    <x v="22"/>
    <m/>
    <m/>
    <s v="fernandocerioni@libero.it"/>
    <s v="B&amp;B TUTTO ENTRO 300 MT - FALCONARA MARITTIMA"/>
  </r>
  <r>
    <x v="5"/>
    <s v="B&amp;B UN MARE DI GIOIA"/>
    <s v="via Gramsci 75"/>
    <x v="23"/>
    <m/>
    <s v="www.unmaredigioia.it"/>
    <s v="sandrapiermarini@alice.it"/>
    <s v="B&amp;B UN MARE DI GIOIA - PORTO RECANATI"/>
  </r>
  <r>
    <x v="5"/>
    <s v="B&amp;B UN POSTO AL SOLE"/>
    <s v="via Fonte di Campo 36"/>
    <x v="151"/>
    <m/>
    <m/>
    <m/>
    <s v="B&amp;B UN POSTO AL SOLE - ASCOLI PICENO"/>
  </r>
  <r>
    <x v="5"/>
    <s v="B&amp;B UNA ROTONDA SUL MARE"/>
    <s v="lungomare Marconi 16"/>
    <x v="16"/>
    <s v="SENIGALLIA"/>
    <m/>
    <s v="marinella.marchetti3@gmail.com"/>
    <s v="B&amp;B UNA ROTONDA SUL MARE - SENIGALLIA"/>
  </r>
  <r>
    <x v="5"/>
    <s v="B&amp;B URBINO"/>
    <s v="via Fornace 1"/>
    <x v="1"/>
    <s v="URBINO"/>
    <m/>
    <s v="marosx@vodafone.it"/>
    <s v="B&amp;B URBINO - URBINO"/>
  </r>
  <r>
    <x v="5"/>
    <s v="B&amp;B VALDERICARTE"/>
    <s v="loc. Valderica 8"/>
    <x v="61"/>
    <s v="LAMOLI"/>
    <s v="www.valdericarte.com"/>
    <s v="stella@valdericarte.com"/>
    <s v="B&amp;B VALDERICARTE - BORGO PACE"/>
  </r>
  <r>
    <x v="5"/>
    <s v="B&amp;B VALENTINA"/>
    <s v="VIA APPENNINI 46/D"/>
    <x v="10"/>
    <m/>
    <m/>
    <s v="maxgradara@libero.it"/>
    <s v="B&amp;B VALENTINA - ANCONA"/>
  </r>
  <r>
    <x v="5"/>
    <s v="B&amp;B VALENTINO"/>
    <s v="circonvallazione 5"/>
    <x v="205"/>
    <m/>
    <m/>
    <s v="valentino.cm.janigro@gmail.com"/>
    <s v="B&amp;B VALENTINO - MONTOTTONE"/>
  </r>
  <r>
    <x v="5"/>
    <s v="B&amp;B VALLE DELL'EDEN"/>
    <s v="via F.lli Rosselli 55"/>
    <x v="5"/>
    <m/>
    <s v="www.valledelleden.com"/>
    <s v="info@valledelleden.com"/>
    <s v="B&amp;B VALLE DELL'EDEN - GROTTAMMARE"/>
  </r>
  <r>
    <x v="5"/>
    <s v="B&amp;B VALLE SAN MARTINO"/>
    <s v="localita' valle raggiano 12"/>
    <x v="42"/>
    <s v="CAMERINO"/>
    <m/>
    <m/>
    <s v="B&amp;B VALLE SAN MARTINO - CAMERINO"/>
  </r>
  <r>
    <x v="5"/>
    <s v="B&amp;B VALLEVERDE"/>
    <s v="via Santa Maria delle Stelle 2"/>
    <x v="53"/>
    <m/>
    <s v="www.lavalleverde.com"/>
    <s v="info@lavalleverde.com"/>
    <s v="B&amp;B VALLEVERDE - MERGO"/>
  </r>
  <r>
    <x v="5"/>
    <s v="B&amp;B VAN HAMBURG ANNELIES"/>
    <s v="frazione montesecco 54"/>
    <x v="91"/>
    <s v="PERGOLA"/>
    <s v="www.imagnoni.com"/>
    <s v="imagnoni@imagnoni.com"/>
    <s v="B&amp;B VAN HAMBURG ANNELIES - PERGOLA"/>
  </r>
  <r>
    <x v="5"/>
    <s v="B&amp;B VARCO"/>
    <s v="contrada San Valentino Campo Largo 2"/>
    <x v="27"/>
    <s v="LORO PICENO"/>
    <s v="www.bbvarco.it"/>
    <s v="info@bbvarco.it"/>
    <s v="B&amp;B VARCO - LORO PICENO"/>
  </r>
  <r>
    <x v="5"/>
    <s v="B&amp;B VELA SEA di ACCIARRI VITALIANA"/>
    <s v="via Vela 71"/>
    <x v="17"/>
    <s v="Civitanova Marche"/>
    <m/>
    <s v="acciarriantiquariato@gmail.com"/>
    <s v="B&amp;B VELA SEA di ACCIARRI VITALIANA - CIVITANOVA MARCHE"/>
  </r>
  <r>
    <x v="5"/>
    <s v="B&amp;B VENTO DEL MARE"/>
    <s v="via Amalfi  63"/>
    <x v="9"/>
    <s v="Marcelli"/>
    <s v="www.ventodelmare.it"/>
    <s v="info@ventodelmare.it"/>
    <s v="B&amp;B VENTO DEL MARE - NUMANA"/>
  </r>
  <r>
    <x v="5"/>
    <s v="B&amp;B VENTO DELL'EST"/>
    <s v="C.DA MONTECANEPINO 59"/>
    <x v="148"/>
    <m/>
    <s v="www.ventodellest.com"/>
    <s v="marvin.em@libero.it"/>
    <s v="B&amp;B VENTO DELL'EST - POTENZA PICENA"/>
  </r>
  <r>
    <x v="5"/>
    <s v="B&amp;B VENTO DI ROSE"/>
    <s v="via Canniccio  7"/>
    <x v="98"/>
    <s v=" Monterubbiano"/>
    <s v="www.ventodirose.it"/>
    <s v="info@ventodirose.it"/>
    <s v="B&amp;B VENTO DI ROSE - MONTERUBBIANO"/>
  </r>
  <r>
    <x v="5"/>
    <s v="B&amp;B VERDAZZURRO di FILIPPETTI ELISABETTA"/>
    <s v="via Poggi 17"/>
    <x v="33"/>
    <m/>
    <s v="www.bnbverdazzurro.it"/>
    <s v="info@bnbverdazzurro.it"/>
    <s v="B&amp;B VERDAZZURRO di FILIPPETTI ELISABETTA - FANO"/>
  </r>
  <r>
    <x v="5"/>
    <s v="B&amp;B VERDE ARMONIA"/>
    <s v="via Gualdo 16/a"/>
    <x v="41"/>
    <m/>
    <m/>
    <s v="vono.ricci@libero.it"/>
    <s v="B&amp;B VERDE ARMONIA - MONTEMARCIANO"/>
  </r>
  <r>
    <x v="5"/>
    <s v="B&amp;B VERDE AZZURRO"/>
    <s v="via benedetto brin 8"/>
    <x v="17"/>
    <s v="CIVITANOVA MARCHE"/>
    <m/>
    <s v="bbverdeazzurro@libero.it"/>
    <s v="B&amp;B VERDE AZZURRO - CIVITANOVA MARCHE"/>
  </r>
  <r>
    <x v="5"/>
    <s v="B&amp;B VERDE PARADISO"/>
    <s v="viale Amendola 16"/>
    <x v="56"/>
    <m/>
    <s v="www.verdeparadiso.it"/>
    <s v="info.verdeparadiso@verdeparadiso.it"/>
    <s v="B&amp;B VERDE PARADISO - RECANATI"/>
  </r>
  <r>
    <x v="5"/>
    <s v="B&amp;B VERDE SMERALDO"/>
    <s v="localita' castreccioni 46"/>
    <x v="26"/>
    <s v="CINGOLI"/>
    <s v="www.ristorantelosmeraldo.it"/>
    <s v="claudiasmeraldo@alice.it"/>
    <s v="B&amp;B VERDE SMERALDO - CINGOLI"/>
  </r>
  <r>
    <x v="5"/>
    <s v="B&amp;B VERDE SUL MARE"/>
    <s v="via Poggio del Sole 69"/>
    <x v="9"/>
    <m/>
    <s v="www.verdesulmare.it"/>
    <s v="info@verdesulmare.it"/>
    <s v="B&amp;B VERDE SUL MARE - NUMANA"/>
  </r>
  <r>
    <x v="5"/>
    <s v="B&amp;B VERDE VALDASO DI PENNESI DOMENICO"/>
    <s v="contrada Aso 19"/>
    <x v="29"/>
    <s v="LAPEDONA"/>
    <s v="www.verdevaldaso.it"/>
    <s v="verdevaldaso@virgilio.it"/>
    <s v="B&amp;B VERDE VALDASO DI PENNESI DOMENICO - LAPEDONA"/>
  </r>
  <r>
    <x v="5"/>
    <s v="B&amp;B VERDEMARE di MARZETTI ANTONELLA"/>
    <s v="C.da Casarica 29"/>
    <x v="19"/>
    <s v="ACQUAVIVA PICENA"/>
    <m/>
    <s v="info@bb-verdemare.com"/>
    <s v="B&amp;B VERDEMARE di MARZETTI ANTONELLA - ACQUAVIVA PICENA"/>
  </r>
  <r>
    <x v="5"/>
    <s v="B&amp;B VERDEQUIETE VENANZI MAURO"/>
    <s v="contrada vecciola 155"/>
    <x v="11"/>
    <s v="SARNANO"/>
    <m/>
    <s v="maurovenanzi@alice.it"/>
    <s v="B&amp;B VERDEQUIETE VENANZI MAURO - SARNANO"/>
  </r>
  <r>
    <x v="5"/>
    <s v="B&amp;B VERDEROSA"/>
    <s v="via San Gregorio Magno 46"/>
    <x v="32"/>
    <m/>
    <m/>
    <s v="bbverderosa@gmail.com"/>
    <s v="B&amp;B VERDEROSA - CUPRA MARITTIMA"/>
  </r>
  <r>
    <x v="5"/>
    <s v="B&amp;B VETRALLA"/>
    <s v="Via Cortina San Venanzo 13"/>
    <x v="21"/>
    <s v="FABRIANO"/>
    <s v="www.bbvetralla.it"/>
    <s v="info@bbvetralla.it"/>
    <s v="B&amp;B VETRALLA - FABRIANO"/>
  </r>
  <r>
    <x v="5"/>
    <s v="B&amp;B VI.VI'"/>
    <s v="PONTE VECCHIO 5/C"/>
    <x v="80"/>
    <s v="SCHEGGIOLA"/>
    <m/>
    <s v="violinimassiomo@gmail.com"/>
    <s v="B&amp;B VI.VI' - URBANIA"/>
  </r>
  <r>
    <x v="5"/>
    <s v="B&amp;B VIA ABBA"/>
    <s v="VIA ABBA 13"/>
    <x v="69"/>
    <m/>
    <m/>
    <s v="stefanianettuno@alice.it"/>
    <s v="B&amp;B VIA ABBA - PESARO"/>
  </r>
  <r>
    <x v="5"/>
    <s v="B&amp;B VIA DEGLI ORTI"/>
    <s v="via Petrarca 23"/>
    <x v="70"/>
    <m/>
    <m/>
    <s v="sam.ilgobbo@alice.it"/>
    <s v="B&amp;B VIA DEGLI ORTI - SERRA SANT'ABBONDIO"/>
  </r>
  <r>
    <x v="5"/>
    <s v="B&amp;B VIA DEL POGGIO"/>
    <s v="BORGO SANT ANTONIO  17"/>
    <x v="49"/>
    <s v="VISSO"/>
    <m/>
    <s v="cappatonino@gmail.com"/>
    <s v="B&amp;B VIA DEL POGGIO - VISSO"/>
  </r>
  <r>
    <x v="5"/>
    <s v="B&amp;B VIA DELLA MARINA 3"/>
    <s v="strada della Marina 3"/>
    <x v="16"/>
    <m/>
    <m/>
    <s v="vmontesi@yahoo.com"/>
    <s v="B&amp;B VIA DELLA MARINA 3 - SENIGALLIA"/>
  </r>
  <r>
    <x v="5"/>
    <s v="B&amp;B VIA GARIBALDI"/>
    <s v="VIA GARIBALDI 90"/>
    <x v="37"/>
    <s v="FERMO"/>
    <m/>
    <s v="colomba.cuomo@gmail.com"/>
    <s v="B&amp;B VIA GARIBALDI - FERMO"/>
  </r>
  <r>
    <x v="5"/>
    <s v="B&amp;B VIA MARINA 56"/>
    <s v="via Marina 56"/>
    <x v="41"/>
    <m/>
    <s v="www.viamarina56.it"/>
    <s v="info@viamarina56.it; enzortu@gmail.com"/>
    <s v="B&amp;B VIA MARINA 56 - MONTEMARCIANO"/>
  </r>
  <r>
    <x v="5"/>
    <s v="B&amp;B VIA PRADELLA"/>
    <s v="via Pradella 58/b"/>
    <x v="70"/>
    <m/>
    <m/>
    <s v="sam.ilgobbo@alice.it"/>
    <s v="B&amp;B VIA PRADELLA - SERRA SANT'ABBONDIO"/>
  </r>
  <r>
    <x v="5"/>
    <s v="B&amp;B VIA USSITA"/>
    <m/>
    <x v="49"/>
    <m/>
    <m/>
    <m/>
    <s v="B&amp;B VIA USSITA - VISSO"/>
  </r>
  <r>
    <x v="5"/>
    <s v="B&amp;B VIABENAMATI"/>
    <s v="via Benamati 13"/>
    <x v="75"/>
    <m/>
    <m/>
    <s v="viabenamati@virgilio.it"/>
    <s v="B&amp;B VIABENAMATI - CAGLI"/>
  </r>
  <r>
    <x v="5"/>
    <s v="B&amp;B VIALE DEI TIGLI"/>
    <s v="via berta 2"/>
    <x v="42"/>
    <s v="CAMERINO"/>
    <m/>
    <s v="ilvialedeitigli@libero.it"/>
    <s v="B&amp;B VIALE DEI TIGLI - CAMERINO"/>
  </r>
  <r>
    <x v="5"/>
    <s v="B&amp;B VIASANMORO"/>
    <s v="via san moro 10"/>
    <x v="119"/>
    <s v="RIPE"/>
    <s v="www.viasanmoro.org"/>
    <s v="info@viasanmoro.org; zanzara97@libero.it"/>
    <s v="B&amp;B VIASANMORO - TRECASTELLI"/>
  </r>
  <r>
    <x v="5"/>
    <s v="B&amp;B VICINO... L'ARCO"/>
    <s v="corso Matteotti 89"/>
    <x v="4"/>
    <s v="JESI"/>
    <s v="www.vicinolarco.altervista.org"/>
    <s v="vicinolarco@yahoo.it"/>
    <s v="B&amp;B VICINO... L'ARCO - JESI"/>
  </r>
  <r>
    <x v="5"/>
    <s v="B&amp;B VILLA  NGIOLO'"/>
    <s v="via Marecchia 9"/>
    <x v="10"/>
    <s v="ANCONA"/>
    <s v="www.villangiolo.com"/>
    <s v="info@villangiolo.com"/>
    <s v="B&amp;B VILLA  NGIOLO' - ANCONA"/>
  </r>
  <r>
    <x v="5"/>
    <s v="B&amp;B VILLA ADA"/>
    <s v="via B.Buozzi 37"/>
    <x v="75"/>
    <m/>
    <s v="http://villaadacagli.tumblr.com/"/>
    <s v="villaadacagli@gmail.com"/>
    <s v="B&amp;B VILLA ADA - CAGLI"/>
  </r>
  <r>
    <x v="5"/>
    <s v="B&amp;B VILLA ALBA"/>
    <s v="Via Montagnolo  5"/>
    <x v="167"/>
    <s v="CAMERANO"/>
    <m/>
    <s v="cristianaliuti@gmail.com; info@bnbvillalba.it"/>
    <s v="B&amp;B VILLA ALBA - CAMERANO"/>
  </r>
  <r>
    <x v="5"/>
    <s v="B&amp;B VILLA ALBA"/>
    <s v="via Pompeiana  338"/>
    <x v="37"/>
    <m/>
    <s v="www.villalba.org"/>
    <s v="info@villalba.org"/>
    <s v="B&amp;B VILLA ALBA - FERMO"/>
  </r>
  <r>
    <x v="5"/>
    <s v="B&amp;B VILLA ANJANA"/>
    <s v="via S. Eufemia 7/9"/>
    <x v="1"/>
    <s v="S.EUFEMIA"/>
    <s v="www.villaanjana.altervista.org"/>
    <s v="villaanjana@libero.it"/>
    <s v="B&amp;B VILLA ANJANA - URBINO"/>
  </r>
  <r>
    <x v="5"/>
    <s v="B&amp;B VILLA ANNA"/>
    <s v="via Castello 2"/>
    <x v="146"/>
    <m/>
    <m/>
    <s v="temperilligiancarlo@alice.it"/>
    <s v="B&amp;B VILLA ANNA - SEFRO"/>
  </r>
  <r>
    <x v="5"/>
    <s v="B&amp;B VILLA ANNABELLA"/>
    <s v="via Valle Oscura 35"/>
    <x v="47"/>
    <m/>
    <s v="http://villaannabella.weebly.com"/>
    <s v="annabella.info@gmail.com"/>
    <s v="B&amp;B VILLA ANNABELLA - PORTO SAN GIORGIO"/>
  </r>
  <r>
    <x v="5"/>
    <s v="B&amp;B VILLA ANY"/>
    <s v="via delle Ville 12/b"/>
    <x v="10"/>
    <s v="Palombina Nuova"/>
    <m/>
    <s v="ispettore.marchetti@gmail.com"/>
    <s v="B&amp;B VILLA ANY - ANCONA"/>
  </r>
  <r>
    <x v="5"/>
    <s v="B&amp;B VILLA BANCI di CIOPPI STEFANO"/>
    <s v="via Rancitella  23"/>
    <x v="1"/>
    <m/>
    <s v="www.villabanci.it"/>
    <s v="villabanci@libero.it"/>
    <s v="B&amp;B VILLA BANCI di CIOPPI STEFANO - URBINO"/>
  </r>
  <r>
    <x v="5"/>
    <s v="B&amp;B VILLA BRITANNICA"/>
    <s v="via Monti 8"/>
    <x v="29"/>
    <m/>
    <m/>
    <s v="tim@timwills.com"/>
    <s v="B&amp;B VILLA BRITANNICA - LAPEDONA"/>
  </r>
  <r>
    <x v="5"/>
    <s v="B&amp;B VILLA BUSSOLA"/>
    <s v="contrada Pagliare 17"/>
    <x v="150"/>
    <s v="MONSAMPOLO DEL TRONTO"/>
    <m/>
    <s v="info@villabussola.com"/>
    <s v="B&amp;B VILLA BUSSOLA - MONSAMPOLO DEL TRONTO"/>
  </r>
  <r>
    <x v="5"/>
    <s v="B&amp;B VILLA CA' BELLARIA"/>
    <s v="VIA CA' I FRATI  5"/>
    <x v="1"/>
    <m/>
    <s v="www.cabellaria.it"/>
    <s v="info@cabellaria.it"/>
    <s v="B&amp;B VILLA CA' BELLARIA - URBINO"/>
  </r>
  <r>
    <x v="5"/>
    <s v="B&amp;B VILLA CAPODARCO"/>
    <s v="via Valleoscura di Capodarco 78"/>
    <x v="37"/>
    <s v="loc. Capodarco Montesecco"/>
    <s v="www.villacapodarco.it"/>
    <s v="info@villacapodarco.it"/>
    <s v="B&amp;B VILLA CAPODARCO - FERMO"/>
  </r>
  <r>
    <x v="5"/>
    <s v="B&amp;B VILLA CAPONI di FEDERICA TASSI"/>
    <s v="ruffini  9"/>
    <x v="157"/>
    <s v="ARQUATA DEL TRONTO"/>
    <s v="arquatadeltronto.com"/>
    <s v="villacaponi@libero.it"/>
    <s v="B&amp;B VILLA CAPONI di FEDERICA TASSI - ARQUATA DEL TRONTO"/>
  </r>
  <r>
    <x v="5"/>
    <s v="B&amp;B VILLA CAPPELLETTI"/>
    <m/>
    <x v="208"/>
    <s v="vicino Colfiorito"/>
    <s v="http://nuke.villacappelletti.it"/>
    <s v="biandbi@villacappelletti.it; maxkap57@yahoo.it"/>
    <s v="B&amp;B VILLA CAPPELLETTI - SERRAVALLE DI CHIENTI"/>
  </r>
  <r>
    <x v="5"/>
    <s v="B&amp;B VILLA CASULA"/>
    <s v="via Ripe  108/1"/>
    <x v="200"/>
    <s v="RIPE"/>
    <m/>
    <s v="info@villacasula.com"/>
    <s v="B&amp;B VILLA CASULA - MONTELABBATE"/>
  </r>
  <r>
    <x v="5"/>
    <s v="B&amp;B VILLA CINI"/>
    <s v="via S.P.Montefabbri 17"/>
    <x v="1"/>
    <m/>
    <s v="www.bbvillacini.com"/>
    <s v="info@bbvillacini.com"/>
    <s v="B&amp;B VILLA CINI - URBINO"/>
  </r>
  <r>
    <x v="5"/>
    <s v="B&amp;B VILLA COLLE"/>
    <s v="via del Castellano 38"/>
    <x v="10"/>
    <m/>
    <m/>
    <s v="laura.ugga@libero.it"/>
    <s v="B&amp;B VILLA COLLE - ANCONA"/>
  </r>
  <r>
    <x v="5"/>
    <s v="B&amp;B VILLA CORALIA"/>
    <s v="via Abbadia 26"/>
    <x v="44"/>
    <m/>
    <m/>
    <s v="info@villacoralia.it"/>
    <s v="B&amp;B VILLA CORALIA - OSIMO"/>
  </r>
  <r>
    <x v="5"/>
    <s v="B&amp;B VILLA COSETTA"/>
    <s v="localita' chiaruccia 51"/>
    <x v="33"/>
    <s v="FANO"/>
    <m/>
    <s v="info@villacosetta.com"/>
    <s v="B&amp;B VILLA COSETTA - FANO"/>
  </r>
  <r>
    <x v="5"/>
    <s v="B&amp;B VILLA CRI CRI"/>
    <s v="c.da Santa Lucia 15"/>
    <x v="12"/>
    <m/>
    <m/>
    <s v="info@villacricri.it"/>
    <s v="B&amp;B VILLA CRI CRI - SAN BENEDETTO DEL TRONTO"/>
  </r>
  <r>
    <x v="5"/>
    <s v="B&amp;B VILLA CRISTINA"/>
    <s v="via Case e Pozzo 10"/>
    <x v="54"/>
    <m/>
    <m/>
    <m/>
    <s v="B&amp;B VILLA CRISTINA - MONTELPARO"/>
  </r>
  <r>
    <x v="5"/>
    <s v="B&amp;B VILLA D'ARIA"/>
    <s v="contrada abbadia di fiastra 30"/>
    <x v="6"/>
    <s v="TOLENTINO"/>
    <s v="www.bbmarche.it"/>
    <s v="villadaria@bbmarche.it"/>
    <s v="B&amp;B VILLA D'ARIA - TOLENTINO"/>
  </r>
  <r>
    <x v="5"/>
    <s v="B&amp;B VILLA DEA"/>
    <s v="strada Comunale Centinarola 37"/>
    <x v="33"/>
    <s v="Centinarola"/>
    <s v="www.bedandbreakfastvilladeafano.wordpress.com"/>
    <s v="villadeafano@libero.it"/>
    <s v="B&amp;B VILLA DEA - FANO"/>
  </r>
  <r>
    <x v="5"/>
    <s v="B&amp;B VILLA DEI FIORI"/>
    <s v="via Santo Stefano 5"/>
    <x v="155"/>
    <s v="GRADARA"/>
    <s v="www.bb-gradara.com"/>
    <s v="info@bb-gradara.com"/>
    <s v="B&amp;B VILLA DEI FIORI - GRADARA"/>
  </r>
  <r>
    <x v="5"/>
    <s v="B&amp;B VILLA DEI PRIORI"/>
    <s v="via Salaria 4"/>
    <x v="150"/>
    <s v="MONSAMPOLO DEL TRONTO"/>
    <s v="www.villadeipriori.it"/>
    <s v="info@villadeipriori.com"/>
    <s v="B&amp;B VILLA DEI PRIORI - MONSAMPOLO DEL TRONTO"/>
  </r>
  <r>
    <x v="5"/>
    <s v="B&amp;B VILLA DEI VIGNALI"/>
    <s v="via cavour 9"/>
    <x v="59"/>
    <s v="COLLI DEL TRONTO"/>
    <s v="www.villadeivignali.too.it"/>
    <s v="legaltrading@gmail.com"/>
    <s v="B&amp;B VILLA DEI VIGNALI - COLLI DEL TRONTO"/>
  </r>
  <r>
    <x v="5"/>
    <s v="B&amp;B VILLA DELLA VALLE di BONNIER ANUSCKA PETRONELLA"/>
    <s v="c.da Rigo 7"/>
    <x v="96"/>
    <s v="Montalto delle Marche"/>
    <s v="www.villadellavalle.com"/>
    <s v="info@villadellavalle.com"/>
    <s v="B&amp;B VILLA DELLA VALLE di BONNIER ANUSCKA PETRONELLA - MONTALTO DELLE MARCHE"/>
  </r>
  <r>
    <x v="5"/>
    <s v="B&amp;B VILLA DELLE PRINCIPESSE"/>
    <s v="via Gualdo 12"/>
    <x v="119"/>
    <s v="RIPE"/>
    <s v="www.villadelleprincipesse.com"/>
    <s v="perini.francesco96@gmail.com"/>
    <s v="B&amp;B VILLA DELLE PRINCIPESSE - TRECASTELLI"/>
  </r>
  <r>
    <x v="5"/>
    <s v="B&amp;B VILLA DOLCE VITA"/>
    <s v="via B. Croce  22"/>
    <x v="94"/>
    <m/>
    <s v="www.villadolcevitamarche.it"/>
    <s v="villadolcevitamarche@gmail.com"/>
    <s v="B&amp;B VILLA DOLCE VITA - SAN COSTANZO"/>
  </r>
  <r>
    <x v="5"/>
    <s v="B&amp;B VILLA ELISABETH"/>
    <s v="via Aso 49"/>
    <x v="135"/>
    <s v="MONTE RINALDO"/>
    <s v="www.villaelisabeth.it"/>
    <s v="giovanni.cantelmo49@gmail.com"/>
    <s v="B&amp;B VILLA ELISABETH - MONTE RINALDO"/>
  </r>
  <r>
    <x v="5"/>
    <s v="B&amp;B VILLA FILETTA"/>
    <s v="frazione Casacagnano 53"/>
    <x v="65"/>
    <s v="ROCCAFLUVIONE"/>
    <s v="www.villafiletta.it"/>
    <s v="info@villafiletta.it"/>
    <s v="B&amp;B VILLA FILETTA - ROCCAFLUVIONE"/>
  </r>
  <r>
    <x v="5"/>
    <s v="B&amp;B VILLA FIORE"/>
    <s v="VIA SCARLATTI 20"/>
    <x v="69"/>
    <m/>
    <m/>
    <s v="dr.cido@alice.it"/>
    <s v="B&amp;B VILLA FIORE - PESARO"/>
  </r>
  <r>
    <x v="5"/>
    <s v="B&amp;B VILLA FIORECONERO"/>
    <s v="strada del castellano 42"/>
    <x v="10"/>
    <s v="ANCONA"/>
    <s v="www.villafioreconero.it"/>
    <s v="info@villafioreconero.it"/>
    <s v="B&amp;B VILLA FIORECONERO - ANCONA"/>
  </r>
  <r>
    <x v="5"/>
    <s v="B&amp;B VILLA FIORITA"/>
    <s v="via roma 1"/>
    <x v="35"/>
    <s v="STALLO"/>
    <m/>
    <m/>
    <s v="B&amp;B VILLA FIORITA - ACQUASANTA TERME"/>
  </r>
  <r>
    <x v="5"/>
    <s v="B&amp;B VILLA FIORITA di SILLA-LINA"/>
    <s v="contrada caselunghe 221"/>
    <x v="113"/>
    <s v="PENNA SAN GIOVANNI"/>
    <m/>
    <m/>
    <s v="B&amp;B VILLA FIORITA di SILLA-LINA - PENNA SAN GIOVANNI"/>
  </r>
  <r>
    <x v="5"/>
    <s v="B&amp;B VILLA FONTANA"/>
    <s v="via san salvatore - viale della vittoria  7"/>
    <x v="165"/>
    <s v="SANTA VITTORIA IN MATENANO"/>
    <m/>
    <s v="bebvillafontana@yahoo.it"/>
    <s v="B&amp;B VILLA FONTANA - SANTA VITTORIA IN MATENANO"/>
  </r>
  <r>
    <x v="5"/>
    <s v="B&amp;B VILLA FORTEZZA"/>
    <s v="via della Fortezza Pia 5"/>
    <x v="151"/>
    <s v="ASCOLI PICENO"/>
    <s v="www.villafortezza.it"/>
    <s v="info@villafortezza.it"/>
    <s v="B&amp;B VILLA FORTEZZA - ASCOLI PICENO"/>
  </r>
  <r>
    <x v="5"/>
    <s v="B&amp;B VILLA GERHARDT"/>
    <s v="localita' rancitella via san bartolo 23"/>
    <x v="1"/>
    <s v="URBINO"/>
    <m/>
    <m/>
    <s v="B&amp;B VILLA GERHARDT - URBINO"/>
  </r>
  <r>
    <x v="5"/>
    <s v="B&amp;B VILLA GHIRARDELLI"/>
    <s v="via Pescheria 32"/>
    <x v="8"/>
    <m/>
    <s v="www.villaghirardelli.it"/>
    <s v="villaghirardelli@gmail.com"/>
    <s v="B&amp;B VILLA GHIRARDELLI - SIROLO"/>
  </r>
  <r>
    <x v="5"/>
    <s v="B&amp;B VILLA GIOIA"/>
    <s v="contrada la Croce 22"/>
    <x v="34"/>
    <s v="MONTEGRANARO"/>
    <m/>
    <s v="silvana.morichetta@vodafone.it"/>
    <s v="B&amp;B VILLA GIOIA - MONTEGRANARO"/>
  </r>
  <r>
    <x v="5"/>
    <s v="B&amp;B VILLA GIULIA"/>
    <s v="strada com.le Filetto 1"/>
    <x v="16"/>
    <m/>
    <m/>
    <s v="villagiuliasenigallia@gmail.com"/>
    <s v="B&amp;B VILLA GIULIA - SENIGALLIA"/>
  </r>
  <r>
    <x v="5"/>
    <s v="B&amp;B VILLA GIULIA MATTEI"/>
    <s v="via Villa Mattei 52"/>
    <x v="109"/>
    <s v="fraz.Sambucheto"/>
    <m/>
    <s v="villamattei.mc@gmail.com"/>
    <s v="B&amp;B VILLA GIULIA MATTEI - MONTECASSIANO"/>
  </r>
  <r>
    <x v="5"/>
    <s v="B&amp;B VILLA HARVEY"/>
    <s v="c.da Lava 125"/>
    <x v="30"/>
    <s v="Lava (vicino ex-Fornace di Offida)"/>
    <m/>
    <s v="patriciaharvey@btinternet.com"/>
    <s v="B&amp;B VILLA HARVEY - OFFIDA"/>
  </r>
  <r>
    <x v="5"/>
    <s v="B&amp;B VILLA INCANTO"/>
    <s v="via Dante Alighieri 118"/>
    <x v="169"/>
    <m/>
    <m/>
    <s v="rserenelli@villaincanto.eu"/>
    <s v="B&amp;B VILLA INCANTO - CASTELFIDARDO"/>
  </r>
  <r>
    <x v="5"/>
    <s v="B&amp;B VILLA LA PALEOTTA"/>
    <s v="via del Domenichino 3"/>
    <x v="33"/>
    <m/>
    <m/>
    <s v="info@villalapaleotta.it"/>
    <s v="B&amp;B VILLA LA PALEOTTA - FANO"/>
  </r>
  <r>
    <x v="5"/>
    <s v="B&amp;B VILLA LIBERTY"/>
    <s v="viale R. Mariotti 8"/>
    <x v="33"/>
    <m/>
    <s v="http://villalibertyfano.it/"/>
    <s v="info@villalibertyfano.it"/>
    <s v="B&amp;B VILLA LIBERTY - FANO"/>
  </r>
  <r>
    <x v="5"/>
    <s v="B&amp;B VILLA LIBERTY"/>
    <s v="viale antonio gramsci 22"/>
    <x v="1"/>
    <s v="URBINO"/>
    <m/>
    <s v="info@bbaquilone.com"/>
    <s v="B&amp;B VILLA LIBERTY - URBINO"/>
  </r>
  <r>
    <x v="5"/>
    <s v="B&amp;B VILLA LUCIA"/>
    <m/>
    <x v="0"/>
    <s v="borgo Pompeo Compagnoni"/>
    <m/>
    <s v="decaromaggi@gmail.com"/>
    <s v="B&amp;B VILLA LUCIA - MACERATA"/>
  </r>
  <r>
    <x v="5"/>
    <s v="B&amp;B VILLA MAGNOLIA"/>
    <s v="contrada palazzi 41"/>
    <x v="87"/>
    <s v="CASTORANO"/>
    <m/>
    <m/>
    <s v="B&amp;B VILLA MAGNOLIA - CASTORANO"/>
  </r>
  <r>
    <x v="5"/>
    <s v="B&amp;B VILLA MALACARI"/>
    <s v="VIA E. MALACARI 6"/>
    <x v="188"/>
    <m/>
    <m/>
    <s v="villamalacari@malacari.it"/>
    <s v="B&amp;B VILLA MALACARI - OFFAGNA"/>
  </r>
  <r>
    <x v="5"/>
    <s v="B&amp;B VILLA MARCONI"/>
    <m/>
    <x v="43"/>
    <m/>
    <m/>
    <s v="milani.isa@libero.it"/>
    <s v="B&amp;B VILLA MARCONI - MONTEFALCONE APPENNINO"/>
  </r>
  <r>
    <x v="5"/>
    <s v="B&amp;B VILLA MARGHERITA"/>
    <s v="via della Costa 15"/>
    <x v="151"/>
    <s v="FRAZIONE POGGIO DI BRETTA"/>
    <m/>
    <s v="isabellaperoni@virgilio.it"/>
    <s v="B&amp;B VILLA MARGHERITA - ASCOLI PICENO"/>
  </r>
  <r>
    <x v="5"/>
    <s v="B&amp;B VILLA MARIA"/>
    <s v="via Don Ciavattini 4"/>
    <x v="44"/>
    <s v="OSIMO"/>
    <s v="www.villamariaosimo.it"/>
    <s v="info@villamariaosimo.it"/>
    <s v="B&amp;B VILLA MARIA - OSIMO"/>
  </r>
  <r>
    <x v="5"/>
    <s v="B&amp;B VILLA MARTINA"/>
    <s v="loc.Zaccagna snc"/>
    <x v="152"/>
    <s v="LOCALITA' ZACCAGNA"/>
    <m/>
    <s v="villamartina@hotmail.it"/>
    <s v="B&amp;B VILLA MARTINA - FERMIGNANO"/>
  </r>
  <r>
    <x v="5"/>
    <s v="B&amp;B VILLA MARTINI"/>
    <s v="via dei velini 229"/>
    <x v="0"/>
    <s v="MACERATA"/>
    <m/>
    <s v="villamartini@libero.it"/>
    <s v="B&amp;B VILLA MARTINI - MACERATA"/>
  </r>
  <r>
    <x v="5"/>
    <s v="B&amp;B VILLA MIMOSA"/>
    <s v="via Napoli 3"/>
    <x v="151"/>
    <m/>
    <m/>
    <s v="amatucci.silvano@gmail.com"/>
    <s v="B&amp;B VILLA MIMOSA - ASCOLI PICENO"/>
  </r>
  <r>
    <x v="5"/>
    <s v="B&amp;B VILLA NICOLE"/>
    <s v="Via San Biagio 1"/>
    <x v="36"/>
    <s v="Via San Biagio"/>
    <s v="www.villanicole.net"/>
    <s v="info@villanicole.net"/>
    <s v="B&amp;B VILLA NICOLE - FILOTTRANO"/>
  </r>
  <r>
    <x v="5"/>
    <s v="B&amp;B VILLA PARADISO"/>
    <s v="Via Cardinal Bessarione 2"/>
    <x v="1"/>
    <s v="URBINO"/>
    <s v="www.bbvillaparadiso.it"/>
    <s v="info@bbvillaparadiso.it"/>
    <s v="B&amp;B VILLA PARADISO - URBINO"/>
  </r>
  <r>
    <x v="5"/>
    <s v="B&amp;B VILLA PATRIZIA"/>
    <s v="via Petrella 13"/>
    <x v="3"/>
    <s v="c.da Petrella"/>
    <s v="www.villapatriziabb.it"/>
    <s v="villapatriziabb@virgilio.it"/>
    <s v="B&amp;B VILLA PATRIZIA - RIPATRANSONE"/>
  </r>
  <r>
    <x v="5"/>
    <s v="B&amp;B VILLA PINI"/>
    <s v="via Lazio 6"/>
    <x v="17"/>
    <s v="Villa Pini"/>
    <s v="www.villapini.eu"/>
    <s v="info.bbvillapini@gmail.com"/>
    <s v="B&amp;B VILLA PINI - CIVITANOVA MARCHE"/>
  </r>
  <r>
    <x v="5"/>
    <s v="B&amp;B VILLA POTICCIO"/>
    <s v="villa Poticcio 23"/>
    <x v="169"/>
    <s v="loc. Acquaviva"/>
    <s v="www.villapoticcio.it"/>
    <s v="giampaolo.giaccaglia@libero.it"/>
    <s v="B&amp;B VILLA POTICCIO - CASTELFIDARDO"/>
  </r>
  <r>
    <x v="5"/>
    <s v="B&amp;B VILLA REGINA"/>
    <s v="via Giacosa  54"/>
    <x v="17"/>
    <m/>
    <m/>
    <s v="tetano70@live.it"/>
    <s v="B&amp;B VILLA REGINA - CIVITANOVA MARCHE"/>
  </r>
  <r>
    <x v="5"/>
    <s v="B&amp;B VILLA RONDANELLA"/>
    <m/>
    <x v="37"/>
    <s v="FERMO"/>
    <s v="www.villarondanella.it"/>
    <s v="info@villarondanella.it"/>
    <s v="B&amp;B VILLA RONDANELLA - FERMO"/>
  </r>
  <r>
    <x v="5"/>
    <s v="B&amp;B VILLA ROSA"/>
    <s v="strada Pescolla 1"/>
    <x v="163"/>
    <s v="PORTO SANT' ELPIDIO"/>
    <m/>
    <s v="giorgio.massetti@fastwebnet.it"/>
    <s v="B&amp;B VILLA ROSA - PORTO SANT'ELPIDIO"/>
  </r>
  <r>
    <x v="5"/>
    <s v="B&amp;B VILLA ROSA BIANCA"/>
    <s v="c.da Aso  68"/>
    <x v="120"/>
    <m/>
    <s v="www.villarosabianca.com"/>
    <s v="info@villarosabianca.com"/>
    <s v="B&amp;B VILLA ROSA BIANCA - MONTEFIORE DELL'ASO"/>
  </r>
  <r>
    <x v="5"/>
    <s v="B&amp;B VILLA ROSABELLA"/>
    <s v="via del colle 26"/>
    <x v="33"/>
    <s v="FANO"/>
    <s v="www.villarosabella.it"/>
    <s v="catiacento@libero.it"/>
    <s v="B&amp;B VILLA ROSABELLA - FANO"/>
  </r>
  <r>
    <x v="5"/>
    <s v="B&amp;B VILLA SAN NICOLA"/>
    <s v="strada San Nicola 39"/>
    <x v="69"/>
    <s v="PESARO"/>
    <m/>
    <s v="grilli43@gmail.com"/>
    <s v="B&amp;B VILLA SAN NICOLA - PESARO"/>
  </r>
  <r>
    <x v="5"/>
    <s v="B&amp;B VILLA SAN NICOLINO"/>
    <s v="contrada Fonte Murata 1"/>
    <x v="141"/>
    <s v="MORROVALLE"/>
    <s v="www.sannicolino.com"/>
    <s v="info@sannicolino.com"/>
    <s v="B&amp;B VILLA SAN NICOLINO - MORROVALLE"/>
  </r>
  <r>
    <x v="5"/>
    <s v="B&amp;B VILLA SCUDERI"/>
    <s v="via Saletta 39"/>
    <x v="56"/>
    <s v="RECANATI"/>
    <m/>
    <s v="edoardoscuderi-volvo@libero.it"/>
    <s v="B&amp;B VILLA SCUDERI - RECANATI"/>
  </r>
  <r>
    <x v="5"/>
    <s v="B&amp;B VILLA SILVIA"/>
    <s v="c.da Santa Maria 172/h"/>
    <x v="35"/>
    <s v="Santa Maria"/>
    <m/>
    <s v="silvia.palanca@libero.it"/>
    <s v="B&amp;B VILLA SILVIA - ACQUASANTA TERME"/>
  </r>
  <r>
    <x v="5"/>
    <s v="B&amp;B VILLA SILVIO"/>
    <s v="C.DA SAN SAVINO 18/A"/>
    <x v="17"/>
    <m/>
    <s v="www.villasilvio.com"/>
    <s v="info@villasilvio.com"/>
    <s v="B&amp;B VILLA SILVIO - CIVITANOVA MARCHE"/>
  </r>
  <r>
    <x v="5"/>
    <s v="B&amp;B VILLA SOLE"/>
    <s v="via Brodolini 28"/>
    <x v="180"/>
    <m/>
    <m/>
    <s v="bellabarbamarco@gmail.com"/>
    <s v="B&amp;B VILLA SOLE - MONTAPPONE"/>
  </r>
  <r>
    <x v="5"/>
    <s v="B&amp;B VILLA TADDEA"/>
    <s v="localita' Baciardi 1"/>
    <x v="25"/>
    <s v="PIOBBICO"/>
    <s v="www.vllataddea.com"/>
    <s v="info@villataddea.com"/>
    <s v="B&amp;B VILLA TADDEA - PIOBBICO"/>
  </r>
  <r>
    <x v="5"/>
    <s v="B&amp;B VILLA TETA"/>
    <s v="viale Vittoria 201"/>
    <x v="47"/>
    <s v="CHIARAVALLE"/>
    <m/>
    <s v="villateta@gmail.com"/>
    <s v="B&amp;B VILLA TETA - PORTO SAN GIORGIO"/>
  </r>
  <r>
    <x v="5"/>
    <s v="B&amp;B VILLA TITTI"/>
    <s v="via Tre Ponti 23"/>
    <x v="68"/>
    <m/>
    <m/>
    <s v="tiziana.tercon@virgilio.it"/>
    <s v="B&amp;B VILLA TITTI - ORCIANO DI PESARO"/>
  </r>
  <r>
    <x v="5"/>
    <s v="B&amp;B VILLA TOCCAMONA PETRITOLI"/>
    <s v="c.da San Marziale 5"/>
    <x v="51"/>
    <m/>
    <m/>
    <s v="lambertosantoni@gmail.com"/>
    <s v="B&amp;B VILLA TOCCAMONA PETRITOLI - PETRITOLI"/>
  </r>
  <r>
    <x v="5"/>
    <s v="B&amp;B VILLA TORRACCIA"/>
    <s v="via Torraccia 3"/>
    <x v="69"/>
    <m/>
    <s v="www.villatorraccia.it"/>
    <s v="info@villatorraccia.it"/>
    <s v="B&amp;B VILLA TORRACCIA - PESARO"/>
  </r>
  <r>
    <x v="5"/>
    <s v="B&amp;B VILLA TRINA"/>
    <s v="c.da Paterno 6"/>
    <x v="139"/>
    <m/>
    <s v="www.villatrina.com"/>
    <s v="djsullivan4000@gmail.com"/>
    <s v="B&amp;B VILLA TRINA - TREIA"/>
  </r>
  <r>
    <x v="5"/>
    <s v="B&amp;B VILLA VITTORIA"/>
    <s v="S. P. DELLE CESANE  43"/>
    <x v="1"/>
    <m/>
    <m/>
    <s v="cirella23@libero.it"/>
    <s v="B&amp;B VILLA VITTORIA - URBINO"/>
  </r>
  <r>
    <x v="5"/>
    <s v="B&amp;B VILLAGGIO RANCO"/>
    <s v="loc. Ranco 18"/>
    <x v="7"/>
    <m/>
    <s v="www.villaggioranco.it"/>
    <s v="a.sartorio@libero.it"/>
    <s v="B&amp;B VILLAGGIO RANCO - SASSOCORVARO"/>
  </r>
  <r>
    <x v="5"/>
    <s v="B&amp;B VILLAGGIO RANCO"/>
    <m/>
    <x v="7"/>
    <m/>
    <m/>
    <s v="a.sartorio@libero.it"/>
    <s v="B&amp;B VILLAGGIO RANCO - SASSOCORVARO"/>
  </r>
  <r>
    <x v="5"/>
    <s v="B&amp;B VILLETTA AL MARE"/>
    <s v="via dell'Arzilla 3d"/>
    <x v="33"/>
    <m/>
    <s v="www.gardenofitaly/villettaalmare"/>
    <s v="acecco@tin.it"/>
    <s v="B&amp;B VILLETTA AL MARE - FANO"/>
  </r>
  <r>
    <x v="5"/>
    <s v="B&amp;B VILLINO ELISABETTA"/>
    <s v="ABRUZZI  4"/>
    <x v="33"/>
    <s v="FANO"/>
    <m/>
    <s v="carmar@gmail.com"/>
    <s v="B&amp;B VILLINO ELISABETTA - FANO"/>
  </r>
  <r>
    <x v="5"/>
    <s v="B&amp;B VILLINO GIOVANNA"/>
    <s v="TRIESTE 217"/>
    <x v="163"/>
    <m/>
    <m/>
    <s v="betty.marcucci@libero.it"/>
    <s v="B&amp;B VILLINO GIOVANNA - PORTO SANT'ELPIDIO"/>
  </r>
  <r>
    <x v="5"/>
    <s v="B&amp;B VISTA MARE"/>
    <s v="VIA VILLANOVA 2/B"/>
    <x v="16"/>
    <s v="MONTIGNANO"/>
    <m/>
    <s v="sylvanacatalani@gmail.com"/>
    <s v="B&amp;B VISTA MARE - SENIGALLIA"/>
  </r>
  <r>
    <x v="5"/>
    <s v="B&amp;B VISTA SUL CONERO"/>
    <s v="via Montorso 21"/>
    <x v="15"/>
    <m/>
    <s v="www.vistasulconero.it"/>
    <s v="info@vistasulconero.it"/>
    <s v="B&amp;B VISTA SUL CONERO - LORETO"/>
  </r>
  <r>
    <x v="5"/>
    <s v="B&amp;B VISTA SUL MARE"/>
    <s v="c.da Abbadetta ss 16 Agro Palmense 5"/>
    <x v="37"/>
    <s v=" Torre di Palme"/>
    <s v="www.vistasulmare.net"/>
    <s v="claudiadelgatto@hotmail.it"/>
    <s v="B&amp;B VISTA SUL MARE - FERMO"/>
  </r>
  <r>
    <x v="5"/>
    <s v="B&amp;B VISTAZZURRA"/>
    <s v="Via Tronto 59"/>
    <x v="10"/>
    <s v="ANCONA"/>
    <s v="www.vistazzurra.it"/>
    <s v="info@vistazzurra.it"/>
    <s v="B&amp;B VISTAZZURRA - ANCONA"/>
  </r>
  <r>
    <x v="5"/>
    <s v="B&amp;B VI-TA"/>
    <s v="via Consorzio 43"/>
    <x v="22"/>
    <m/>
    <m/>
    <s v="vi-ta@libero.it"/>
    <s v="B&amp;B VI-TA - FALCONARA MARITTIMA"/>
  </r>
  <r>
    <x v="5"/>
    <s v="B&amp;B VITRUVIO"/>
    <s v="PIAZZA AMIANI  4"/>
    <x v="33"/>
    <s v="FANO"/>
    <m/>
    <s v="iantognozzi72@gmail.com"/>
    <s v="B&amp;B VITRUVIO - FANO"/>
  </r>
  <r>
    <x v="5"/>
    <s v="B&amp;B VIVERE IL MARE"/>
    <s v="via Flaminia  162"/>
    <x v="9"/>
    <m/>
    <s v="www.bbvivereilmare.it"/>
    <s v="info@bbvivereilmare.it"/>
    <s v="B&amp;B VIVERE IL MARE - NUMANA"/>
  </r>
  <r>
    <x v="5"/>
    <s v="B&amp;B VIVI IL CENTRO DI PETTINELLI LAVINIA"/>
    <s v="corso dalmazia 145"/>
    <x v="17"/>
    <s v="CIVITANOVA MARCHE"/>
    <s v="www.viviilcentro.wordpress.com"/>
    <s v="studioforesi@tiscali.it"/>
    <s v="B&amp;B VIVI IL CENTRO DI PETTINELLI LAVINIA - CIVITANOVA MARCHE"/>
  </r>
  <r>
    <x v="5"/>
    <s v="B&amp;B VOLTI DI PIETRA"/>
    <s v="località Monte 1"/>
    <x v="46"/>
    <s v="località Monte"/>
    <s v="http://www.voltidipietra.com"/>
    <s v="info@voltidipietra.com"/>
    <s v="B&amp;B VOLTI DI PIETRA - SASSOFERRATO"/>
  </r>
  <r>
    <x v="5"/>
    <s v="B&amp;B WENDY RICHARDSON"/>
    <s v="via Celestiale 16"/>
    <x v="54"/>
    <m/>
    <m/>
    <s v="wendy@villainthevineyard.com"/>
    <s v="B&amp;B WENDY RICHARDSON - MONTELPARO"/>
  </r>
  <r>
    <x v="5"/>
    <s v="B&amp;B WITTORIA HOUSE DI CATTOLICA VITTORIA"/>
    <s v="via Colombo 148"/>
    <x v="17"/>
    <s v="civitanova marche"/>
    <s v="www.wittoriahouse.it"/>
    <s v="info@wittoriahouse.it"/>
    <s v="B&amp;B WITTORIA HOUSE DI CATTOLICA VITTORIA - CIVITANOVA MARCHE"/>
  </r>
  <r>
    <x v="5"/>
    <s v="B&amp;B ZAMPOLINI SIMONA"/>
    <s v="contrada Corneto 30"/>
    <x v="0"/>
    <m/>
    <m/>
    <s v="zampolsim@alice.it"/>
    <s v="B&amp;B ZAMPOLINI SIMONA - MACERATA"/>
  </r>
  <r>
    <x v="5"/>
    <s v="B&amp;B ZEPPILLI DOMENICO"/>
    <s v="via roma 1"/>
    <x v="35"/>
    <s v="PITO"/>
    <m/>
    <m/>
    <s v="B&amp;B ZEPPILLI DOMENICO - ACQUASANTA TERME"/>
  </r>
  <r>
    <x v="5"/>
    <s v="B&amp;B ZI' PASQUALE RAMOVECCHI LUCIANA"/>
    <s v="via Garibaldi 262"/>
    <x v="23"/>
    <m/>
    <m/>
    <s v="gegrilli@alice.it"/>
    <s v="B&amp;B ZI' PASQUALE RAMOVECCHI LUCIANA - PORTO RECANATI"/>
  </r>
  <r>
    <x v="5"/>
    <s v="B&amp;B ZIA ELVIRA"/>
    <s v="largo Esperanto 5"/>
    <x v="12"/>
    <m/>
    <s v="www.ziaelvira.it"/>
    <s v="info@ziaelvira.it"/>
    <s v="B&amp;B ZIA ELVIRA - SAN BENEDETTO DEL TRONTO"/>
  </r>
  <r>
    <x v="5"/>
    <s v="B&amp;B ZIAMELIA"/>
    <s v="frazione colognola 29A 1"/>
    <x v="26"/>
    <s v="CINGOLI"/>
    <s v="www.ziamelia.it"/>
    <s v="daniela@ziamelia.it"/>
    <s v="B&amp;B ZIAMELIA - CINGOLI"/>
  </r>
  <r>
    <x v="5"/>
    <s v="B&amp;BELVEDERE"/>
    <s v="via Belvedere 11"/>
    <x v="12"/>
    <m/>
    <s v="www.bandbelvedere.eu"/>
    <s v="bandbelvedere@libero.it"/>
    <s v="B&amp;BELVEDERE - SAN BENEDETTO DEL TRONTO"/>
  </r>
  <r>
    <x v="5"/>
    <s v="B.&amp; B. Le Palme"/>
    <s v="via principe di piemonte 54"/>
    <x v="17"/>
    <s v="CIVITANOVA MARCHE"/>
    <m/>
    <s v="biancucci.franco@gmail.com"/>
    <s v="B.&amp; B. Le Palme - CIVITANOVA MARCHE"/>
  </r>
  <r>
    <x v="5"/>
    <s v="B.B. SWEET HOME TRILLI"/>
    <s v="Rua degli Albanesi 7"/>
    <x v="151"/>
    <s v="ASCOLI PICENO"/>
    <m/>
    <s v="sweethomeascolipiceno@gmail.com"/>
    <s v="B.B. SWEET HOME TRILLI - ASCOLI PICENO"/>
  </r>
  <r>
    <x v="4"/>
    <s v="BA BEACH"/>
    <s v="Lungomare Romita snc snc"/>
    <x v="32"/>
    <m/>
    <s v="info@conquistacostruzioni.it"/>
    <m/>
    <s v="BA BEACH - CUPRA MARITTIMA"/>
  </r>
  <r>
    <x v="7"/>
    <s v="BACCHELLI FIORELLA"/>
    <s v="via IV Novembre 26"/>
    <x v="9"/>
    <m/>
    <m/>
    <s v="info@operaarte.it"/>
    <s v="BACCHELLI FIORELLA - NUMANA"/>
  </r>
  <r>
    <x v="7"/>
    <s v="BACCHINI ORIANA"/>
    <s v="viale della Repubblica, via Vittorio Veneto 10,136"/>
    <x v="28"/>
    <m/>
    <m/>
    <m/>
    <s v="BACCHINI ORIANA - GABICCE MARE"/>
  </r>
  <r>
    <x v="7"/>
    <s v="BACCHINI ROBERTO"/>
    <s v="viale della Repubblica 10"/>
    <x v="28"/>
    <m/>
    <m/>
    <m/>
    <s v="BACCHINI ROBERTO - GABICCE MARE"/>
  </r>
  <r>
    <x v="7"/>
    <s v="BACCHIOCCHI ANGELA"/>
    <s v="via A.Cappellini 60/a"/>
    <x v="33"/>
    <m/>
    <m/>
    <m/>
    <s v="BACCHIOCCHI ANGELA - FANO"/>
  </r>
  <r>
    <x v="7"/>
    <s v="BACCHIOCCHI ANGELA"/>
    <s v="via A.Cappellini 58/a"/>
    <x v="33"/>
    <m/>
    <m/>
    <m/>
    <s v="BACCHIOCCHI ANGELA - FANO"/>
  </r>
  <r>
    <x v="7"/>
    <s v="BACCHIOCCHI ANGELA"/>
    <s v="via San martino 5"/>
    <x v="20"/>
    <m/>
    <m/>
    <s v="info@villamaurosanmartino.it"/>
    <s v="BACCHIOCCHI ANGELA - MONDOLFO"/>
  </r>
  <r>
    <x v="7"/>
    <s v="BACCHIOCCHI CARLO"/>
    <s v="Via S. Giovanni  5"/>
    <x v="16"/>
    <s v="SENIGALLIA"/>
    <m/>
    <s v="annamaria.bocconi@gmail.it"/>
    <s v="BACCHIOCCHI CARLO - SENIGALLIA"/>
  </r>
  <r>
    <x v="7"/>
    <s v="BACCHIOCCHI MARIA ELISA"/>
    <s v="via San Gregorio 17"/>
    <x v="86"/>
    <m/>
    <m/>
    <s v="remigio.battistelli@gmail.com"/>
    <s v="BACCHIOCCHI MARIA ELISA - ACQUALAGNA"/>
  </r>
  <r>
    <x v="4"/>
    <s v="BACIO DELL'ONDA"/>
    <s v="viale trieste 1 1"/>
    <x v="12"/>
    <m/>
    <m/>
    <s v="isabella.ricci23@gmail.com"/>
    <s v="BACIO DELL'ONDA - SAN BENEDETTO DEL TRONTO"/>
  </r>
  <r>
    <x v="0"/>
    <s v="BACUCCO"/>
    <s v="contrada Bacucco 11"/>
    <x v="81"/>
    <s v="MONTECAROTTO"/>
    <s v="www.bacucco.com"/>
    <s v="info@bacucco.com"/>
    <s v="BACUCCO - MONTECAROTTO"/>
  </r>
  <r>
    <x v="8"/>
    <s v="BAGLIO DELLA LUNA"/>
    <s v="via colli 84"/>
    <x v="93"/>
    <s v="SERRAPETRONA"/>
    <s v="www.ilbagliodellaluna.com"/>
    <s v="ilbagliodellaluna@ilbagliodellaluna.com"/>
    <s v="BAGLIO DELLA LUNA - SERRAPETRONA"/>
  </r>
  <r>
    <x v="4"/>
    <s v="BAGNI  BEACH BREAK N° 160"/>
    <s v="lungomare italia 160 160"/>
    <x v="16"/>
    <s v="SENIGALLIA"/>
    <m/>
    <m/>
    <s v="BAGNI  BEACH BREAK N° 160 - SENIGALLIA"/>
  </r>
  <r>
    <x v="4"/>
    <s v="BAGNI  N. 32"/>
    <s v="via cristoforo colombo 1 1"/>
    <x v="28"/>
    <s v="GABICCE MARE"/>
    <s v="matteo@baldassarri.com"/>
    <s v="www.bagni32.it"/>
    <s v="BAGNI  N. 32 - GABICCE MARE"/>
  </r>
  <r>
    <x v="4"/>
    <s v="BAGNI 007"/>
    <s v="viale trieste 21 21"/>
    <x v="12"/>
    <m/>
    <m/>
    <m/>
    <s v="BAGNI 007 - SAN BENEDETTO DEL TRONTO"/>
  </r>
  <r>
    <x v="4"/>
    <s v="BAGNI 102 N° 85"/>
    <s v="lungomare alighieri 85 85"/>
    <x v="16"/>
    <s v="SENIGALLIA"/>
    <m/>
    <m/>
    <s v="BAGNI 102 N° 85 - SENIGALLIA"/>
  </r>
  <r>
    <x v="4"/>
    <s v="BAGNI 124 DI MANIZZA MICHELE"/>
    <s v="lungomare leonardo da vinci 124 124"/>
    <x v="16"/>
    <s v="SENIGALLIA"/>
    <s v="maniz@libero.it"/>
    <s v="info@spiaggiasenigallia.it"/>
    <s v="BAGNI 124 DI MANIZZA MICHELE - SENIGALLIA"/>
  </r>
  <r>
    <x v="4"/>
    <s v="BAGNI 2000 N° 53"/>
    <s v="lungomare alighieri 53 53"/>
    <x v="16"/>
    <s v="SENIGALLIA"/>
    <m/>
    <m/>
    <s v="BAGNI 2000 N° 53 - SENIGALLIA"/>
  </r>
  <r>
    <x v="4"/>
    <s v="BAGNI 5 - TAM TAM BEACH"/>
    <s v="via della baia 5 5"/>
    <x v="33"/>
    <s v="FANO"/>
    <m/>
    <m/>
    <s v="BAGNI 5 - TAM TAM BEACH - FANO"/>
  </r>
  <r>
    <x v="4"/>
    <s v="BAGNI AGATA"/>
    <s v="via Marina Ardizia 1 1"/>
    <x v="69"/>
    <s v="PESARO"/>
    <m/>
    <m/>
    <s v="BAGNI AGATA - PESARO"/>
  </r>
  <r>
    <x v="4"/>
    <s v="BAGNI ALBERGO REGINA"/>
    <s v="lungomare alighieri 20 20"/>
    <x v="16"/>
    <s v="SENIGALLIA"/>
    <s v="info@albergoregina.it"/>
    <s v="www.albergoregina.it"/>
    <s v="BAGNI ALBERGO REGINA - SENIGALLIA"/>
  </r>
  <r>
    <x v="4"/>
    <s v="BAGNI ALBERTO &amp; CESARE"/>
    <s v="via faa' di bruno 1 1"/>
    <x v="20"/>
    <s v="MONDOLFO"/>
    <m/>
    <m/>
    <s v="BAGNI ALBERTO &amp; CESARE - MONDOLFO"/>
  </r>
  <r>
    <x v="4"/>
    <s v="BAGNI ALBERTO E MARIO N° 16"/>
    <s v="lungomare cristoforo colombo 16 16"/>
    <x v="28"/>
    <s v="GABICCE MARE"/>
    <m/>
    <m/>
    <s v="BAGNI ALBERTO E MARIO N° 16 - GABICCE MARE"/>
  </r>
  <r>
    <x v="4"/>
    <s v="BAGNI ALDA - BAGNI N° 88"/>
    <s v="lungomare alighieri 88 88"/>
    <x v="16"/>
    <s v="SENIGALLIA"/>
    <m/>
    <m/>
    <s v="BAGNI ALDA - BAGNI N° 88 - SENIGALLIA"/>
  </r>
  <r>
    <x v="4"/>
    <s v="BAGNI ALDA DI MASTROGIACOMI MARCO"/>
    <s v="via faa' di bruno 1 1"/>
    <x v="33"/>
    <s v="FANO"/>
    <s v="info@bagnialda.it"/>
    <m/>
    <s v="BAGNI ALDA DI MASTROGIACOMI MARCO - FANO"/>
  </r>
  <r>
    <x v="4"/>
    <s v="BAGNI ALFREDO"/>
    <s v="via lungomare Nazario Sauro  1 1"/>
    <x v="69"/>
    <s v="Levante"/>
    <m/>
    <m/>
    <s v="BAGNI ALFREDO - PESARO"/>
  </r>
  <r>
    <x v="4"/>
    <s v="BAGNI AMEDEO N 23"/>
    <s v="via litoranea 1 1"/>
    <x v="9"/>
    <s v="MARCELLI"/>
    <m/>
    <s v="gianlucalucesoli@alice.it"/>
    <s v="BAGNI AMEDEO N 23 - NUMANA"/>
  </r>
  <r>
    <x v="4"/>
    <s v="BAGNI ANDREA"/>
    <m/>
    <x v="5"/>
    <m/>
    <m/>
    <m/>
    <s v="BAGNI ANDREA - GROTTAMMARE"/>
  </r>
  <r>
    <x v="4"/>
    <s v="BAGNI ANDREA N° 24"/>
    <s v="lungomare mameli 1 1"/>
    <x v="16"/>
    <s v="SENIGALLIA"/>
    <m/>
    <m/>
    <s v="BAGNI ANDREA N° 24 - SENIGALLIA"/>
  </r>
  <r>
    <x v="4"/>
    <s v="BAGNI ANDREA N° 37"/>
    <s v="lungomare mameli 1 1"/>
    <x v="16"/>
    <s v="SENIGALLIA"/>
    <m/>
    <m/>
    <s v="BAGNI ANDREA N° 37 - SENIGALLIA"/>
  </r>
  <r>
    <x v="4"/>
    <s v="BAGNI ANGELO N. 11"/>
    <s v="viale cristoforo colombo 11 11"/>
    <x v="28"/>
    <s v="GabicceMare"/>
    <m/>
    <m/>
    <s v="BAGNI ANGELO N. 11 - GABICCE MARE"/>
  </r>
  <r>
    <x v="4"/>
    <s v="BAGNI ANNA MARIA N° 47"/>
    <s v="lungomare marconi 1 1"/>
    <x v="16"/>
    <s v="SENIGALLIA"/>
    <m/>
    <m/>
    <s v="BAGNI ANNA MARIA N° 47 - SENIGALLIA"/>
  </r>
  <r>
    <x v="4"/>
    <s v="BAGNI ARCOBALENO"/>
    <s v="viale Trieste 1 1"/>
    <x v="69"/>
    <s v="spiaggia di Levante"/>
    <s v="paolos@abafree.it"/>
    <m/>
    <s v="BAGNI ARCOBALENO - PESARO"/>
  </r>
  <r>
    <x v="4"/>
    <s v="BAGNI ARCOBALENO N 52"/>
    <s v="piazzale della liberta' 1 1"/>
    <x v="16"/>
    <s v="SENIGALLIA"/>
    <m/>
    <m/>
    <s v="BAGNI ARCOBALENO N 52 - SENIGALLIA"/>
  </r>
  <r>
    <x v="4"/>
    <s v="BAGNI ARMANDO (SOLO RIMESSAGGIO)"/>
    <s v="lungomare alighieri 15 15"/>
    <x v="16"/>
    <s v="SENIGALLIA"/>
    <m/>
    <m/>
    <s v="BAGNI ARMANDO (SOLO RIMESSAGGIO) - SENIGALLIA"/>
  </r>
  <r>
    <x v="4"/>
    <s v="BAGNI ARMANDO E GIUSEPPE N. 7, 8"/>
    <s v="lungomare cristoforo colombo 7 7"/>
    <x v="28"/>
    <s v="GABICCE MARE"/>
    <m/>
    <m/>
    <s v="BAGNI ARMANDO E GIUSEPPE N. 7, 8 - GABICCE MARE"/>
  </r>
  <r>
    <x v="4"/>
    <s v="BAGNI ARMANDO N° 98"/>
    <s v="lungomare alighieri 98 98"/>
    <x v="16"/>
    <s v="SENIGALLIA"/>
    <s v="sssteambro@hotmail.it"/>
    <m/>
    <s v="BAGNI ARMANDO N° 98 - SENIGALLIA"/>
  </r>
  <r>
    <x v="4"/>
    <s v="BAGNI ARTURO"/>
    <s v="Lungomare Piermanni 15"/>
    <x v="17"/>
    <s v="CIVITANOVA MARCHE"/>
    <s v="albacardelli@libero.it"/>
    <m/>
    <s v="BAGNI ARTURO - CIVITANOVA MARCHE"/>
  </r>
  <r>
    <x v="4"/>
    <s v="BAGNI ARZILLA DI MONTALBINI E TANFANI S.N.C."/>
    <s v="via del moletto 1 1"/>
    <x v="33"/>
    <s v="FANO"/>
    <m/>
    <m/>
    <s v="BAGNI ARZILLA DI MONTALBINI E TANFANI S.N.C. - FANO"/>
  </r>
  <r>
    <x v="4"/>
    <s v="BAGNI ATLANTIC N° 157"/>
    <s v="lungomare italia 1 1"/>
    <x v="16"/>
    <s v="SENIGALLIA"/>
    <m/>
    <m/>
    <s v="BAGNI ATLANTIC N° 157 - SENIGALLIA"/>
  </r>
  <r>
    <x v="4"/>
    <s v="BAGNI AZZURRA"/>
    <s v="via cappellini 1 1"/>
    <x v="33"/>
    <s v="FANO"/>
    <s v="pinciodes@gmail.com"/>
    <m/>
    <s v="BAGNI AZZURRA - FANO"/>
  </r>
  <r>
    <x v="4"/>
    <s v="BAGNI BAIA"/>
    <s v="via bernardino baldi 42 42"/>
    <x v="69"/>
    <s v="PESARO"/>
    <m/>
    <m/>
    <s v="BAGNI BAIA - PESARO"/>
  </r>
  <r>
    <x v="4"/>
    <s v="BAGNI BANANAS"/>
    <s v="via Lungomare  139"/>
    <x v="41"/>
    <s v="MARINA DI MONTEMARCIANO"/>
    <s v="paolod.d@virgilio.it"/>
    <m/>
    <s v="BAGNI BANANAS - MONTEMARCIANO"/>
  </r>
  <r>
    <x v="4"/>
    <s v="BAGNI BANO N.114"/>
    <s v="lungomare leonardo da vinci 114 114"/>
    <x v="16"/>
    <s v="SENIGALLIA"/>
    <m/>
    <s v="rirogemma@gmail.it"/>
    <s v="BAGNI BANO N.114 - SENIGALLIA"/>
  </r>
  <r>
    <x v="4"/>
    <s v="BAGNI BARONCIANI DI BARONCIANI ANTONELLA"/>
    <s v="viale trieste 1 1"/>
    <x v="69"/>
    <s v="PESARO"/>
    <s v="baronciani.antonella@libero.it"/>
    <m/>
    <s v="BAGNI BARONCIANI DI BARONCIANI ANTONELLA - PESARO"/>
  </r>
  <r>
    <x v="4"/>
    <s v="BAGNI BEAURIVAGE"/>
    <s v="viale a. scipioni 1 1"/>
    <x v="12"/>
    <s v="SAN BENEDETTO DEL TRONTO"/>
    <s v="info@residencebeaurivage.it"/>
    <s v="www.residencebeaurivage.it"/>
    <s v="BAGNI BEAURIVAGE - SAN BENEDETTO DEL TRONTO"/>
  </r>
  <r>
    <x v="4"/>
    <s v="BAGNI BIBI"/>
    <s v="strada delle Marche 1 1"/>
    <x v="69"/>
    <s v="PESARO"/>
    <m/>
    <s v="bagnibibi.gianni@yahoo.it"/>
    <s v="BAGNI BIBI - PESARO"/>
  </r>
  <r>
    <x v="4"/>
    <s v="BAGNI BIKINI BEACH N° 39"/>
    <s v="lungomare mameli 1 1"/>
    <x v="16"/>
    <s v="SENIGALLIA"/>
    <m/>
    <m/>
    <s v="BAGNI BIKINI BEACH N° 39 - SENIGALLIA"/>
  </r>
  <r>
    <x v="4"/>
    <s v="BAGNI BILLY N° 54"/>
    <s v="lungomare alighieri 54 54"/>
    <x v="16"/>
    <s v="SENIGALLIA"/>
    <m/>
    <m/>
    <s v="BAGNI BILLY N° 54 - SENIGALLIA"/>
  </r>
  <r>
    <x v="4"/>
    <s v="BAGNI BLASCO N° 132"/>
    <s v="lungomare leonardo da vinci 132 132"/>
    <x v="16"/>
    <s v="SENIGALLIA"/>
    <s v="bagniblasco@bagniblasco.it"/>
    <s v="www.bagniblasco.it"/>
    <s v="BAGNI BLASCO N° 132 - SENIGALLIA"/>
  </r>
  <r>
    <x v="4"/>
    <s v="BAGNI BLU BEACH N° 126"/>
    <s v="lungomare leonardo da vinci 126 126"/>
    <x v="16"/>
    <s v="SENIGALLIA"/>
    <m/>
    <s v="MICHI.C73@LIBERO.IT"/>
    <s v="BAGNI BLU BEACH N° 126 - SENIGALLIA"/>
  </r>
  <r>
    <x v="4"/>
    <s v="BAGNI BORA BORA N° 42"/>
    <s v="lungomare marconi 1 1"/>
    <x v="16"/>
    <s v="SENIGALLIA"/>
    <m/>
    <m/>
    <s v="BAGNI BORA BORA N° 42 - SENIGALLIA"/>
  </r>
  <r>
    <x v="4"/>
    <s v="BAGNI BORA BORA N° 43"/>
    <s v="lungomare marconi 1 1"/>
    <x v="16"/>
    <s v="SENIGALLIA"/>
    <m/>
    <m/>
    <s v="BAGNI BORA BORA N° 43 - SENIGALLIA"/>
  </r>
  <r>
    <x v="4"/>
    <s v="BAGNI BRUNA N° 69"/>
    <s v="lungomare alighieri 69 69"/>
    <x v="16"/>
    <s v="SENIGALLIA"/>
    <m/>
    <m/>
    <s v="BAGNI BRUNA N° 69 - SENIGALLIA"/>
  </r>
  <r>
    <x v="4"/>
    <s v="BAGNI CAMISCIONI"/>
    <s v="viale trieste 19 19"/>
    <x v="12"/>
    <m/>
    <m/>
    <m/>
    <s v="BAGNI CAMISCIONI - SAN BENEDETTO DEL TRONTO"/>
  </r>
  <r>
    <x v="4"/>
    <s v="BAGNI CAMPING METAURO"/>
    <s v="via buonincontri 1 1"/>
    <x v="33"/>
    <s v="TORRETTE"/>
    <m/>
    <m/>
    <s v="BAGNI CAMPING METAURO - FANO"/>
  </r>
  <r>
    <x v="4"/>
    <s v="BAGNI CAMPING MIMOSA"/>
    <s v="via buonincontri 1 1"/>
    <x v="33"/>
    <s v="FANO"/>
    <s v="info@campinglamimosa.it"/>
    <s v="www.campinglamimosa.it"/>
    <s v="BAGNI CAMPING MIMOSA - FANO"/>
  </r>
  <r>
    <x v="4"/>
    <s v="BAGNI CAMPING VERDE LUNA"/>
    <s v="via buonincontri 1 1"/>
    <x v="33"/>
    <s v="TORRETTE"/>
    <m/>
    <m/>
    <s v="BAGNI CAMPING VERDE LUNA - FANO"/>
  </r>
  <r>
    <x v="4"/>
    <s v="BAGNI CARAVEL DI CUICCHI MARINO &amp; C. SAS"/>
    <s v="Via Faa' di Bruno 135 135"/>
    <x v="33"/>
    <s v="Marotta di Fano"/>
    <s v="info@hotel-caravel.it"/>
    <s v="www.hotel-caravel.it"/>
    <s v="BAGNI CARAVEL DI CUICCHI MARINO &amp; C. SAS - FANO"/>
  </r>
  <r>
    <x v="4"/>
    <s v="BAGNI CARLINI N° 51"/>
    <s v="lungomare marconi 51 51"/>
    <x v="16"/>
    <s v="SENIGALLIA"/>
    <m/>
    <m/>
    <s v="BAGNI CARLINI N° 51 - SENIGALLIA"/>
  </r>
  <r>
    <x v="4"/>
    <s v="BAGNI CARLO DI LISOTTI GABRIELLA (Conc N° 48)"/>
    <s v="viale adriatico 48 48"/>
    <x v="33"/>
    <s v="FANO"/>
    <m/>
    <m/>
    <s v="BAGNI CARLO DI LISOTTI GABRIELLA (Conc N° 48) - FANO"/>
  </r>
  <r>
    <x v="4"/>
    <s v="BAGNI CARLO DI SCROSTA CARLO ( Conc. N° 131)"/>
    <s v="via faa' di bruno 131 131"/>
    <x v="20"/>
    <s v="MONDOLFO"/>
    <m/>
    <m/>
    <s v="BAGNI CARLO DI SCROSTA CARLO ( Conc. N° 131) - MONDOLFO"/>
  </r>
  <r>
    <x v="4"/>
    <s v="BAGNI CARLO E ARMANDA N° 79"/>
    <s v="lungomare alighieri 79 79"/>
    <x v="16"/>
    <s v="SENIGALLIA"/>
    <s v="piva@bagni79.it"/>
    <s v="www.bagni79.it"/>
    <s v="BAGNI CARLO E ARMANDA N° 79 - SENIGALLIA"/>
  </r>
  <r>
    <x v="4"/>
    <s v="BAGNI CARMEN DI BATTISTI LEONELLO E BATTISTONI CARMEN LUISA"/>
    <s v="via faa' di bruno 1 1"/>
    <x v="33"/>
    <s v="FANO"/>
    <m/>
    <m/>
    <s v="BAGNI CARMEN DI BATTISTI LEONELLO E BATTISTONI CARMEN LUISA - FANO"/>
  </r>
  <r>
    <x v="4"/>
    <s v="BAGNI CATERINA N° 41"/>
    <s v="lungomare mameli 1 1"/>
    <x v="16"/>
    <s v="SENIGALLIA"/>
    <m/>
    <m/>
    <s v="BAGNI CATERINA N° 41 - SENIGALLIA"/>
  </r>
  <r>
    <x v="4"/>
    <s v="BAGNI CATIA E GIORGIO N. 42, 43, 44"/>
    <s v="via cristoforo colombo 42 42"/>
    <x v="28"/>
    <s v="GABICCE MARE"/>
    <m/>
    <m/>
    <s v="BAGNI CATIA E GIORGIO N. 42, 43, 44 - GABICCE MARE"/>
  </r>
  <r>
    <x v="4"/>
    <s v="BAGNI CHALET A MARE N 4"/>
    <s v="via Marino Ardizio snc snc"/>
    <x v="69"/>
    <s v="loc. Sottomonte"/>
    <s v="www.chaletamare.it"/>
    <s v="info@chaletamare.it"/>
    <s v="BAGNI CHALET A MARE N 4 - PESARO"/>
  </r>
  <r>
    <x v="4"/>
    <s v="BAGNI CHALET A MARE N 5"/>
    <s v="via Marina Ardizio  s.n."/>
    <x v="69"/>
    <s v="Sottomonte Ardizio"/>
    <s v="www.chaletamare.it"/>
    <s v="info@chaletamare.it"/>
    <s v="BAGNI CHALET A MARE N 5 - PESARO"/>
  </r>
  <r>
    <x v="4"/>
    <s v="BAGNI CINQUANTUNO N° 20"/>
    <s v="lungomare mameli 1 1"/>
    <x v="16"/>
    <s v="SENIGALLIA"/>
    <m/>
    <m/>
    <s v="BAGNI CINQUANTUNO N° 20 - SENIGALLIA"/>
  </r>
  <r>
    <x v="4"/>
    <s v="BAGNI CIRO"/>
    <s v="viale trieste 33 33"/>
    <x v="69"/>
    <s v="PESARO"/>
    <m/>
    <s v="info@larghettipartners.it"/>
    <s v="BAGNI CIRO - PESARO"/>
  </r>
  <r>
    <x v="4"/>
    <s v="BAGNI CIRO N° 19"/>
    <s v="lungomare mameli 1 1"/>
    <x v="16"/>
    <s v="SENIGALLIA"/>
    <m/>
    <m/>
    <s v="BAGNI CIRO N° 19 - SENIGALLIA"/>
  </r>
  <r>
    <x v="4"/>
    <s v="BAGNI CLAUDIA (Conc. N° 140)"/>
    <s v="via cappellini 140 140"/>
    <x v="33"/>
    <s v="FANO"/>
    <m/>
    <m/>
    <s v="BAGNI CLAUDIA (Conc. N° 140) - FANO"/>
  </r>
  <r>
    <x v="4"/>
    <s v="BAGNI CLAUDIA (Conc. N° 17)"/>
    <s v="via cappellini 17 17"/>
    <x v="33"/>
    <s v="FANO"/>
    <m/>
    <m/>
    <s v="BAGNI CLAUDIA (Conc. N° 17) - FANO"/>
  </r>
  <r>
    <x v="4"/>
    <s v="BAGNI CLAUDIO"/>
    <s v="viale Cristoforo Colombo 1 1"/>
    <x v="20"/>
    <s v="MAROTTA"/>
    <m/>
    <m/>
    <s v="BAGNI CLAUDIO - MONDOLFO"/>
  </r>
  <r>
    <x v="4"/>
    <s v="BAGNI CLIPPER N° 147"/>
    <s v="lungomare italia 1 1"/>
    <x v="16"/>
    <s v="SENIGALLIA"/>
    <m/>
    <m/>
    <s v="BAGNI CLIPPER N° 147 - SENIGALLIA"/>
  </r>
  <r>
    <x v="4"/>
    <s v="BAGNI CLUB TRE C N° 30"/>
    <s v="lungomare mameli 30 30"/>
    <x v="16"/>
    <s v="SENIGALLIA"/>
    <s v="super3c@libero.it"/>
    <m/>
    <s v="BAGNI CLUB TRE C N° 30 - SENIGALLIA"/>
  </r>
  <r>
    <x v="4"/>
    <s v="BAGNI COCOLOCO BEACH N 62"/>
    <s v="via Marina Ardizia snc snc"/>
    <x v="69"/>
    <s v="PESARO"/>
    <m/>
    <m/>
    <s v="BAGNI COCOLOCO BEACH N 62 - PESARO"/>
  </r>
  <r>
    <x v="4"/>
    <s v="BAGNI CRIDA DI BARTOLUCCI PAOLO E DAVIDE"/>
    <s v="via delle nasse 1 1"/>
    <x v="33"/>
    <s v="FANO"/>
    <m/>
    <m/>
    <s v="BAGNI CRIDA DI BARTOLUCCI PAOLO E DAVIDE - FANO"/>
  </r>
  <r>
    <x v="4"/>
    <s v="BAGNI CRISTINA N° 70/71"/>
    <s v="lungomare alighieri 70 70"/>
    <x v="16"/>
    <s v="SENIGALLIA"/>
    <m/>
    <m/>
    <s v="BAGNI CRISTINA N° 70/71 - SENIGALLIA"/>
  </r>
  <r>
    <x v="4"/>
    <s v="BAGNI DA CLAUDIO N° 137"/>
    <s v="lungomare leonardo da vinci 1 1"/>
    <x v="16"/>
    <s v="SENIGALLIA"/>
    <m/>
    <m/>
    <s v="BAGNI DA CLAUDIO N° 137 - SENIGALLIA"/>
  </r>
  <r>
    <x v="4"/>
    <s v="BAGNI DANTE N. 1"/>
    <s v="via cristoforo colombo 1 1"/>
    <x v="28"/>
    <s v="GABICCE MARE"/>
    <m/>
    <m/>
    <s v="BAGNI DANTE N. 1 - GABICCE MARE"/>
  </r>
  <r>
    <x v="4"/>
    <s v="BAGNI DANY"/>
    <s v="via palombina vecchia 1 1"/>
    <x v="22"/>
    <s v="FALCONARA MARITTIMA"/>
    <m/>
    <m/>
    <s v="BAGNI DANY - FALCONARA MARITTIMA"/>
  </r>
  <r>
    <x v="4"/>
    <s v="BAGNI DARDO"/>
    <s v="lungomare gramsci 1 1"/>
    <x v="47"/>
    <s v="PORTO SAN GIORGIO"/>
    <m/>
    <m/>
    <s v="BAGNI DARDO - PORTO SAN GIORGIO"/>
  </r>
  <r>
    <x v="4"/>
    <s v="BAGNI DELFINO N° 2"/>
    <s v="via strada prima 7 7"/>
    <x v="16"/>
    <s v="CESANO"/>
    <m/>
    <m/>
    <s v="BAGNI DELFINO N° 2 - SENIGALLIA"/>
  </r>
  <r>
    <x v="0"/>
    <s v="BAGNI DI PITINO"/>
    <s v="c.da Bagno snc"/>
    <x v="2"/>
    <s v="loc. Pitino"/>
    <m/>
    <s v="francesco.corneli@gmail.com"/>
    <s v="BAGNI DI PITINO - SAN SEVERINO MARCHE"/>
  </r>
  <r>
    <x v="4"/>
    <s v="BAGNI DI SOLE N° 27"/>
    <s v="lungomare mameli 1 1"/>
    <x v="16"/>
    <s v="SENIGALLIA"/>
    <m/>
    <m/>
    <s v="BAGNI DI SOLE N° 27 - SENIGALLIA"/>
  </r>
  <r>
    <x v="4"/>
    <s v="BAGNI DIANA"/>
    <s v="via cristoforo colombo 1 1"/>
    <x v="5"/>
    <m/>
    <m/>
    <m/>
    <s v="BAGNI DIANA - GROTTAMMARE"/>
  </r>
  <r>
    <x v="4"/>
    <s v="BAGNI DINO N 96"/>
    <s v="lungomare alighieri 96 96"/>
    <x v="16"/>
    <s v="SENIGALLIA"/>
    <m/>
    <m/>
    <s v="BAGNI DINO N 96 - SENIGALLIA"/>
  </r>
  <r>
    <x v="4"/>
    <s v="BAGNI DINO N. 22"/>
    <s v="via cristoforo colombo 22 22"/>
    <x v="28"/>
    <s v="GABICCE MARE"/>
    <m/>
    <m/>
    <s v="BAGNI DINO N. 22 - GABICCE MARE"/>
  </r>
  <r>
    <x v="4"/>
    <s v="BAGNI DORIA"/>
    <m/>
    <x v="12"/>
    <m/>
    <s v="info@hoteldoria.com"/>
    <m/>
    <s v="BAGNI DORIA - SAN BENEDETTO DEL TRONTO"/>
  </r>
  <r>
    <x v="4"/>
    <s v="BAGNI DUE PALME"/>
    <s v="strada delle Marche 1 1"/>
    <x v="69"/>
    <s v="Sottomonte"/>
    <m/>
    <m/>
    <s v="BAGNI DUE PALME - PESARO"/>
  </r>
  <r>
    <x v="4"/>
    <s v="BAGNI ELENA N° 45"/>
    <s v="lungomare marconi 1 1"/>
    <x v="16"/>
    <s v="SENIGALLIA"/>
    <m/>
    <m/>
    <s v="BAGNI ELENA N° 45 - SENIGALLIA"/>
  </r>
  <r>
    <x v="4"/>
    <s v="BAGNI ELSA DI TOMBARI ELSA ISOLA"/>
    <m/>
    <x v="33"/>
    <s v="FOSSO SEJORE - FANO"/>
    <m/>
    <m/>
    <s v="BAGNI ELSA DI TOMBARI ELSA ISOLA - FANO"/>
  </r>
  <r>
    <x v="4"/>
    <s v="BAGNI ELVEZIO"/>
    <s v="lungomare gramsci 1 1"/>
    <x v="47"/>
    <s v="PORTO SAN GIORGIO"/>
    <s v="mirelladelmoro@virgilio.it"/>
    <s v="mirelladelmoro@virgilio.it"/>
    <s v="BAGNI ELVEZIO - PORTO SAN GIORGIO"/>
  </r>
  <r>
    <x v="4"/>
    <s v="BAGNI ENRICO N 19"/>
    <s v="viale Trieste 19 19"/>
    <x v="69"/>
    <s v="Ponente"/>
    <m/>
    <m/>
    <s v="BAGNI ENRICO N 19 - PESARO"/>
  </r>
  <r>
    <x v="4"/>
    <s v="BAGNI ENZO N. 18"/>
    <s v="via cristoforo colombo 18 18"/>
    <x v="28"/>
    <s v="GABICCE MARE"/>
    <m/>
    <m/>
    <s v="BAGNI ENZO N. 18 - GABICCE MARE"/>
  </r>
  <r>
    <x v="4"/>
    <s v="BAGNI ERMES DI ZAGAGLIA ERMES"/>
    <s v="via buonincontri 1 1"/>
    <x v="33"/>
    <s v="FANO"/>
    <m/>
    <m/>
    <s v="BAGNI ERMES DI ZAGAGLIA ERMES - FANO"/>
  </r>
  <r>
    <x v="4"/>
    <s v="BAGNI ERMETE DI GLORI MAURIZIO"/>
    <s v="via stelle di mare 1 1"/>
    <x v="33"/>
    <s v="FANO"/>
    <m/>
    <m/>
    <s v="BAGNI ERMETE DI GLORI MAURIZIO - FANO"/>
  </r>
  <r>
    <x v="4"/>
    <s v="BAGNI EXCELSIOR"/>
    <m/>
    <x v="12"/>
    <s v="PORTO D'ASCOLI"/>
    <m/>
    <m/>
    <s v="BAGNI EXCELSIOR - SAN BENEDETTO DEL TRONTO"/>
  </r>
  <r>
    <x v="4"/>
    <s v="BAGNI FABIO (1)"/>
    <s v="viale della repubblica 17 17"/>
    <x v="5"/>
    <m/>
    <m/>
    <m/>
    <s v="BAGNI FABIO (1) - GROTTAMMARE"/>
  </r>
  <r>
    <x v="4"/>
    <s v="BAGNI FABIO (2)"/>
    <s v="viale della repubblica 17 17"/>
    <x v="5"/>
    <m/>
    <m/>
    <m/>
    <s v="BAGNI FABIO (2) - GROTTAMMARE"/>
  </r>
  <r>
    <x v="4"/>
    <s v="BAGNI FANESI"/>
    <s v="vicolo fornace 1 1"/>
    <x v="22"/>
    <s v="FALCONARA MARITTIMA"/>
    <m/>
    <m/>
    <s v="BAGNI FANESI - FALCONARA MARITTIMA"/>
  </r>
  <r>
    <x v="4"/>
    <s v="BAGNI FERNANDO &amp; LUCIANO N. 25"/>
    <s v="via cristoforo colombo 25 25"/>
    <x v="28"/>
    <s v="GABICCE MARE"/>
    <s v="bagni25gabicce@libero.it"/>
    <m/>
    <s v="BAGNI FERNANDO &amp; LUCIANO N. 25 - GABICCE MARE"/>
  </r>
  <r>
    <x v="4"/>
    <s v="BAGNI FIRMINA N° 84"/>
    <s v="lungomare Alighieri 84 84"/>
    <x v="16"/>
    <s v="SENIGALLIA"/>
    <m/>
    <m/>
    <s v="BAGNI FIRMINA N° 84 - SENIGALLIA"/>
  </r>
  <r>
    <x v="4"/>
    <s v="BAGNI FLORINDA"/>
    <s v="via lungomare gramsci sud 1 1"/>
    <x v="47"/>
    <s v="PORTO SAN GIORGIO"/>
    <s v="giorgio.rogante@alice.it"/>
    <m/>
    <s v="BAGNI FLORINDA - PORTO SAN GIORGIO"/>
  </r>
  <r>
    <x v="4"/>
    <s v="BAGNI FLORISA N° 8"/>
    <s v="lungomare mameli 1 1"/>
    <x v="16"/>
    <s v="SENIGALLIA"/>
    <m/>
    <m/>
    <s v="BAGNI FLORISA N° 8 - SENIGALLIA"/>
  </r>
  <r>
    <x v="4"/>
    <s v="BAGNI FORTUNA"/>
    <s v="viale Marconi, 41 1"/>
    <x v="12"/>
    <m/>
    <m/>
    <m/>
    <s v="BAGNI FORTUNA - SAN BENEDETTO DEL TRONTO"/>
  </r>
  <r>
    <x v="4"/>
    <s v="BAGNI FRANCO"/>
    <s v="lungomare nazario sauro 27 27"/>
    <x v="69"/>
    <s v="PESARO"/>
    <m/>
    <m/>
    <s v="BAGNI FRANCO - PESARO"/>
  </r>
  <r>
    <x v="4"/>
    <s v="BAGNI FRANCO (Conc. N° 56) DI GAUDENZI GIANFRANCO"/>
    <s v="VIA SNAN - FOSSO SEJORE - FANO 2 2"/>
    <x v="33"/>
    <s v=" FOSSO SEIORE - FANO"/>
    <s v="info@bagnifranco.it"/>
    <s v="www.bagnifranco.it"/>
    <s v="BAGNI FRANCO (Conc. N° 56) DI GAUDENZI GIANFRANCO - FANO"/>
  </r>
  <r>
    <x v="4"/>
    <s v="BAGNI FRANCO DI PORTAVIA LUCA(Conc. Integrativa N° 1)"/>
    <s v="via faa' di bruno 1 1"/>
    <x v="20"/>
    <s v="MONDOLFO"/>
    <m/>
    <m/>
    <s v="BAGNI FRANCO DI PORTAVIA LUCA(Conc. Integrativa N° 1) - MONDOLFO"/>
  </r>
  <r>
    <x v="4"/>
    <s v="BAGNI FRANCO N. 37"/>
    <s v="via cristoforo colombo 17 17"/>
    <x v="28"/>
    <s v="GABICCE MARE"/>
    <s v="alessandro.fili-2008@libero.it"/>
    <m/>
    <s v="BAGNI FRANCO N. 37 - GABICCE MARE"/>
  </r>
  <r>
    <x v="4"/>
    <s v="BAGNI GABBIANO"/>
    <s v="via cristoforo colombo 1 1"/>
    <x v="22"/>
    <s v="FALCONARA MARITTIMA"/>
    <s v="M.Spadoni@gruppoapi.com"/>
    <m/>
    <s v="BAGNI GABBIANO - FALCONARA MARITTIMA"/>
  </r>
  <r>
    <x v="4"/>
    <s v="BAGNI GABBIANO N° 25"/>
    <s v="lungomare mameli 77 77"/>
    <x v="16"/>
    <s v="SENIGALLIA"/>
    <m/>
    <m/>
    <s v="BAGNI GABBIANO N° 25 - SENIGALLIA"/>
  </r>
  <r>
    <x v="4"/>
    <s v="BAGNI GABRIELE DI BARBINI GABRIELE"/>
    <s v="viale adriatico 1 1"/>
    <x v="33"/>
    <s v="FANO"/>
    <m/>
    <m/>
    <s v="BAGNI GABRIELE DI BARBINI GABRIELE - FANO"/>
  </r>
  <r>
    <x v="4"/>
    <s v="BAGNI GABRIELE N° 115"/>
    <s v="lungomare leonardo da vinci 1 1"/>
    <x v="16"/>
    <s v="SENIGALLIA"/>
    <m/>
    <m/>
    <s v="BAGNI GABRIELE N° 115 - SENIGALLIA"/>
  </r>
  <r>
    <x v="4"/>
    <s v="BAGNI GABRIELLA N° 66"/>
    <s v="lungomare alighieri 66 66"/>
    <x v="16"/>
    <s v="SENIGALLIA"/>
    <m/>
    <m/>
    <s v="BAGNI GABRIELLA N° 66 - SENIGALLIA"/>
  </r>
  <r>
    <x v="4"/>
    <s v="BAGNI GABRY"/>
    <s v="lungomare Nazario Sauro 25 25"/>
    <x v="69"/>
    <s v="PESARO"/>
    <m/>
    <m/>
    <s v="BAGNI GABRY - PESARO"/>
  </r>
  <r>
    <x v="4"/>
    <s v="BAGNI GALLIANO"/>
    <s v="Viale Giacomo Matteotti 24/A"/>
    <x v="17"/>
    <s v="CIVITANOVA MARCHE"/>
    <m/>
    <m/>
    <s v="BAGNI GALLIANO - CIVITANOVA MARCHE"/>
  </r>
  <r>
    <x v="4"/>
    <s v="BAGNI GASTONE &amp; MARTA"/>
    <s v="viale Trieste 1 1"/>
    <x v="69"/>
    <s v="spiaggia di Ponente"/>
    <s v="info@bagnigastonemarta.it"/>
    <m/>
    <s v="BAGNI GASTONE &amp; MARTA - PESARO"/>
  </r>
  <r>
    <x v="4"/>
    <s v="BAGNI GIACOMO N. 3"/>
    <s v="via cristoforo colombo 3 3"/>
    <x v="28"/>
    <s v="GABICCE MARE"/>
    <m/>
    <m/>
    <s v="BAGNI GIACOMO N. 3 - GABICCE MARE"/>
  </r>
  <r>
    <x v="4"/>
    <s v="BAGNI GILBERTO"/>
    <s v="viale Trieste 1 1"/>
    <x v="69"/>
    <s v="Levante"/>
    <m/>
    <m/>
    <s v="BAGNI GILBERTO - PESARO"/>
  </r>
  <r>
    <x v="4"/>
    <s v="BAGNI GINO DI GUIDI MONICA"/>
    <s v="viale Trieste 1 1"/>
    <x v="69"/>
    <s v="spiaggia di Ponente"/>
    <s v="bagnigino15@gmail.com"/>
    <m/>
    <s v="BAGNI GINO DI GUIDI MONICA - PESARO"/>
  </r>
  <r>
    <x v="4"/>
    <s v="BAGNI GINO E CARLA N. 19"/>
    <s v="via cristoforo colombo 19 19"/>
    <x v="28"/>
    <s v="GABICCE MARE"/>
    <s v="gino19@gabiccemare.com"/>
    <s v="www.bagni19.com"/>
    <s v="BAGNI GINO E CARLA N. 19 - GABICCE MARE"/>
  </r>
  <r>
    <x v="4"/>
    <s v="BAGNI GINO N.34"/>
    <s v="viale Trieste 1 1"/>
    <x v="69"/>
    <s v="spiaggia di Levante"/>
    <m/>
    <m/>
    <s v="BAGNI GINO N.34 - PESARO"/>
  </r>
  <r>
    <x v="4"/>
    <s v="BAGNI GIORGIO N. 27"/>
    <s v="via cristoforo colombo 17 17"/>
    <x v="28"/>
    <s v="GABICCE MARE"/>
    <m/>
    <m/>
    <s v="BAGNI GIORGIO N. 27 - GABICCE MARE"/>
  </r>
  <r>
    <x v="4"/>
    <s v="BAGNI GISELLA &amp; IVANO N° 111"/>
    <s v="lungomare leonardo da vinci 1 1"/>
    <x v="16"/>
    <s v="SENIGALLIA"/>
    <m/>
    <s v="matias81@fastwebnet.it"/>
    <s v="BAGNI GISELLA &amp; IVANO N° 111 - SENIGALLIA"/>
  </r>
  <r>
    <x v="4"/>
    <s v="BAGNI GIULIANA"/>
    <s v="via lungomare gramsci sud 1 1"/>
    <x v="47"/>
    <s v="PORTO SAN GIORGIO"/>
    <s v="elisabettavecchiola@hotmail.it"/>
    <m/>
    <s v="BAGNI GIULIANA - PORTO SAN GIORGIO"/>
  </r>
  <r>
    <x v="4"/>
    <s v="BAGNI GIULIANA N° 12"/>
    <s v="lungomare mameli 1 1"/>
    <x v="16"/>
    <s v="SENIGALLIA"/>
    <m/>
    <m/>
    <s v="BAGNI GIULIANA N° 12 - SENIGALLIA"/>
  </r>
  <r>
    <x v="4"/>
    <s v="BAGNI GIUSEPPE"/>
    <s v="lungomare Nazario Sauro 1 1"/>
    <x v="69"/>
    <s v="Levante"/>
    <s v="rebecca.giunti@tuquitour.it"/>
    <m/>
    <s v="BAGNI GIUSEPPE - PESARO"/>
  </r>
  <r>
    <x v="4"/>
    <s v="BAGNI GRAND HOTEL EXCELSIOR N° 97"/>
    <s v="lungomare alighieri 97 97"/>
    <x v="16"/>
    <s v="SENIGALLIA"/>
    <s v="ghexcelsior@tin.it"/>
    <s v="www.ghe.it"/>
    <s v="BAGNI GRAND HOTEL EXCELSIOR N° 97 - SENIGALLIA"/>
  </r>
  <r>
    <x v="4"/>
    <s v="BAGNI HEIDI"/>
    <s v="Via Lungomare 69/D"/>
    <x v="41"/>
    <s v="MARINA DI MONTEMARCIANO"/>
    <s v="mengucci.marco@alice.it"/>
    <m/>
    <s v="BAGNI HEIDI - MONTEMARCIANO"/>
  </r>
  <r>
    <x v="4"/>
    <s v="BAGNI HELIOS"/>
    <s v="strada delle Marche 54 54"/>
    <x v="69"/>
    <s v="PESARO"/>
    <m/>
    <m/>
    <s v="BAGNI HELIOS - PESARO"/>
  </r>
  <r>
    <x v="4"/>
    <s v="BAGNI HOTEL BOLOGNA N° 29"/>
    <s v="lungomare mameli 57 57"/>
    <x v="16"/>
    <s v="SENIGALLIA"/>
    <s v="info@hbologna.net"/>
    <s v="www.hbologna.net"/>
    <s v="BAGNI HOTEL BOLOGNA N° 29 - SENIGALLIA"/>
  </r>
  <r>
    <x v="4"/>
    <s v="BAGNI HOTEL CARAIBI N 3"/>
    <s v="I Strada 23  3"/>
    <x v="16"/>
    <s v="SENIGALLIA"/>
    <s v="www.caraibihotel.it"/>
    <s v="info@caraibihotel.it"/>
    <s v="BAGNI HOTEL CARAIBI N 3 - SENIGALLIA"/>
  </r>
  <r>
    <x v="4"/>
    <s v="BAGNI HOTEL EUROPA DI SPLENDIANI G."/>
    <s v="viale giuseppe romita 1 1"/>
    <x v="32"/>
    <s v="CUPRA MARITTIMA"/>
    <s v="hoteleuropacupra@virgilio.it"/>
    <m/>
    <s v="BAGNI HOTEL EUROPA DI SPLENDIANI G. - CUPRA MARITTIMA"/>
  </r>
  <r>
    <x v="4"/>
    <s v="BAGNI HOTEL FAUSTO"/>
    <s v="via san giacomo 43 43"/>
    <x v="12"/>
    <s v="PORTO D' ASCOLI"/>
    <s v="hotelfausto@aliceposta.it"/>
    <m/>
    <s v="BAGNI HOTEL FAUSTO - SAN BENEDETTO DEL TRONTO"/>
  </r>
  <r>
    <x v="4"/>
    <s v="BAGNI HOTEL GABBIANO N° 140"/>
    <s v="lungomare leonardo da vinci 91 91"/>
    <x v="16"/>
    <s v="SENIGALLIA"/>
    <m/>
    <m/>
    <s v="BAGNI HOTEL GABBIANO N° 140 - SENIGALLIA"/>
  </r>
  <r>
    <x v="4"/>
    <s v="BAGNI HOTEL HAITI"/>
    <s v="viale a. scipioni 68 68"/>
    <x v="12"/>
    <s v="SAN BENEDETTO DEL TRONTO"/>
    <m/>
    <m/>
    <s v="BAGNI HOTEL HAITI - SAN BENEDETTO DEL TRONTO"/>
  </r>
  <r>
    <x v="4"/>
    <s v="BAGNI HOTEL HOLIDAY"/>
    <s v="lungomare marconi 1 1"/>
    <x v="12"/>
    <m/>
    <m/>
    <m/>
    <s v="BAGNI HOTEL HOLIDAY - SAN BENEDETTO DEL TRONTO"/>
  </r>
  <r>
    <x v="4"/>
    <s v="BAGNI HOTEL INTERNATIONAL N° 34"/>
    <s v="lungomare mameli 1 1"/>
    <x v="16"/>
    <s v="SENIGALLIA"/>
    <s v="www.hotelinternationalsenigallia.com"/>
    <s v="info@hotelinternationalsenigallia.com"/>
    <s v="BAGNI HOTEL INTERNATIONAL N° 34 - SENIGALLIA"/>
  </r>
  <r>
    <x v="4"/>
    <s v="BAGNI HOTEL LANTERNA"/>
    <s v="lungomare gramsci 1 1"/>
    <x v="47"/>
    <s v="PORTO SAN GIORGIO"/>
    <s v="info@lanternahotel.it"/>
    <m/>
    <s v="BAGNI HOTEL LANTERNA - PORTO SAN GIORGIO"/>
  </r>
  <r>
    <x v="4"/>
    <s v="BAGNI HOTEL MARCONI"/>
    <s v="viale alcide de gasperi 7 7"/>
    <x v="5"/>
    <m/>
    <m/>
    <m/>
    <s v="BAGNI HOTEL MARCONI - GROTTAMMARE"/>
  </r>
  <r>
    <x v="4"/>
    <s v="BAGNI HOTEL MICHELANGELO"/>
    <s v="VIALE RINASCIMENTO 4 4"/>
    <x v="12"/>
    <m/>
    <m/>
    <m/>
    <s v="BAGNI HOTEL MICHELANGELO - SAN BENEDETTO DEL TRONTO"/>
  </r>
  <r>
    <x v="4"/>
    <s v="BAGNI HOTEL OLIMPO"/>
    <s v="viale europa 78 78"/>
    <x v="12"/>
    <s v="FANO"/>
    <m/>
    <m/>
    <s v="BAGNI HOTEL OLIMPO - SAN BENEDETTO DEL TRONTO"/>
  </r>
  <r>
    <x v="4"/>
    <s v="BAGNI HOTEL ROMA - Bahia Blanca"/>
    <s v="viale alcide de gasperi 1 1"/>
    <x v="5"/>
    <m/>
    <m/>
    <m/>
    <s v="BAGNI HOTEL ROMA - Bahia Blanca - GROTTAMMARE"/>
  </r>
  <r>
    <x v="4"/>
    <s v="BAGNI HOTEL TRITONE - ZULU'"/>
    <s v="lungomare gramsci 3 3"/>
    <x v="47"/>
    <s v="PORTO SAN GIORGIO"/>
    <s v="info@hotel-tritone.it"/>
    <s v="www.hotel-tritone.it"/>
    <s v="BAGNI HOTEL TRITONE - ZULU' - PORTO SAN GIORGIO"/>
  </r>
  <r>
    <x v="4"/>
    <s v="BAGNI HOTEL UNIVERSAL N 33"/>
    <s v="lungomare mameli 1 1"/>
    <x v="16"/>
    <s v="SENIGALLIA"/>
    <m/>
    <s v="info@hoteluniversal.it"/>
    <s v="BAGNI HOTEL UNIVERSAL N 33 - SENIGALLIA"/>
  </r>
  <r>
    <x v="4"/>
    <s v="BAGNI IOLE"/>
    <s v="lungomare Nazario Sauro 1 1"/>
    <x v="69"/>
    <s v="Levante"/>
    <m/>
    <m/>
    <s v="BAGNI IOLE - PESARO"/>
  </r>
  <r>
    <x v="4"/>
    <s v="BAGNI IRENE"/>
    <s v="lungomare Nazario Sauro 1 1"/>
    <x v="69"/>
    <s v="Levante"/>
    <m/>
    <m/>
    <s v="BAGNI IRENE - PESARO"/>
  </r>
  <r>
    <x v="4"/>
    <s v="BAGNI IRMA N° 75"/>
    <s v="lungomare alighieri 75 75"/>
    <x v="16"/>
    <s v="SENIGALLIA"/>
    <m/>
    <m/>
    <s v="BAGNI IRMA N° 75 - SENIGALLIA"/>
  </r>
  <r>
    <x v="4"/>
    <s v="BAGNI ITALO N° 92"/>
    <s v="lungomare alighieri 92 92"/>
    <x v="16"/>
    <s v="SENIGALLIA"/>
    <m/>
    <m/>
    <s v="BAGNI ITALO N° 92 - SENIGALLIA"/>
  </r>
  <r>
    <x v="4"/>
    <s v="BAGNI JOLLY"/>
    <s v="viale Trieste 1 1"/>
    <x v="69"/>
    <s v="Levante"/>
    <m/>
    <m/>
    <s v="BAGNI JOLLY - PESARO"/>
  </r>
  <r>
    <x v="4"/>
    <s v="BAGNI LA BAIA"/>
    <s v="Via Alcide De Gasperi 33"/>
    <x v="33"/>
    <m/>
    <s v="maurotalamelli@gmail.com"/>
    <m/>
    <s v="BAGNI LA BAIA - FANO"/>
  </r>
  <r>
    <x v="4"/>
    <s v="BAGNI LA SALUTE"/>
    <s v="via della stazione 1 1"/>
    <x v="22"/>
    <s v="FALCONARA MARITTIMA"/>
    <m/>
    <m/>
    <s v="BAGNI LA SALUTE - FALCONARA MARITTIMA"/>
  </r>
  <r>
    <x v="4"/>
    <s v="BAGNI LALLO N 21"/>
    <s v="viale Trieste 21 21"/>
    <x v="69"/>
    <s v="PESARO"/>
    <m/>
    <m/>
    <s v="BAGNI LALLO N 21 - PESARO"/>
  </r>
  <r>
    <x v="4"/>
    <s v="BAGNI LAURA N 24"/>
    <s v="lungomare Nazario Sauro 1 1"/>
    <x v="69"/>
    <s v="Levante"/>
    <m/>
    <m/>
    <s v="BAGNI LAURA N 24 - PESARO"/>
  </r>
  <r>
    <x v="4"/>
    <s v="BAGNI LE PALME N° 61"/>
    <s v="lungomare alighieri 61 61"/>
    <x v="16"/>
    <s v="SENIGALLIA"/>
    <m/>
    <m/>
    <s v="BAGNI LE PALME N° 61 - SENIGALLIA"/>
  </r>
  <r>
    <x v="4"/>
    <s v="BAGNI LELII"/>
    <s v="viale della repubblica 1 1"/>
    <x v="5"/>
    <m/>
    <m/>
    <m/>
    <s v="BAGNI LELII - GROTTAMMARE"/>
  </r>
  <r>
    <x v="4"/>
    <s v="BAGNI LICIA N° 99"/>
    <s v="lungomare alighieri 99 99"/>
    <x v="16"/>
    <s v="SENIGALLIA"/>
    <m/>
    <m/>
    <s v="BAGNI LICIA N° 99 - SENIGALLIA"/>
  </r>
  <r>
    <x v="4"/>
    <s v="BAGNI LIDO 1 di CECCONI MATTEO &amp; C. s.n.c. (Conc. N° 235)"/>
    <s v="via c. simonetti 235 235"/>
    <x v="33"/>
    <s v="FANO"/>
    <m/>
    <m/>
    <s v="BAGNI LIDO 1 di CECCONI MATTEO &amp; C. s.n.c. (Conc. N° 235) - FANO"/>
  </r>
  <r>
    <x v="4"/>
    <s v="BAGNI LIDO 2 di FRANCHINI FRANCO (Conc. N° 18)"/>
    <s v="via c. simonetti 18 18"/>
    <x v="33"/>
    <s v="FANO"/>
    <s v="g.gianca@libero.it"/>
    <m/>
    <s v="BAGNI LIDO 2 di FRANCHINI FRANCO (Conc. N° 18) - FANO"/>
  </r>
  <r>
    <x v="4"/>
    <s v="BAGNI LIDO VERDE"/>
    <m/>
    <x v="33"/>
    <s v="BAIA METAURO"/>
    <m/>
    <s v="info@studiocappellini.com"/>
    <s v="BAGNI LIDO VERDE - FANO"/>
  </r>
  <r>
    <x v="4"/>
    <s v="BAGNI LORY DI CASAGRANDE BACCHIOCCHI FABIO"/>
    <s v="via cappellini 21 21"/>
    <x v="33"/>
    <s v="FANO"/>
    <m/>
    <m/>
    <s v="BAGNI LORY DI CASAGRANDE BACCHIOCCHI FABIO - FANO"/>
  </r>
  <r>
    <x v="4"/>
    <s v="BAGNI LUCA"/>
    <m/>
    <x v="69"/>
    <m/>
    <m/>
    <m/>
    <s v="BAGNI LUCA - PESARO"/>
  </r>
  <r>
    <x v="4"/>
    <s v="BAGNI LUCARELLI ULIANO N 135/136"/>
    <s v="lungomare leonardo da vinci 1 1"/>
    <x v="16"/>
    <s v="SENIGALLIA"/>
    <m/>
    <m/>
    <s v="BAGNI LUCARELLI ULIANO N 135/136 - SENIGALLIA"/>
  </r>
  <r>
    <x v="4"/>
    <s v="BAGNI LUCIA N.139"/>
    <s v="lungomare leonardo da vinci 91 91"/>
    <x v="16"/>
    <s v="SENIGALLIA"/>
    <s v="info@albergolucia.net"/>
    <s v="www.albergolucia.net"/>
    <s v="BAGNI LUCIA N.139 - SENIGALLIA"/>
  </r>
  <r>
    <x v="4"/>
    <s v="BAGNI LUCIANO"/>
    <s v="via bernardino baldi 42 42"/>
    <x v="69"/>
    <s v="PESARO"/>
    <m/>
    <m/>
    <s v="BAGNI LUCIANO - PESARO"/>
  </r>
  <r>
    <x v="4"/>
    <s v="BAGNI LUCIO N 12"/>
    <s v="viale Trieste 1 1"/>
    <x v="69"/>
    <s v="Ponente"/>
    <m/>
    <m/>
    <s v="BAGNI LUCIO N 12 - PESARO"/>
  </r>
  <r>
    <x v="4"/>
    <s v="BAGNI LUIGI N. 21"/>
    <s v="via cristoforo colombo 21 21"/>
    <x v="28"/>
    <s v="GABICCE MARE"/>
    <s v="bagni21@yahoo.it"/>
    <m/>
    <s v="BAGNI LUIGI N. 21 - GABICCE MARE"/>
  </r>
  <r>
    <x v="4"/>
    <s v="BAGNI LUISA"/>
    <s v="lungomare gramsci 1 1"/>
    <x v="47"/>
    <s v="PORTO SAN GIORGIO"/>
    <m/>
    <m/>
    <s v="BAGNI LUISA - PORTO SAN GIORGIO"/>
  </r>
  <r>
    <x v="4"/>
    <s v="BAGNI M.  n. 48"/>
    <s v="lungomare marconi 1 1"/>
    <x v="16"/>
    <s v="SENIGALLIA"/>
    <m/>
    <m/>
    <s v="BAGNI M.  n. 48 - SENIGALLIA"/>
  </r>
  <r>
    <x v="4"/>
    <s v="BAGNI MADAI"/>
    <m/>
    <x v="133"/>
    <s v="MARINA DI ALTIDONA"/>
    <m/>
    <m/>
    <s v="BAGNI MADAI - ALTIDONA"/>
  </r>
  <r>
    <x v="4"/>
    <s v="BAGNI MAFALDA N° 56"/>
    <s v="lungomare alighieri 56 56"/>
    <x v="16"/>
    <s v="SENIGALLIA"/>
    <m/>
    <m/>
    <s v="BAGNI MAFALDA N° 56 - SENIGALLIA"/>
  </r>
  <r>
    <x v="4"/>
    <s v="BAGNI MARA N° 80/81"/>
    <s v="lungomare alighieri 80 80"/>
    <x v="16"/>
    <s v="SENIGALLIA"/>
    <m/>
    <m/>
    <s v="BAGNI MARA N° 80/81 - SENIGALLIA"/>
  </r>
  <r>
    <x v="4"/>
    <s v="BAGNI MARACAIBO N° 128"/>
    <s v="lungomare leonardo da vinci 1 1"/>
    <x v="16"/>
    <s v="SENIGALLIA"/>
    <s v="info@residencelanave.it"/>
    <s v="www.residencelanave.it"/>
    <s v="BAGNI MARACAIBO N° 128 - SENIGALLIA"/>
  </r>
  <r>
    <x v="4"/>
    <s v="BAGNI MARCONI"/>
    <s v="viale europa 21 21"/>
    <x v="12"/>
    <s v="san benedetto del tronto"/>
    <s v="marconi@hotel-marconi.it"/>
    <s v="www.hotel-marconi.it"/>
    <s v="BAGNI MARCONI - SAN BENEDETTO DEL TRONTO"/>
  </r>
  <r>
    <x v="4"/>
    <s v="BAGNI MARE MIO N° 50"/>
    <s v="lungomare marconi 1 1"/>
    <x v="16"/>
    <s v="SENIGALLIA"/>
    <m/>
    <m/>
    <s v="BAGNI MARE MIO N° 50 - SENIGALLIA"/>
  </r>
  <r>
    <x v="4"/>
    <s v="BAGNI MARGHERITA"/>
    <s v="strada delle Marche 1 1"/>
    <x v="69"/>
    <s v="PESARO"/>
    <m/>
    <m/>
    <s v="BAGNI MARGHERITA - PESARO"/>
  </r>
  <r>
    <x v="4"/>
    <s v="BAGNI MARIA FIORI"/>
    <s v="viale della repubblica 1 1"/>
    <x v="5"/>
    <s v="PESARO"/>
    <m/>
    <m/>
    <s v="BAGNI MARIA FIORI - GROTTAMMARE"/>
  </r>
  <r>
    <x v="4"/>
    <s v="BAGNI MARIA N° 21"/>
    <s v="lungomare mameli 1 1"/>
    <x v="16"/>
    <s v="SENIGALLIA"/>
    <m/>
    <m/>
    <s v="BAGNI MARIA N° 21 - SENIGALLIA"/>
  </r>
  <r>
    <x v="4"/>
    <s v="BAGNI MARIA N° 94"/>
    <s v="lungomare alighieri 94 94"/>
    <x v="16"/>
    <s v="SENIGALLIA"/>
    <m/>
    <m/>
    <s v="BAGNI MARIA N° 94 - SENIGALLIA"/>
  </r>
  <r>
    <x v="4"/>
    <s v="BAGNI MARINO"/>
    <s v="viale Trieste 39 39"/>
    <x v="69"/>
    <s v="Levante"/>
    <m/>
    <s v="fsanchioni@studiopa.it"/>
    <s v="BAGNI MARINO - PESARO"/>
  </r>
  <r>
    <x v="4"/>
    <s v="BAGNI MARINO DI ALBERTINI ILARIO &amp; C."/>
    <s v="via faa' di bruno 1 1"/>
    <x v="33"/>
    <s v="FANO"/>
    <m/>
    <m/>
    <s v="BAGNI MARINO DI ALBERTINI ILARIO &amp; C. - FANO"/>
  </r>
  <r>
    <x v="4"/>
    <s v="BAGNI MARIO"/>
    <s v="viale Trieste 1 1"/>
    <x v="69"/>
    <s v="spiaggia di Levante"/>
    <m/>
    <m/>
    <s v="BAGNI MARIO - PESARO"/>
  </r>
  <r>
    <x v="4"/>
    <s v="BAGNI MARIO E NORMA N. 2"/>
    <s v="lungomare cristoforo colombo 2 2"/>
    <x v="28"/>
    <s v="GABICCE MARE"/>
    <m/>
    <m/>
    <s v="BAGNI MARIO E NORMA N. 2 - GABICCE MARE"/>
  </r>
  <r>
    <x v="4"/>
    <s v="BAGNI MARIO N° 121"/>
    <s v="lungomare leonardo da vinci 1 1"/>
    <x v="16"/>
    <s v="SENIGALLIA"/>
    <m/>
    <m/>
    <s v="BAGNI MARIO N° 121 - SENIGALLIA"/>
  </r>
  <r>
    <x v="4"/>
    <s v="BAGNI MARISA N. 23"/>
    <s v="lungomare cristoforo colombo 1 1"/>
    <x v="28"/>
    <s v="GABICCE MARE"/>
    <s v="bagnimarisa@libero.it"/>
    <m/>
    <s v="BAGNI MARISA N. 23 - GABICCE MARE"/>
  </r>
  <r>
    <x v="4"/>
    <s v="BAGNI MARTA N° 55"/>
    <s v="lungomare alighieri 55 55"/>
    <x v="16"/>
    <s v="SENIGALLIA"/>
    <m/>
    <m/>
    <s v="BAGNI MARTA N° 55 - SENIGALLIA"/>
  </r>
  <r>
    <x v="4"/>
    <s v="BAGNI MASSIMO N° 112"/>
    <s v="lungomare leonardo da vinci 1 1"/>
    <x v="16"/>
    <s v="SENIGALLIA"/>
    <m/>
    <s v="menotti.massimo@alice.it"/>
    <s v="BAGNI MASSIMO N° 112 - SENIGALLIA"/>
  </r>
  <r>
    <x v="4"/>
    <s v="BAGNI MAURIZIO di GABBIANELLI IRIDE"/>
    <s v="viale adriatico 1 1"/>
    <x v="33"/>
    <s v="FANO"/>
    <s v="info@bagnimaurizio.it"/>
    <s v="www.bagnimaurizio.it"/>
    <s v="BAGNI MAURIZIO di GABBIANELLI IRIDE - FANO"/>
  </r>
  <r>
    <x v="4"/>
    <s v="BAGNI MIAMI BEACH N° 100"/>
    <s v="lungomare leonardo da vinci 2 2"/>
    <x v="16"/>
    <s v="SENIGALLIA"/>
    <m/>
    <m/>
    <s v="BAGNI MIAMI BEACH N° 100 - SENIGALLIA"/>
  </r>
  <r>
    <x v="4"/>
    <s v="BAGNI MIRAMARE N 60"/>
    <s v="via Marina Ardizia 60 60"/>
    <x v="69"/>
    <s v="PESARO"/>
    <m/>
    <s v="s.giorgi@koruspartners.it"/>
    <s v="BAGNI MIRAMARE N 60 - PESARO"/>
  </r>
  <r>
    <x v="4"/>
    <s v="BAGNI MIRELLA"/>
    <s v="Lungomare 80/a"/>
    <x v="41"/>
    <s v="MARINA DI MONTEMARCIANO"/>
    <s v="www.albertoberardi.com"/>
    <s v="ristorante@albertoberardi.com"/>
    <s v="BAGNI MIRELLA - MONTEMARCIANO"/>
  </r>
  <r>
    <x v="4"/>
    <s v="BAGNI MIRIAM"/>
    <s v="viale Cristoforo Colombo 1 1"/>
    <x v="20"/>
    <s v="MAROTTA"/>
    <m/>
    <m/>
    <s v="BAGNI MIRIAM - MONDOLFO"/>
  </r>
  <r>
    <x v="4"/>
    <s v="BAGNI MONASCO DI MONTONI MONASCO"/>
    <s v="via faa' di bruno 1 1"/>
    <x v="20"/>
    <s v="MONDOLFO"/>
    <s v="monasco.montoni@libero.it"/>
    <m/>
    <s v="BAGNI MONASCO DI MONTONI MONASCO - MONDOLFO"/>
  </r>
  <r>
    <x v="4"/>
    <s v="BAGNI N 116"/>
    <s v="lungomare leonardo da vinci 21 21"/>
    <x v="16"/>
    <s v="SENIGALLIA"/>
    <s v="info@hotelsouvenir.it"/>
    <s v="www.hotelsouvenir.it"/>
    <s v="BAGNI N 116 - SENIGALLIA"/>
  </r>
  <r>
    <x v="4"/>
    <s v="BAGNI N 45"/>
    <m/>
    <x v="28"/>
    <s v="GABICCE MARE"/>
    <m/>
    <s v="rosmarchini@gmail.com"/>
    <s v="BAGNI N 45 - GABICCE MARE"/>
  </r>
  <r>
    <x v="4"/>
    <s v="BAGNI N 46"/>
    <m/>
    <x v="28"/>
    <s v="GABICCE MARE"/>
    <m/>
    <s v="rosmarchini@gmail.com"/>
    <s v="BAGNI N 46 - GABICCE MARE"/>
  </r>
  <r>
    <x v="4"/>
    <s v="BAGNI N. 14"/>
    <s v="lungomare cristoforo colombo 1 1"/>
    <x v="28"/>
    <s v="GABICCE MARE"/>
    <m/>
    <m/>
    <s v="BAGNI N. 14 - GABICCE MARE"/>
  </r>
  <r>
    <x v="4"/>
    <s v="BAGNI N. 34"/>
    <s v="via cristoforo colombo 34 34"/>
    <x v="28"/>
    <s v="GABICCE MARE"/>
    <s v="info@gabiccemarespiaggia.com"/>
    <s v="www.gabiccemarespiaggia.com"/>
    <s v="BAGNI N. 34 - GABICCE MARE"/>
  </r>
  <r>
    <x v="4"/>
    <s v="BAGNI N. 35"/>
    <s v="via cristoforo colombo 35 35"/>
    <x v="28"/>
    <s v="GABICCE MARE"/>
    <s v="info@gabiccemarespiaggia.com"/>
    <s v="www.gabiccemarespiaggia.com"/>
    <s v="BAGNI N. 35 - GABICCE MARE"/>
  </r>
  <r>
    <x v="4"/>
    <s v="BAGNI N.107 STELLA MARINA"/>
    <s v="lungomare leonardo da vinci 107 107"/>
    <x v="16"/>
    <s v="SENIGALLIA"/>
    <m/>
    <m/>
    <s v="BAGNI N.107 STELLA MARINA - SENIGALLIA"/>
  </r>
  <r>
    <x v="4"/>
    <s v="BAGNI N.130"/>
    <s v="lungomare leonardo da vinci 130 130"/>
    <x v="16"/>
    <s v="SENIGALLIA"/>
    <m/>
    <m/>
    <s v="BAGNI N.130 - SENIGALLIA"/>
  </r>
  <r>
    <x v="4"/>
    <s v="BAGNI N° 117 LA PERLA"/>
    <s v="lungomare leonardo da vinci 1 1"/>
    <x v="16"/>
    <s v="SENIGALLIA"/>
    <m/>
    <m/>
    <s v="BAGNI N° 117 LA PERLA - SENIGALLIA"/>
  </r>
  <r>
    <x v="4"/>
    <s v="BAGNI N° 118"/>
    <s v="lungomare leonardo da vinci 1 1"/>
    <x v="16"/>
    <s v="SENIGALLIA"/>
    <m/>
    <m/>
    <s v="BAGNI N° 118 - SENIGALLIA"/>
  </r>
  <r>
    <x v="4"/>
    <s v="BAGNI N° 14"/>
    <s v="lungomare mameli 14 14"/>
    <x v="16"/>
    <s v="SENIGALLIA"/>
    <s v="info@bagni14.it"/>
    <s v="www.bagni14.it"/>
    <s v="BAGNI N° 14 - SENIGALLIA"/>
  </r>
  <r>
    <x v="4"/>
    <s v="BAGNI N° 141"/>
    <s v="lungomare leonardo da vinci 92 92"/>
    <x v="16"/>
    <s v="SENIGALLIA"/>
    <m/>
    <m/>
    <s v="BAGNI N° 141 - SENIGALLIA"/>
  </r>
  <r>
    <x v="4"/>
    <s v="BAGNI N° 159"/>
    <s v="lungomare italia 1 1"/>
    <x v="16"/>
    <s v="SENIGALLIA"/>
    <m/>
    <m/>
    <s v="BAGNI N° 159 - SENIGALLIA"/>
  </r>
  <r>
    <x v="4"/>
    <s v="BAGNI N° 17 - BAIA DEL FARO"/>
    <s v="lungomare mameli 1 1"/>
    <x v="16"/>
    <s v="SENIGALLIA"/>
    <s v="info@baiadelfaro.it"/>
    <s v="www.baiadelfaro.it"/>
    <s v="BAGNI N° 17 - BAIA DEL FARO - SENIGALLIA"/>
  </r>
  <r>
    <x v="4"/>
    <s v="BAGNI N° 4 MILLE BOLLE BLU"/>
    <s v="lungomare mameli 4 4"/>
    <x v="16"/>
    <s v="SENIGALLIA"/>
    <m/>
    <m/>
    <s v="BAGNI N° 4 MILLE BOLLE BLU - SENIGALLIA"/>
  </r>
  <r>
    <x v="4"/>
    <s v="BAGNI N° 5"/>
    <s v="lungomare mameli 1 1"/>
    <x v="16"/>
    <s v="SENIGALLIA"/>
    <m/>
    <m/>
    <s v="BAGNI N° 5 - SENIGALLIA"/>
  </r>
  <r>
    <x v="4"/>
    <s v="BAGNI N° 64 - APAPAYA"/>
    <s v="lungomare alighieri 64 64"/>
    <x v="16"/>
    <s v="SENIGALLIA"/>
    <m/>
    <m/>
    <s v="BAGNI N° 64 - APAPAYA - SENIGALLIA"/>
  </r>
  <r>
    <x v="4"/>
    <s v="BAGNI N° 7"/>
    <s v="lungomare mameli 1 1"/>
    <x v="16"/>
    <s v="SENIGALLIA"/>
    <m/>
    <m/>
    <s v="BAGNI N° 7 - SENIGALLIA"/>
  </r>
  <r>
    <x v="4"/>
    <s v="BAGNI N° 77"/>
    <s v="lungomare alighieri 77 77"/>
    <x v="16"/>
    <s v="SENIGALLIA"/>
    <s v="filippo.borioni@hotmail.it"/>
    <m/>
    <s v="BAGNI N° 77 - SENIGALLIA"/>
  </r>
  <r>
    <x v="4"/>
    <s v="BAGNI N° 86"/>
    <s v="lungomare alighieri 77 77"/>
    <x v="16"/>
    <s v="SENIGALLIA"/>
    <m/>
    <m/>
    <s v="BAGNI N° 86 - SENIGALLIA"/>
  </r>
  <r>
    <x v="4"/>
    <s v="BAGNI N° 87 DA FLAVIANA"/>
    <s v="lungomare alighieri 87 87"/>
    <x v="16"/>
    <s v="SENIGALLIA"/>
    <m/>
    <m/>
    <s v="BAGNI N° 87 DA FLAVIANA - SENIGALLIA"/>
  </r>
  <r>
    <x v="4"/>
    <s v="BAGNI N° 93"/>
    <s v="lungomare alighieri  93"/>
    <x v="16"/>
    <s v="SENIGALLIA"/>
    <m/>
    <m/>
    <s v="BAGNI N° 93 - SENIGALLIA"/>
  </r>
  <r>
    <x v="4"/>
    <s v="BAGNI NELLA di CARBONI CARMEN E NELLA SNC"/>
    <m/>
    <x v="33"/>
    <s v="FOSSO SEJORE - FANO"/>
    <s v="romeof2010@hotmail.it"/>
    <m/>
    <s v="BAGNI NELLA di CARBONI CARMEN E NELLA SNC - FANO"/>
  </r>
  <r>
    <x v="4"/>
    <s v="BAGNI NELLA N° 49"/>
    <s v="lungomare marconi 1 1"/>
    <x v="16"/>
    <s v="SENIGALLIA"/>
    <m/>
    <m/>
    <s v="BAGNI NELLA N° 49 - SENIGALLIA"/>
  </r>
  <r>
    <x v="4"/>
    <s v="BAGNI NELLA N° 57"/>
    <s v="lungomare alighieri 57 57"/>
    <x v="16"/>
    <s v="SENIGALLIA"/>
    <s v="bagninella57@libero.it"/>
    <m/>
    <s v="BAGNI NELLA N° 57 - SENIGALLIA"/>
  </r>
  <r>
    <x v="4"/>
    <s v="BAGNI NERINA"/>
    <s v="lungomare gramsci 1 1"/>
    <x v="47"/>
    <s v="PORTO SAN GIORGIO"/>
    <s v="bagninerina@alice.it"/>
    <m/>
    <s v="BAGNI NERINA - PORTO SAN GIORGIO"/>
  </r>
  <r>
    <x v="4"/>
    <s v="BAGNI NETTUNO N° 113"/>
    <s v="lungomare leonardo da vinci 1 1"/>
    <x v="16"/>
    <s v="SENIGALLIA"/>
    <m/>
    <m/>
    <s v="BAGNI NETTUNO N° 113 - SENIGALLIA"/>
  </r>
  <r>
    <x v="4"/>
    <s v="BAGNI NICOLAI"/>
    <s v="lungomare gramsci 3 3"/>
    <x v="47"/>
    <s v="PORTO SAN GIORGIO"/>
    <s v="nicolailuca@inwind.it"/>
    <m/>
    <s v="BAGNI NICOLAI - PORTO SAN GIORGIO"/>
  </r>
  <r>
    <x v="4"/>
    <s v="BAGNI NIK"/>
    <s v="lungomare marconi 1 1"/>
    <x v="12"/>
    <m/>
    <s v="chaletnik@libero.it"/>
    <m/>
    <s v="BAGNI NIK - SAN BENEDETTO DEL TRONTO"/>
  </r>
  <r>
    <x v="4"/>
    <s v="BAGNI OASI"/>
    <m/>
    <x v="33"/>
    <s v="FOSSO SEIORE - FANO"/>
    <m/>
    <m/>
    <s v="BAGNI OASI - FANO"/>
  </r>
  <r>
    <x v="4"/>
    <s v="BAGNI OLTREMARE"/>
    <s v="lungomare Rinascimento 18 18"/>
    <x v="12"/>
    <s v="PORTO D'ASCOLI"/>
    <s v="info@residencemediterraneo.it"/>
    <s v="www.residencemediterraneo.it"/>
    <s v="BAGNI OLTREMARE - SAN BENEDETTO DEL TRONTO"/>
  </r>
  <r>
    <x v="4"/>
    <s v="BAGNI ONDA BLU N° 74"/>
    <s v="lungomare alighieri 74 74"/>
    <x v="16"/>
    <s v="SENIGALLIA"/>
    <m/>
    <m/>
    <s v="BAGNI ONDA BLU N° 74 - SENIGALLIA"/>
  </r>
  <r>
    <x v="4"/>
    <s v="BAGNI ONDA VERDE N° 13"/>
    <s v="lungomare mameli 1 1"/>
    <x v="16"/>
    <s v="SENIGALLIA"/>
    <m/>
    <m/>
    <s v="BAGNI ONDA VERDE N° 13 - SENIGALLIA"/>
  </r>
  <r>
    <x v="4"/>
    <s v="BAGNI PANETTI"/>
    <m/>
    <x v="23"/>
    <s v="ANCONA"/>
    <m/>
    <m/>
    <s v="BAGNI PANETTI - PORTO RECANATI"/>
  </r>
  <r>
    <x v="4"/>
    <s v="BAGNI PAOLA &amp; ROBERTO N° 138"/>
    <s v="lungomare leonardo da vinci 138 138"/>
    <x v="16"/>
    <s v="SENIGALLIA"/>
    <s v="leonnam@libero.it"/>
    <m/>
    <s v="BAGNI PAOLA &amp; ROBERTO N° 138 - SENIGALLIA"/>
  </r>
  <r>
    <x v="4"/>
    <s v="BAGNI PAOLA N° 122"/>
    <s v="lungomare leonardo da vinci 122 122"/>
    <x v="16"/>
    <s v="SENIGALLIA"/>
    <m/>
    <m/>
    <s v="BAGNI PAOLA N° 122 - SENIGALLIA"/>
  </r>
  <r>
    <x v="4"/>
    <s v="BAGNI PAOLA N° 58 - UN POSTO AL SOLE"/>
    <s v="lungomare alighieri 58 58"/>
    <x v="16"/>
    <s v="SENIGALLIA"/>
    <m/>
    <m/>
    <s v="BAGNI PAOLA N° 58 - UN POSTO AL SOLE - SENIGALLIA"/>
  </r>
  <r>
    <x v="4"/>
    <s v="BAGNI PAOLO"/>
    <m/>
    <x v="41"/>
    <s v="MARINA DI MONTEMARCIANO"/>
    <m/>
    <m/>
    <s v="BAGNI PAOLO - MONTEMARCIANO"/>
  </r>
  <r>
    <x v="4"/>
    <s v="BAGNI PAOLONI"/>
    <s v="viale alcide de gasperi 1 1"/>
    <x v="5"/>
    <m/>
    <m/>
    <m/>
    <s v="BAGNI PAOLONI - GROTTAMMARE"/>
  </r>
  <r>
    <x v="4"/>
    <s v="BAGNI PARADISO"/>
    <s v="strada delle marche KM.242,5 1"/>
    <x v="69"/>
    <s v="PESARO"/>
    <m/>
    <s v="claudiopace71@libero.it"/>
    <s v="BAGNI PARADISO - PESARO"/>
  </r>
  <r>
    <x v="4"/>
    <s v="BAGNI PARADISO N° 62"/>
    <s v="lungomare alighieri 62 62"/>
    <x v="16"/>
    <s v="SENIGALLIA"/>
    <m/>
    <s v="simodesa@libero.it"/>
    <s v="BAGNI PARADISO N° 62 - SENIGALLIA"/>
  </r>
  <r>
    <x v="4"/>
    <s v="BAGNI PAT N° 89"/>
    <s v="lungomare alighieri 89 89"/>
    <x v="16"/>
    <s v="SENIGALLIA"/>
    <m/>
    <m/>
    <s v="BAGNI PAT N° 89 - SENIGALLIA"/>
  </r>
  <r>
    <x v="4"/>
    <s v="BAGNI PAZZI"/>
    <s v="via faleria 1 1"/>
    <x v="163"/>
    <s v="PORTO SANT' ELPIDIO"/>
    <m/>
    <m/>
    <s v="BAGNI PAZZI - PORTO SANT'ELPIDIO"/>
  </r>
  <r>
    <x v="4"/>
    <s v="BAGNI PELO"/>
    <s v="via fratelli zuccari 1 1"/>
    <x v="33"/>
    <s v="FANO"/>
    <m/>
    <s v="francesca@studioghiandoni.it"/>
    <s v="BAGNI PELO - FANO"/>
  </r>
  <r>
    <x v="4"/>
    <s v="BAGNI PEPPE DI TARINI GIUSEPPE"/>
    <s v="viale adriatico 1 1"/>
    <x v="33"/>
    <s v="FANO"/>
    <s v="info@bagnipeppe.it"/>
    <s v="www.bagnipeppe.it"/>
    <s v="BAGNI PEPPE DI TARINI GIUSEPPE - FANO"/>
  </r>
  <r>
    <x v="4"/>
    <s v="BAGNI PEPPINO N. 20"/>
    <s v="via cristoforo colombo 20 20"/>
    <x v="28"/>
    <s v="GABICCE MARE"/>
    <m/>
    <m/>
    <s v="BAGNI PEPPINO N. 20 - GABICCE MARE"/>
  </r>
  <r>
    <x v="4"/>
    <s v="BAGNI PEPPO N. 24"/>
    <s v="via cristoforo colombo 24 24"/>
    <x v="28"/>
    <s v="GRADARA"/>
    <s v="info@giovannaregina.com"/>
    <s v="www.hotelgiovannaregina.com"/>
    <s v="BAGNI PEPPO N. 24 - GABICCE MARE"/>
  </r>
  <r>
    <x v="4"/>
    <s v="BAGNI PERSICO"/>
    <s v="viale Rinascimento 5 5"/>
    <x v="12"/>
    <m/>
    <m/>
    <m/>
    <s v="BAGNI PERSICO - SAN BENEDETTO DEL TRONTO"/>
  </r>
  <r>
    <x v="4"/>
    <s v="BAGNI PRIMAVERA"/>
    <s v="viale Trieste 1 1"/>
    <x v="69"/>
    <s v="Levante"/>
    <m/>
    <m/>
    <s v="BAGNI PRIMAVERA - PESARO"/>
  </r>
  <r>
    <x v="4"/>
    <s v="BAGNI RE SOLE"/>
    <s v="viale trieste 1 1"/>
    <x v="69"/>
    <s v="PESARO"/>
    <m/>
    <m/>
    <s v="BAGNI RE SOLE - PESARO"/>
  </r>
  <r>
    <x v="4"/>
    <s v="BAGNI RENATO N° 133"/>
    <s v="lungomare leonardo da vinci 1 1"/>
    <x v="16"/>
    <s v="SENIGALLIA"/>
    <m/>
    <s v="g.barucca@uniupn.it"/>
    <s v="BAGNI RENATO N° 133 - SENIGALLIA"/>
  </r>
  <r>
    <x v="4"/>
    <s v="BAGNI RENATO N° 148"/>
    <s v="lungomare italia 1 1"/>
    <x v="16"/>
    <s v="SENIGALLIA"/>
    <m/>
    <m/>
    <s v="BAGNI RENATO N° 148 - SENIGALLIA"/>
  </r>
  <r>
    <x v="4"/>
    <s v="BAGNI RESIDENCE CRISTALLO"/>
    <s v="via San Giacomo 20"/>
    <x v="12"/>
    <m/>
    <m/>
    <m/>
    <s v="BAGNI RESIDENCE CRISTALLO - SAN BENEDETTO DEL TRONTO"/>
  </r>
  <r>
    <x v="4"/>
    <s v="BAGNI RESIDENCE PATRIZIA"/>
    <s v="viale nazario sauro 1 1"/>
    <x v="32"/>
    <s v="CUPRA MARITTIMA"/>
    <m/>
    <m/>
    <s v="BAGNI RESIDENCE PATRIZIA - CUPRA MARITTIMA"/>
  </r>
  <r>
    <x v="4"/>
    <s v="BAGNI RICCARDO"/>
    <s v="viale Cristoforo Colombo 1 1"/>
    <x v="20"/>
    <s v="MAROTTA"/>
    <m/>
    <m/>
    <s v="BAGNI RICCARDO - MONDOLFO"/>
  </r>
  <r>
    <x v="4"/>
    <s v="BAGNI RICCARDO"/>
    <s v="strada delle Marche 1 1"/>
    <x v="69"/>
    <s v="Sottomonte"/>
    <m/>
    <m/>
    <s v="BAGNI RICCARDO - PESARO"/>
  </r>
  <r>
    <x v="4"/>
    <s v="BAGNI RIDOLFI"/>
    <s v="viale trieste  sn"/>
    <x v="69"/>
    <s v="PESARO"/>
    <s v="www.bagniridolfi13.it"/>
    <s v="bagniridolfi13@hotmail.it"/>
    <s v="BAGNI RIDOLFI - PESARO"/>
  </r>
  <r>
    <x v="4"/>
    <s v="BAGNI ROBERTO E LUCA  N. 5"/>
    <s v="viale cristoforo colombo 5 5"/>
    <x v="28"/>
    <s v="GABICCE MARE"/>
    <m/>
    <m/>
    <s v="BAGNI ROBERTO E LUCA  N. 5 - GABICCE MARE"/>
  </r>
  <r>
    <x v="4"/>
    <s v="BAGNI ROBERTO N. 26"/>
    <s v="viale cristoforo colombo 26 26"/>
    <x v="28"/>
    <s v="GABICCE MARE"/>
    <s v="info@spiaggia26gabiccemare.info"/>
    <m/>
    <s v="BAGNI ROBERTO N. 26 - GABICCE MARE"/>
  </r>
  <r>
    <x v="4"/>
    <s v="BAGNI ROBERTO N° 44"/>
    <s v="lungomare marconi 1 1"/>
    <x v="16"/>
    <s v="SENIGALLIA"/>
    <m/>
    <m/>
    <s v="BAGNI ROBERTO N° 44 - SENIGALLIA"/>
  </r>
  <r>
    <x v="4"/>
    <s v="BAGNI ROBY 14"/>
    <s v="viale trieste  1"/>
    <x v="69"/>
    <s v="PESARO"/>
    <m/>
    <s v="carlab54@gmail.com"/>
    <s v="BAGNI ROBY 14 - PESARO"/>
  </r>
  <r>
    <x v="4"/>
    <s v="BAGNI ROBY N° 26"/>
    <s v="lungomare mameli 1 1"/>
    <x v="16"/>
    <s v="SENIGALLIA"/>
    <m/>
    <s v="robcur@libero.it"/>
    <s v="BAGNI ROBY N° 26 - SENIGALLIA"/>
  </r>
  <r>
    <x v="4"/>
    <s v="BAGNI SACRO CUORE"/>
    <s v="viale Trieste 45"/>
    <x v="69"/>
    <s v="PESARO"/>
    <m/>
    <s v="economato.pesaro@yahoo.it"/>
    <s v="BAGNI SACRO CUORE - PESARO"/>
  </r>
  <r>
    <x v="4"/>
    <s v="BAGNI SANDRA N° 32"/>
    <s v="lungomare mameli 1 1"/>
    <x v="16"/>
    <s v="SENIGALLIA"/>
    <s v="info@bagnisandra.it"/>
    <s v=" www.bagnisandra.it"/>
    <s v="BAGNI SANDRA N° 32 - SENIGALLIA"/>
  </r>
  <r>
    <x v="4"/>
    <s v="BAGNI SANDRO N. 6"/>
    <s v="viale cristoforo colombo 6 6"/>
    <x v="28"/>
    <s v="GABICCE MARE"/>
    <s v="bagni6gabicce@gmail.com"/>
    <s v="www.bagni6gabicce.altervista.org"/>
    <s v="BAGNI SANDRO N. 6 - GABICCE MARE"/>
  </r>
  <r>
    <x v="4"/>
    <s v="BAGNI SERGIO"/>
    <s v="lungomare Nazario Sauro 1 1"/>
    <x v="69"/>
    <s v="Levante"/>
    <m/>
    <m/>
    <s v="BAGNI SERGIO - PESARO"/>
  </r>
  <r>
    <x v="4"/>
    <s v="BAGNI SERGIO DI CIAVAGLIA ADAMO"/>
    <s v="viale adriatico 1 1"/>
    <x v="33"/>
    <s v="FANO"/>
    <m/>
    <m/>
    <s v="BAGNI SERGIO DI CIAVAGLIA ADAMO - FANO"/>
  </r>
  <r>
    <x v="4"/>
    <s v="BAGNI SERGIO N. 4"/>
    <s v="via cristoforo colombo 4 4"/>
    <x v="28"/>
    <s v="GABICCE MARE"/>
    <s v="info@hotelthea.it"/>
    <s v="www.hotelthea.it"/>
    <s v="BAGNI SERGIO N. 4 - GABICCE MARE"/>
  </r>
  <r>
    <x v="4"/>
    <s v="BAGNI SILVIO N. 28"/>
    <s v="viale cristoforo colombo 28 28"/>
    <x v="28"/>
    <m/>
    <s v="gianfranco_leonardi@tin.it"/>
    <s v="www.bagnisilvio28.com"/>
    <s v="BAGNI SILVIO N. 28 - GABICCE MARE"/>
  </r>
  <r>
    <x v="4"/>
    <s v="BAGNI SIRENA - di PACI TIZIANA"/>
    <s v="viale antonio gramsci 1 1"/>
    <x v="47"/>
    <s v="PORTO SAN GIORGIO"/>
    <m/>
    <m/>
    <s v="BAGNI SIRENA - di PACI TIZIANA - PORTO SAN GIORGIO"/>
  </r>
  <r>
    <x v="4"/>
    <s v="BAGNI SIRENA - di PETTINARI MARIA"/>
    <s v="viale antonio gramsci 1 1"/>
    <x v="47"/>
    <s v="PORTO SAN GIORGIO"/>
    <m/>
    <m/>
    <s v="BAGNI SIRENA - di PETTINARI MARIA - PORTO SAN GIORGIO"/>
  </r>
  <r>
    <x v="4"/>
    <s v="BAGNI SIRENA N° 78"/>
    <s v="lungomare alighieri 78 78"/>
    <x v="16"/>
    <s v="SENIGALLIA"/>
    <m/>
    <m/>
    <s v="BAGNI SIRENA N° 78 - SENIGALLIA"/>
  </r>
  <r>
    <x v="4"/>
    <s v="BAGNI SOLE"/>
    <s v="strada delle Marche 36 36"/>
    <x v="69"/>
    <s v="PESARO"/>
    <m/>
    <m/>
    <s v="BAGNI SOLE - PESARO"/>
  </r>
  <r>
    <x v="4"/>
    <s v="BAGNI SOLE BLU N° 60"/>
    <s v="lungomare alighieri 7 7"/>
    <x v="16"/>
    <s v="SENIGALLIA"/>
    <s v="massimo@bagnisoleblu.it"/>
    <s v="www.bagnisoleblu.it"/>
    <s v="BAGNI SOLE BLU N° 60 - SENIGALLIA"/>
  </r>
  <r>
    <x v="4"/>
    <s v="BAGNI SOLEADO DI DIOTALLEVI DAVIDE &amp; C."/>
    <s v="via cappellini 1 1"/>
    <x v="33"/>
    <s v="FANO"/>
    <m/>
    <m/>
    <s v="BAGNI SOLEADO DI DIOTALLEVI DAVIDE &amp; C. - FANO"/>
  </r>
  <r>
    <x v="4"/>
    <s v="BAGNI SOLINDO"/>
    <s v="VIA FAA' DI BRUNO 1"/>
    <x v="20"/>
    <s v="MONDOLFO"/>
    <m/>
    <s v="francy-12@libero.it"/>
    <s v="BAGNI SOLINDO - MONDOLFO"/>
  </r>
  <r>
    <x v="4"/>
    <s v="BAGNI SPIAGGIA D'ORO"/>
    <s v="lungomare marconi 12 12"/>
    <x v="12"/>
    <m/>
    <m/>
    <m/>
    <s v="BAGNI SPIAGGIA D'ORO - SAN BENEDETTO DEL TRONTO"/>
  </r>
  <r>
    <x v="4"/>
    <s v="BAGNI SPINACI N 18"/>
    <s v="viale Trieste 18 18"/>
    <x v="69"/>
    <s v="PESARO"/>
    <m/>
    <m/>
    <s v="BAGNI SPINACI N 18 - PESARO"/>
  </r>
  <r>
    <x v="4"/>
    <s v="BAGNI STEFANO"/>
    <s v="viale Trieste 1 1"/>
    <x v="69"/>
    <s v="spiaggia di Levante"/>
    <m/>
    <m/>
    <s v="BAGNI STEFANO - PESARO"/>
  </r>
  <r>
    <x v="4"/>
    <s v="BAGNI SUBWAY"/>
    <s v="via caprera 1 1"/>
    <x v="22"/>
    <s v="FALCONARA MARITTIMA"/>
    <s v="nicolasbaldoni@yahoo.it"/>
    <m/>
    <s v="BAGNI SUBWAY - FALCONARA MARITTIMA"/>
  </r>
  <r>
    <x v="4"/>
    <s v="BAGNI TIKI"/>
    <s v="via marina ardizia 1 1"/>
    <x v="69"/>
    <s v="PESARO"/>
    <m/>
    <m/>
    <s v="BAGNI TIKI - PESARO"/>
  </r>
  <r>
    <x v="4"/>
    <s v="BAGNI TINA"/>
    <s v="via annibale ninchi 22 22"/>
    <x v="69"/>
    <s v="PESARO"/>
    <m/>
    <m/>
    <s v="BAGNI TINA - PESARO"/>
  </r>
  <r>
    <x v="4"/>
    <s v="BAGNI TINO N 5"/>
    <s v="viale trieste 5 5"/>
    <x v="69"/>
    <s v="PESARO"/>
    <m/>
    <m/>
    <s v="BAGNI TINO N 5 - PESARO"/>
  </r>
  <r>
    <x v="4"/>
    <s v="BAGNI TONINO N. 29"/>
    <s v="viale cristoforo colombo 29 29"/>
    <x v="28"/>
    <s v="GABICCE MARE"/>
    <m/>
    <m/>
    <s v="BAGNI TONINO N. 29 - GABICCE MARE"/>
  </r>
  <r>
    <x v="4"/>
    <s v="BAGNI TORRETTE DI MANDOLINI MAURO E MARCO"/>
    <s v="via stelle di mare 1 1"/>
    <x v="33"/>
    <s v="FANO"/>
    <m/>
    <m/>
    <s v="BAGNI TORRETTE DI MANDOLINI MAURO E MARCO - FANO"/>
  </r>
  <r>
    <x v="4"/>
    <s v="BAGNI TOTO"/>
    <s v="viale trieste 1 1"/>
    <x v="69"/>
    <s v="PESARO"/>
    <m/>
    <s v="fsanchioni@studiopa.it"/>
    <s v="BAGNI TOTO - PESARO"/>
  </r>
  <r>
    <x v="4"/>
    <s v="BAGNI VALLUGOLA"/>
    <s v="strada della vallugola 1 1"/>
    <x v="69"/>
    <s v="PESARO"/>
    <m/>
    <m/>
    <s v="BAGNI VALLUGOLA - PESARO"/>
  </r>
  <r>
    <x v="4"/>
    <s v="BAGNI VASINTO"/>
    <s v="viale Trieste 1 1"/>
    <x v="69"/>
    <s v="spiagga di Ponente"/>
    <m/>
    <m/>
    <s v="BAGNI VASINTO - PESARO"/>
  </r>
  <r>
    <x v="4"/>
    <s v="BAGNI VENERUCCI"/>
    <s v="strada delle Marche 1 1"/>
    <x v="69"/>
    <s v="Sottomonte"/>
    <m/>
    <m/>
    <s v="BAGNI VENERUCCI - PESARO"/>
  </r>
  <r>
    <x v="4"/>
    <s v="BAGNI VERA"/>
    <s v="via lungomare gramsci sud 1 1"/>
    <x v="47"/>
    <s v="PORTO SAN GIORGIO"/>
    <s v="fra94.dai@hotmail.com"/>
    <m/>
    <s v="BAGNI VERA - PORTO SAN GIORGIO"/>
  </r>
  <r>
    <x v="4"/>
    <s v="BAGNI VIAREGGIO"/>
    <s v="viale alcide de gasperi 1 1"/>
    <x v="5"/>
    <m/>
    <m/>
    <m/>
    <s v="BAGNI VIAREGGIO - GROTTAMMARE"/>
  </r>
  <r>
    <x v="4"/>
    <s v="BAGNI VIRGILIO &amp; MARCO N° 46"/>
    <s v="lungomare marconi 1 1"/>
    <x v="16"/>
    <s v="SENIGALLIA"/>
    <m/>
    <m/>
    <s v="BAGNI VIRGILIO &amp; MARCO N° 46 - SENIGALLIA"/>
  </r>
  <r>
    <x v="4"/>
    <s v="BAGNI VIRGILIO N 83"/>
    <s v="lungomare alighieri 83 83"/>
    <x v="16"/>
    <s v="SENIGALLIA"/>
    <m/>
    <m/>
    <s v="BAGNI VIRGILIO N 83 - SENIGALLIA"/>
  </r>
  <r>
    <x v="4"/>
    <s v="BAGNI VITTORIA"/>
    <s v="via palombina vecchia 1 1"/>
    <x v="22"/>
    <s v="FALCONARA MARITTIMA"/>
    <m/>
    <m/>
    <s v="BAGNI VITTORIA - FALCONARA MARITTIMA"/>
  </r>
  <r>
    <x v="4"/>
    <s v="BAGNI VITTORIA N 105/106"/>
    <m/>
    <x v="16"/>
    <s v="SENIGALLIA"/>
    <s v="bagnivittoria105@gmail.com"/>
    <m/>
    <s v="BAGNI VITTORIA N 105/106 - SENIGALLIA"/>
  </r>
  <r>
    <x v="4"/>
    <s v="BAGNI WANDA N 26"/>
    <s v="lungomare nazario sauro 1 1"/>
    <x v="69"/>
    <s v="PESARO"/>
    <m/>
    <m/>
    <s v="BAGNI WANDA N 26 - PESARO"/>
  </r>
  <r>
    <x v="4"/>
    <s v="BAGNI ZAPPA'"/>
    <s v="viale a. scipioni 33 33"/>
    <x v="12"/>
    <s v="SAN BENEDETTO DEL TRONTO"/>
    <s v="swamii_rb@hotmail.com"/>
    <m/>
    <s v="BAGNI ZAPPA' - SAN BENEDETTO DEL TRONTO"/>
  </r>
  <r>
    <x v="4"/>
    <s v="BAGNINO FRANCO di BORIANI GIANNI"/>
    <m/>
    <x v="10"/>
    <m/>
    <s v="francoportonovo@gmail.com"/>
    <m/>
    <s v="BAGNINO FRANCO di BORIANI GIANNI - ANCONA"/>
  </r>
  <r>
    <x v="4"/>
    <s v="BAGNO DELLE SIRENE"/>
    <s v="Viale Cristoforo Colombo 8"/>
    <x v="5"/>
    <s v="GROTTAMMARE"/>
    <m/>
    <m/>
    <s v="BAGNO DELLE SIRENE - GROTTAMMARE"/>
  </r>
  <r>
    <x v="4"/>
    <s v="BAGNO EDEN"/>
    <s v="viale alcide de gasperi 1 1"/>
    <x v="5"/>
    <m/>
    <s v="hoteledensb@insinet.it"/>
    <s v="hoteleden-ap.it"/>
    <s v="BAGNO EDEN - GROTTAMMARE"/>
  </r>
  <r>
    <x v="4"/>
    <s v="BAGNO FELICITA"/>
    <m/>
    <x v="5"/>
    <m/>
    <s v="felicita38@libero.it"/>
    <m/>
    <s v="BAGNO FELICITA - GROTTAMMARE"/>
  </r>
  <r>
    <x v="4"/>
    <s v="BAGNO HOTEL EUROPA N° 30/31"/>
    <s v="viale alcide de gasperi 1 1"/>
    <x v="5"/>
    <s v="SAN BENEDETTO DEL TRONTO"/>
    <s v="info@eurotel.it"/>
    <s v="www.eurhotel.it"/>
    <s v="BAGNO HOTEL EUROPA N° 30/31 - GROTTAMMARE"/>
  </r>
  <r>
    <x v="4"/>
    <s v="BAGNO MARIA N. 33"/>
    <s v="viale cristoforo colombo 33 33"/>
    <x v="28"/>
    <s v="GABICCE MARE"/>
    <s v="info@bagnimaria33.it"/>
    <s v="www.bagnimaria33.it"/>
    <s v="BAGNO MARIA N. 33 - GABICCE MARE"/>
  </r>
  <r>
    <x v="4"/>
    <s v="BAGNO N. 45"/>
    <s v="strada della Vallugola 45 45"/>
    <x v="28"/>
    <s v="PESARO"/>
    <m/>
    <m/>
    <s v="BAGNO N. 45 - GABICCE MARE"/>
  </r>
  <r>
    <x v="4"/>
    <s v="BAGNO N. 46"/>
    <s v="via Cristoforo Colombo 45 45"/>
    <x v="28"/>
    <s v="GABICCE MARE"/>
    <m/>
    <m/>
    <s v="BAGNO N. 46 - GABICCE MARE"/>
  </r>
  <r>
    <x v="4"/>
    <s v="BAGNO N° 2 - OASI BEACH"/>
    <s v="viale cristoforo colombo 2 2"/>
    <x v="20"/>
    <s v="MAROTTA"/>
    <m/>
    <m/>
    <s v="BAGNO N° 2 - OASI BEACH - MONDOLFO"/>
  </r>
  <r>
    <x v="4"/>
    <s v="BAGNO PEPPINA"/>
    <s v="viale lungomare repubblica 3 3"/>
    <x v="5"/>
    <s v="GROTTAMMARE"/>
    <s v="nanni57@alice.it"/>
    <s v="it.geocities.com/bagnopeppina"/>
    <s v="BAGNO PEPPINA - GROTTAMMARE"/>
  </r>
  <r>
    <x v="4"/>
    <s v="BAHARI CAFE'"/>
    <m/>
    <x v="23"/>
    <m/>
    <m/>
    <m/>
    <s v="BAHARI CAFE' - PORTO RECANATI"/>
  </r>
  <r>
    <x v="4"/>
    <s v="BAHYA BLANCA"/>
    <s v="lungomare Italia 151 151"/>
    <x v="16"/>
    <s v="SENIGALLIA"/>
    <s v="camping.cortina@libero.it"/>
    <s v="www.campingcortina.net"/>
    <s v="BAHYA BLANCA - SENIGALLIA"/>
  </r>
  <r>
    <x v="6"/>
    <s v="BAIA DEI GABBIANI"/>
    <m/>
    <x v="37"/>
    <s v="lido San Tommaso"/>
    <s v="www.baiadeigabbiani.net"/>
    <s v="info@baiadeigabbiani.net"/>
    <s v="BAIA DEI GABBIANI - FERMO"/>
  </r>
  <r>
    <x v="3"/>
    <s v="BAIA DEL CONERO"/>
    <s v="via Rimini 6"/>
    <x v="9"/>
    <s v="info@baiadelconero.it"/>
    <m/>
    <m/>
    <s v="BAIA DEL CONERO - NUMANA"/>
  </r>
  <r>
    <x v="4"/>
    <s v="BAIA DI PONENTE - BAGNI N° 28"/>
    <s v="lungomare mameli 1 1"/>
    <x v="16"/>
    <s v="SENIGALLIA"/>
    <m/>
    <m/>
    <s v="BAIA DI PONENTE - BAGNI N° 28 - SENIGALLIA"/>
  </r>
  <r>
    <x v="1"/>
    <s v="BAIA FLAMINIA RESORT"/>
    <s v="viale parigi 8 8"/>
    <x v="69"/>
    <s v="PESARO"/>
    <s v="www.baiaflaminiaresort.com"/>
    <s v="info@baiaflaminiaresort.com"/>
    <s v="BAIA FLAMINIA RESORT - PESARO"/>
  </r>
  <r>
    <x v="4"/>
    <s v="BAIA MARINA"/>
    <s v="Via Nazario Sauro 15 15"/>
    <x v="32"/>
    <m/>
    <s v="hotelbaiamarina@gmail.com"/>
    <s v="www.baiamarinahotel.it"/>
    <s v="BAIA MARINA - CUPRA MARITTIMA"/>
  </r>
  <r>
    <x v="4"/>
    <s v="BAIA PRINCIPE"/>
    <s v="lungomare gramsci 1 1"/>
    <x v="47"/>
    <s v="PORTO SAN GIORGIO"/>
    <s v="beatoulderico@tiscali.it"/>
    <m/>
    <s v="BAIA PRINCIPE - PORTO SAN GIORGIO"/>
  </r>
  <r>
    <x v="3"/>
    <s v="BAITA GIOIOSA"/>
    <m/>
    <x v="201"/>
    <s v="loc. Frontignano"/>
    <s v="www.baitagioiosa.com"/>
    <s v="info@baitagioiosa.com"/>
    <s v="BAITA GIOIOSA - USSITA"/>
  </r>
  <r>
    <x v="0"/>
    <s v="BAJOCCO MARCO E MONIA S.s."/>
    <s v="C.DA FONTE S.GIULIANO 29"/>
    <x v="0"/>
    <m/>
    <m/>
    <m/>
    <s v="BAJOCCO MARCO E MONIA S.s. - MACERATA"/>
  </r>
  <r>
    <x v="3"/>
    <s v="BALCONE DEL GOLFO"/>
    <s v="via Cameranesi 39"/>
    <x v="22"/>
    <m/>
    <s v="www.balconedelgolfo.it"/>
    <s v="info@balconedelgolfo.it"/>
    <s v="BALCONE DEL GOLFO - FALCONARA MARITTIMA"/>
  </r>
  <r>
    <x v="7"/>
    <s v="BALDASSARRI VANDA"/>
    <s v="via Eritrea 9"/>
    <x v="28"/>
    <m/>
    <m/>
    <m/>
    <s v="BALDASSARRI VANDA - GABICCE MARE"/>
  </r>
  <r>
    <x v="7"/>
    <s v="BALDELLI FLAVIA"/>
    <s v="via Giovanni XXIII 3"/>
    <x v="94"/>
    <m/>
    <m/>
    <s v="flavia.baldelli@icluod.com"/>
    <s v="BALDELLI FLAVIA - SAN COSTANZO"/>
  </r>
  <r>
    <x v="7"/>
    <s v="BALDINI GIOVANNI APP.TO PIANO PRIMO"/>
    <s v="Via Podesti 226"/>
    <x v="16"/>
    <s v="SENIGALLIA"/>
    <m/>
    <s v="affittiestivi@belenchia.com"/>
    <s v="BALDINI GIOVANNI APP.TO PIANO PRIMO - SENIGALLIA"/>
  </r>
  <r>
    <x v="7"/>
    <s v="BALDINI GIOVANNI APP.TO PIANO TERRA"/>
    <s v="Podesti 226"/>
    <x v="16"/>
    <s v="SENIGALLIA"/>
    <m/>
    <s v="comeacasa@sicurezzapostale.it"/>
    <s v="BALDINI GIOVANNI APP.TO PIANO TERRA - SENIGALLIA"/>
  </r>
  <r>
    <x v="7"/>
    <s v="BALDUCCI CRISTINA"/>
    <s v="Via Renato Ciucci 13"/>
    <x v="16"/>
    <s v="SENIGALLIA"/>
    <m/>
    <s v="cristina.balducci@hotmail.it"/>
    <s v="BALDUCCI CRISTINA - SENIGALLIA"/>
  </r>
  <r>
    <x v="4"/>
    <s v="BALEANI PAOLA &quot;LA PLAYA&quot;"/>
    <s v="via palombina vecchia 1 1"/>
    <x v="10"/>
    <s v="FALCONARA MARITTIMA"/>
    <m/>
    <m/>
    <s v="BALEANI PAOLA &quot;LA PLAYA&quot; - ANCONA"/>
  </r>
  <r>
    <x v="4"/>
    <s v="BALNEARE EUROPA N 28"/>
    <s v="via litoranea 149"/>
    <x v="9"/>
    <s v="NUMANA"/>
    <m/>
    <s v="bagni_europa@libero.it"/>
    <s v="BALNEARE EUROPA N 28 - NUMANA"/>
  </r>
  <r>
    <x v="1"/>
    <s v="BALTIC"/>
    <s v="via Primo Maggio 14"/>
    <x v="28"/>
    <s v="GABICCE MARE"/>
    <s v="www.hotelbalticgabicce.com"/>
    <s v="info@hotelbalticgabicce.com"/>
    <s v="BALTIC - GABICCE MARE"/>
  </r>
  <r>
    <x v="1"/>
    <s v="BALTIC"/>
    <s v="viale Trieste 36"/>
    <x v="69"/>
    <s v="PESARO"/>
    <s v="www.hbaltic.it"/>
    <s v="info@hbaltic.it"/>
    <s v="BALTIC - PESARO"/>
  </r>
  <r>
    <x v="1"/>
    <s v="BALTIC"/>
    <s v="lungomare Alighieri 90"/>
    <x v="16"/>
    <s v="SENIGALLIA"/>
    <s v="www.hotelbalticsenigallia.it"/>
    <s v="info@hotelbalticsenigallia.it"/>
    <s v="BALTIC - SENIGALLIA"/>
  </r>
  <r>
    <x v="4"/>
    <s v="BANANA BEACH N. 10-9"/>
    <s v="viale cristoforo colombo 10 10"/>
    <x v="28"/>
    <s v="GABICCE MARE"/>
    <m/>
    <m/>
    <s v="BANANA BEACH N. 10-9 - GABICCE MARE"/>
  </r>
  <r>
    <x v="4"/>
    <s v="BANANA BEACH N. 12"/>
    <s v="viale cristoforo colombo 12 12"/>
    <x v="28"/>
    <s v="GABICCE MARE"/>
    <m/>
    <s v="info@nordesthotel.com"/>
    <s v="BANANA BEACH N. 12 - GABICCE MARE"/>
  </r>
  <r>
    <x v="3"/>
    <s v="BANCI RITA"/>
    <s v="via nicolo' pellipario 49"/>
    <x v="1"/>
    <s v="URBINO"/>
    <m/>
    <m/>
    <s v="BANCI RITA - URBINO"/>
  </r>
  <r>
    <x v="4"/>
    <s v="BANDIERA GIALLA"/>
    <s v="via palombina vecchia 1 1"/>
    <x v="10"/>
    <s v="FALCONARA MARITTIMA"/>
    <m/>
    <m/>
    <s v="BANDIERA GIALLA - ANCONA"/>
  </r>
  <r>
    <x v="4"/>
    <s v="BANDOS LIDO"/>
    <s v="via lungomare gramsci sud 1 1"/>
    <x v="47"/>
    <s v="PORTO SAN GIORGIO"/>
    <s v="bandoslido@virgilio.it"/>
    <m/>
    <s v="BANDOS LIDO - PORTO SAN GIORGIO"/>
  </r>
  <r>
    <x v="3"/>
    <s v="BAR PIZZERIA IL CORTILE"/>
    <s v="via Roma 3"/>
    <x v="185"/>
    <m/>
    <m/>
    <s v="pontanimarco@alice.it"/>
    <s v="BAR PIZZERIA IL CORTILE - PIEVEBOVIGLIANA"/>
  </r>
  <r>
    <x v="4"/>
    <s v="BAR SPIAGGIA DEI FIORI"/>
    <s v="via delle nasse 1 1"/>
    <x v="33"/>
    <s v="FANO"/>
    <s v="spiaggiadeifiori@pec.it"/>
    <m/>
    <s v="BAR SPIAGGIA DEI FIORI - FANO"/>
  </r>
  <r>
    <x v="7"/>
    <s v="BARANOVA YELENA"/>
    <s v="Via Cesare Battisti 134/2"/>
    <x v="69"/>
    <s v="PESARO"/>
    <m/>
    <s v="alberto@laber.it"/>
    <s v="BARANOVA YELENA - PESARO"/>
  </r>
  <r>
    <x v="7"/>
    <s v="BARBACCIA FRANCA"/>
    <s v="Viale Piemonte 13"/>
    <x v="148"/>
    <s v="POTENZA PICENA"/>
    <m/>
    <m/>
    <s v="BARBACCIA FRANCA - POTENZA PICENA"/>
  </r>
  <r>
    <x v="7"/>
    <s v="BARBADORO VITTORIO"/>
    <s v="via Ippolito Nievo 2"/>
    <x v="33"/>
    <s v="MAROTTA"/>
    <m/>
    <s v="cesare.barbadoro@alice.it"/>
    <s v="BARBADORO VITTORIO - FANO"/>
  </r>
  <r>
    <x v="7"/>
    <s v="BARBERINI MARIANO"/>
    <s v="Viale Londra 11"/>
    <x v="69"/>
    <s v="PESARO"/>
    <m/>
    <s v="info@immobiliaretriestepesaro.it"/>
    <s v="BARBERINI MARIANO - PESARO"/>
  </r>
  <r>
    <x v="7"/>
    <s v="BARONCIANI FILIPPO APP.TO PIANO 1"/>
    <s v="Via Damiano Chiesa 84"/>
    <x v="20"/>
    <s v="MONDOLFO"/>
    <m/>
    <m/>
    <s v="BARONCIANI FILIPPO APP.TO PIANO 1 - MONDOLFO"/>
  </r>
  <r>
    <x v="7"/>
    <s v="BARONCIANI FILIPPO APP.TO PIANO 2"/>
    <s v="Via Damiano Chiesa 84"/>
    <x v="20"/>
    <s v="MONDOLFO"/>
    <m/>
    <m/>
    <s v="BARONCIANI FILIPPO APP.TO PIANO 2 - MONDOLFO"/>
  </r>
  <r>
    <x v="4"/>
    <s v="BARRACUDA"/>
    <m/>
    <x v="23"/>
    <s v="SCOSSICCI"/>
    <m/>
    <m/>
    <s v="BARRACUDA - PORTO RECANATI"/>
  </r>
  <r>
    <x v="4"/>
    <s v="BARRACUDA BEACH"/>
    <m/>
    <x v="148"/>
    <s v="PORTO POTENZA PICENA"/>
    <m/>
    <s v="basquiatsrl@pec.it"/>
    <s v="BARRACUDA BEACH - POTENZA PICENA"/>
  </r>
  <r>
    <x v="7"/>
    <s v="BARTOLINI EGIDIO"/>
    <s v="Strada della Marina-Scapezzano 266/C"/>
    <x v="16"/>
    <s v="SENIGALLIA"/>
    <m/>
    <s v="bartolini.egidio@gmail.com"/>
    <s v="BARTOLINI EGIDIO - SENIGALLIA"/>
  </r>
  <r>
    <x v="7"/>
    <s v="BARTOLINI MARIA"/>
    <s v="Via Dante Alighieri 37"/>
    <x v="148"/>
    <s v="POTENZA PICENA"/>
    <m/>
    <m/>
    <s v="BARTOLINI MARIA - POTENZA PICENA"/>
  </r>
  <r>
    <x v="7"/>
    <s v="BARTOLONI GIANNINA"/>
    <s v="Via San Gregorio 60"/>
    <x v="137"/>
    <s v="OSTRA"/>
    <m/>
    <s v="silvia.r@consulservice.info"/>
    <s v="BARTOLONI GIANNINA - OSTRA"/>
  </r>
  <r>
    <x v="4"/>
    <s v="BASCIU'"/>
    <s v="viale a. scipioni 33 33"/>
    <x v="12"/>
    <s v="SAN BENEDETTO DEL TRONTO"/>
    <s v="danieltroli@hotmail.it"/>
    <m/>
    <s v="BASCIU' - SAN BENEDETTO DEL TRONTO"/>
  </r>
  <r>
    <x v="4"/>
    <s v="BASSA MAREA"/>
    <s v="strada delle Marche 1 1"/>
    <x v="69"/>
    <s v="Sottomonte Ardizio"/>
    <m/>
    <m/>
    <s v="BASSA MAREA - PESARO"/>
  </r>
  <r>
    <x v="7"/>
    <s v="BASSI FERNANDO"/>
    <s v="via I Maggio  31"/>
    <x v="212"/>
    <m/>
    <m/>
    <s v="annafernando@alice.it"/>
    <s v="BASSI FERNANDO - MONTE GRIMANO TERME"/>
  </r>
  <r>
    <x v="7"/>
    <s v="BASTIANELLI DEMETRIO"/>
    <s v="Piazza Puccini 8"/>
    <x v="69"/>
    <s v="PESARO"/>
    <m/>
    <s v="d.bastianelli@email.it"/>
    <s v="BASTIANELLI DEMETRIO - PESARO"/>
  </r>
  <r>
    <x v="4"/>
    <s v="BATABANO' SNC DI ANGELETTI E BROCCHINI"/>
    <s v="via palombina vecchia 1 1"/>
    <x v="10"/>
    <s v="FALCONARA MARITTIMA"/>
    <m/>
    <m/>
    <s v="BATABANO' SNC DI ANGELETTI E BROCCHINI - ANCONA"/>
  </r>
  <r>
    <x v="4"/>
    <s v="BATIK"/>
    <s v="Viale Giacomo Matteotti 24/B"/>
    <x v="17"/>
    <s v="CIVITANOVA MARCHE"/>
    <m/>
    <m/>
    <s v="BATIK - CIVITANOVA MARCHE"/>
  </r>
  <r>
    <x v="7"/>
    <s v="BATTISTELLI BERNARD"/>
    <s v="via Litoranea 294"/>
    <x v="20"/>
    <m/>
    <m/>
    <s v="bernyb@gmail.com"/>
    <s v="BATTISTELLI BERNARD - MONDOLFO"/>
  </r>
  <r>
    <x v="7"/>
    <s v="BATTISTONI STEFANIA"/>
    <s v="via Flaminia  396"/>
    <x v="10"/>
    <m/>
    <m/>
    <s v="stefifausto@vodafone.it"/>
    <s v="BATTISTONI STEFANIA - ANCONA"/>
  </r>
  <r>
    <x v="4"/>
    <s v="BEACH BOYS"/>
    <m/>
    <x v="148"/>
    <m/>
    <s v="rist.beachboys@tiscali.it"/>
    <m/>
    <s v="BEACH BOYS - POTENZA PICENA"/>
  </r>
  <r>
    <x v="8"/>
    <s v="BEATRICE"/>
    <s v="via San Gaudenzio 1"/>
    <x v="16"/>
    <m/>
    <m/>
    <s v="lanuovabraceria@libero.it"/>
    <s v="BEATRICE - SENIGALLIA"/>
  </r>
  <r>
    <x v="5"/>
    <s v="BEATRICE BERTO"/>
    <s v="via cirfoglio 9"/>
    <x v="56"/>
    <s v="RECANATI"/>
    <s v="digilander.libero.it/beatriceberto/"/>
    <s v="beatriceberto@libero.it"/>
    <s v="BEATRICE BERTO - RECANATI"/>
  </r>
  <r>
    <x v="1"/>
    <s v="BEAURIVAGE"/>
    <s v="viale adriatico 124"/>
    <x v="33"/>
    <s v="FANO"/>
    <s v="www.hotelangela.it"/>
    <s v="info@hotelangela.it"/>
    <s v="BEAURIVAGE - FANO"/>
  </r>
  <r>
    <x v="5"/>
    <s v="BEBE MAR DEL PLATA"/>
    <s v="Via Mar del Plata 21"/>
    <x v="23"/>
    <s v="PORTO RECANATI"/>
    <m/>
    <s v="nadia_moretti@hotmail.it"/>
    <s v="BEBE MAR DEL PLATA - PORTO RECANATI"/>
  </r>
  <r>
    <x v="4"/>
    <s v="BEBO'S"/>
    <m/>
    <x v="23"/>
    <s v="PORTO RECANATI"/>
    <m/>
    <m/>
    <s v="BEBO'S - PORTO RECANATI"/>
  </r>
  <r>
    <x v="5"/>
    <s v="BED &amp; BREAKFAST GAIA"/>
    <s v="via Gambacane 7"/>
    <x v="104"/>
    <s v="OSTRA VETERE"/>
    <m/>
    <s v="catiarastelli@gmail.com"/>
    <s v="BED &amp; BREAKFAST GAIA - OSTRA VETERE"/>
  </r>
  <r>
    <x v="5"/>
    <s v="BED &amp; BREAKFAST I MASSI di SALVI PIETRO"/>
    <m/>
    <x v="65"/>
    <s v="MESCHIA"/>
    <m/>
    <m/>
    <s v="BED &amp; BREAKFAST I MASSI di SALVI PIETRO - ROCCAFLUVIONE"/>
  </r>
  <r>
    <x v="5"/>
    <s v="BED &amp; BREAKFAST IL DUCA"/>
    <s v="via Acquasalata 13"/>
    <x v="131"/>
    <s v="POLVERIGI"/>
    <s v="www.ilduca.eu"/>
    <s v="b.b.ilduca@gmail.com"/>
    <s v="BED &amp; BREAKFAST IL DUCA - POLVERIGI"/>
  </r>
  <r>
    <x v="5"/>
    <s v="BED &amp; BREAKFAST POGGIO CAROLINA"/>
    <s v="via Flaminia Prima 11"/>
    <x v="44"/>
    <s v="OSIMO"/>
    <s v="www.poggiocarolina.it"/>
    <s v="info@poggiocarolina.it"/>
    <s v="BED &amp; BREAKFAST POGGIO CAROLINA - OSIMO"/>
  </r>
  <r>
    <x v="5"/>
    <s v="BED &amp; BREAKFAST SAN FIRMANO"/>
    <s v="San Firmano 1"/>
    <x v="99"/>
    <s v="MONTELUPONE"/>
    <s v="www.sanfirmano.it"/>
    <s v="info@sanfirmano.it"/>
    <s v="BED &amp; BREAKFAST SAN FIRMANO - MONTELUPONE"/>
  </r>
  <r>
    <x v="5"/>
    <s v="BED &amp; BREAKFAST SILENT VALLEY"/>
    <s v="contrada San Salvatore 1"/>
    <x v="3"/>
    <s v="Ripatransone"/>
    <s v="www.silentvalley.it"/>
    <s v="info@silentvalley.it"/>
    <s v="BED &amp; BREAKFAST SILENT VALLEY - RIPATRANSONE"/>
  </r>
  <r>
    <x v="5"/>
    <s v="BED AND BREAKFAST LE CONCE"/>
    <s v="via delle Conce  9"/>
    <x v="4"/>
    <s v="Jesi"/>
    <s v="www.bebleconce.it"/>
    <s v="info@bebleconce.it"/>
    <s v="BED AND BREAKFAST LE CONCE - JESI"/>
  </r>
  <r>
    <x v="5"/>
    <s v="BED AND BREAKFAST SAN BENEDETTO DEL TRONTO"/>
    <s v="via Monte Verde 2"/>
    <x v="12"/>
    <m/>
    <m/>
    <s v="bebsanbenedettodeltronto@gmail.com"/>
    <s v="BED AND BREAKFAST SAN BENEDETTO DEL TRONTO - SAN BENEDETTO DEL TRONTO"/>
  </r>
  <r>
    <x v="5"/>
    <s v="BED AND BREAKFAST VITTORIO EMANUELE"/>
    <s v="via Luciano Manara 10"/>
    <x v="12"/>
    <m/>
    <m/>
    <s v="bbvittorioemanuele@hotmail.it"/>
    <s v="BED AND BREAKFAST VITTORIO EMANUELE - SAN BENEDETTO DEL TRONTO"/>
  </r>
  <r>
    <x v="3"/>
    <s v="BED BEACH &amp; BIKE DEI TALENTI"/>
    <s v="via di Villa Giulia  12"/>
    <x v="33"/>
    <s v="San Biagio"/>
    <s v="www.italenti.info"/>
    <s v="bbb@italenti.info"/>
    <s v="BED BEACH &amp; BIKE DEI TALENTI - FANO"/>
  </r>
  <r>
    <x v="5"/>
    <s v="BED&amp;BREAKFAST I CIPRESSI EX VILLA MARONCELLI"/>
    <s v="via Raffaello 170"/>
    <x v="140"/>
    <s v="SANT' IPPOLITO"/>
    <s v="www.bbcipressi.it"/>
    <s v="vsrbe@libero.it"/>
    <s v="BED&amp;BREAKFAST I CIPRESSI EX VILLA MARONCELLI - SANT'IPPOLITO"/>
  </r>
  <r>
    <x v="5"/>
    <s v="BELCUORE"/>
    <s v="via galasso da carpi 39"/>
    <x v="0"/>
    <s v="MACERATA"/>
    <s v="www.belcuore.it"/>
    <s v="info@belcuore.it"/>
    <s v="BELCUORE - MACERATA"/>
  </r>
  <r>
    <x v="7"/>
    <s v="BELIGOTTI EMANUELA"/>
    <s v="Via Trieste 265"/>
    <x v="69"/>
    <s v="PESARO"/>
    <m/>
    <s v="expoemanuela@composit.it"/>
    <s v="BELIGOTTI EMANUELA - PESARO"/>
  </r>
  <r>
    <x v="3"/>
    <s v="BELLA VAL'LONE"/>
    <m/>
    <x v="132"/>
    <m/>
    <s v="www.bellavallone.com"/>
    <s v="info@bellavallone.com"/>
    <s v="BELLA VAL'LONE - SAN GINESIO"/>
  </r>
  <r>
    <x v="3"/>
    <s v="BELLAFIORA AFFITTACAMERE DI TONTI CINZIA"/>
    <s v="Bellafiora 18"/>
    <x v="44"/>
    <s v="OSIMO"/>
    <s v="www.bellafiora.it"/>
    <s v="info@bellafiora.it"/>
    <s v="BELLAFIORA AFFITTACAMERE DI TONTI CINZIA - OSIMO"/>
  </r>
  <r>
    <x v="7"/>
    <s v="BELLAGAMBA LUCA"/>
    <s v="via Carducci  97"/>
    <x v="20"/>
    <s v="loc. Marotta"/>
    <m/>
    <m/>
    <s v="BELLAGAMBA LUCA - MONDOLFO"/>
  </r>
  <r>
    <x v="7"/>
    <s v="BELLAGAMBA RITA"/>
    <s v="VIA R. CIUCCI 8"/>
    <x v="16"/>
    <s v="SENIGALLIA"/>
    <m/>
    <s v="rita.bellagamba@gmail.com"/>
    <s v="BELLAGAMBA RITA - SENIGALLIA"/>
  </r>
  <r>
    <x v="6"/>
    <s v="BELLAMARE"/>
    <s v="via Scarfiotti 13"/>
    <x v="23"/>
    <s v="PORTO RECANATI"/>
    <s v="www.bellamare.it"/>
    <s v="info@bellamare.it"/>
    <s v="BELLAMARE - PORTO RECANATI"/>
  </r>
  <r>
    <x v="4"/>
    <s v="BELLARIVA"/>
    <s v="via litoranea 11 11"/>
    <x v="9"/>
    <s v="numana"/>
    <s v="romina@hotelgiardino.com"/>
    <m/>
    <s v="BELLARIVA - NUMANA"/>
  </r>
  <r>
    <x v="1"/>
    <s v="BELLAVISTA"/>
    <s v="piazza giardini unita' d' italia 9"/>
    <x v="28"/>
    <s v="GABICCE MARE"/>
    <s v="www.bellavistahtl.com"/>
    <s v="bellavista@gabiccemare.com"/>
    <s v="BELLAVISTA - GABICCE MARE"/>
  </r>
  <r>
    <x v="3"/>
    <s v="BELLAVISTA"/>
    <s v="via Serraloggia 184"/>
    <x v="21"/>
    <m/>
    <m/>
    <s v="massaf.cfm@libero.it"/>
    <s v="BELLAVISTA - FABRIANO"/>
  </r>
  <r>
    <x v="1"/>
    <s v="BELLAVISTA"/>
    <s v="via sant' anna 11"/>
    <x v="144"/>
    <s v="CASTELRAIMONDO"/>
    <s v="www.hotelbellavista.info"/>
    <s v="posta@hotelbellavista.info"/>
    <s v="BELLAVISTA - CASTELRAIMONDO"/>
  </r>
  <r>
    <x v="1"/>
    <s v="BELLAVISTA"/>
    <s v="via misericordia 1"/>
    <x v="47"/>
    <s v="PORTO SAN GIORGIO"/>
    <s v="www.hotelbellavistapsg.it"/>
    <s v="info@hotelbellavistapsg.it"/>
    <s v="BELLAVISTA - PORTO SAN GIORGIO"/>
  </r>
  <r>
    <x v="1"/>
    <s v="BELLAVISTA DIPENDENZA"/>
    <s v="via vittorio veneto 192"/>
    <x v="28"/>
    <s v="GABICCE MARE"/>
    <m/>
    <m/>
    <s v="BELLAVISTA DIPENDENZA - GABICCE MARE"/>
  </r>
  <r>
    <x v="0"/>
    <s v="BELLAVISTA SAN EGIDIO"/>
    <s v="via Torre Brombolona 85"/>
    <x v="1"/>
    <s v="URBINO"/>
    <m/>
    <m/>
    <s v="BELLAVISTA SAN EGIDIO - URBINO"/>
  </r>
  <r>
    <x v="0"/>
    <s v="BELLEBUONO"/>
    <s v="contrada cesa cappuccini 17"/>
    <x v="132"/>
    <s v="SAN GINESIO"/>
    <s v="www.agriturismobellebuono.it"/>
    <s v="marcello.lambertucci@libero.it"/>
    <s v="BELLEBUONO - SAN GINESIO"/>
  </r>
  <r>
    <x v="2"/>
    <s v="BELLEVUE"/>
    <s v="via redipuglia 22"/>
    <x v="28"/>
    <s v="GABICCE MARE"/>
    <s v="www.bellevueresidence.it"/>
    <s v="info@bellevueresidence.it"/>
    <s v="BELLEVUE - GABICCE MARE"/>
  </r>
  <r>
    <x v="1"/>
    <s v="BELLEVUE"/>
    <s v="viale trieste 88"/>
    <x v="69"/>
    <s v="PESARO"/>
    <s v="www.bellevuehotel.net"/>
    <s v="info@bellevuehotel.net"/>
    <s v="BELLEVUE - PESARO"/>
  </r>
  <r>
    <x v="1"/>
    <s v="BELLUCCI"/>
    <s v="corso Guglielmo Marconi 7"/>
    <x v="187"/>
    <s v="CASTELLEONE DI SUASA"/>
    <s v="www.ristorantebellucci.it"/>
    <s v="umbertobell@libero.it"/>
    <s v="BELLUCCI - CASTELLEONE DI SUASA"/>
  </r>
  <r>
    <x v="3"/>
    <s v="BELMONTE INN"/>
    <s v="contrada colle tenna 1"/>
    <x v="179"/>
    <s v="BELMONTE PICENO"/>
    <m/>
    <m/>
    <s v="BELMONTE INN - BELMONTE PICENO"/>
  </r>
  <r>
    <x v="7"/>
    <s v="BELOGI CARLO"/>
    <s v="via Simonetti 41"/>
    <x v="33"/>
    <m/>
    <m/>
    <s v="giulianagiorgi@gmail.com"/>
    <s v="BELOGI CARLO - FANO"/>
  </r>
  <r>
    <x v="3"/>
    <s v="BELOHORIZONTE"/>
    <s v="via 2 Agosto 1980 10"/>
    <x v="0"/>
    <s v="MACERATA"/>
    <s v="www.residencebelohorizonte.com"/>
    <s v="info@residencebelohorizonte.com"/>
    <s v="BELOHORIZONTE - MACERATA"/>
  </r>
  <r>
    <x v="1"/>
    <s v="BELVEDERE"/>
    <s v="via Redipuglia 1"/>
    <x v="176"/>
    <s v="STAFFOLO"/>
    <s v="www.giubbi.com"/>
    <s v="info@giubbi.com"/>
    <s v="BELVEDERE - STAFFOLO"/>
  </r>
  <r>
    <x v="1"/>
    <s v="BELVEDERE"/>
    <s v="contrada Castel San Pietro 1"/>
    <x v="223"/>
    <s v="PALMIANO"/>
    <s v="www.belvedereap.it"/>
    <s v="info@belvedereap.it"/>
    <s v="BELVEDERE - PALMIANO"/>
  </r>
  <r>
    <x v="8"/>
    <s v="BELVEDERE"/>
    <s v="contrada cantagallo 16"/>
    <x v="37"/>
    <s v="FERMO"/>
    <m/>
    <m/>
    <s v="BELVEDERE - FERMO"/>
  </r>
  <r>
    <x v="0"/>
    <s v="BENADDUCI E TAGLIARINI"/>
    <s v="frazione poggio 127"/>
    <x v="10"/>
    <s v="ANCONA"/>
    <s v="www.agriturismoconero.it"/>
    <s v="azbeta@tin.it"/>
    <s v="BENADDUCI E TAGLIARINI - ANCONA"/>
  </r>
  <r>
    <x v="7"/>
    <s v="BENCIVENNI CESARE"/>
    <s v="via Bellavista 1"/>
    <x v="33"/>
    <m/>
    <m/>
    <s v="cesarebencivenni@tiscali.it"/>
    <s v="BENCIVENNI CESARE - FANO"/>
  </r>
  <r>
    <x v="7"/>
    <s v="BENCIVENNI SOFIA"/>
    <s v="via Bellavista 1"/>
    <x v="33"/>
    <m/>
    <m/>
    <s v="cesarebencivenni@tiscali.it"/>
    <s v="BENCIVENNI SOFIA - FANO"/>
  </r>
  <r>
    <x v="7"/>
    <s v="BENELLI ANDREA"/>
    <s v="Via Tagliamento 7"/>
    <x v="16"/>
    <s v="SENIGALLIA"/>
    <m/>
    <s v="affitiestivi@belenchia.com"/>
    <s v="BENELLI ANDREA - SENIGALLIA"/>
  </r>
  <r>
    <x v="7"/>
    <s v="BENIGNI MICHELA"/>
    <s v="VIA LUNGOMARE MAMELI 242/b"/>
    <x v="16"/>
    <s v="SENIGALLIA"/>
    <m/>
    <s v="essepic@sicurezzapostale.it"/>
    <s v="BENIGNI MICHELA - SENIGALLIA"/>
  </r>
  <r>
    <x v="5"/>
    <s v="BERDINI SAURA"/>
    <s v="Vicolo Orfanelli 27/29"/>
    <x v="0"/>
    <s v="MACERATA"/>
    <m/>
    <s v="sauraberdini@gmail.com"/>
    <s v="BERDINI SAURA - MACERATA"/>
  </r>
  <r>
    <x v="1"/>
    <s v="BERNARD"/>
    <s v="via dei Mille 113"/>
    <x v="12"/>
    <s v="SAN BENEDETTO DEL TRONTO"/>
    <s v="www.hotelbernard.it"/>
    <s v="info@hotelbernard.it"/>
    <s v="BERNARD - SAN BENEDETTO DEL TRONTO"/>
  </r>
  <r>
    <x v="3"/>
    <s v="BERNARDINI AUTO SRL"/>
    <s v="via pompilio bruni 2"/>
    <x v="1"/>
    <s v="URBINO"/>
    <m/>
    <s v="info@bernardiniauto.it"/>
    <s v="BERNARDINI AUTO SRL - URBINO"/>
  </r>
  <r>
    <x v="5"/>
    <s v="BERTA CAMERE"/>
    <s v="via piceno 46/46a"/>
    <x v="17"/>
    <s v="CIVITANOVA MARCHE"/>
    <m/>
    <s v="eduardodiaco@hotmail.com"/>
    <s v="BERTA CAMERE - CIVITANOVA MARCHE"/>
  </r>
  <r>
    <x v="7"/>
    <s v="BERTOLOTTI LILIANA"/>
    <s v="via del Sangallo 4"/>
    <x v="12"/>
    <m/>
    <m/>
    <m/>
    <s v="BERTOLOTTI LILIANA - SAN BENEDETTO DEL TRONTO"/>
  </r>
  <r>
    <x v="7"/>
    <s v="BERTOZZI PATRIZIA"/>
    <s v="via Primo Maggio 88"/>
    <x v="33"/>
    <s v="FANO"/>
    <m/>
    <s v="patrizia.bertozzi1950@gmail.com"/>
    <s v="BERTOZZI PATRIZIA - FANO"/>
  </r>
  <r>
    <x v="7"/>
    <s v="BERTUCCIOLI LUCIANO"/>
    <s v="via Primo Maggio 21"/>
    <x v="28"/>
    <m/>
    <m/>
    <m/>
    <s v="BERTUCCIOLI LUCIANO - GABICCE MARE"/>
  </r>
  <r>
    <x v="7"/>
    <s v="BERTUCCIOLI QUINTA"/>
    <s v="via Primo Maggio 23"/>
    <x v="28"/>
    <m/>
    <m/>
    <m/>
    <s v="BERTUCCIOLI QUINTA - GABICCE MARE"/>
  </r>
  <r>
    <x v="7"/>
    <s v="BERTUCCIOLI REMIGIO"/>
    <s v="via Madonna di Loreto 17"/>
    <x v="28"/>
    <m/>
    <m/>
    <m/>
    <s v="BERTUCCIOLI REMIGIO - GABICCE MARE"/>
  </r>
  <r>
    <x v="7"/>
    <s v="BERTUCCIOLI SILVANO"/>
    <s v="via G. D'Annuzio 4"/>
    <x v="28"/>
    <m/>
    <m/>
    <m/>
    <s v="BERTUCCIOLI SILVANO - GABICCE MARE"/>
  </r>
  <r>
    <x v="9"/>
    <s v="BETEL"/>
    <s v="piazzale San Pietro 14"/>
    <x v="63"/>
    <s v="SMERILLO"/>
    <m/>
    <s v="casabetel@libero.it"/>
    <s v="BETEL - SMERILLO"/>
  </r>
  <r>
    <x v="7"/>
    <s v="BETTI VINCENZO"/>
    <s v="via Pole 69"/>
    <x v="86"/>
    <m/>
    <m/>
    <m/>
    <s v="BETTI VINCENZO - ACQUALAGNA"/>
  </r>
  <r>
    <x v="7"/>
    <s v="BETTINI MARIA LUISA"/>
    <s v="Via Nazario Sauro 266/B"/>
    <x v="33"/>
    <s v="FANO"/>
    <m/>
    <s v="goffredodonini@katamail.com"/>
    <s v="BETTINI MARIA LUISA - FANO"/>
  </r>
  <r>
    <x v="3"/>
    <s v="BETTY AFFITTACAMERE"/>
    <s v="via panoramica 98"/>
    <x v="28"/>
    <s v="GABICCE MARE"/>
    <s v="www.hotelgabiccemonte.com"/>
    <s v="bettys@gabiccemare.com"/>
    <s v="BETTY AFFITTACAMERE - GABICCE MARE"/>
  </r>
  <r>
    <x v="4"/>
    <s v="BETTY BOOP"/>
    <s v="viale antonio gramsci 1 1"/>
    <x v="47"/>
    <s v="PORTO SAN GIORIGO"/>
    <m/>
    <m/>
    <s v="BETTY BOOP - PORTO SAN GIORGIO"/>
  </r>
  <r>
    <x v="7"/>
    <s v="BEVILACQUA ALESSANDRA"/>
    <s v="Viale Bonopera 34"/>
    <x v="16"/>
    <s v="SENIGALLIA"/>
    <m/>
    <s v="affittiestivi@belenchia.com"/>
    <s v="BEVILACQUA ALESSANDRA - SENIGALLIA"/>
  </r>
  <r>
    <x v="7"/>
    <s v="BIAGIOLI BRUNO"/>
    <s v="via Milano 10"/>
    <x v="9"/>
    <m/>
    <m/>
    <s v="simonebiagioli@hotmail.it"/>
    <s v="BIAGIOLI BRUNO - NUMANA"/>
  </r>
  <r>
    <x v="7"/>
    <s v="BIAGIOTTI ENNIO (136/b)"/>
    <s v="VIA FAA' DI BRUNO 136/b"/>
    <x v="33"/>
    <s v="FANO"/>
    <m/>
    <s v="info@fanoaffitti.it"/>
    <s v="BIAGIOTTI ENNIO (136/b) - FANO"/>
  </r>
  <r>
    <x v="7"/>
    <s v="BIAGIOTTI ENNIO (9/13)"/>
    <s v="VIA TRIESTE 9/13"/>
    <x v="33"/>
    <s v="FANO"/>
    <m/>
    <s v="gest-service@pec.it"/>
    <s v="BIAGIOTTI ENNIO (9/13) - FANO"/>
  </r>
  <r>
    <x v="7"/>
    <s v="BIAGIOTTI EUGENIO"/>
    <m/>
    <x v="33"/>
    <s v="fano"/>
    <m/>
    <s v="info@fanoaffitti.it"/>
    <s v="BIAGIOTTI EUGENIO - FANO"/>
  </r>
  <r>
    <x v="7"/>
    <s v="BIAGIOTTI EUGENIO (136/b)"/>
    <s v="VIA FAA' DI BRUNO 136/b"/>
    <x v="33"/>
    <s v="FANO"/>
    <m/>
    <s v="info@fanoaffitti.it"/>
    <s v="BIAGIOTTI EUGENIO (136/b) - FANO"/>
  </r>
  <r>
    <x v="7"/>
    <s v="BIAGIOTTI EVELINA"/>
    <s v="VIA FAA' DI BRUNO 136/b"/>
    <x v="33"/>
    <s v="FANO"/>
    <m/>
    <m/>
    <s v="BIAGIOTTI EVELINA - FANO"/>
  </r>
  <r>
    <x v="7"/>
    <s v="BIAGIOTTI GIACOMO"/>
    <s v="Via Giacomo Puccini 14/A"/>
    <x v="33"/>
    <s v="FANO"/>
    <m/>
    <s v="biagiotti.giacomo@gmail.com"/>
    <s v="BIAGIOTTI GIACOMO - FANO"/>
  </r>
  <r>
    <x v="7"/>
    <s v="BIAGIOTTI GIULIANO"/>
    <s v="viale Cairoli 147"/>
    <x v="33"/>
    <m/>
    <m/>
    <s v="giuliano.biagiotti@fastwebnet.it"/>
    <s v="BIAGIOTTI GIULIANO - FANO"/>
  </r>
  <r>
    <x v="7"/>
    <s v="BIAGIOTTI PATRIZIA"/>
    <s v="VIA DEI MANDORLI 1"/>
    <x v="33"/>
    <s v="FANO"/>
    <m/>
    <s v="gest-service@pec.it"/>
    <s v="BIAGIOTTI PATRIZIA - FANO"/>
  </r>
  <r>
    <x v="7"/>
    <s v="BIANCA MARIA LEONARDI"/>
    <s v="viale Cairoli 110"/>
    <x v="33"/>
    <m/>
    <m/>
    <s v="bm13@libero.it"/>
    <s v="BIANCA MARIA LEONARDI - FANO"/>
  </r>
  <r>
    <x v="1"/>
    <s v="BIANCANEVE"/>
    <s v="via damiano chiesa 53"/>
    <x v="20"/>
    <s v="MONDOLFO"/>
    <s v="www.albergobiancaneve.it"/>
    <s v="info@albergobiancaneve.it"/>
    <s v="BIANCANEVE - MONDOLFO"/>
  </r>
  <r>
    <x v="7"/>
    <s v="BIANCONI ROSANNA"/>
    <s v="contrada San Michele 25"/>
    <x v="29"/>
    <m/>
    <m/>
    <s v="bianconirosanna@katamail.com"/>
    <s v="BIANCONI ROSANNA - LAPEDONA"/>
  </r>
  <r>
    <x v="1"/>
    <s v="BICE"/>
    <s v="viale Giacomo Leopardi 105"/>
    <x v="16"/>
    <s v="SENIGALLIA"/>
    <s v="www.albergobice.it"/>
    <s v="info@albergobice.it"/>
    <s v="BICE - SENIGALLIA"/>
  </r>
  <r>
    <x v="0"/>
    <s v="BIDUCCI AZIENDA AGRICOLA"/>
    <s v="Via Cerqueto 1"/>
    <x v="46"/>
    <s v="SASSOFERRATO"/>
    <m/>
    <s v="biducci@libero.it"/>
    <s v="BIDUCCI AZIENDA AGRICOLA - SASSOFERRATO"/>
  </r>
  <r>
    <x v="7"/>
    <s v="BIGELLI GIANCARLO"/>
    <s v="Via Mameli 1"/>
    <x v="16"/>
    <s v="SENIGALLIA"/>
    <m/>
    <s v="bigelli.giancarlo@pec.it"/>
    <s v="BIGELLI GIANCARLO - SENIGALLIA"/>
  </r>
  <r>
    <x v="7"/>
    <s v="BIGGAR PATRICIA ANNE"/>
    <s v="via c. Morrone 4"/>
    <x v="128"/>
    <m/>
    <m/>
    <s v="trishabiggar@ad.com"/>
    <s v="BIGGAR PATRICIA ANNE - GUALDO"/>
  </r>
  <r>
    <x v="5"/>
    <s v="BIGOTTI STEFANO"/>
    <s v="strada Nazionale Flaminia 444"/>
    <x v="33"/>
    <s v="FANO"/>
    <s v="www.bigotti.it"/>
    <s v="tommaso_bigotti@alice.it"/>
    <s v="BIGOTTI STEFANO - FANO"/>
  </r>
  <r>
    <x v="4"/>
    <s v="BIJEOUX"/>
    <s v="lungomare marconi 35 35"/>
    <x v="12"/>
    <m/>
    <m/>
    <m/>
    <s v="BIJEOUX - SAN BENEDETTO DEL TRONTO"/>
  </r>
  <r>
    <x v="7"/>
    <s v="BILEI MARIA TERESA"/>
    <s v="Lungomare Alighieri 28"/>
    <x v="16"/>
    <s v="SENIGALLIA"/>
    <m/>
    <s v="affittiestivi@belenchia.com"/>
    <s v="BILEI MARIA TERESA - SENIGALLIA"/>
  </r>
  <r>
    <x v="7"/>
    <s v="BIONDI AGNESE"/>
    <s v="via SNASS 447"/>
    <x v="33"/>
    <m/>
    <m/>
    <s v="mircobiondi@libero.it"/>
    <s v="BIONDI AGNESE - FANO"/>
  </r>
  <r>
    <x v="1"/>
    <s v="BIRILLI"/>
    <s v="via Regina Elena 109 b"/>
    <x v="17"/>
    <s v="CIVITANOVA MARCHE"/>
    <s v="http://www.hotelbirilli.it/"/>
    <s v="direzione@hotelbirilli.it"/>
    <s v="BIRILLI - CIVITANOVA MARCHE"/>
  </r>
  <r>
    <x v="1"/>
    <s v="BIRRA AL POZZO"/>
    <s v="via Pianacce 12"/>
    <x v="86"/>
    <s v="ACQUALAGNA"/>
    <s v="www.birraalpozzo.it"/>
    <s v="info@birraalpozzo.it"/>
    <s v="BIRRA AL POZZO - ACQUALAGNA"/>
  </r>
  <r>
    <x v="4"/>
    <s v="BLU"/>
    <s v="via flaminia 1 1"/>
    <x v="22"/>
    <s v="FALCONARA MARITTIMA"/>
    <s v="casaliluca@alice.it"/>
    <m/>
    <s v="BLU - FALCONARA MARITTIMA"/>
  </r>
  <r>
    <x v="1"/>
    <s v="BLU ARENA HOTEL"/>
    <s v="via Giacometti (centro Arcobaleno) 2"/>
    <x v="196"/>
    <s v="MONTECCHIO"/>
    <s v="www.bluarenahotel.it"/>
    <s v="info@bluarenahotel.it"/>
    <s v="BLU ARENA HOTEL - VALLEFOGLIA"/>
  </r>
  <r>
    <x v="4"/>
    <s v="BLU' BAR"/>
    <s v="Via N. Sauro 29"/>
    <x v="23"/>
    <m/>
    <m/>
    <s v="melania.ter@libero.it"/>
    <s v="BLU' BAR - PORTO RECANATI"/>
  </r>
  <r>
    <x v="4"/>
    <s v="BLU BEACH"/>
    <s v="strada nazionale adriatica sud 203 203"/>
    <x v="33"/>
    <s v="TORRETTE"/>
    <m/>
    <s v="info@campingmareblu.net"/>
    <s v="BLU BEACH - FANO"/>
  </r>
  <r>
    <x v="4"/>
    <s v="BLU BEACH"/>
    <s v="viale Cristoforo Colombo 1 1"/>
    <x v="20"/>
    <s v="MAROTTA"/>
    <s v="raffaeletinti@freemail.it"/>
    <m/>
    <s v="BLU BEACH - MONDOLFO"/>
  </r>
  <r>
    <x v="4"/>
    <s v="BLU DI LOLLO"/>
    <m/>
    <x v="148"/>
    <s v="PORTO POTENZA PICENA"/>
    <m/>
    <m/>
    <s v="BLU DI LOLLO - POTENZA PICENA"/>
  </r>
  <r>
    <x v="1"/>
    <s v="BLU STAR HOTEL"/>
    <s v="via Redipuglia 6"/>
    <x v="28"/>
    <s v="GABICCE MARE"/>
    <s v="www.hotelblustar.com"/>
    <s v="info@hotelblustar.com"/>
    <s v="BLU STAR HOTEL - GABICCE MARE"/>
  </r>
  <r>
    <x v="4"/>
    <s v="BLUB 37"/>
    <s v="via faleria 37 37"/>
    <x v="163"/>
    <s v="PORTO SANT' ELPIDIO"/>
    <m/>
    <m/>
    <s v="BLUB 37 - PORTO SANT'ELPIDIO"/>
  </r>
  <r>
    <x v="4"/>
    <s v="BLUE NOTE BEACH  N° 158"/>
    <s v="lungomare italia 28 28"/>
    <x v="16"/>
    <s v="SENIGALLIA"/>
    <m/>
    <m/>
    <s v="BLUE NOTE BEACH  N° 158 - SENIGALLIA"/>
  </r>
  <r>
    <x v="4"/>
    <s v="BLUMARINE  S.N.C ."/>
    <s v="lungomare marconi 1 1"/>
    <x v="12"/>
    <m/>
    <m/>
    <s v="www.hotelriviera.ap.it"/>
    <s v="BLUMARINE  S.N.C . - SAN BENEDETTO DEL TRONTO"/>
  </r>
  <r>
    <x v="1"/>
    <s v="BLUMEN"/>
    <s v="viale Trieste 77"/>
    <x v="69"/>
    <s v="PESARO"/>
    <m/>
    <s v="info@hotelblumenpesaro.it"/>
    <s v="BLUMEN - PESARO"/>
  </r>
  <r>
    <x v="1"/>
    <s v="BLUMEN"/>
    <s v="via r. zandonai 1"/>
    <x v="12"/>
    <s v="SAN BENEDETTO DEL TRONTO"/>
    <s v="www.hotelblumen.com"/>
    <s v="info@hotelblumen.com"/>
    <s v="BLUMEN - SAN BENEDETTO DEL TRONTO"/>
  </r>
  <r>
    <x v="7"/>
    <s v="BOCCA DI LUPO"/>
    <s v="fraz. Loretello 54"/>
    <x v="18"/>
    <s v="LORETELLO"/>
    <s v="http://www.boccadilupo.nl"/>
    <s v="italie@boccadilupo.nl"/>
    <s v="BOCCA DI LUPO - ARCEVIA"/>
  </r>
  <r>
    <x v="7"/>
    <s v="BOCCAROSSA SILVIA"/>
    <s v="VIA DANTE ALIGHIERI 32"/>
    <x v="119"/>
    <s v="TRECASTELLI"/>
    <m/>
    <s v="broccoligianluca@libero.it"/>
    <s v="BOCCAROSSA SILVIA - TRECASTELLI"/>
  </r>
  <r>
    <x v="7"/>
    <s v="BOCK BRITTA"/>
    <s v="Via San Marco di Sotto 20"/>
    <x v="161"/>
    <s v="CUPRAMONTANA"/>
    <m/>
    <s v="britabock@gmx.de"/>
    <s v="BOCK BRITTA - CUPRAMONTANA"/>
  </r>
  <r>
    <x v="7"/>
    <s v="BODINI FRANCESCO"/>
    <s v="via Cappellini 63/a"/>
    <x v="33"/>
    <m/>
    <m/>
    <m/>
    <s v="BODINI FRANCESCO - FANO"/>
  </r>
  <r>
    <x v="4"/>
    <s v="BOIANI BEACH DI BOIANI OMAR"/>
    <m/>
    <x v="33"/>
    <s v="METAURILIA - FANO"/>
    <m/>
    <m/>
    <s v="BOIANI BEACH DI BOIANI OMAR - FANO"/>
  </r>
  <r>
    <x v="1"/>
    <s v="BOLIVAR"/>
    <s v="via ovidio 8"/>
    <x v="12"/>
    <s v="SAN BENEDETTO DEL TRONTO"/>
    <s v="www.hotelbolivar.it"/>
    <s v="info@hotelbolivar.it"/>
    <s v="BOLIVAR - SAN BENEDETTO DEL TRONTO"/>
  </r>
  <r>
    <x v="1"/>
    <s v="BOLOGNA"/>
    <s v="lungomare mameli 57"/>
    <x v="16"/>
    <s v="SENIGALLIA"/>
    <s v="www.hbologna.net"/>
    <s v="info@hbologna.net"/>
    <s v="BOLOGNA - SENIGALLIA"/>
  </r>
  <r>
    <x v="1"/>
    <s v="BOLOGNA"/>
    <s v="via cicerone 12"/>
    <x v="12"/>
    <s v="SAN BENEDETTO DEL TRONTO"/>
    <s v="www.hotelbolognapinko.it"/>
    <s v="info@hotelbolognapinko.it"/>
    <s v="BOLOGNA - SAN BENEDETTO DEL TRONTO"/>
  </r>
  <r>
    <x v="5"/>
    <s v="BOMPADRE ANGELO"/>
    <s v="piane chienti 67"/>
    <x v="17"/>
    <s v="CIVITANOVA MARCHE"/>
    <m/>
    <s v="info@bompadre-a.it"/>
    <s v="BOMPADRE ANGELO - CIVITANOVA MARCHE"/>
  </r>
  <r>
    <x v="7"/>
    <s v="BONANOMI GRETA"/>
    <s v="Via Caminate 31"/>
    <x v="33"/>
    <s v="FANO"/>
    <m/>
    <s v="bbtanadellupo@gmail.com"/>
    <s v="BONANOMI GRETA - FANO"/>
  </r>
  <r>
    <x v="3"/>
    <s v="BONCLERICI HOUSE"/>
    <s v="via tiranni 23"/>
    <x v="75"/>
    <s v="CAGLI"/>
    <s v="www.bonclericihouse.it"/>
    <s v="info@bonclericihouse.it"/>
    <s v="BONCLERICI HOUSE - CAGLI"/>
  </r>
  <r>
    <x v="1"/>
    <s v="BONCONTE"/>
    <s v="via delle mura 28"/>
    <x v="1"/>
    <s v="URBINO"/>
    <s v="www.viphotels.it"/>
    <s v="bonconte@viphotels.it"/>
    <s v="BONCONTE - URBINO"/>
  </r>
  <r>
    <x v="7"/>
    <s v="BONIFACIO MARIO"/>
    <s v="LIVORNO 10"/>
    <x v="148"/>
    <m/>
    <m/>
    <m/>
    <s v="BONIFACIO MARIO - POTENZA PICENA"/>
  </r>
  <r>
    <x v="4"/>
    <s v="BOOBIE'S BAR"/>
    <s v="viale Rinascimento 24 24"/>
    <x v="12"/>
    <m/>
    <m/>
    <m/>
    <s v="BOOBIE'S BAR - SAN BENEDETTO DEL TRONTO"/>
  </r>
  <r>
    <x v="12"/>
    <s v="BOOMERANG"/>
    <s v="via lungomare fermano 1"/>
    <x v="37"/>
    <s v="FERMO"/>
    <s v="www.campingboomerang.it"/>
    <s v="boomerang@camping.it"/>
    <s v="BOOMERANG - FERMO"/>
  </r>
  <r>
    <x v="4"/>
    <s v="BORA BORA BEACH"/>
    <m/>
    <x v="23"/>
    <m/>
    <m/>
    <m/>
    <s v="BORA BORA BEACH - PORTO RECANATI"/>
  </r>
  <r>
    <x v="5"/>
    <s v="BORDONI PRIMO"/>
    <s v="contrada camera di fermo 12"/>
    <x v="37"/>
    <s v="FERMO"/>
    <m/>
    <m/>
    <s v="BORDONI PRIMO - FERMO"/>
  </r>
  <r>
    <x v="7"/>
    <s v="BORGHESI ELVIO"/>
    <s v="Via degli Schiavoni 17"/>
    <x v="33"/>
    <s v="FANO"/>
    <m/>
    <s v="elvio.bor@gmail.com"/>
    <s v="BORGHESI ELVIO - FANO"/>
  </r>
  <r>
    <x v="1"/>
    <s v="BORGO ANTICO"/>
    <s v="loc.Borgo Tufico 32"/>
    <x v="21"/>
    <s v="loc.Borgo Tufico"/>
    <s v="www.hotelborgoanticofabriano.com"/>
    <s v="info@hotelborgoanticofabriano.com"/>
    <s v="BORGO ANTICO - FABRIANO"/>
  </r>
  <r>
    <x v="5"/>
    <s v="BORGO BELFIORE"/>
    <s v="fraz. Sant'Apollinare 70"/>
    <x v="18"/>
    <s v="SANT'APOLLINARE"/>
    <m/>
    <m/>
    <s v="BORGO BELFIORE - ARCEVIA"/>
  </r>
  <r>
    <x v="8"/>
    <s v="BORGO BELFIORE"/>
    <s v="fraz. Sant'Apollinare 70"/>
    <x v="18"/>
    <s v="SANT'APOLLINARE"/>
    <s v="www.belfiore-italia.com"/>
    <s v="info@belfiore-italia.com"/>
    <s v="BORGO BELFIORE - ARCEVIA"/>
  </r>
  <r>
    <x v="7"/>
    <s v="BORGO BELVEDERI"/>
    <s v="frazione valle Vegenana 1"/>
    <x v="42"/>
    <s v="CAMERINO"/>
    <m/>
    <s v="borgo@belvederi.com"/>
    <s v="BORGO BELVEDERI - CAMERINO"/>
  </r>
  <r>
    <x v="5"/>
    <s v="BORGO BONAVENTURA"/>
    <s v="fraz. Prosano - loc. Bosimano 57"/>
    <x v="18"/>
    <s v="PROSANO"/>
    <s v="www.borgobonaventura.it"/>
    <s v="info@borgobonaventura.it"/>
    <s v="BORGO BONAVENTURA - ARCEVIA"/>
  </r>
  <r>
    <x v="3"/>
    <s v="BORGO DELLE FATE"/>
    <s v="GUGLIELMUCCI  2"/>
    <x v="62"/>
    <s v="AMANDOLA"/>
    <m/>
    <s v="borgodellefate@virgilio.it"/>
    <s v="BORGO DELLE FATE - AMANDOLA"/>
  </r>
  <r>
    <x v="3"/>
    <s v="BORGO FARNETO"/>
    <s v="VIA FARNETO 24"/>
    <x v="118"/>
    <s v="BORGO FARNETO - SERRA DE CONTI"/>
    <s v="www.borgofarneto.it"/>
    <s v="sabine.telser@virgilio.it"/>
    <s v="BORGO FARNETO - SERRA DE' CONTI"/>
  </r>
  <r>
    <x v="2"/>
    <s v="BORGO FRESCINA"/>
    <s v="ABBADIA DI NARO 118"/>
    <x v="75"/>
    <s v="FRESCINA - CAGLI"/>
    <s v="www.frescina.com"/>
    <s v="info@frescina.com"/>
    <s v="BORGO FRESCINA - CAGLI"/>
  </r>
  <r>
    <x v="1"/>
    <s v="BORGO LANCIANO"/>
    <s v="localita' Lanciano 5"/>
    <x v="144"/>
    <s v="CASTELRAIMONDO"/>
    <s v="www.borgolanciano.it"/>
    <s v="info@borgolanciano.it"/>
    <s v="BORGO LANCIANO - CASTELRAIMONDO"/>
  </r>
  <r>
    <x v="5"/>
    <s v="BORGO MARANO"/>
    <s v="Via Castello 35"/>
    <x v="32"/>
    <s v="CUPRA MARITTIMA"/>
    <s v="www.borgomarano.it"/>
    <s v="info@borgomarano.it"/>
    <s v="BORGO MARANO - CUPRA MARITTIMA"/>
  </r>
  <r>
    <x v="8"/>
    <s v="BORGO RONCAGLIA"/>
    <s v="via Roncaglia 106"/>
    <x v="64"/>
    <s v="SAN LORENZO IN CAMPO"/>
    <s v="www.borgoroncaglia.it"/>
    <s v="info@borgoroncaglia.it"/>
    <s v="BORGO RONCAGLIA - SAN LORENZO IN CAMPO"/>
  </r>
  <r>
    <x v="8"/>
    <s v="BORGO ROSSO"/>
    <s v="via Aldo Davanzali 6"/>
    <x v="8"/>
    <s v="SIROLO"/>
    <s v="www.countryhousesirolo.it"/>
    <s v="borgorosso@fioranelli.com"/>
    <s v="BORGO ROSSO - SIROLO"/>
  </r>
  <r>
    <x v="8"/>
    <s v="BORGO SORBATTI"/>
    <s v="viale vittoria 137"/>
    <x v="27"/>
    <s v="LORO PICENO"/>
    <s v="www.borgosorbatti.it"/>
    <s v="barbara@borgosorbatti.it"/>
    <s v="BORGO SORBATTI - LORO PICENO"/>
  </r>
  <r>
    <x v="8"/>
    <s v="BORGO STORICO SEGHETTI PANICHI"/>
    <s v="via San Pancrazio 1"/>
    <x v="168"/>
    <s v="Castel di Lama"/>
    <s v="www.seghettipanichi.it"/>
    <s v="info@seghettipanichi.it"/>
    <s v="BORGO STORICO SEGHETTI PANICHI - CASTEL DI LAMA"/>
  </r>
  <r>
    <x v="8"/>
    <s v="BORGO TRANQUILLO"/>
    <s v="fraz. Costa 132"/>
    <x v="18"/>
    <s v="COSTA"/>
    <s v="www.borgotranquillo.com"/>
    <s v="info@borgotranquillo.com"/>
    <s v="BORGO TRANQUILLO - ARCEVIA"/>
  </r>
  <r>
    <x v="7"/>
    <s v="BORGOGELLI OTTAVIANI MARCO"/>
    <s v="Vicolo Alavolini 9"/>
    <x v="33"/>
    <s v="FANO"/>
    <m/>
    <s v="borgomarco@libero.it"/>
    <s v="BORGOGELLI OTTAVIANI MARCO - FANO"/>
  </r>
  <r>
    <x v="8"/>
    <s v="BORGOPARVO"/>
    <s v=" Betelico 103"/>
    <x v="10"/>
    <s v="frazione Massignano"/>
    <s v="www.borgoparvo.com"/>
    <s v="margherita.muzzi@tiscali.it; borgoparvo_srl@pec.it"/>
    <s v="BORGOPARVO - ANCONA"/>
  </r>
  <r>
    <x v="3"/>
    <s v="BORRONI DANTE"/>
    <s v="via aprutina 37"/>
    <x v="148"/>
    <s v="POTENZA PICENA"/>
    <m/>
    <m/>
    <s v="BORRONI DANTE - POTENZA PICENA"/>
  </r>
  <r>
    <x v="7"/>
    <s v="BORSELLA ANNA MARIA"/>
    <s v="Via Barsanti 98"/>
    <x v="69"/>
    <s v="PESARO"/>
    <m/>
    <s v="by.corallonistaff@coppola.it"/>
    <s v="BORSELLA ANNA MARIA - PESARO"/>
  </r>
  <r>
    <x v="5"/>
    <s v="BOSIMANO"/>
    <s v="fraz. Prosano - loc. Bosimano 60"/>
    <x v="18"/>
    <s v="PROSANO"/>
    <s v="www.agri-bosimano.com"/>
    <s v="cenlui@libero.it"/>
    <s v="BOSIMANO - ARCEVIA"/>
  </r>
  <r>
    <x v="4"/>
    <s v="BOSSANOVA"/>
    <m/>
    <x v="12"/>
    <m/>
    <m/>
    <m/>
    <s v="BOSSANOVA - SAN BENEDETTO DEL TRONTO"/>
  </r>
  <r>
    <x v="5"/>
    <s v="BOVETTI LUCIANO"/>
    <s v="localita' seano 6"/>
    <x v="144"/>
    <s v="CASTELRAIMONDO"/>
    <m/>
    <s v="federico.bovetti@gmail.com"/>
    <s v="BOVETTI LUCIANO - CASTELRAIMONDO"/>
  </r>
  <r>
    <x v="7"/>
    <s v="BRAGAGNA QUINTO"/>
    <s v="via De Amicis 17"/>
    <x v="28"/>
    <m/>
    <m/>
    <m/>
    <s v="BRAGAGNA QUINTO - GABICCE MARE"/>
  </r>
  <r>
    <x v="5"/>
    <s v="BRAGHIN ANNIE"/>
    <s v="via polveriggia 1"/>
    <x v="205"/>
    <s v="MONTOTTONE"/>
    <m/>
    <m/>
    <s v="BRAGHIN ANNIE - MONTOTTONE"/>
  </r>
  <r>
    <x v="1"/>
    <s v="BRAMANTE"/>
    <s v="via roma 92/94"/>
    <x v="80"/>
    <s v="URBANIA"/>
    <m/>
    <s v="albergobramante@virgilio.it"/>
    <s v="BRAMANTE - URBANIA"/>
  </r>
  <r>
    <x v="7"/>
    <s v="BRAND PIERNITZKI DORIS HELGA BARBEL"/>
    <s v="contrada Contro 7"/>
    <x v="128"/>
    <m/>
    <m/>
    <s v="doris@piernitzki.com"/>
    <s v="BRAND PIERNITZKI DORIS HELGA BARBEL - GUALDO"/>
  </r>
  <r>
    <x v="4"/>
    <s v="BRASIL"/>
    <s v="lungomare marconi 43 43"/>
    <x v="12"/>
    <m/>
    <s v="pp.flammini@sambenedettoggi.it"/>
    <s v="www.brasil39.com"/>
    <s v="BRASIL - SAN BENEDETTO DEL TRONTO"/>
  </r>
  <r>
    <x v="7"/>
    <s v="BRAVI NORINA"/>
    <m/>
    <x v="2"/>
    <s v="loc. Serripola"/>
    <m/>
    <s v="vaniacipolletti@libero.it"/>
    <s v="BRAVI NORINA - SAN SEVERINO MARCHE"/>
  </r>
  <r>
    <x v="3"/>
    <s v="BREZZA"/>
    <s v="via Portonovo 3"/>
    <x v="41"/>
    <m/>
    <m/>
    <s v="brezzadamare@hotmail.com"/>
    <s v="BREZZA - MONTEMARCIANO"/>
  </r>
  <r>
    <x v="5"/>
    <s v="BREZZA MARINA"/>
    <s v="via Pio IX 10"/>
    <x v="12"/>
    <s v="RIVIERA DELLE PALME"/>
    <s v="www.brezzamarinabb.com"/>
    <s v="ferrara.adele70@libero.it"/>
    <s v="BREZZA MARINA - SAN BENEDETTO DEL TRONTO"/>
  </r>
  <r>
    <x v="1"/>
    <s v="BREZZA MEUBLE'"/>
    <s v="via Vittorio Veneto 117"/>
    <x v="28"/>
    <s v="GABICCE MARE"/>
    <m/>
    <m/>
    <s v="BREZZA MEUBLE' - GABICCE MARE"/>
  </r>
  <r>
    <x v="8"/>
    <s v="BRICIOLA DI SOLE"/>
    <s v="contrada granaro 19"/>
    <x v="5"/>
    <s v="GROTTAMMARE"/>
    <s v="www.bricioladisole.it"/>
    <s v="info@bricioladisole.it"/>
    <s v="BRICIOLA DI SOLE - GROTTAMMARE"/>
  </r>
  <r>
    <x v="1"/>
    <s v="BRISTOL MEUBLE'"/>
    <s v="Piazzale della Libertà 7"/>
    <x v="69"/>
    <s v="Pesaro"/>
    <s v="http://hotelbristol-pu.com/index.php"/>
    <s v="info@hotelbristolpesaro.191.it"/>
    <s v="BRISTOL MEUBLE' - PESARO"/>
  </r>
  <r>
    <x v="7"/>
    <s v="BRUN MARIA"/>
    <s v="Via Podesti 71"/>
    <x v="16"/>
    <s v="SENIGALLIA"/>
    <m/>
    <s v="affittiestivi@belenchia.com"/>
    <s v="BRUN MARIA - SENIGALLIA"/>
  </r>
  <r>
    <x v="7"/>
    <s v="BRUNATI AURELIO"/>
    <s v="Via G. B. Pergolesi 22"/>
    <x v="148"/>
    <s v="POTENZA PICENA"/>
    <m/>
    <m/>
    <s v="BRUNATI AURELIO - POTENZA PICENA"/>
  </r>
  <r>
    <x v="0"/>
    <s v="BRUNELLA CARLA"/>
    <m/>
    <x v="91"/>
    <s v="loc. Canneto"/>
    <s v="www.agriturismo-marche.it/pu/brunella.htm"/>
    <s v="conteessa@libero.it"/>
    <s v="BRUNELLA CARLA - PERGOLA"/>
  </r>
  <r>
    <x v="7"/>
    <s v="BRUSCHI LEONELLO"/>
    <s v="Via Gioberti 17/B"/>
    <x v="16"/>
    <s v="SENIGALLIA"/>
    <m/>
    <s v="bruschileonello@sicurezzapostale.it"/>
    <s v="BRUSCHI LEONELLO - SENIGALLIA"/>
  </r>
  <r>
    <x v="0"/>
    <s v="BUCOSSI PATRIZIA"/>
    <s v="c.da Giardoni 1"/>
    <x v="89"/>
    <s v="CESSAPALOMBO"/>
    <m/>
    <m/>
    <s v="BUCOSSI PATRIZIA - CESSAPALOMBO"/>
  </r>
  <r>
    <x v="7"/>
    <s v="BURATTINI NAZZARENO"/>
    <s v="Lungomare Mameli 93"/>
    <x v="16"/>
    <s v="SENIGALLIA"/>
    <m/>
    <s v="affittiestivi@belenchia.com"/>
    <s v="BURATTINI NAZZARENO - SENIGALLIA"/>
  </r>
  <r>
    <x v="7"/>
    <s v="BUSCA MARIA DEA"/>
    <s v="via Montesanto  5"/>
    <x v="33"/>
    <m/>
    <m/>
    <s v=" vacanzefano@libero.it"/>
    <s v="BUSCA MARIA DEA - FANO"/>
  </r>
  <r>
    <x v="7"/>
    <s v="BUSCAGLIA SERGIO"/>
    <s v="Via Recchi 3"/>
    <x v="69"/>
    <s v="PESARO"/>
    <m/>
    <s v="info@immobiliaretriestepesaro.it"/>
    <s v="BUSCAGLIA SERGIO - PESARO"/>
  </r>
  <r>
    <x v="7"/>
    <s v="BUTIRRONI DONATELLA"/>
    <s v="via Colombo 171"/>
    <x v="20"/>
    <s v="marotta"/>
    <m/>
    <s v="biuty@libero.it"/>
    <s v="BUTIRRONI DONATELLA - MONDOLFO"/>
  </r>
  <r>
    <x v="3"/>
    <s v="BUTTERFLY'S HOUSE"/>
    <s v="via bramante 132"/>
    <x v="23"/>
    <s v="PORTO RECANATI"/>
    <m/>
    <m/>
    <s v="BUTTERFLY'S HOUSE - PORTO RECANATI"/>
  </r>
  <r>
    <x v="5"/>
    <s v="CA'  LAJALA"/>
    <s v="Via S. Eufemia 5"/>
    <x v="1"/>
    <s v="URBINO"/>
    <s v="www.calajala.com"/>
    <s v="calajala@gmail.com"/>
    <s v="CA'  LAJALA - URBINO"/>
  </r>
  <r>
    <x v="7"/>
    <s v="CA ' MINCELLO"/>
    <s v="via Alcide de Gasperi  8 8"/>
    <x v="147"/>
    <s v="PEGLIO"/>
    <m/>
    <s v="roberto.antoniucci@yahoo.it"/>
    <s v="CA ' MINCELLO - PEGLIO"/>
  </r>
  <r>
    <x v="0"/>
    <s v="CA'  TUREN di bartoli francesco"/>
    <s v="strada valle dei castagni 8"/>
    <x v="69"/>
    <s v="PESARO"/>
    <m/>
    <s v="caturen@gmail.com"/>
    <s v="CA'  TUREN di bartoli francesco - PESARO"/>
  </r>
  <r>
    <x v="0"/>
    <s v="CA' ANDREANA"/>
    <s v="via Ca' Andreana 2"/>
    <x v="1"/>
    <s v="URBINO"/>
    <s v="www.caandreana.it"/>
    <s v="info@caandreana.it"/>
    <s v="CA' ANDREANA - URBINO"/>
  </r>
  <r>
    <x v="7"/>
    <s v="CA' AURORA"/>
    <s v="via Nazionale Boccatrabaria ovest 144"/>
    <x v="1"/>
    <m/>
    <m/>
    <m/>
    <s v="CA' AURORA - URBINO"/>
  </r>
  <r>
    <x v="0"/>
    <s v="CA' BELVEDERE"/>
    <s v="strada pigno monte martello 103"/>
    <x v="75"/>
    <s v="CAGLI"/>
    <s v="www.cabelvedere.it"/>
    <s v="info@cabelvedere.it"/>
    <s v="CA' BELVEDERE - CAGLI"/>
  </r>
  <r>
    <x v="7"/>
    <s v="CA' BONI"/>
    <s v="via Croce 6"/>
    <x v="110"/>
    <s v="MOMBAROCCIO"/>
    <m/>
    <s v="maarit@libero.it"/>
    <s v="CA' BONI - MOMBAROCCIO"/>
  </r>
  <r>
    <x v="0"/>
    <s v="CA' BOSCARINI"/>
    <s v="Via della Bastiola 7"/>
    <x v="80"/>
    <s v="URBANIA"/>
    <s v="www.caboscarini.it"/>
    <s v="info@caboscarini.it"/>
    <s v="CA' BOSCARINI - URBANIA"/>
  </r>
  <r>
    <x v="7"/>
    <s v="Ca' Cellino"/>
    <s v="VIA CACELLINO 15"/>
    <x v="7"/>
    <s v="Piandalberi"/>
    <s v="www.cacellino.it"/>
    <s v="info@cacellino.it"/>
    <s v="Ca' Cellino - SASSOCORVARO"/>
  </r>
  <r>
    <x v="0"/>
    <s v="CA' CIRIGIOLO"/>
    <s v="Loc. Casa Nuova di Cirigiolo  s/n"/>
    <x v="31"/>
    <s v="Apecchio"/>
    <s v="www.cacirigiolo.it"/>
    <s v="info@cacirigiolo.it"/>
    <s v="CA' CIRIGIOLO - APECCHIO"/>
  </r>
  <r>
    <x v="5"/>
    <s v="CA' DELL'OLMO"/>
    <s v="via Montecipollino 16"/>
    <x v="67"/>
    <s v="MONTECICCARDO"/>
    <s v="www.cadellolmo.altervista.org"/>
    <s v="cadellolmo@altervista.org"/>
    <s v="CA' DELL'OLMO - MONTECICCARDO"/>
  </r>
  <r>
    <x v="0"/>
    <s v="CA' DORALE"/>
    <s v="localita' fenile 81"/>
    <x v="33"/>
    <s v="FANO"/>
    <s v="www.agriturismocadorale.it"/>
    <s v="cadorale@gmail.com"/>
    <s v="CA' DORALE - FANO"/>
  </r>
  <r>
    <x v="8"/>
    <s v="CA' FEDE COUNTRY HOUSE"/>
    <s v="localita' orsaiola 14"/>
    <x v="80"/>
    <s v="URBANIA"/>
    <s v="www.CaFedeCountryHouse.com"/>
    <s v="graham@cafedecountryhouse.com"/>
    <s v="CA' FEDE COUNTRY HOUSE - URBANIA"/>
  </r>
  <r>
    <x v="0"/>
    <s v="CA' FERRO"/>
    <s v="Bocca Trabaria Ovest  126"/>
    <x v="1"/>
    <s v="Tufo"/>
    <s v="agriturismocaferro.it"/>
    <s v="fogliaa84@libero.it"/>
    <s v="CA' FERRO - URBINO"/>
  </r>
  <r>
    <x v="7"/>
    <s v="CA' FRANCESCHINO, THE GREEN HOUSE"/>
    <m/>
    <x v="76"/>
    <s v="loc. Cà Franceschino"/>
    <s v="www.cafranceschino.it"/>
    <s v="cafranceschino@yahoo.it"/>
    <s v="CA' FRANCESCHINO, THE GREEN HOUSE - MERCATELLO SUL METAURO"/>
  </r>
  <r>
    <x v="8"/>
    <s v="CA' GARAVANO"/>
    <s v="strada Frontino 21"/>
    <x v="86"/>
    <s v="ACQUALAGNA"/>
    <s v="www.cagaravano.com"/>
    <s v="urbini.alessandro@alice.it"/>
    <s v="CA' GARAVANO - ACQUALAGNA"/>
  </r>
  <r>
    <x v="7"/>
    <s v="CA' GINESTRA"/>
    <s v="via Montebruciato 4"/>
    <x v="125"/>
    <m/>
    <s v="www.marcheholiday.it"/>
    <s v="gennari68@gmail.com"/>
    <s v="CA' GINESTRA - SERRUNGARINA"/>
  </r>
  <r>
    <x v="5"/>
    <s v="CA' LA PACINA"/>
    <s v="via del Collegio 4"/>
    <x v="1"/>
    <s v="URBINO"/>
    <s v="www.turismo.marche.it"/>
    <s v="calapacina@yahoo.it"/>
    <s v="CA' LA PACINA - URBINO"/>
  </r>
  <r>
    <x v="0"/>
    <s v="CA' LE SUORE"/>
    <s v="strada Monte Peruzzo 57"/>
    <x v="75"/>
    <s v="CAGLI"/>
    <s v="www.calesuore.it"/>
    <s v="info@calesuore.it"/>
    <s v="CA' LE SUORE - CAGLI"/>
  </r>
  <r>
    <x v="7"/>
    <s v="CA' LONDEI"/>
    <m/>
    <x v="1"/>
    <m/>
    <m/>
    <s v="endrio.paganelli@gmail.com"/>
    <s v="CA' LONDEI - URBINO"/>
  </r>
  <r>
    <x v="0"/>
    <s v="CA' LUPINO"/>
    <s v="via Cà Bergamo 44"/>
    <x v="1"/>
    <m/>
    <s v="www.calupino.it"/>
    <s v="info@calupino.it"/>
    <s v="CA' LUPINO - URBINO"/>
  </r>
  <r>
    <x v="3"/>
    <s v="CA' MAGGIO NUOVO"/>
    <s v="strada monte peruzzo 63"/>
    <x v="75"/>
    <s v="CAGLI"/>
    <s v="www.camaggio.com"/>
    <s v="info@camaggio.com"/>
    <s v="CA' MAGGIO NUOVO - CAGLI"/>
  </r>
  <r>
    <x v="0"/>
    <s v="CA' MIGNONE"/>
    <s v="strada provinciale le Cesane 43"/>
    <x v="1"/>
    <m/>
    <m/>
    <s v="agricamignone@libero.it"/>
    <s v="CA' MIGNONE - URBINO"/>
  </r>
  <r>
    <x v="7"/>
    <s v="CA' MINCELLO"/>
    <s v="via Alcide De Gasperi  8"/>
    <x v="147"/>
    <s v="Ca' Mincello"/>
    <m/>
    <s v="roberto.antoniucci@yahoo.it"/>
    <s v="CA' MINCELLO - PEGLIO"/>
  </r>
  <r>
    <x v="7"/>
    <s v="CA' NAPOLEON di LA ROTA LORETTA"/>
    <s v="strada dei Pelati 17"/>
    <x v="69"/>
    <m/>
    <m/>
    <s v="canapoleon1831@gmail.com"/>
    <s v="CA' NAPOLEON di LA ROTA LORETTA - PESARO"/>
  </r>
  <r>
    <x v="3"/>
    <s v="CA' PALAZZO"/>
    <s v="via Fenigli 52"/>
    <x v="91"/>
    <m/>
    <s v="www.capalazzo.com"/>
    <s v="jacopo.vrg@libero.it"/>
    <s v="CA' PALAZZO - PERGOLA"/>
  </r>
  <r>
    <x v="8"/>
    <s v="CA' PARAVENTO COUNTRY HOUSE"/>
    <s v="via della fornace 73"/>
    <x v="24"/>
    <s v="TRANQUILLO"/>
    <s v="www.caparavento.it"/>
    <s v="info@caparavento.it"/>
    <s v="CA' PARAVENTO COUNTRY HOUSE - CANTIANO"/>
  </r>
  <r>
    <x v="0"/>
    <s v="CA' PRINCIVALLE"/>
    <s v="strada Ponte Marotto 22/2"/>
    <x v="69"/>
    <s v="Ponte Valle, Santa Veneranda"/>
    <s v="www.caprincivalle.it"/>
    <s v="info@caprincivalle.it"/>
    <s v="CA' PRINCIVALLE - PESARO"/>
  </r>
  <r>
    <x v="0"/>
    <s v="CA' QUATTROCCHI"/>
    <s v="via Roma 1"/>
    <x v="31"/>
    <s v="APECCHIO"/>
    <m/>
    <m/>
    <s v="CA' QUATTROCCHI - APECCHIO"/>
  </r>
  <r>
    <x v="0"/>
    <s v="CA' RAMARRA"/>
    <s v="localita' san biagio 50"/>
    <x v="33"/>
    <s v="FANO"/>
    <m/>
    <s v="info@caramarra.it"/>
    <s v="CA' RAMARRA - FANO"/>
  </r>
  <r>
    <x v="3"/>
    <s v="CA' SA BARTOCCIO"/>
    <s v="via Ticino 15"/>
    <x v="152"/>
    <m/>
    <m/>
    <s v="casabartoccio@libero.it"/>
    <s v="CA' SA BARTOCCIO - FERMIGNANO"/>
  </r>
  <r>
    <x v="7"/>
    <s v="CA' SALVATORE"/>
    <s v="loc.Cà Salvatore 22"/>
    <x v="58"/>
    <s v="loc. Cà Salvatore"/>
    <m/>
    <s v="info@casalvatore.it"/>
    <s v="CA' SALVATORE - SANT'ANGELO IN VADO"/>
  </r>
  <r>
    <x v="0"/>
    <s v="CA' SERRANTONIO"/>
    <s v="via candigliano 3"/>
    <x v="80"/>
    <s v="San Vincenzo in Candigliano"/>
    <s v="www.caserrantonio.com"/>
    <s v="booking@caserrantonio.com"/>
    <s v="CA' SERRANTONIO - URBANIA"/>
  </r>
  <r>
    <x v="5"/>
    <s v="CA' SIDERIA"/>
    <s v="Strada del Molino Mosca  10"/>
    <x v="69"/>
    <s v="CANDELARA"/>
    <m/>
    <m/>
    <s v="CA' SIDERIA - PESARO"/>
  </r>
  <r>
    <x v="0"/>
    <s v="CA' SORCI"/>
    <s v="via Valrea 11"/>
    <x v="91"/>
    <m/>
    <s v="www.agriturismocasorci.it"/>
    <s v="casorci@libero.it"/>
    <s v="CA' SORCI - PERGOLA"/>
  </r>
  <r>
    <x v="0"/>
    <s v="CA' VERDE"/>
    <s v="strada panoramica adriatica 345"/>
    <x v="69"/>
    <s v="PESARO"/>
    <s v="www.agriturismocaverde.it"/>
    <s v="info@agriturismocaverde.it"/>
    <s v="CA' VERDE - PESARO"/>
  </r>
  <r>
    <x v="8"/>
    <s v="CA' VIRGINIA COUNTRY HOUSE WELLNESS"/>
    <s v="loc Foglia Secca sn"/>
    <x v="77"/>
    <s v="SAN GIORGIO"/>
    <s v="www.cavirginia.it"/>
    <s v="info@cavirginia.it"/>
    <s v="CA' VIRGINIA COUNTRY HOUSE WELLNESS - MONTECALVO IN FOGLIA"/>
  </r>
  <r>
    <x v="3"/>
    <s v="CAFE' &amp; RESTAURANT BUENA VISTA"/>
    <s v="via faa' di bruno 1"/>
    <x v="33"/>
    <s v="FANO"/>
    <m/>
    <s v="lucachef17@gmail.com"/>
    <s v="CAFE' &amp; RESTAURANT BUENA VISTA - FANO"/>
  </r>
  <r>
    <x v="1"/>
    <s v="CAGGIARI"/>
    <s v="lungomare Alighieri 130"/>
    <x v="16"/>
    <s v="SENIGALLIA"/>
    <s v="www.hotelcaggiari.it"/>
    <s v="info@hotelcaggiari.it"/>
    <s v="CAGGIARI - SENIGALLIA"/>
  </r>
  <r>
    <x v="4"/>
    <s v="CAKAO BEACH"/>
    <s v="Palombina nuova 23"/>
    <x v="10"/>
    <s v="Ancona"/>
    <s v="cakaobeachclub@gmail.com"/>
    <m/>
    <s v="CAKAO BEACH - ANCONA"/>
  </r>
  <r>
    <x v="0"/>
    <s v="CAL FATTORE"/>
    <s v="via Case Sparse snc"/>
    <x v="224"/>
    <m/>
    <m/>
    <s v="elebarbie@hotmail.it"/>
    <s v="CAL FATTORE - BELFORTE ALL'ISAURO"/>
  </r>
  <r>
    <x v="0"/>
    <s v="CAL TERRAZZANO"/>
    <s v="via Fangacci 7"/>
    <x v="80"/>
    <m/>
    <m/>
    <s v="stefano.alippi@gmail.com"/>
    <s v="CAL TERRAZZANO - URBANIA"/>
  </r>
  <r>
    <x v="1"/>
    <s v="CALABRESI"/>
    <s v="viale Marinai d'Italia 1"/>
    <x v="12"/>
    <s v="SAN BENEDETTO DEL TRONTO"/>
    <s v="www.hotelcalabresi.it"/>
    <s v="calabresiufficio@gmail.com"/>
    <s v="CALABRESI - SAN BENEDETTO DEL TRONTO"/>
  </r>
  <r>
    <x v="0"/>
    <s v="CALAMELLO"/>
    <s v="frazione Cartoceto 81"/>
    <x v="91"/>
    <s v="PERGOLA"/>
    <s v="www.agriturismocalamello.it"/>
    <s v="cavallini.fiorenza@libero.it"/>
    <s v="CALAMELLO - PERGOLA"/>
  </r>
  <r>
    <x v="0"/>
    <s v="CALBERTARO"/>
    <s v="via sant' antonio 1"/>
    <x v="1"/>
    <s v="URBINO"/>
    <m/>
    <s v="calbertaro@libero.it"/>
    <s v="CALBERTARO - URBINO"/>
  </r>
  <r>
    <x v="7"/>
    <s v="CALBERTONE"/>
    <s v="via Beata Margherita della Metola 1"/>
    <x v="76"/>
    <s v="loc. Metola"/>
    <s v="www.calbertone.it"/>
    <s v="infocalbertone@gmail.com"/>
    <s v="CALBERTONE - MERCATELLO SUL METAURO"/>
  </r>
  <r>
    <x v="3"/>
    <s v="CALETTA DEL CONERO"/>
    <s v="via Litoranea 116"/>
    <x v="9"/>
    <s v="numana"/>
    <s v="http://calettadelconero.it"/>
    <s v="info@calettadelconero.it"/>
    <s v="CALETTA DEL CONERO - NUMANA"/>
  </r>
  <r>
    <x v="3"/>
    <s v="CALIENDI CORRADO"/>
    <m/>
    <x v="100"/>
    <s v="PIAN DEI PRATI - FRONTINO"/>
    <m/>
    <m/>
    <s v="CALIENDI CORRADO - FRONTINO"/>
  </r>
  <r>
    <x v="3"/>
    <s v="CALIENDI CORRADO 1"/>
    <m/>
    <x v="100"/>
    <s v="PIAN DEI PRATI"/>
    <m/>
    <m/>
    <s v="CALIENDI CORRADO 1 - FRONTINO"/>
  </r>
  <r>
    <x v="4"/>
    <s v="CALIFORNIA"/>
    <s v="viale cristoforo colombo 1 1"/>
    <x v="5"/>
    <m/>
    <m/>
    <m/>
    <s v="CALIFORNIA - GROTTAMMARE"/>
  </r>
  <r>
    <x v="7"/>
    <s v="CALLARA' ALESSANDRA"/>
    <s v="Via Chiesanuova 33"/>
    <x v="98"/>
    <s v="MONTERUBBIANO"/>
    <m/>
    <s v="alessandra.callara@gmail.com"/>
    <s v="CALLARA' ALESSANDRA - MONTERUBBIANO"/>
  </r>
  <r>
    <x v="5"/>
    <s v="CALMANCINO DELLE SELVE"/>
    <s v="Via Cà Cerione 5"/>
    <x v="1"/>
    <s v="URBINO"/>
    <m/>
    <s v="calmancinodelleselve@gmail.com"/>
    <s v="CALMANCINO DELLE SELVE - URBINO"/>
  </r>
  <r>
    <x v="5"/>
    <s v="CALVINO BROZZESI"/>
    <s v="Lungomare G. Marconi 25"/>
    <x v="16"/>
    <s v="SENIGALLIA"/>
    <m/>
    <s v="calvinobrozzesi@tin.it"/>
    <s v="CALVINO BROZZESI - SENIGALLIA"/>
  </r>
  <r>
    <x v="6"/>
    <s v="CALYPSO"/>
    <s v="contrada boccabianca 7"/>
    <x v="32"/>
    <s v="CUPRA MARITTIMA"/>
    <s v="www.campingcalypso.it"/>
    <s v="info@campingcalypso.it"/>
    <s v="CALYPSO - CUPRA MARITTIMA"/>
  </r>
  <r>
    <x v="4"/>
    <s v="CALYPSO"/>
    <s v="viale Rinascimento 22 22"/>
    <x v="12"/>
    <m/>
    <s v="chaletcalypso84hotmail.it"/>
    <m/>
    <s v="CALYPSO - SAN BENEDETTO DEL TRONTO"/>
  </r>
  <r>
    <x v="4"/>
    <s v="CALYPSO"/>
    <s v="lungomare gramsci 1 1"/>
    <x v="47"/>
    <s v="PORTO SAN GIORGIO"/>
    <s v="calypso.alvin@gmail.com"/>
    <m/>
    <s v="CALYPSO - PORTO SAN GIORGIO"/>
  </r>
  <r>
    <x v="1"/>
    <s v="CAMARTINA"/>
    <s v="contrada camartina 8"/>
    <x v="157"/>
    <s v="ARQUATA DEL TRONTO"/>
    <s v="www.hotelcamartina.it"/>
    <s v="camartina@libero.it"/>
    <s v="CAMARTINA - ARQUATA DEL TRONTO"/>
  </r>
  <r>
    <x v="5"/>
    <s v="CAMERA CON VISTA"/>
    <s v="VIA CIALDINI 5"/>
    <x v="10"/>
    <s v="ANCONA"/>
    <m/>
    <s v="cameraconvista.ancona@gmail.com"/>
    <s v="CAMERA CON VISTA - ANCONA"/>
  </r>
  <r>
    <x v="3"/>
    <s v="CAMERA CON VISTA...MARE (BLU PANORAMIC)"/>
    <s v="via San Michele 6/8"/>
    <x v="8"/>
    <m/>
    <m/>
    <s v="aldo.camere@libero.it"/>
    <s v="CAMERA CON VISTA...MARE (BLU PANORAMIC) - SIROLO"/>
  </r>
  <r>
    <x v="3"/>
    <s v="CAMERE ALISA"/>
    <s v="Via Moricone 7"/>
    <x v="8"/>
    <s v="SIROLO"/>
    <m/>
    <s v="info@campingreno.eu"/>
    <s v="CAMERE ALISA - SIROLO"/>
  </r>
  <r>
    <x v="3"/>
    <s v="CAMERE DA ALDO"/>
    <s v="via Giulietti 60"/>
    <x v="8"/>
    <s v="SIROLO"/>
    <s v="www.daaldo.it"/>
    <s v="aldo.camere@libero.it"/>
    <s v="CAMERE DA ALDO - SIROLO"/>
  </r>
  <r>
    <x v="3"/>
    <s v="CAMERE IL PARCO"/>
    <s v="via giulietti 33"/>
    <x v="8"/>
    <s v="SIROLO"/>
    <s v="www.hotelilparco.it"/>
    <s v="info@hotelilparco.it"/>
    <s v="CAMERE IL PARCO - SIROLO"/>
  </r>
  <r>
    <x v="3"/>
    <s v="CAMERE IN AFFITTO DA FARINA"/>
    <s v="Via Ticino T 1 D"/>
    <x v="33"/>
    <s v="CARRARA DI FANO"/>
    <m/>
    <s v="mori-2004@libero.it"/>
    <s v="CAMERE IN AFFITTO DA FARINA - FANO"/>
  </r>
  <r>
    <x v="3"/>
    <s v="CAMERE IN AFFITTO DA FARINA"/>
    <s v="via Flaminia 369 Int 3 N 369/3"/>
    <x v="33"/>
    <s v="CARRARA DI FANO"/>
    <m/>
    <s v="mori-2004@libero.it"/>
    <s v="CAMERE IN AFFITTO DA FARINA - FANO"/>
  </r>
  <r>
    <x v="3"/>
    <s v="CAMERE LA FONTE"/>
    <s v="via la fonte 15"/>
    <x v="8"/>
    <s v="SIROLO"/>
    <m/>
    <s v="camerelafonte.sirolo@alice.it"/>
    <s v="CAMERE LA FONTE - SIROLO"/>
  </r>
  <r>
    <x v="3"/>
    <s v="Camere VILLA DEI TIGLI Ristorante"/>
    <s v="Località Piaggia d'Olmo 54"/>
    <x v="21"/>
    <s v="FABRIANO"/>
    <s v="www.villadeitigli.net"/>
    <s v="info@villadeitigli.net"/>
    <s v="Camere VILLA DEI TIGLI Ristorante - FABRIANO"/>
  </r>
  <r>
    <x v="3"/>
    <s v="camere VILLA DEI TIGLI ristorante"/>
    <s v="Località Piaggia d'Olmo 54"/>
    <x v="21"/>
    <s v="FABRIANO"/>
    <s v="www.villadeitigli.net"/>
    <s v="info@villadeitigli.net"/>
    <s v="camere VILLA DEI TIGLI ristorante - FABRIANO"/>
  </r>
  <r>
    <x v="3"/>
    <s v="CAMERE ZIMMER SIROLO"/>
    <s v="via giulietti 46"/>
    <x v="8"/>
    <s v="SIROLO"/>
    <s v="www.zimmersirolo.it"/>
    <s v="info@zimmersirolo.it"/>
    <s v="CAMERE ZIMMER SIROLO - SIROLO"/>
  </r>
  <r>
    <x v="7"/>
    <s v="CAMOMILLA"/>
    <s v="via Borgo delle Rondini 11"/>
    <x v="112"/>
    <s v="frazione Trinquelli"/>
    <m/>
    <s v="angela.meetings@gmail.com"/>
    <s v="CAMOMILLA - GENGA"/>
  </r>
  <r>
    <x v="5"/>
    <s v="CAMPANELLI BED&amp;BREAKFAST"/>
    <s v="via panfili 166"/>
    <x v="47"/>
    <s v="PORTO SAN GIORGIO"/>
    <s v="www.ristorantecampanelli.it"/>
    <s v="ristorantecampanelli@virgilio.it"/>
    <s v="CAMPANELLI BED&amp;BREAKFAST - PORTO SAN GIORGIO"/>
  </r>
  <r>
    <x v="7"/>
    <s v="CAMPANELLI GIACOMO"/>
    <s v="Strada San Costanzo Torrette 62"/>
    <x v="94"/>
    <s v="SAN COSTANZO"/>
    <m/>
    <m/>
    <s v="CAMPANELLI GIACOMO - SAN COSTANZO"/>
  </r>
  <r>
    <x v="7"/>
    <s v="CAMPANELLI TIZIANO"/>
    <s v="via Torino  13"/>
    <x v="12"/>
    <m/>
    <m/>
    <m/>
    <s v="CAMPANELLI TIZIANO - SAN BENEDETTO DEL TRONTO"/>
  </r>
  <r>
    <x v="11"/>
    <s v="CAMPEGGIO CLUB RIVIERA PICENA"/>
    <m/>
    <x v="12"/>
    <s v="Zona Ragnola"/>
    <s v="ccrivierapicena.com"/>
    <m/>
    <s v="CAMPEGGIO CLUB RIVIERA PICENA - SAN BENEDETTO DEL TRONTO"/>
  </r>
  <r>
    <x v="6"/>
    <s v="CAMPEGGIO DEL POGGIO"/>
    <s v="Località Castel San Pietro 55"/>
    <x v="2"/>
    <s v="CASTEL SAN PIETRO"/>
    <m/>
    <s v="info@casadelpoggio.com"/>
    <s v="CAMPEGGIO DEL POGGIO - SAN SEVERINO MARCHE"/>
  </r>
  <r>
    <x v="6"/>
    <s v="CAMPEGGIO LA TORRE"/>
    <s v="frazione Poggio 1"/>
    <x v="10"/>
    <s v="Portonovo"/>
    <m/>
    <s v="info@baiadiportonovo.it"/>
    <s v="CAMPEGGIO LA TORRE - ANCONA"/>
  </r>
  <r>
    <x v="6"/>
    <s v="CAMPEGGIO NUMANA BLU"/>
    <s v="via Costaverde 37"/>
    <x v="9"/>
    <s v="MARCELLI DI NUMANA"/>
    <s v="www.numanablu.it"/>
    <s v="info@numanablu.it"/>
    <s v="CAMPEGGIO NUMANA BLU - NUMANA"/>
  </r>
  <r>
    <x v="6"/>
    <s v="CAMPEGGIO SPARACETO DI FALAPPA JACOPO"/>
    <m/>
    <x v="26"/>
    <m/>
    <m/>
    <s v="campingsparaceto@libero.it"/>
    <s v="CAMPEGGIO SPARACETO DI FALAPPA JACOPO - CINGOLI"/>
  </r>
  <r>
    <x v="6"/>
    <s v="CAMPEGGIO-CENTRO VACANZE VERDE LUNA"/>
    <s v="strada nazionale Adriatica Sud 251"/>
    <x v="33"/>
    <s v="FANO"/>
    <s v="www.campingverdeluna.it"/>
    <s v="info@campingverdeluna.it"/>
    <s v="CAMPEGGIO-CENTRO VACANZE VERDE LUNA - FANO"/>
  </r>
  <r>
    <x v="6"/>
    <s v="CAMPING ADRIATICO"/>
    <s v="Strada Statale Adriatica Sud 264/B"/>
    <x v="16"/>
    <s v="Marzocca"/>
    <s v="www.campeggioadriatico.com"/>
    <s v="info@campeggioadriatico.com"/>
    <s v="CAMPING ADRIATICO - SENIGALLIA"/>
  </r>
  <r>
    <x v="6"/>
    <s v="CAMPING AL LAGO"/>
    <s v="via Colpodalla 17/A"/>
    <x v="74"/>
    <s v="FIASTRA"/>
    <s v="www.bsidecamp.it"/>
    <s v="info@bsidecamp.it"/>
    <s v="CAMPING AL LAGO - FIASTRA"/>
  </r>
  <r>
    <x v="6"/>
    <s v="CAMPING CESANO"/>
    <s v="Via Ugo Foscolo 22"/>
    <x v="20"/>
    <s v="MAROTTA"/>
    <s v="www.campingclubcesano.com"/>
    <s v="info@campingclubcesano.it"/>
    <s v="CAMPING CESANO - MONDOLFO"/>
  </r>
  <r>
    <x v="4"/>
    <s v="CAMPING DEL GABBIANO"/>
    <s v="via faa' di bruno 95 95"/>
    <x v="20"/>
    <s v="MONDOLFO"/>
    <s v="info@campingdelgabbiano.it"/>
    <s v="www.campingdelgabbiano.it"/>
    <s v="CAMPING DEL GABBIANO - MONDOLFO"/>
  </r>
  <r>
    <x v="6"/>
    <s v="CAMPING ESTATE INVERNO"/>
    <s v="via Pratolungo snc"/>
    <x v="201"/>
    <s v="USSITA"/>
    <m/>
    <s v="info@verdefiastra.it"/>
    <s v="CAMPING ESTATE INVERNO - USSITA"/>
  </r>
  <r>
    <x v="6"/>
    <s v="CAMPING GABICCE MONTE"/>
    <m/>
    <x v="28"/>
    <s v="GABICCE MARE"/>
    <m/>
    <s v="maioli.giacomo@libero.it"/>
    <s v="CAMPING GABICCE MONTE - GABICCE MARE"/>
  </r>
  <r>
    <x v="12"/>
    <s v="CAMPING GEMMA"/>
    <s v="via giovanni campofiloni 32"/>
    <x v="37"/>
    <s v="FERMO"/>
    <s v="www.campinggemma.it"/>
    <s v="info@campinggemma.it"/>
    <s v="CAMPING GEMMA - FERMO"/>
  </r>
  <r>
    <x v="6"/>
    <s v="CAMPING INTERNAZIONALE"/>
    <s v="via San Michele 10"/>
    <x v="8"/>
    <s v="SIROLO"/>
    <s v="www.campinginternazionale.com"/>
    <s v="info@campinginternazionale.com"/>
    <s v="CAMPING INTERNAZIONALE - SIROLO"/>
  </r>
  <r>
    <x v="6"/>
    <s v="CAMPING LE GINESTRE DEL CATRIA"/>
    <s v="Via Fossato snc"/>
    <x v="24"/>
    <s v="loc. Chiaserna"/>
    <s v="www.camping-leginestredelcatria.it"/>
    <s v="info@camping-leginestredelcatria.it"/>
    <s v="CAMPING LE GINESTRE DEL CATRIA - CANTIANO"/>
  </r>
  <r>
    <x v="6"/>
    <s v="CAMPING MADONNA PONTE"/>
    <s v="via delle Brecce 25"/>
    <x v="33"/>
    <s v="FANO"/>
    <s v="www.campingmadonnaponte.it"/>
    <s v="info@campingmadonnaponte.it"/>
    <s v="CAMPING MADONNA PONTE - FANO"/>
  </r>
  <r>
    <x v="6"/>
    <s v="CAMPING METAURO"/>
    <s v="strada nazionale adriatica sud 241"/>
    <x v="33"/>
    <s v="FANO"/>
    <s v="www.campingmetauro.it"/>
    <s v="info@campingmetauro.it"/>
    <s v="CAMPING METAURO - FANO"/>
  </r>
  <r>
    <x v="6"/>
    <s v="CAMPING MONTESPINO"/>
    <s v="localita' Cerretana 1"/>
    <x v="45"/>
    <s v="MONTEFORTINO"/>
    <m/>
    <s v="campingmontespino@gmail.com"/>
    <s v="CAMPING MONTESPINO - MONTEFORTINO"/>
  </r>
  <r>
    <x v="6"/>
    <s v="CAMPING NATURALISTICO BELVEDERE RUFELLA"/>
    <m/>
    <x v="74"/>
    <s v="loc.Fiegni"/>
    <s v="www.campingnaturalisticofiastra.it"/>
    <s v="info@campingnaturalisticofiastra.it"/>
    <s v="CAMPING NATURALISTICO BELVEDERE RUFELLA - FIASTRA"/>
  </r>
  <r>
    <x v="6"/>
    <s v="CAMPING NORINA"/>
    <s v="via Marina Ardizia 181"/>
    <x v="69"/>
    <s v="PESARO"/>
    <s v="www.campingnorina.it"/>
    <s v="info@campingnorina.it"/>
    <s v="CAMPING NORINA - PESARO"/>
  </r>
  <r>
    <x v="6"/>
    <s v="CAMPING OASI"/>
    <s v="viale Giuseppe Romita 1"/>
    <x v="32"/>
    <s v="CUPRA MARITTIMA"/>
    <m/>
    <m/>
    <s v="CAMPING OASI - CUPRA MARITTIMA"/>
  </r>
  <r>
    <x v="6"/>
    <s v="CAMPING PODERE SEI POORTE"/>
    <s v="via Petricci 14"/>
    <x v="67"/>
    <s v="MONTECICCARDO"/>
    <s v="www.podereseipoorte.it"/>
    <s v="info@podereseipoorte.it"/>
    <s v="CAMPING PODERE SEI POORTE - MONTECICCARDO"/>
  </r>
  <r>
    <x v="12"/>
    <s v="CAMPING RIVIERA VILLAGE"/>
    <s v="via Montalbano 20"/>
    <x v="9"/>
    <s v="NUMANA"/>
    <s v="www.campingriviera.it"/>
    <s v="info@campingriviera.it"/>
    <s v="CAMPING RIVIERA VILLAGE - NUMANA"/>
  </r>
  <r>
    <x v="6"/>
    <s v="CAMPING SAN PROCOLO"/>
    <s v="Contrada Selve 3"/>
    <x v="225"/>
    <s v="MONTE VIDON COMBATTE"/>
    <m/>
    <s v="pim@sanprocolo.com"/>
    <s v="CAMPING SAN PROCOLO - MONTE VIDON COMBATTE"/>
  </r>
  <r>
    <x v="6"/>
    <s v="CAMPING SEASIDE"/>
    <s v="via dei mille 127"/>
    <x v="12"/>
    <s v="SAN BENEDETTO DEL TRONTO"/>
    <m/>
    <s v="info@seaside.it"/>
    <s v="CAMPING SEASIDE - SAN BENEDETTO DEL TRONTO"/>
  </r>
  <r>
    <x v="6"/>
    <s v="CAMPING SIBILLA"/>
    <s v="LOCALITA' TENNA SNC"/>
    <x v="45"/>
    <s v="TENNA DI MONTEFORTINO"/>
    <m/>
    <s v="anticomulino@virgilio.it"/>
    <s v="CAMPING SIBILLA - MONTEFORTINO"/>
  </r>
  <r>
    <x v="4"/>
    <s v="CAMPING STELLA MARIS DI TARSI AMEDEO"/>
    <s v="via cappellini 1 1"/>
    <x v="33"/>
    <s v="FANO"/>
    <m/>
    <m/>
    <s v="CAMPING STELLA MARIS DI TARSI AMEDEO - FANO"/>
  </r>
  <r>
    <x v="6"/>
    <s v="CAMPING TORRETTE"/>
    <s v="via Buonincontri 50"/>
    <x v="33"/>
    <s v="FANO"/>
    <m/>
    <m/>
    <s v="CAMPING TORRETTE - FANO"/>
  </r>
  <r>
    <x v="6"/>
    <s v="CAMPING VILLAGE COSTA VERDE"/>
    <s v="contrada Asola 1"/>
    <x v="148"/>
    <s v="POTENZA PICENA"/>
    <s v="www.campingcostaverde.it"/>
    <s v="info@campingcostaverde.it"/>
    <s v="CAMPING VILLAGE COSTA VERDE - POTENZA PICENA"/>
  </r>
  <r>
    <x v="0"/>
    <s v="CAMPO DEGLI OLIVI"/>
    <s v="strada ponte degli alberi 55"/>
    <x v="101"/>
    <s v="ISOLA DEL PIANO"/>
    <s v="www.campodegliolivi.it"/>
    <s v="info@campodegliolivi.it"/>
    <s v="CAMPO DEGLI OLIVI - ISOLA DEL PIANO"/>
  </r>
  <r>
    <x v="0"/>
    <s v="CAMPO DEL RIO"/>
    <s v="frazione di Rio 8"/>
    <x v="74"/>
    <m/>
    <m/>
    <s v="info@campodelrio.it"/>
    <s v="CAMPO DEL RIO - FIASTRA"/>
  </r>
  <r>
    <x v="6"/>
    <s v="CAMPO NUNZIA"/>
    <s v="strada statale Adriatica Sud 257/a"/>
    <x v="33"/>
    <m/>
    <s v="www.camponunzia.it"/>
    <s v="info@camponunzia.it"/>
    <s v="CAMPO NUNZIA - FANO"/>
  </r>
  <r>
    <x v="0"/>
    <s v="CAMPOLUNGO"/>
    <s v="contrada Migliarino 30"/>
    <x v="17"/>
    <s v="CIVITANOVA MARCHE"/>
    <m/>
    <s v="cescam@libero.it"/>
    <s v="CAMPOLUNGO - CIVITANOVA MARCHE"/>
  </r>
  <r>
    <x v="3"/>
    <s v="CAMPUGIANI GIAMMARIO"/>
    <m/>
    <x v="132"/>
    <m/>
    <m/>
    <m/>
    <s v="CAMPUGIANI GIAMMARIO - SAN GINESIO"/>
  </r>
  <r>
    <x v="3"/>
    <s v="CAMPUS L'INFINITO"/>
    <m/>
    <x v="56"/>
    <m/>
    <s v="http://www.campusinfinito.it"/>
    <s v="info@campusinfinito.it"/>
    <s v="CAMPUS L'INFINITO - RECANATI"/>
  </r>
  <r>
    <x v="0"/>
    <s v="CANDIANACCIO"/>
    <s v="via Candigliano 6"/>
    <x v="80"/>
    <s v="S. VINCENZO IN CANDIGLIANO-CANDIANACCIO"/>
    <m/>
    <s v="gjm.mochi@libero.it"/>
    <s v="CANDIANACCIO - URBANIA"/>
  </r>
  <r>
    <x v="7"/>
    <s v="CANESTRARI FRANCO"/>
    <s v="VIA NIGUSANTI e VIALE PRIMO MAGGIO 25/41"/>
    <x v="33"/>
    <s v="FANO"/>
    <m/>
    <s v="canestrari89@hotmail.it"/>
    <s v="CANESTRARI FRANCO - FANO"/>
  </r>
  <r>
    <x v="1"/>
    <s v="CANGURO"/>
    <s v="via san giacomo 52"/>
    <x v="12"/>
    <s v="SAN BENEDETTO DEL TRONTO"/>
    <s v="www.hotelcanguro.it"/>
    <s v="info@hotelcanguro.it"/>
    <s v="CANGURO - SAN BENEDETTO DEL TRONTO"/>
  </r>
  <r>
    <x v="0"/>
    <s v="CANTINA DEI MONTI &quot;Casa Sacciofa&quot;"/>
    <s v="via Sant'Anna 3"/>
    <x v="135"/>
    <m/>
    <s v="www.deimonti.com"/>
    <s v="cantina@deimonti.com"/>
    <s v="CANTINA DEI MONTI &quot;Casa Sacciofa&quot; - MONTE RINALDO"/>
  </r>
  <r>
    <x v="1"/>
    <s v="CANTINA DELL'ARTE"/>
    <s v="rua della Lupa 8"/>
    <x v="151"/>
    <s v="ASCOLI PICENO"/>
    <s v="www.cantinadellarte.it"/>
    <s v="hotel@cantinadellarte.it"/>
    <s v="CANTINA DELL'ARTE - ASCOLI PICENO"/>
  </r>
  <r>
    <x v="3"/>
    <s v="CANTINA DELL'ARTE"/>
    <s v="rua della Lupa 8"/>
    <x v="151"/>
    <m/>
    <m/>
    <s v="kiara0105@hotmail.it"/>
    <s v="CANTINA DELL'ARTE - ASCOLI PICENO"/>
  </r>
  <r>
    <x v="8"/>
    <s v="CANTINA LANGELINA"/>
    <s v="viadelle Ville 53"/>
    <x v="60"/>
    <m/>
    <s v="www.cantinalangelina.com"/>
    <s v="info@cantinalangelina.it"/>
    <s v="CANTINA LANGELINA - CORINALDO"/>
  </r>
  <r>
    <x v="4"/>
    <s v="CANTO DO MAR BAGNI ENZO"/>
    <s v="viale antonio gramsci 1 1"/>
    <x v="47"/>
    <s v="PORTO SAN GIORGIO"/>
    <s v="cantodomarpsg@libero.it"/>
    <m/>
    <s v="CANTO DO MAR BAGNI ENZO - PORTO SAN GIORGIO"/>
  </r>
  <r>
    <x v="4"/>
    <s v="CANTO DO MAR BAGNI ENZO"/>
    <s v="viale antonio gramsci 1 1"/>
    <x v="47"/>
    <s v="PORTO SAN GIORGIO"/>
    <s v="cantodomarpsg@libero.it"/>
    <m/>
    <s v="CANTO DO MAR BAGNI ENZO - PORTO SAN GIORGIO"/>
  </r>
  <r>
    <x v="4"/>
    <s v="CANTU'"/>
    <s v="viale alcide de gasperi 81 81"/>
    <x v="5"/>
    <s v="SAN BENEDETTO DEL TRONTO"/>
    <m/>
    <m/>
    <s v="CANTU' - GROTTAMMARE"/>
  </r>
  <r>
    <x v="7"/>
    <s v="CAPINERA ANTONIETTA"/>
    <s v="Contrada Crocette 11"/>
    <x v="141"/>
    <s v="MORROVALLE"/>
    <m/>
    <s v="41264@libero.it"/>
    <s v="CAPINERA ANTONIETTA - MORROVALLE"/>
  </r>
  <r>
    <x v="4"/>
    <s v="CAPITAN HARLOCK"/>
    <s v="lungomare gramsci 1 1"/>
    <x v="47"/>
    <s v="PORTO SAN GIORGIO"/>
    <m/>
    <m/>
    <s v="CAPITAN HARLOCK - PORTO SAN GIORGIO"/>
  </r>
  <r>
    <x v="1"/>
    <s v="CAPO EST"/>
    <s v="via panoramica 123"/>
    <x v="28"/>
    <s v="GABICCE MARE"/>
    <s v="www.capoest.com"/>
    <s v="capoest@capoest.com"/>
    <s v="CAPO EST - GABICCE MARE"/>
  </r>
  <r>
    <x v="3"/>
    <s v="CAPOCCIA LUIGINA"/>
    <s v="strada Monte Petrano 1"/>
    <x v="75"/>
    <s v="CAGLI"/>
    <m/>
    <m/>
    <s v="CAPOCCIA LUIGINA - CAGLI"/>
  </r>
  <r>
    <x v="7"/>
    <s v="CAPODAGLI ANNA"/>
    <s v="Via Gavardini 9"/>
    <x v="69"/>
    <s v="PESARO"/>
    <m/>
    <s v="annacapo49@libero.it"/>
    <s v="CAPODAGLI ANNA - PESARO"/>
  </r>
  <r>
    <x v="4"/>
    <s v="CAPOLINEA"/>
    <s v="Viale IV Novembre 39"/>
    <x v="17"/>
    <s v="CIVITANOVA MARCHE"/>
    <s v="mizio0503@libero.it"/>
    <m/>
    <s v="CAPOLINEA - CIVITANOVA MARCHE"/>
  </r>
  <r>
    <x v="7"/>
    <s v="CAPOLLI GIAMPIETRO - APP.TO VIA FANFULLA"/>
    <s v="Via Fanfulla da Lodi 21"/>
    <x v="12"/>
    <s v="SAN BENEDETTO DEL TRONTO"/>
    <m/>
    <s v="hferrara@katamail.com"/>
    <s v="CAPOLLI GIAMPIETRO - APP.TO VIA FANFULLA - SAN BENEDETTO DEL TRONTO"/>
  </r>
  <r>
    <x v="7"/>
    <s v="CAPOLLI GIAMPIETRO - APP.TO VIA FOSSE ARDEATINE"/>
    <s v="Via Fosse Ardeatine 8"/>
    <x v="12"/>
    <s v="SAN BENEDETTO DEL TRONTO"/>
    <m/>
    <s v="hferrara@katamail.com"/>
    <s v="CAPOLLI GIAMPIETRO - APP.TO VIA FOSSE ARDEATINE - SAN BENEDETTO DEL TRONTO"/>
  </r>
  <r>
    <x v="7"/>
    <s v="CAPPELLETTI ELSA"/>
    <s v="Lungomare Alighieri 14"/>
    <x v="16"/>
    <s v="SENIGALLIA"/>
    <m/>
    <s v="affittiestivi@belenchia.com"/>
    <s v="CAPPELLETTI ELSA - SENIGALLIA"/>
  </r>
  <r>
    <x v="1"/>
    <s v="CAPRETTI"/>
    <s v="via Francesco Ferrucci 14"/>
    <x v="12"/>
    <s v="SAN BENEDETTO DEL TRONTO"/>
    <s v="www.hotelcapretti.it"/>
    <s v="Info@hotelcapretti.it"/>
    <s v="CAPRETTI - SAN BENEDETTO DEL TRONTO"/>
  </r>
  <r>
    <x v="1"/>
    <s v="CAPRI"/>
    <s v="viale della repubblica 1"/>
    <x v="28"/>
    <s v="GABICCE MARE"/>
    <s v="www.gabiccemare.com/capri"/>
    <s v="capri@gabiccemare.com"/>
    <s v="CAPRI - GABICCE MARE"/>
  </r>
  <r>
    <x v="1"/>
    <s v="CAPRICE"/>
    <s v="via Aprutina 43"/>
    <x v="133"/>
    <s v="ALTIDONA"/>
    <m/>
    <m/>
    <s v="CAPRICE - ALTIDONA"/>
  </r>
  <r>
    <x v="4"/>
    <s v="CARACOLES"/>
    <s v="Lungomare Piermanni 3"/>
    <x v="17"/>
    <s v="CIVITANOVA MARCHE"/>
    <m/>
    <m/>
    <s v="CARACOLES - CIVITANOVA MARCHE"/>
  </r>
  <r>
    <x v="1"/>
    <s v="CARAIBI"/>
    <s v="Prima Strada 23"/>
    <x v="16"/>
    <s v="CESANO"/>
    <s v="www.caraibihotel.it"/>
    <s v="info@caraibihotel.it"/>
    <s v="CARAIBI - SENIGALLIA"/>
  </r>
  <r>
    <x v="1"/>
    <s v="CARAIBI"/>
    <s v="Lungomare Alcide De Gasperi 172"/>
    <x v="5"/>
    <s v="GROTTAMMARE"/>
    <s v="www.hotelcaraibi.it"/>
    <s v="info@hotelcaraibi.it"/>
    <s v="CARAIBI - GROTTAMMARE"/>
  </r>
  <r>
    <x v="7"/>
    <s v="CARASSAI GIANCARLO"/>
    <s v="Piazza Doumet 33"/>
    <x v="148"/>
    <s v="POTENZA PICENA"/>
    <m/>
    <m/>
    <s v="CARASSAI GIANCARLO - POTENZA PICENA"/>
  </r>
  <r>
    <x v="1"/>
    <s v="CARAVAN"/>
    <s v="viale monfalcone 58"/>
    <x v="69"/>
    <s v="PESARO"/>
    <s v="www.hotelcaravan.it"/>
    <s v="info@hotelcaravan.it"/>
    <s v="CARAVAN - PESARO"/>
  </r>
  <r>
    <x v="0"/>
    <s v="CARAVANSERRAGLIO"/>
    <s v="via Colli 10"/>
    <x v="93"/>
    <s v="SERRAPETRONA"/>
    <s v="www.caravanserraglio.com"/>
    <s v="info@caravanserraglio.com"/>
    <s v="CARAVANSERRAGLIO - SERRAPETRONA"/>
  </r>
  <r>
    <x v="3"/>
    <s v="CARAVANSERRAGLIO L'ANTICO MILIARIO"/>
    <s v="c.da Macchie  10/11"/>
    <x v="132"/>
    <m/>
    <m/>
    <s v="filipacelli@libero.it"/>
    <s v="CARAVANSERRAGLIO L'ANTICO MILIARIO - SAN GINESIO"/>
  </r>
  <r>
    <x v="1"/>
    <s v="CARAVEL"/>
    <s v="via Faa' di Bruno 135"/>
    <x v="33"/>
    <s v="Ponte Sasso di Fano"/>
    <s v="www.hotel-caravel.it"/>
    <s v="info@hotel-caravel.it"/>
    <s v="CARAVEL - FANO"/>
  </r>
  <r>
    <x v="7"/>
    <s v="CARBONE DANIELA"/>
    <s v="via Ancaria 30"/>
    <x v="151"/>
    <s v="Ascoli Piceno"/>
    <s v="www.atticodancaria.it"/>
    <s v="carboned@libero.it"/>
    <s v="CARBONE DANIELA - ASCOLI PICENO"/>
  </r>
  <r>
    <x v="0"/>
    <s v="CARDARELLI MIRYAM"/>
    <s v="contrada appezzana 24"/>
    <x v="27"/>
    <s v="LORO PICENO"/>
    <s v="italianartandfood.it"/>
    <s v="guidaartclub@gmail.com"/>
    <s v="CARDARELLI MIRYAM - LORO PICENO"/>
  </r>
  <r>
    <x v="0"/>
    <s v="CARDUCCI GIUSEPPE"/>
    <s v="contrada Barchetta 1"/>
    <x v="71"/>
    <s v="MONTE SAN MARTINO"/>
    <m/>
    <m/>
    <s v="CARDUCCI GIUSEPPE - MONTE SAN MARTINO"/>
  </r>
  <r>
    <x v="4"/>
    <s v="CARIBE SNC"/>
    <m/>
    <x v="163"/>
    <m/>
    <m/>
    <m/>
    <s v="CARIBE SNC - PORTO SANT'ELPIDIO"/>
  </r>
  <r>
    <x v="4"/>
    <s v="CARIBEAN"/>
    <s v="Viale IV Novembre 40"/>
    <x v="17"/>
    <s v="CIVITANOVA MARCHE"/>
    <s v="caribean@alice.it"/>
    <m/>
    <s v="CARIBEAN - CIVITANOVA MARCHE"/>
  </r>
  <r>
    <x v="7"/>
    <s v="CARICATO GIOVANNI"/>
    <s v="via Marina 9"/>
    <x v="28"/>
    <m/>
    <m/>
    <m/>
    <s v="CARICATO GIOVANNI - GABICCE MARE"/>
  </r>
  <r>
    <x v="0"/>
    <s v="CARINCONE DI HEEMAN NANJA LISENKA"/>
    <s v="frazione Montaiate 52"/>
    <x v="91"/>
    <s v="frazione Montaiate"/>
    <s v="www.carincone.com"/>
    <s v="info@carincone.com"/>
    <s v="CARINCONE DI HEEMAN NANJA LISENKA - PERGOLA"/>
  </r>
  <r>
    <x v="7"/>
    <s v="CARLETTI GIOVANNA"/>
    <s v="contrada Massignano 1"/>
    <x v="128"/>
    <m/>
    <m/>
    <m/>
    <s v="CARLETTI GIOVANNA - GUALDO"/>
  </r>
  <r>
    <x v="7"/>
    <s v="CARLETTI GIOVANNA"/>
    <s v="via Dante Alighieri 1"/>
    <x v="128"/>
    <m/>
    <m/>
    <m/>
    <s v="CARLETTI GIOVANNA - GUALDO"/>
  </r>
  <r>
    <x v="4"/>
    <s v="CARLO E DOMENICO"/>
    <m/>
    <x v="23"/>
    <m/>
    <m/>
    <m/>
    <s v="CARLO E DOMENICO - PORTO RECANATI"/>
  </r>
  <r>
    <x v="7"/>
    <s v="CARNALI FRANCESCO"/>
    <s v="Lungomare N. Sauro 5"/>
    <x v="69"/>
    <s v="PESARO"/>
    <m/>
    <s v="info@immobiliaretriestepesaro.it"/>
    <s v="CARNALI FRANCESCO - PESARO"/>
  </r>
  <r>
    <x v="1"/>
    <s v="CARNEVALI"/>
    <s v="frazione Maddalena 28"/>
    <x v="88"/>
    <s v="MUCCIA"/>
    <s v="www.motelristorantecarnevali.com"/>
    <s v="info@motelristorantecarnevali.com"/>
    <s v="CARNEVALI - MUCCIA"/>
  </r>
  <r>
    <x v="7"/>
    <s v="CAROBI PAOLA"/>
    <s v="viale Carducci 252/c"/>
    <x v="20"/>
    <m/>
    <m/>
    <m/>
    <s v="CAROBI PAOLA - MONDOLFO"/>
  </r>
  <r>
    <x v="7"/>
    <s v="CARONTI EMANUELA"/>
    <s v="via Andrea Costa 31"/>
    <x v="20"/>
    <m/>
    <m/>
    <s v="info.casavacanzebc@gmail.com"/>
    <s v="CARONTI EMANUELA - MONDOLFO"/>
  </r>
  <r>
    <x v="7"/>
    <s v="CARRUTHERS JOCELJN JUNE  MITFORD"/>
    <s v="loc. Aliforni sn"/>
    <x v="2"/>
    <s v="ALIFORNI"/>
    <m/>
    <m/>
    <s v="CARRUTHERS JOCELJN JUNE  MITFORD - SAN SEVERINO MARCHE"/>
  </r>
  <r>
    <x v="9"/>
    <s v="CASA ACCOGLIENZA MALATI E PELLEGRINI"/>
    <s v="piazza della madonna 1"/>
    <x v="15"/>
    <s v="LORETO"/>
    <s v="www.santuarioloreto.it"/>
    <s v="casaaccoglienza@delegazioneloreto.it"/>
    <s v="CASA ACCOGLIENZA MALATI E PELLEGRINI - LORETO"/>
  </r>
  <r>
    <x v="9"/>
    <s v="CASA ACCOGLIENZA PER PELLEGRINI"/>
    <s v="via Donato Bramante 121"/>
    <x v="15"/>
    <s v="LORETO"/>
    <s v="www.villaredemptorismater.it"/>
    <s v="villaredmater@gmail.com"/>
    <s v="CASA ACCOGLIENZA PER PELLEGRINI - LORETO"/>
  </r>
  <r>
    <x v="9"/>
    <s v="CASA ACCOGLIENZA SACRA FAMIGLIA DI NAZARETH"/>
    <s v="via cesare maccari 7"/>
    <x v="15"/>
    <s v="LORETO"/>
    <m/>
    <s v="c.sfn@tiscali.it"/>
    <s v="CASA ACCOGLIENZA SACRA FAMIGLIA DI NAZARETH - LORETO"/>
  </r>
  <r>
    <x v="9"/>
    <s v="CASA ACCOGLIENZA SAN GIUSEPPE"/>
    <s v="via San Francesco 44"/>
    <x v="15"/>
    <s v="LORETO"/>
    <s v="www.casaaccoglienzasangiuseppe.it"/>
    <s v="acc.sangiuseppe@libero.it"/>
    <s v="CASA ACCOGLIENZA SAN GIUSEPPE - LORETO"/>
  </r>
  <r>
    <x v="5"/>
    <s v="CASA ADRIATICA"/>
    <s v="Contrada Fonte Vecchia 22"/>
    <x v="14"/>
    <s v="MONTEPRANDONE"/>
    <s v="casaadriatica.nl"/>
    <s v="casaadriatica@gmail.com"/>
    <s v="CASA ADRIATICA - MONTEPRANDONE"/>
  </r>
  <r>
    <x v="5"/>
    <s v="CASA ALEXIS B&amp;B AND WEDDING LOCATION"/>
    <s v="Via San Giacomo della Marca,11 11"/>
    <x v="32"/>
    <s v="CUPRA MARITTIMA"/>
    <s v="www.casalexis.it"/>
    <s v="info@casalexis.it"/>
    <s v="CASA ALEXIS B&amp;B AND WEDDING LOCATION - CUPRA MARITTIMA"/>
  </r>
  <r>
    <x v="5"/>
    <s v="CASA AMARENA"/>
    <s v="localita' piecollina 15"/>
    <x v="114"/>
    <s v="PIEVE TORINA"/>
    <s v="www.casamarena.it"/>
    <s v="casaamarena@libero.it"/>
    <s v="CASA AMARENA - PIEVE TORINA"/>
  </r>
  <r>
    <x v="5"/>
    <s v="CASA ANNA MARIA"/>
    <s v="Via Mar Baltico 55"/>
    <x v="163"/>
    <s v="PORTO SANT'ELPIDIO"/>
    <m/>
    <s v="annamarialiberti52@gmail.com"/>
    <s v="CASA ANNA MARIA - PORTO SANT'ELPIDIO"/>
  </r>
  <r>
    <x v="5"/>
    <s v="CASA ANTONELLA"/>
    <s v="via vittorio alfieri 22"/>
    <x v="12"/>
    <s v="SAN BENEDETTO DEL TRONTO"/>
    <m/>
    <m/>
    <s v="CASA ANTONELLA - SAN BENEDETTO DEL TRONTO"/>
  </r>
  <r>
    <x v="3"/>
    <s v="CASA AURORA"/>
    <s v="via S.N.A.S. 102/a"/>
    <x v="33"/>
    <s v="METAURILIA"/>
    <s v="www.casaaurorafano.it"/>
    <s v="casa_aurora@hotmail.it"/>
    <s v="CASA AURORA - FANO"/>
  </r>
  <r>
    <x v="13"/>
    <s v="CASA AURORA"/>
    <s v="via Pezzole 9"/>
    <x v="161"/>
    <s v="CUPRAMONTANA"/>
    <s v="www.casa-aurora.it"/>
    <s v="info@casa-aurora.it"/>
    <s v="CASA AURORA - CUPRAMONTANA"/>
  </r>
  <r>
    <x v="8"/>
    <s v="CASA AZZURRA"/>
    <s v="contrada grazie fiastra 67 B"/>
    <x v="27"/>
    <s v="LORO PICENO"/>
    <s v="www.casaazzurra.it"/>
    <s v="info@casaazzurra.it"/>
    <s v="CASA AZZURRA - LORO PICENO"/>
  </r>
  <r>
    <x v="5"/>
    <s v="CASA BATA"/>
    <s v="MARIO BATA' 22"/>
    <x v="0"/>
    <s v="Macerata"/>
    <m/>
    <s v="infocasabata@gmail.com"/>
    <s v="CASA BATA - MACERATA"/>
  </r>
  <r>
    <x v="7"/>
    <s v="CASA BENESSERE"/>
    <s v="località Ugliano 130"/>
    <x v="2"/>
    <s v="UGLIANO"/>
    <m/>
    <m/>
    <s v="CASA BENESSERE - SAN SEVERINO MARCHE"/>
  </r>
  <r>
    <x v="7"/>
    <s v="CASA BORGACCIO"/>
    <s v="via Buonarotti 11/B"/>
    <x v="195"/>
    <s v="Borgaccio di Saltara"/>
    <s v="www.casaborgaccio.it"/>
    <s v="info@casaborgaccio.it"/>
    <s v="CASA BORGACCIO - SALTARA"/>
  </r>
  <r>
    <x v="7"/>
    <s v="CASA BORGACCIO"/>
    <s v="via Buonarotti 11/c"/>
    <x v="195"/>
    <s v="Borgaccio di Saltara"/>
    <s v="www.casaborgaccio.it"/>
    <s v="info@casaborgaccio.it"/>
    <s v="CASA BORGACCIO - SALTARA"/>
  </r>
  <r>
    <x v="7"/>
    <s v="CASA BORGACCIO"/>
    <s v=" Borgaccio di Saltara via Buonarotti 13"/>
    <x v="195"/>
    <s v="Borgaccio di Saltra"/>
    <s v="www.casaborgaccio.it"/>
    <s v="casaborgaccio@gmail.com"/>
    <s v="CASA BORGACCIO - SALTARA"/>
  </r>
  <r>
    <x v="8"/>
    <s v="CASA BRACCI"/>
    <s v="via Ca' Boso 2"/>
    <x v="184"/>
    <s v="PIETRARUBBIA"/>
    <s v="www.casabracci.com"/>
    <s v="michele.bracci.657@agenzie.realemutua.it"/>
    <s v="CASA BRACCI - PIETRARUBBIA"/>
  </r>
  <r>
    <x v="3"/>
    <s v="CASA CANTALUPO"/>
    <s v="via Cantalupo 9"/>
    <x v="161"/>
    <m/>
    <s v="www.casa-cantalupo.com"/>
    <s v="casacantalupo@aol.com"/>
    <s v="CASA CANTALUPO - CUPRAMONTANA"/>
  </r>
  <r>
    <x v="3"/>
    <s v="CASA CAROTONDO DI FOULKES VANESSA TRINA"/>
    <s v="c.da Cerreto 47"/>
    <x v="132"/>
    <m/>
    <s v="http://www.carotondo.com"/>
    <s v="info@carotondo.com"/>
    <s v="CASA CAROTONDO DI FOULKES VANESSA TRINA - SAN GINESIO"/>
  </r>
  <r>
    <x v="0"/>
    <s v="CASA CENTANNI"/>
    <s v="Contrada Aso 146"/>
    <x v="120"/>
    <s v="MONTEFIORE DELL' ASO"/>
    <s v="www.casacentanni.it"/>
    <s v="info@vinicentanni.it"/>
    <s v="CASA CENTANNI - MONTEFIORE DELL'ASO"/>
  </r>
  <r>
    <x v="5"/>
    <s v="CASA CORNETO"/>
    <s v="Via Massimo d'Azeglio 40"/>
    <x v="0"/>
    <s v="MACERATA"/>
    <m/>
    <s v="elveziaalgi@gmail.com"/>
    <s v="CASA CORNETO - MACERATA"/>
  </r>
  <r>
    <x v="7"/>
    <s v="CASA DA BIANCA"/>
    <s v="Via Costa San Giovanni 11"/>
    <x v="60"/>
    <s v="CORINALDO"/>
    <m/>
    <s v="elemov@libero.it"/>
    <s v="CASA DA BIANCA - CORINALDO"/>
  </r>
  <r>
    <x v="5"/>
    <s v="CASA D'AMBRA BED &amp; BREAKFAST"/>
    <s v="contrada Pescara 10"/>
    <x v="104"/>
    <m/>
    <m/>
    <s v="giancarlo@casadambra.org"/>
    <s v="CASA D'AMBRA BED &amp; BREAKFAST - OSTRA VETERE"/>
  </r>
  <r>
    <x v="3"/>
    <s v="CASA DE CAMPO"/>
    <s v="via dei monti 208 1"/>
    <x v="34"/>
    <s v="MONTEGRANARO"/>
    <m/>
    <s v="acasadecampo1@gmail.com"/>
    <s v="CASA DE CAMPO - MONTEGRANARO"/>
  </r>
  <r>
    <x v="4"/>
    <s v="CASA DE MAR"/>
    <s v="Tre Camini 24"/>
    <x v="55"/>
    <s v="Tre Camini"/>
    <s v="info@casademar.it"/>
    <s v="www.casademar.it"/>
    <s v="CASA DE MAR - CAMPOFILONE"/>
  </r>
  <r>
    <x v="5"/>
    <s v="CASA DE NONNA PEPPA"/>
    <s v="Contrada Botontano 22"/>
    <x v="26"/>
    <s v="CINGOLI"/>
    <m/>
    <m/>
    <s v="CASA DE NONNA PEPPA - CINGOLI"/>
  </r>
  <r>
    <x v="0"/>
    <s v="CASA DEGLI ARCHI"/>
    <s v="contrada madonna manu' 42"/>
    <x v="29"/>
    <s v="LAPEDONA"/>
    <s v="www.agriturismocasadegliarchi.com"/>
    <s v="info@agriturismocasadegliarchi.com"/>
    <s v="CASA DEGLI ARCHI - LAPEDONA"/>
  </r>
  <r>
    <x v="7"/>
    <s v="CASA dei CARLI"/>
    <s v="via Matteotti 1"/>
    <x v="137"/>
    <m/>
    <m/>
    <s v="cristina.carbini@gmail.com"/>
    <s v="CASA dei CARLI - OSTRA"/>
  </r>
  <r>
    <x v="5"/>
    <s v="CASA DEI PESCI"/>
    <s v="vicolo pineta 7"/>
    <x v="5"/>
    <s v="GROTTAMMARE"/>
    <m/>
    <s v="vicolopineta@gmail.com"/>
    <s v="CASA DEI PESCI - GROTTAMMARE"/>
  </r>
  <r>
    <x v="0"/>
    <s v="CASA DEIMAR"/>
    <s v="vocabolo Cecca 248"/>
    <x v="145"/>
    <m/>
    <s v="www.casadeimar.it"/>
    <s v="info@casadeimar.it"/>
    <s v="CASA DEIMAR - MATELICA"/>
  </r>
  <r>
    <x v="3"/>
    <s v="CASA DEL DARDA"/>
    <m/>
    <x v="10"/>
    <s v="ANCONA"/>
    <m/>
    <s v="info@darda.it"/>
    <s v="CASA DEL DARDA - ANCONA"/>
  </r>
  <r>
    <x v="3"/>
    <s v="CASA DEL MARE"/>
    <s v="via Cantiere 7"/>
    <x v="5"/>
    <s v="GROTTAMMARE"/>
    <m/>
    <s v="vicolopineta@gmail.com"/>
    <s v="CASA DEL MARE - GROTTAMMARE"/>
  </r>
  <r>
    <x v="0"/>
    <s v="CASA DEL SOLE"/>
    <s v="via Abbadia 20"/>
    <x v="200"/>
    <s v="MONTELABBATE"/>
    <s v="www.agriturismocasadelsole.it"/>
    <s v="info@agriturismocasadelsole.it"/>
    <s v="CASA DEL SOLE - MONTELABBATE"/>
  </r>
  <r>
    <x v="9"/>
    <s v="CASA DELLA GIOVENTU'"/>
    <s v="via ugo betti 39"/>
    <x v="42"/>
    <s v="CAMERINO"/>
    <m/>
    <s v="cdgorac@yahoo.it"/>
    <s v="CASA DELLA GIOVENTU' - CAMERINO"/>
  </r>
  <r>
    <x v="7"/>
    <s v="CASA DELLE ARTI"/>
    <s v="contrada Marchesi 23"/>
    <x v="128"/>
    <m/>
    <m/>
    <s v="agriart@tiscali.it"/>
    <s v="CASA DELLE ARTI - GUALDO"/>
  </r>
  <r>
    <x v="3"/>
    <s v="CASA DELLE ROSE"/>
    <m/>
    <x v="31"/>
    <s v="APECCHIO"/>
    <s v="www.valguerriera.it"/>
    <s v="info@valguerriera.it"/>
    <s v="CASA DELLE ROSE - APECCHIO"/>
  </r>
  <r>
    <x v="5"/>
    <s v="CASA DELLE VIOLE"/>
    <s v="Via Mascagni 74"/>
    <x v="69"/>
    <s v="PESARO"/>
    <m/>
    <s v="ilaria.vichi@gmail.com"/>
    <s v="CASA DELLE VIOLE - PESARO"/>
  </r>
  <r>
    <x v="9"/>
    <s v="CASA DI ACCOGLIENZA DOMUS PACIS"/>
    <s v="via guglielmo marconi 2"/>
    <x v="15"/>
    <s v="LORETO"/>
    <m/>
    <m/>
    <s v="CASA DI ACCOGLIENZA DOMUS PACIS - LORETO"/>
  </r>
  <r>
    <x v="9"/>
    <s v="CASA DI ACCOGLIENZA SAN SERAFINO"/>
    <s v="via Asdrubali 102"/>
    <x v="15"/>
    <m/>
    <s v="http://www.casaperferieloreto.it"/>
    <s v="info@aler.com"/>
    <s v="CASA DI ACCOGLIENZA SAN SERAFINO - LORETO"/>
  </r>
  <r>
    <x v="9"/>
    <s v="CASA DI ALBENGA CONG. ORSOLINE DI GESU'"/>
    <s v="via montereale vecchio 96"/>
    <x v="15"/>
    <s v="LORETO"/>
    <m/>
    <s v="orsoline.loreto@libero.it"/>
    <s v="CASA DI ALBENGA CONG. ORSOLINE DI GESU' - LORETO"/>
  </r>
  <r>
    <x v="5"/>
    <s v="CASA DI ALE"/>
    <s v="Viale Regina Margherita 165"/>
    <x v="148"/>
    <s v="POTENZA PICENA"/>
    <m/>
    <s v="antoniocantoro61@gmail.com"/>
    <s v="CASA DI ALE - POTENZA PICENA"/>
  </r>
  <r>
    <x v="7"/>
    <s v="CASA DI CHIARA"/>
    <s v="Contrada Crocette 10"/>
    <x v="170"/>
    <s v="MONTECOSARO"/>
    <m/>
    <m/>
    <s v="CASA DI CHIARA - MONTECOSARO"/>
  </r>
  <r>
    <x v="8"/>
    <s v="CASA DI GINO"/>
    <s v="contrada san pietro 101"/>
    <x v="73"/>
    <s v="MASSIGNANO"/>
    <s v="www.casadigino.it"/>
    <s v="info@casadigino.it"/>
    <s v="CASA DI GINO - MASSIGNANO"/>
  </r>
  <r>
    <x v="7"/>
    <s v="CASA DI MAX"/>
    <s v="via Alfredo Panzini 25"/>
    <x v="20"/>
    <s v="Marotta"/>
    <s v="www.casadimax.jimdo.com"/>
    <s v="casa-di-max@libero.it"/>
    <s v="CASA DI MAX - MONDOLFO"/>
  </r>
  <r>
    <x v="8"/>
    <s v="CASA DI MI"/>
    <s v="via della Fonte snc"/>
    <x v="125"/>
    <m/>
    <m/>
    <s v="info@casadimi.it"/>
    <s v="CASA DI MI - SERRUNGARINA"/>
  </r>
  <r>
    <x v="5"/>
    <s v="CASA DI PIETRA"/>
    <m/>
    <x v="45"/>
    <m/>
    <m/>
    <s v="casadipietra.eu@gmail.com"/>
    <s v="CASA DI PIETRA - MONTEFORTINO"/>
  </r>
  <r>
    <x v="9"/>
    <s v="CASA DI SOGGIORNO ENAM - CONVITTO VITTORIO COLONNA"/>
    <s v="via Montegrappa 19"/>
    <x v="33"/>
    <s v="FANO"/>
    <m/>
    <m/>
    <s v="CASA DI SOGGIORNO ENAM - CONVITTO VITTORIO COLONNA - FANO"/>
  </r>
  <r>
    <x v="9"/>
    <s v="CASA DI SPIRITUALITA' VILLA SAN BIAGIO"/>
    <s v="Villa San Biagio 17"/>
    <x v="33"/>
    <m/>
    <m/>
    <s v="villa@sanbiagiofano.it"/>
    <s v="CASA DI SPIRITUALITA' VILLA SAN BIAGIO - FANO"/>
  </r>
  <r>
    <x v="7"/>
    <s v="CASA DI VENTUROLI"/>
    <s v="strada dei Venturoli 6"/>
    <x v="60"/>
    <m/>
    <m/>
    <m/>
    <s v="CASA DI VENTUROLI - CORINALDO"/>
  </r>
  <r>
    <x v="5"/>
    <s v="CASA DISMA URBINO"/>
    <s v="VIA BOCCA TRABARIA SUD 37"/>
    <x v="1"/>
    <s v="URBINO"/>
    <m/>
    <s v="brunodeneb@gmail.com"/>
    <s v="CASA DISMA URBINO - URBINO"/>
  </r>
  <r>
    <x v="3"/>
    <s v="CASA ED APPARTAMENTI PER VACANZE VALCERASA SAS"/>
    <s v="contrada Chiaravalle 39"/>
    <x v="139"/>
    <m/>
    <m/>
    <m/>
    <s v="CASA ED APPARTAMENTI PER VACANZE VALCERASA SAS - TREIA"/>
  </r>
  <r>
    <x v="5"/>
    <s v="CASA ELVEZIA B&amp;B"/>
    <s v="MARTIRI DI BELFIORE  28"/>
    <x v="111"/>
    <s v="CASETTE D'ETE"/>
    <m/>
    <s v="famigliadenardis@yahoo.it"/>
    <s v="CASA ELVEZIA B&amp;B - SANT'ELPIDIO A MARE"/>
  </r>
  <r>
    <x v="9"/>
    <s v="CASA FAMIGLIA DI NAZARETH"/>
    <s v="via Montorsetto 7"/>
    <x v="15"/>
    <s v="MONTORSO"/>
    <s v="www.casafamigliadinazareth.it"/>
    <s v="segreteria@famigliadinazareth.it"/>
    <s v="CASA FAMIGLIA DI NAZARETH - LORETO"/>
  </r>
  <r>
    <x v="7"/>
    <s v="CASA FIORENZUOLA"/>
    <s v="via Tombolina 3,7"/>
    <x v="211"/>
    <m/>
    <m/>
    <s v="giungagreg@gmail.com"/>
    <s v="CASA FIORENZUOLA - MONTEMAGGIORE AL METAURO"/>
  </r>
  <r>
    <x v="7"/>
    <s v="CASA GEMMA"/>
    <s v="cotrada San Lorenzo 24"/>
    <x v="139"/>
    <m/>
    <m/>
    <s v="ang.manzoni@gmail.com"/>
    <s v="CASA GEMMA - TREIA"/>
  </r>
  <r>
    <x v="7"/>
    <s v="CASA GHIBELLINA"/>
    <s v="via Costa 2"/>
    <x v="183"/>
    <m/>
    <m/>
    <s v="cecilig@yahoo.com"/>
    <s v="CASA GHIBELLINA - CASTELBELLINO"/>
  </r>
  <r>
    <x v="8"/>
    <s v="CASA GINEVRI"/>
    <s v="via Valdiveltrica  14"/>
    <x v="39"/>
    <m/>
    <s v="www.cooperativaroveresca.it"/>
    <s v="info@villaginevri.it"/>
    <s v="CASA GINEVRI - MONDAVIO"/>
  </r>
  <r>
    <x v="9"/>
    <s v="CASA GIOIOSA"/>
    <m/>
    <x v="153"/>
    <m/>
    <m/>
    <m/>
    <s v="CASA GIOIOSA - MONTEMONACO"/>
  </r>
  <r>
    <x v="0"/>
    <s v="CASA GRIMALDI"/>
    <s v="loc. Vocabolo Grimaldi  20"/>
    <x v="145"/>
    <s v="Vocabolo Grimaldi"/>
    <s v="www.casagrimaldi.it"/>
    <s v="casagrimaldimatelica@gmail.com"/>
    <s v="CASA GRIMALDI - MATELICA"/>
  </r>
  <r>
    <x v="7"/>
    <s v="CASA IRIS"/>
    <m/>
    <x v="51"/>
    <m/>
    <m/>
    <s v="diegomorellidm@libero.it"/>
    <s v="CASA IRIS - PETRITOLI"/>
  </r>
  <r>
    <x v="5"/>
    <s v="CASA JOLANDA"/>
    <s v="loc.Caminate 34/a"/>
    <x v="33"/>
    <s v="CAMINATE"/>
    <m/>
    <s v="casajolandafano@gmail.com"/>
    <s v="CASA JOLANDA - FANO"/>
  </r>
  <r>
    <x v="7"/>
    <s v="CASA LA CIVETTA E FALCO"/>
    <s v="via Montebruciato 7"/>
    <x v="125"/>
    <m/>
    <s v="www.ferien-in-italien-marken.de"/>
    <s v="fewo@kauzundfalke.com"/>
    <s v="CASA LA CIVETTA E FALCO - SERRUNGARINA"/>
  </r>
  <r>
    <x v="5"/>
    <s v="CASA LEONI B&amp;B"/>
    <s v="CORSO GIANNELLI  31"/>
    <x v="226"/>
    <m/>
    <s v="casaleonirooms.wix.com/bedandbreakfasturbis"/>
    <s v="casaleoni.rooms@gmail.com"/>
    <s v="CASA LEONI B&amp;B - URBISAGLIA"/>
  </r>
  <r>
    <x v="7"/>
    <s v="CASA LUCCIOLA di ZOE ANDERSON"/>
    <s v="fonte Fanarda 8"/>
    <x v="206"/>
    <s v="MOGLIANO"/>
    <m/>
    <s v="zoea@bluebottle.com"/>
    <s v="CASA LUCCIOLA di ZOE ANDERSON - MOGLIANO"/>
  </r>
  <r>
    <x v="0"/>
    <s v="CASA MAMELI"/>
    <s v="via Paladue 38"/>
    <x v="74"/>
    <s v="FIASTRA"/>
    <m/>
    <m/>
    <s v="CASA MAMELI - FIASTRA"/>
  </r>
  <r>
    <x v="3"/>
    <s v="CASA MANCIANO"/>
    <s v="Via Manciano 38"/>
    <x v="161"/>
    <s v="CUPRAMONTANA"/>
    <m/>
    <s v="info@casa-manciano.de"/>
    <s v="CASA MANCIANO - CUPRAMONTANA"/>
  </r>
  <r>
    <x v="7"/>
    <s v="CASA MANZI"/>
    <m/>
    <x v="141"/>
    <m/>
    <m/>
    <s v="raniero.manzi@libero.it"/>
    <s v="CASA MANZI - MORROVALLE"/>
  </r>
  <r>
    <x v="3"/>
    <s v="CASA MARCUCCI"/>
    <s v="via Roma 9"/>
    <x v="200"/>
    <s v="MONTELABBATE"/>
    <m/>
    <m/>
    <s v="CASA MARCUCCI - MONTELABBATE"/>
  </r>
  <r>
    <x v="5"/>
    <s v="CASA MARGHERITA"/>
    <s v="AMENDOLA  25"/>
    <x v="16"/>
    <s v="SENIGALLIA"/>
    <m/>
    <s v="catipernini@gmail.com"/>
    <s v="CASA MARGHERITA - SENIGALLIA"/>
  </r>
  <r>
    <x v="7"/>
    <s v="CASA MARIAA"/>
    <s v="Vicolo Pino 9"/>
    <x v="75"/>
    <s v="CAGLI"/>
    <s v="www.casamariaa.it"/>
    <s v="contact@casamariaa.it"/>
    <s v="CASA MARIAA - CAGLI"/>
  </r>
  <r>
    <x v="5"/>
    <s v="CASA MATILDA"/>
    <s v="via Luigi Mancini 10"/>
    <x v="4"/>
    <s v="JESI"/>
    <m/>
    <s v="casamatildajesi@hotmail.it"/>
    <s v="CASA MATILDA - JESI"/>
  </r>
  <r>
    <x v="8"/>
    <s v="CASA MC QUEENS DI ERCOLE MORONI"/>
    <s v="via Gavigliano 11"/>
    <x v="13"/>
    <s v="BELVEDERE OSTRENSE"/>
    <s v="www.casaercolemoroni.com"/>
    <s v="info@ercolemoroni.com"/>
    <s v="CASA MC QUEENS DI ERCOLE MORONI - BELVEDERE OSTRENSE"/>
  </r>
  <r>
    <x v="0"/>
    <s v="CASA MERLARO"/>
    <s v="strada Merlaro 3,/3a"/>
    <x v="39"/>
    <s v="MONDAVIO"/>
    <s v="www.casamerlaro.it"/>
    <s v="info@casamerlaro.it"/>
    <s v="CASA MERLARO - MONDAVIO"/>
  </r>
  <r>
    <x v="3"/>
    <s v="CASA MIA di ATTRICE ANDREA"/>
    <s v="via Fusinato 25"/>
    <x v="12"/>
    <m/>
    <m/>
    <s v="info@casamiabb.it"/>
    <s v="CASA MIA di ATTRICE ANDREA - SAN BENEDETTO DEL TRONTO"/>
  </r>
  <r>
    <x v="7"/>
    <s v="CASA MILLIE"/>
    <s v="contrada Zaza 47"/>
    <x v="128"/>
    <m/>
    <m/>
    <s v="marcspendlove@gmail.com"/>
    <s v="CASA MILLIE - GUALDO"/>
  </r>
  <r>
    <x v="5"/>
    <s v="CASA MIRABELLA"/>
    <s v="fraz. San Giovanni Battista  242"/>
    <x v="18"/>
    <s v="SAN GIOVANNI BATTISTA"/>
    <m/>
    <s v="mariamirabella@gmx.de"/>
    <s v="CASA MIRABELLA - ARCEVIA"/>
  </r>
  <r>
    <x v="5"/>
    <s v="CASA MONTEFIORE"/>
    <s v="via montefiore 3"/>
    <x v="52"/>
    <s v="CARTOCETO"/>
    <s v="www.casamontefiore.it"/>
    <s v="catia.capodagli@libero.it"/>
    <s v="CASA MONTEFIORE - CARTOCETO"/>
  </r>
  <r>
    <x v="5"/>
    <s v="CASA MONTEFIORE II"/>
    <s v="via montefiore 3"/>
    <x v="52"/>
    <s v="CARTOCETO"/>
    <m/>
    <s v="catia.capodagli@libero.it"/>
    <s v="CASA MONTEFIORE II - CARTOCETO"/>
  </r>
  <r>
    <x v="3"/>
    <s v="CASA MONTIRONI"/>
    <s v="via Costa Verde 4"/>
    <x v="9"/>
    <s v="MARCELLI"/>
    <s v="www.casamontironi.it"/>
    <s v="info@casamontironi.it"/>
    <s v="CASA MONTIRONI - NUMANA"/>
  </r>
  <r>
    <x v="3"/>
    <s v="CASA NOCI"/>
    <s v="via Giovanni XIII 10"/>
    <x v="53"/>
    <m/>
    <m/>
    <s v="alt.51@gmx.de"/>
    <s v="CASA NOCI - MERGO"/>
  </r>
  <r>
    <x v="1"/>
    <s v="CASA OLIVA"/>
    <s v="via castello 19"/>
    <x v="125"/>
    <s v="SERRUNGARINA"/>
    <s v="www.casaoliva.it"/>
    <s v="casaoliva@casaoliva.it"/>
    <s v="CASA OLIVA - SERRUNGARINA"/>
  </r>
  <r>
    <x v="8"/>
    <s v="CASA ONDA"/>
    <s v="via Cannella 26"/>
    <x v="16"/>
    <s v="loc. Scapezzano"/>
    <s v="http://www.casaonda.com"/>
    <s v="info@casaonda.com"/>
    <s v="CASA ONDA - SENIGALLIA"/>
  </r>
  <r>
    <x v="9"/>
    <s v="CASA PAOLA RENATA CARBONI"/>
    <m/>
    <x v="65"/>
    <s v="MESCHIA"/>
    <m/>
    <m/>
    <s v="CASA PAOLA RENATA CARBONI - ROCCAFLUVIONE"/>
  </r>
  <r>
    <x v="1"/>
    <s v="CASA PAOLO VI"/>
    <s v="via dei Castelli 7"/>
    <x v="160"/>
    <s v="MAIOLATI SPONTINI"/>
    <m/>
    <m/>
    <s v="CASA PAOLO VI - MAIOLATI SPONTINI"/>
  </r>
  <r>
    <x v="3"/>
    <s v="CASA PAZZI"/>
    <s v="via sotto le mura 8"/>
    <x v="5"/>
    <s v="GROTTAMMARE"/>
    <s v="www.casapazzi.com"/>
    <s v="info@casapazzi.com"/>
    <s v="CASA PAZZI - GROTTAMMARE"/>
  </r>
  <r>
    <x v="9"/>
    <s v="CASA PER FERIE ALTINO"/>
    <s v="frazione Altino 1"/>
    <x v="153"/>
    <s v="MONTEMONACO"/>
    <s v="www.rifugioaltino.it"/>
    <s v="info@studiocensori.it"/>
    <s v="CASA PER FERIE ALTINO - MONTEMONACO"/>
  </r>
  <r>
    <x v="9"/>
    <s v="CASA PER FERIE BELMONTE PICENO"/>
    <s v="via tommaso rubei 6"/>
    <x v="179"/>
    <s v="BELMONTE PICENO"/>
    <m/>
    <s v="com.belmonte@provincia.ap.it"/>
    <s v="CASA PER FERIE BELMONTE PICENO - BELMONTE PICENO"/>
  </r>
  <r>
    <x v="9"/>
    <s v="CASA PER FERIE COLLE SERENO"/>
    <s v="via IV novembre 78"/>
    <x v="41"/>
    <s v="MONTEMARCIANO"/>
    <s v="www.casaperferiecollesereno.it"/>
    <s v="villacollesereno@libero.it"/>
    <s v="CASA PER FERIE COLLE SERENO - MONTEMARCIANO"/>
  </r>
  <r>
    <x v="10"/>
    <s v="CASA PER FERIE CRUCIANI"/>
    <s v="via Roma 18"/>
    <x v="72"/>
    <s v="SERRA SAN QUIRICO"/>
    <s v="www.casacruciani.com"/>
    <m/>
    <s v="CASA PER FERIE CRUCIANI - SERRA SAN QUIRICO"/>
  </r>
  <r>
    <x v="9"/>
    <s v="CASA PER FERIE EREMO BEATO RIZZERIO"/>
    <s v="Contrada Coda di Muccia snc"/>
    <x v="88"/>
    <s v="MUCCIA"/>
    <s v="www.eremobeatorizzerio.it"/>
    <s v="eremobeatorizzerio@libero.it"/>
    <s v="CASA PER FERIE EREMO BEATO RIZZERIO - MUCCIA"/>
  </r>
  <r>
    <x v="9"/>
    <s v="CASA PER FERIE IN VIA S. ESUPERANZIO"/>
    <s v="via Sant'Esuperanzio 51"/>
    <x v="26"/>
    <s v="CINGOLI"/>
    <m/>
    <s v="salvuccis@libero.it"/>
    <s v="CASA PER FERIE IN VIA S. ESUPERANZIO - CINGOLI"/>
  </r>
  <r>
    <x v="9"/>
    <s v="CASA PER FERIE PALAZZO MENARINI"/>
    <s v="via Roma 11"/>
    <x v="72"/>
    <s v="SERRA SAN QUIRICO"/>
    <s v="www.teatrogiovani.eu"/>
    <s v="atg@teatrogiovani.com"/>
    <s v="CASA PER FERIE PALAZZO MENARINI - SERRA SAN QUIRICO"/>
  </r>
  <r>
    <x v="9"/>
    <s v="CASA PER FERIE PARROCCHIA OSSANESGA"/>
    <s v="via Cappellini 9"/>
    <x v="33"/>
    <s v="FANO"/>
    <m/>
    <s v="colonia.torrette@hotmail.it"/>
    <s v="CASA PER FERIE PARROCCHIA OSSANESGA - FANO"/>
  </r>
  <r>
    <x v="9"/>
    <s v="CASA PER FERIE SAN GIORGIO ALL' ISOLA"/>
    <m/>
    <x v="153"/>
    <s v="S. Giorgio all'Isola"/>
    <m/>
    <s v="idscsbt@virgilio.it"/>
    <s v="CASA PER FERIE SAN GIORGIO ALL' ISOLA - MONTEMONACO"/>
  </r>
  <r>
    <x v="3"/>
    <s v="CASA PER VACANZE CARESTO"/>
    <s v="vocabolo Colombaro Caresto 1"/>
    <x v="58"/>
    <s v="loc. Caresto"/>
    <m/>
    <s v="eremocaresto@libero.it"/>
    <s v="CASA PER VACANZE CARESTO - SANT'ANGELO IN VADO"/>
  </r>
  <r>
    <x v="3"/>
    <s v="CASA PER VACANZE LA ROCCA"/>
    <s v="via Bramante 7"/>
    <x v="39"/>
    <m/>
    <s v="www.casavacanzelarocca.it"/>
    <s v="marymoro@hotmail.it"/>
    <s v="CASA PER VACANZE LA ROCCA - MONDAVIO"/>
  </r>
  <r>
    <x v="7"/>
    <s v="CASA PIETRONE di MARIO DELLA SCHIAVA"/>
    <s v="via Pietrone  2"/>
    <x v="161"/>
    <s v="Cupramontana"/>
    <s v="www.casapietrone.it"/>
    <s v="mariodschiava@gmail.com"/>
    <s v="CASA PIETRONE di MARIO DELLA SCHIAVA - CUPRAMONTANA"/>
  </r>
  <r>
    <x v="3"/>
    <s v="CASA PREZIOSA"/>
    <s v="via natale capriotti 39"/>
    <x v="5"/>
    <s v="GROTTAMMARE"/>
    <s v="www.casapreziosa.it"/>
    <s v="info@casapreziosa.it"/>
    <s v="CASA PREZIOSA - GROTTAMMARE"/>
  </r>
  <r>
    <x v="3"/>
    <s v="CASA REGINA"/>
    <s v="via della Scuola 9"/>
    <x v="33"/>
    <m/>
    <s v="www.casareginafano.com"/>
    <s v="casareginafano@libero.it"/>
    <s v="CASA REGINA - FANO"/>
  </r>
  <r>
    <x v="9"/>
    <s v="CASA RELIGIOSA DI OSPITALITA' DON STEFANO LAMERA"/>
    <s v="via Spicello snc"/>
    <x v="220"/>
    <m/>
    <m/>
    <s v="radiciluciano@tin.it"/>
    <s v="CASA RELIGIOSA DI OSPITALITA' DON STEFANO LAMERA - SAN GIORGIO DI PESARO"/>
  </r>
  <r>
    <x v="9"/>
    <s v="CASA RELIGIOSA DI OSPITALITA' MAESTRE PIE VENERINI"/>
    <s v="MONTEVECCHIO  51"/>
    <x v="33"/>
    <m/>
    <m/>
    <s v="maestrepie.venerini1@gmail.com"/>
    <s v="CASA RELIGIOSA DI OSPITALITA' MAESTRE PIE VENERINI - FANO"/>
  </r>
  <r>
    <x v="5"/>
    <s v="CASA RENALDA"/>
    <s v="VIA TAVULLIA 44"/>
    <x v="155"/>
    <s v="GRADARA"/>
    <m/>
    <s v="casarenalda@gmail.com"/>
    <s v="CASA RENALDA - GRADARA"/>
  </r>
  <r>
    <x v="0"/>
    <s v="CASA RENILI"/>
    <s v="strada Lunga 13"/>
    <x v="69"/>
    <s v="CANDELARA"/>
    <s v="www.casarenili.it"/>
    <s v="mirco.renili@gmail.com"/>
    <s v="CASA RENILI - PESARO"/>
  </r>
  <r>
    <x v="3"/>
    <s v="CASA RIPA"/>
    <s v="via Ripa 9"/>
    <x v="161"/>
    <s v="CUPRAMONTANA"/>
    <s v="www.casaripa.com"/>
    <s v="casaripa@gmail.com"/>
    <s v="CASA RIPA - CUPRAMONTANA"/>
  </r>
  <r>
    <x v="7"/>
    <s v="CASA ROME'"/>
    <m/>
    <x v="115"/>
    <s v="fraz. Vindola"/>
    <m/>
    <m/>
    <s v="CASA ROME' - COMUNANZA"/>
  </r>
  <r>
    <x v="8"/>
    <s v="CASA RONCAGLIA"/>
    <s v="via roncaglia 9"/>
    <x v="211"/>
    <s v="MONTEMAGGIORE AL METAURO"/>
    <s v="www.casaroncaglia.it"/>
    <s v="info@casaroncaglia.it"/>
    <s v="CASA RONCAGLIA - MONTEMAGGIORE AL METAURO"/>
  </r>
  <r>
    <x v="7"/>
    <s v="CASA RONDINI di DAVID JOHN WILKINSON"/>
    <s v="contrada San Martino snc"/>
    <x v="206"/>
    <m/>
    <m/>
    <s v="wilkinsondavid234@gmail.com"/>
    <s v="CASA RONDINI di DAVID JOHN WILKINSON - MOGLIANO"/>
  </r>
  <r>
    <x v="7"/>
    <s v="CASA RUFFINI MAGGIOLINI"/>
    <s v="via Roma 4"/>
    <x v="139"/>
    <m/>
    <m/>
    <s v="a.ruffini@mail.com"/>
    <s v="CASA RUFFINI MAGGIOLINI - TREIA"/>
  </r>
  <r>
    <x v="7"/>
    <s v="CASA SAN MARTINO"/>
    <m/>
    <x v="18"/>
    <s v="SAN GIOVANNI BATTISTA"/>
    <m/>
    <s v="erhard.schemel@ub-schemel.de"/>
    <s v="CASA SAN MARTINO - ARCEVIA"/>
  </r>
  <r>
    <x v="7"/>
    <s v="CASA SAN MARTINO"/>
    <m/>
    <x v="18"/>
    <s v="SAN GIOVANNI BATTISTA"/>
    <m/>
    <s v="erhard.schemel@ub-schemel.de"/>
    <s v="CASA SAN MARTINO - ARCEVIA"/>
  </r>
  <r>
    <x v="8"/>
    <s v="CASA SAN RUFFINO"/>
    <s v="via Montese 13"/>
    <x v="103"/>
    <s v="Montegiorgio"/>
    <s v="www.casasanruffino.com"/>
    <s v="info@casasanruffino.com"/>
    <s v="CASA SAN RUFFINO - MONTEGIORGIO"/>
  </r>
  <r>
    <x v="7"/>
    <s v="CASA SANTA LUCIA di SIMON ANDREW PILKINGTON"/>
    <s v="Contrada Ventracciano 2"/>
    <x v="206"/>
    <m/>
    <m/>
    <s v="simon_pilkington_1@yahoo.com"/>
    <s v="CASA SANTA LUCIA di SIMON ANDREW PILKINGTON - MOGLIANO"/>
  </r>
  <r>
    <x v="7"/>
    <s v="CASA SANTANCINI di DAWN COLCLOUGH"/>
    <s v="c.da Prati 1"/>
    <x v="89"/>
    <m/>
    <m/>
    <s v="colclough_italy@yahoo.co.uk"/>
    <s v="CASA SANTANCINI di DAWN COLCLOUGH - CESSAPALOMBO"/>
  </r>
  <r>
    <x v="5"/>
    <s v="CASA SGARZI'N"/>
    <s v="Via Settembrini 12"/>
    <x v="52"/>
    <s v="LUCREZIA"/>
    <m/>
    <s v="taddeicarmen@libero.it"/>
    <s v="CASA SGARZI'N - CARTOCETO"/>
  </r>
  <r>
    <x v="5"/>
    <s v="CASA SORESINA"/>
    <s v="Via Torre 6/B"/>
    <x v="188"/>
    <s v="OFFAGNA"/>
    <s v="www.casasoresina.com"/>
    <s v="cri64gigli@gmail.com"/>
    <s v="CASA SORESINA - OFFAGNA"/>
  </r>
  <r>
    <x v="8"/>
    <s v="CASA SULLA VALLE"/>
    <s v="Loc. Tre Ponti 2"/>
    <x v="45"/>
    <s v="MONTEFORTINO"/>
    <s v="www.casasullavalle.it"/>
    <s v="info@casasullavalle.it"/>
    <s v="CASA SULLA VALLE - MONTEFORTINO"/>
  </r>
  <r>
    <x v="5"/>
    <s v="CASA SVEZIA"/>
    <s v="via roma 4"/>
    <x v="29"/>
    <m/>
    <m/>
    <m/>
    <s v="CASA SVEZIA - LAPEDONA"/>
  </r>
  <r>
    <x v="6"/>
    <s v="CASA TARTUFO"/>
    <s v="loc. Bosco Rotondo 3/a"/>
    <x v="46"/>
    <m/>
    <s v="www.vakantieinitalie.com"/>
    <s v="casatartufo@gmail.com"/>
    <s v="CASA TARTUFO - SASSOFERRATO"/>
  </r>
  <r>
    <x v="7"/>
    <s v="CASA ULIVETO"/>
    <s v="via Molino 11"/>
    <x v="55"/>
    <s v="SPINETOLI"/>
    <s v="www.ulivetovacanze.com"/>
    <s v="iommi.patrizia@gmail.com"/>
    <s v="CASA ULIVETO - CAMPOFILONE"/>
  </r>
  <r>
    <x v="7"/>
    <s v="CASA VACANZA BORGO VECCHIO"/>
    <s v="via Circonvallazione 15"/>
    <x v="159"/>
    <m/>
    <m/>
    <s v="aloisa89@libero.it; annarita.bocci55@libero.it"/>
    <s v="CASA VACANZA BORGO VECCHIO - CAMPOROTONDO DI FIASTRONE"/>
  </r>
  <r>
    <x v="7"/>
    <s v="CASA VACANZE"/>
    <s v="piazza B. Serafini 7"/>
    <x v="125"/>
    <m/>
    <m/>
    <m/>
    <s v="CASA VACANZE - SERRUNGARINA"/>
  </r>
  <r>
    <x v="3"/>
    <s v="CASA VACANZE"/>
    <s v="via Litoranea 92"/>
    <x v="9"/>
    <s v="NUMANA"/>
    <s v="www.agenziacasavacanze.it"/>
    <s v="info@agenziacasavacanze.it"/>
    <s v="CASA VACANZE - NUMANA"/>
  </r>
  <r>
    <x v="3"/>
    <s v="CASA VACANZE ABBAZIA"/>
    <s v="Via Pasubio 1"/>
    <x v="69"/>
    <s v="PESARO-Novilara"/>
    <m/>
    <s v="abbazia.residhotel@libero.it"/>
    <s v="CASA VACANZE ABBAZIA - PESARO"/>
  </r>
  <r>
    <x v="3"/>
    <s v="CASA VACANZE ALBA CHIARA"/>
    <s v="via montarice 1"/>
    <x v="23"/>
    <s v="PORTO RECANATI"/>
    <m/>
    <s v="esseti-fi@esse-ti.it"/>
    <s v="CASA VACANZE ALBA CHIARA - PORTO RECANATI"/>
  </r>
  <r>
    <x v="3"/>
    <s v="CASA VACANZE BORGO CASAL CRISTIANA"/>
    <s v="Contrada Cugnolo 16"/>
    <x v="37"/>
    <s v="TORRE DI PALME"/>
    <s v="www.homeholidaymarche.com"/>
    <s v="borghiantichi.srl@gmail.com"/>
    <s v="CASA VACANZE BORGO CASAL CRISTIANA - FERMO"/>
  </r>
  <r>
    <x v="7"/>
    <s v="CASA VACANZE DUCA SCHITO"/>
    <s v="frazione Schito snc"/>
    <x v="11"/>
    <s v="Schito"/>
    <s v="www.casavacanzeducaschito.com"/>
    <s v="info@casavacanzeducaschito.com"/>
    <s v="CASA VACANZE DUCA SCHITO - SARNANO"/>
  </r>
  <r>
    <x v="3"/>
    <s v="CASA VACANZE EDILFRONTONE"/>
    <s v="Via Colombara SN"/>
    <x v="138"/>
    <s v="FRONTONE"/>
    <m/>
    <m/>
    <s v="CASA VACANZE EDILFRONTONE - FRONTONE"/>
  </r>
  <r>
    <x v="7"/>
    <s v="CASA VACANZE ELSA"/>
    <s v="via Canaletta 3"/>
    <x v="211"/>
    <m/>
    <s v="www.casavacanze-elsa.it"/>
    <s v="casavacanze.elsa@gmail.com"/>
    <s v="CASA VACANZE ELSA - MONTEMAGGIORE AL METAURO"/>
  </r>
  <r>
    <x v="7"/>
    <s v="CASA VACANZE GAROFOLI"/>
    <s v="via Meleto 16"/>
    <x v="112"/>
    <m/>
    <s v="www.casavacazegarofoli.it"/>
    <s v="amm.battestini@tiscali.it"/>
    <s v="CASA VACANZE GAROFOLI - GENGA"/>
  </r>
  <r>
    <x v="3"/>
    <s v="CASA VACANZE GIULIA"/>
    <s v="via castelfidardo 31"/>
    <x v="9"/>
    <s v="NUMANA"/>
    <s v="www.ilcasaledigiulia.it"/>
    <s v="info@casavacanzegiulia.it"/>
    <s v="CASA VACANZE GIULIA - NUMANA"/>
  </r>
  <r>
    <x v="3"/>
    <s v="CASA VACANZE IL CAPRILE"/>
    <m/>
    <x v="138"/>
    <s v="Caprile"/>
    <s v="www.edilmartino.com"/>
    <s v="brunarossi1976@virgilio.it"/>
    <s v="CASA VACANZE IL CAPRILE - FRONTONE"/>
  </r>
  <r>
    <x v="3"/>
    <s v="CASA VACANZE IL TARTUFO di STROO BENJAMIN"/>
    <s v="loc. Bosco Rotondo 3"/>
    <x v="46"/>
    <s v="localita' Bosco"/>
    <m/>
    <s v="casatartufo@gmail.com"/>
    <s v="CASA VACANZE IL TARTUFO di STROO BENJAMIN - SASSOFERRATO"/>
  </r>
  <r>
    <x v="3"/>
    <s v="CASA VACANZE MADONNA DELLA SANTITA'"/>
    <s v="Via Lava 43"/>
    <x v="30"/>
    <s v="OFFIDA"/>
    <m/>
    <s v="strjo@libero.it"/>
    <s v="CASA VACANZE MADONNA DELLA SANTITA' - OFFIDA"/>
  </r>
  <r>
    <x v="3"/>
    <s v="CASA VACANZE OSTERIACCIO"/>
    <s v="via Osteriaccio 3"/>
    <x v="138"/>
    <s v="Monte San Vito"/>
    <s v="www.osteriaccio.it"/>
    <s v="info@osteriaccio.it"/>
    <s v="CASA VACANZE OSTERIACCIO - FRONTONE"/>
  </r>
  <r>
    <x v="3"/>
    <s v="CASA VACANZE VALENTINA"/>
    <s v="Via Sallustio 8"/>
    <x v="12"/>
    <s v="SAN BENEDETTO DEL TRONTO"/>
    <s v="www.hotel-mario.com"/>
    <s v="info@hotel-mario.com"/>
    <s v="CASA VACANZE VALENTINA - SAN BENEDETTO DEL TRONTO"/>
  </r>
  <r>
    <x v="7"/>
    <s v="CASA VALENTINA di MOODY BARRY"/>
    <s v="Contrada San Valentino  39"/>
    <x v="27"/>
    <m/>
    <m/>
    <s v="barry.moody@thomsonreuters.com"/>
    <s v="CASA VALENTINA di MOODY BARRY - LORO PICENO"/>
  </r>
  <r>
    <x v="3"/>
    <s v="CASA VANNICOLA"/>
    <s v="borgo Cappuccini 47"/>
    <x v="30"/>
    <m/>
    <m/>
    <s v="gianmarcocapecci@gmail.com"/>
    <s v="CASA VANNICOLA - OFFIDA"/>
  </r>
  <r>
    <x v="0"/>
    <s v="CASA VECCHIA"/>
    <s v="contrada aso 11"/>
    <x v="29"/>
    <s v="LAPEDONA"/>
    <s v="www.casavecchia.it"/>
    <s v="info@casavecchia.it"/>
    <s v="CASA VECCHIA - LAPEDONA"/>
  </r>
  <r>
    <x v="7"/>
    <s v="CASA VENTURA"/>
    <s v="fraz. San Giovanni Battista - via San Martino 74"/>
    <x v="18"/>
    <s v="SAN GIOVANNI BATTISTA"/>
    <m/>
    <s v="vntsrg@gmail.com"/>
    <s v="CASA VENTURA - ARCEVIA"/>
  </r>
  <r>
    <x v="7"/>
    <s v="CASA VERDECONERO"/>
    <s v="via Sicilia  22"/>
    <x v="169"/>
    <m/>
    <m/>
    <s v="bugariclaudio@tin.it"/>
    <s v="CASA VERDECONERO - CASTELFIDARDO"/>
  </r>
  <r>
    <x v="7"/>
    <s v="CASABIANCA PAOLA"/>
    <s v="Via Montegrappa 16"/>
    <x v="16"/>
    <s v="SENIGALLIA"/>
    <m/>
    <s v="paola.gasperini@confartigianatoimprese.net"/>
    <s v="CASABIANCA PAOLA - SENIGALLIA"/>
  </r>
  <r>
    <x v="5"/>
    <s v="CASACHIARA"/>
    <s v="VIA SANTA MARINA 4"/>
    <x v="119"/>
    <s v="CASTEL COLONNA"/>
    <s v="www.casachiara.ue"/>
    <s v="sylvia@casachiara.eu"/>
    <s v="CASACHIARA - TRECASTELLI"/>
  </r>
  <r>
    <x v="3"/>
    <s v="CASACONERO.IT"/>
    <s v="via Litoranea 167"/>
    <x v="9"/>
    <s v="NUMANA"/>
    <s v="www.casaconero.it"/>
    <s v="info@casaconero.it"/>
    <s v="CASACONERO.IT - NUMANA"/>
  </r>
  <r>
    <x v="1"/>
    <s v="CASADEI"/>
    <s v="via Cappellini 53"/>
    <x v="33"/>
    <s v="FANO"/>
    <s v="www.hotelcasadei.it"/>
    <s v="info@hotelcasadei.it"/>
    <s v="CASADEI - FANO"/>
  </r>
  <r>
    <x v="7"/>
    <s v="CASADEI ERICA"/>
    <m/>
    <x v="70"/>
    <m/>
    <m/>
    <s v="erica.casadei@virgilio.it"/>
    <s v="CASADEI ERICA - SERRA SANT'ABBONDIO"/>
  </r>
  <r>
    <x v="7"/>
    <s v="CASAGRANDE ALBANO CARLA"/>
    <s v="Lungomare Mameli 251/A"/>
    <x v="16"/>
    <s v="SENIGALLIA"/>
    <m/>
    <s v="affittiestivi@belenchia.com"/>
    <s v="CASAGRANDE ALBANO CARLA - SENIGALLIA"/>
  </r>
  <r>
    <x v="7"/>
    <s v="CASAGRANDE GIGLIOLA"/>
    <s v="VIA RAFFAELLO SANZIO 399"/>
    <x v="16"/>
    <s v="SENIGALLIA"/>
    <m/>
    <s v="fulvia.fratesi@gmail.com"/>
    <s v="CASAGRANDE GIGLIOLA - SENIGALLIA"/>
  </r>
  <r>
    <x v="8"/>
    <s v="CASAL DEI FICHI"/>
    <s v="contrada Pieve Vecchia 25"/>
    <x v="227"/>
    <s v="FRANCAVILLA D' ETE"/>
    <s v="www.casaldeifichi.com"/>
    <s v="info@casaldeifichi.com"/>
    <s v="CASAL DEI FICHI - FRANCAVILLA D'ETE"/>
  </r>
  <r>
    <x v="7"/>
    <s v="CASAL GABBI"/>
    <s v="c.da Gabbi 11"/>
    <x v="172"/>
    <m/>
    <m/>
    <s v="info@casalgabbi.it"/>
    <s v="CASAL GABBI - CORRIDONIA"/>
  </r>
  <r>
    <x v="0"/>
    <s v="CASAL SAN SERGIO"/>
    <s v="via san sergio 11 snc"/>
    <x v="85"/>
    <m/>
    <s v="www.casalsansergio.it"/>
    <s v="info@casalsansergio.it"/>
    <s v="CASAL SAN SERGIO - FOSSOMBRONE"/>
  </r>
  <r>
    <x v="0"/>
    <s v="CASAL VAL D'ALTO"/>
    <m/>
    <x v="78"/>
    <s v="loc. Val d'Alto di Sopra"/>
    <m/>
    <s v="mariapiagarulli@libero.it"/>
    <s v="CASAL VAL D'ALTO - PIANDIMELETO"/>
  </r>
  <r>
    <x v="8"/>
    <s v="CASAL VILLANOVA"/>
    <s v="localita' pitino 103"/>
    <x v="2"/>
    <s v="SAN SEVERINO MARCHE"/>
    <m/>
    <s v="countryhousecasalvillanova@live.it"/>
    <s v="CASAL VILLANOVA - SAN SEVERINO MARCHE"/>
  </r>
  <r>
    <x v="0"/>
    <s v="CASALANTICO"/>
    <s v="strada conagrande 8"/>
    <x v="60"/>
    <s v="CORINALDO"/>
    <s v="www.casalantico.it"/>
    <s v="info@casalantico.it"/>
    <s v="CASALANTICO - CORINALDO"/>
  </r>
  <r>
    <x v="7"/>
    <s v="CASALBA"/>
    <s v="via Cicerone 3"/>
    <x v="26"/>
    <s v="Frazione San Vittore"/>
    <s v="www.casalba.it"/>
    <s v="info@casalba.it"/>
    <s v="CASALBA - CINGOLI"/>
  </r>
  <r>
    <x v="3"/>
    <s v="CASALCOPPO"/>
    <s v="via Betelico 106"/>
    <x v="10"/>
    <s v="MASSIGNANO"/>
    <s v="www.casalcoppo.com"/>
    <s v="info@casalcoppo.com_x0009_"/>
    <s v="CASALCOPPO - ANCONA"/>
  </r>
  <r>
    <x v="7"/>
    <s v="CASALE BLULAVANDA"/>
    <s v="C/DA COLLI ASOLA  11"/>
    <x v="141"/>
    <s v="MORROVALLE"/>
    <m/>
    <s v="casaleblulavanda@hotmail.com"/>
    <s v="CASALE BLULAVANDA - MORROVALLE"/>
  </r>
  <r>
    <x v="3"/>
    <s v="CASALE DEGLI ULIVI"/>
    <m/>
    <x v="30"/>
    <s v="contrada Ciafone"/>
    <m/>
    <s v="casaleulivi@gmail.com"/>
    <s v="CASALE DEGLI ULIVI - OFFIDA"/>
  </r>
  <r>
    <x v="8"/>
    <s v="CASALE DEL CHIENTI"/>
    <s v="via del Torrione 162"/>
    <x v="17"/>
    <m/>
    <s v="http://www.casaledelchienti.it"/>
    <s v="info@casaledelchienti.it"/>
    <s v="CASALE DEL CHIENTI - CIVITANOVA MARCHE"/>
  </r>
  <r>
    <x v="0"/>
    <s v="CASALE DEL GIGLIO"/>
    <s v="C.da Carreggiano 11"/>
    <x v="139"/>
    <s v="TREIA"/>
    <s v="www.casaledelgigliomarche.it"/>
    <s v="info@casaledelgigliomarche.it"/>
    <s v="CASALE DEL GIGLIO - TREIA"/>
  </r>
  <r>
    <x v="7"/>
    <s v="CASALE DEL VECCHIO MORO"/>
    <s v="strada dei Rossi 17"/>
    <x v="60"/>
    <s v="frazione Madonna del Piano"/>
    <m/>
    <s v="manuela.lenci@virgilio.it - martinaregni@yahoo.it"/>
    <s v="CASALE DEL VECCHIO MORO - CORINALDO"/>
  </r>
  <r>
    <x v="5"/>
    <s v="CASALE DELLE RONDINI"/>
    <s v="Contrada Sant'Angelo 5"/>
    <x v="6"/>
    <s v="TOLENTINO"/>
    <m/>
    <s v="sudtyrol@hotmail.com"/>
    <s v="CASALE DELLE RONDINI - TOLENTINO"/>
  </r>
  <r>
    <x v="0"/>
    <s v="CASALE DELLE ROSE"/>
    <s v="localita' caminate 103"/>
    <x v="33"/>
    <s v="FANO"/>
    <s v="www.fanocasaledellerose.com"/>
    <s v="info@fanocasaledellerose.com"/>
    <s v="CASALE DELLE ROSE - FANO"/>
  </r>
  <r>
    <x v="7"/>
    <s v="CASALE DI CRISTINA"/>
    <s v="via Intriglione 43"/>
    <x v="219"/>
    <m/>
    <m/>
    <s v="gianfrigianfri@libero.it"/>
    <s v="CASALE DI CRISTINA - MONTEFANO"/>
  </r>
  <r>
    <x v="8"/>
    <s v="CASALE DI ROLANDO"/>
    <s v="via Fratte 5083"/>
    <x v="111"/>
    <s v="loc.Bivio Cascinare"/>
    <m/>
    <s v="mildret@libero.it"/>
    <s v="CASALE DI ROLANDO - SANT'ELPIDIO A MARE"/>
  </r>
  <r>
    <x v="0"/>
    <s v="CASALE DON DOME'"/>
    <s v="Via San Severo 46"/>
    <x v="64"/>
    <s v="SAN SEVERO"/>
    <m/>
    <s v="mi.cantiani@alice.it"/>
    <s v="CASALE DON DOME' - SAN LORENZO IN CAMPO"/>
  </r>
  <r>
    <x v="0"/>
    <s v="CASALE E. BEAUHARNAIS"/>
    <s v="strada di Casale 33"/>
    <x v="69"/>
    <s v="PESARO"/>
    <s v="www.casalebeauharnais.com"/>
    <s v="info@casalebeauharnais.com"/>
    <s v="CASALE E. BEAUHARNAIS - PESARO"/>
  </r>
  <r>
    <x v="7"/>
    <s v="CASALE FATTORIA GOSTOLI"/>
    <s v="via Molino 16"/>
    <x v="224"/>
    <m/>
    <m/>
    <s v="ilenia.battiato@tiscali.it"/>
    <s v="CASALE FATTORIA GOSTOLI - BELFORTE ALL'ISAURO"/>
  </r>
  <r>
    <x v="0"/>
    <s v="CASALE IL GALLO BIANCO DI MAZZONI MASSIMILIANO &amp; C."/>
    <s v="via Aspio 2"/>
    <x v="188"/>
    <s v="OFFAGNA"/>
    <s v="www.casaleilgallobianco.it"/>
    <s v="info@casaleilgallobianco.it"/>
    <s v="CASALE IL GALLO BIANCO DI MAZZONI MASSIMILIANO &amp; C. - OFFAGNA"/>
  </r>
  <r>
    <x v="0"/>
    <s v="CASALE INDACO"/>
    <s v="via Crocifisso 14"/>
    <x v="135"/>
    <s v="MONTE RINALDO"/>
    <m/>
    <s v="corradomiola@yahoo.it"/>
    <s v="CASALE INDACO - MONTE RINALDO"/>
  </r>
  <r>
    <x v="1"/>
    <s v="CASALE MAGNOLIA"/>
    <s v="contrada Menocchia 212"/>
    <x v="120"/>
    <s v="MONTEFIORE DELL' ASO"/>
    <m/>
    <s v="info@boutiquehotelmagnolia.com"/>
    <s v="CASALE MAGNOLIA - MONTEFIORE DELL'ASO"/>
  </r>
  <r>
    <x v="7"/>
    <s v="CASALE MONASTERO SUL COLLE"/>
    <s v="c.da Coste 18"/>
    <x v="54"/>
    <m/>
    <s v="www.casalemonasteromarche.com"/>
    <s v="annessi@studioannessi.it"/>
    <s v="CASALE MONASTERO SUL COLLE - MONTELPARO"/>
  </r>
  <r>
    <x v="0"/>
    <s v="CASALE RIPALTA"/>
    <s v="fraz. Ripalta 63"/>
    <x v="18"/>
    <s v="RIPALTA"/>
    <m/>
    <s v="info@casaleripalta.it"/>
    <s v="CASALE RIPALTA - ARCEVIA"/>
  </r>
  <r>
    <x v="7"/>
    <s v="CASALE ROSY"/>
    <s v="contrada Ciafone 4/b"/>
    <x v="30"/>
    <m/>
    <m/>
    <s v="mimros76@hotmail.com"/>
    <s v="CASALE ROSY - OFFIDA"/>
  </r>
  <r>
    <x v="0"/>
    <s v="CASALE SAN FILIPPO"/>
    <s v="via Mucciolina 17"/>
    <x v="44"/>
    <m/>
    <m/>
    <s v="casalesanfilippo@hotmail.com"/>
    <s v="CASALE SAN FILIPPO - OSIMO"/>
  </r>
  <r>
    <x v="0"/>
    <s v="CASALE TALEVI"/>
    <s v="ALBERONE 5"/>
    <x v="52"/>
    <m/>
    <s v="www.casaletalevi.it"/>
    <s v="info@casaletalevi.it"/>
    <s v="CASALE TALEVI - CARTOCETO"/>
  </r>
  <r>
    <x v="3"/>
    <s v="CASALE TORRENOVA"/>
    <s v="c.da San Girio  38"/>
    <x v="148"/>
    <m/>
    <s v="www.casaletorrenova.it"/>
    <s v="info@casaletorrenova.it"/>
    <s v="CASALE TORRENOVA - POTENZA PICENA"/>
  </r>
  <r>
    <x v="0"/>
    <s v="CASALE ULIVO"/>
    <m/>
    <x v="64"/>
    <m/>
    <m/>
    <s v="lupa8994@libero.it"/>
    <s v="CASALE ULIVO - SAN LORENZO IN CAMPO"/>
  </r>
  <r>
    <x v="0"/>
    <s v="CASALE VENEZIA"/>
    <s v="fraz. Nidastore 126"/>
    <x v="18"/>
    <s v="NIDASTORE"/>
    <s v="www.casalevenezia.com"/>
    <s v="info@casalevenezia.com"/>
    <s v="CASALE VENEZIA - ARCEVIA"/>
  </r>
  <r>
    <x v="7"/>
    <s v="CASAMASSIMA FRANCO"/>
    <s v="Via S. Stefano 34"/>
    <x v="10"/>
    <s v="ANCONA"/>
    <m/>
    <m/>
    <s v="CASAMASSIMA FRANCO - ANCONA"/>
  </r>
  <r>
    <x v="3"/>
    <s v="CASAROLI SILVANO"/>
    <s v="via conti di borgo 77"/>
    <x v="42"/>
    <s v="CAMERINO"/>
    <m/>
    <s v="silvanocasaroli@libero.it"/>
    <s v="CASAROLI SILVANO - CAMERINO"/>
  </r>
  <r>
    <x v="8"/>
    <s v="CASAVOSTRASUITES"/>
    <s v="CONTRADA SANTA ELISABETTA  5"/>
    <x v="104"/>
    <s v="CONTRADA SANTA ELISABETTA"/>
    <m/>
    <s v="alessiocianseren@me.com"/>
    <s v="CASAVOSTRASUITES - OSTRA VETERE"/>
  </r>
  <r>
    <x v="0"/>
    <s v="CASCINA GABBA"/>
    <s v="c.da Gabba 324"/>
    <x v="11"/>
    <m/>
    <s v="www.cascinagabba.com"/>
    <s v="tisasi@libero.it"/>
    <s v="CASCINA GABBA - SARNANO"/>
  </r>
  <r>
    <x v="0"/>
    <s v="CASCINA OTTALEVI"/>
    <s v="via Monte 3"/>
    <x v="143"/>
    <m/>
    <s v="cascinaottalevi@gmail.com"/>
    <s v="alarott@alice.it"/>
    <s v="CASCINA OTTALEVI - MONTE PORZIO"/>
  </r>
  <r>
    <x v="7"/>
    <s v="CASE AFFARI S.r.l."/>
    <s v="via Litoranea / via Pesaro 173/67"/>
    <x v="9"/>
    <m/>
    <m/>
    <s v="info@caseaffarigroup.it"/>
    <s v="CASE AFFARI S.r.l. - NUMANA"/>
  </r>
  <r>
    <x v="3"/>
    <s v="CASE APPARTAMENTI VAGNONI (FORTUNA ALESSANDRA)"/>
    <s v="viale Stazione 3"/>
    <x v="32"/>
    <s v="CUPRA MARITTIMA"/>
    <s v="www.appartamentivagnoni.it"/>
    <s v="info@appartamentivagnoni.it"/>
    <s v="CASE APPARTAMENTI VAGNONI (FORTUNA ALESSANDRA) - CUPRA MARITTIMA"/>
  </r>
  <r>
    <x v="0"/>
    <s v="CASE BOTTARO"/>
    <s v="loc. Lanaro Montaiate 61"/>
    <x v="91"/>
    <m/>
    <s v="www.casebottaro.it  www.casebottaro.com"/>
    <s v="info@casebottaro.it"/>
    <s v="CASE BOTTARO - PERGOLA"/>
  </r>
  <r>
    <x v="3"/>
    <s v="CASE E APPARTAMENTI VACANZE DIBIAGI FAUSTO"/>
    <s v="localita' borgo pievefavera 50"/>
    <x v="90"/>
    <s v="CALDAROLA"/>
    <m/>
    <s v="vacancaldarola@calde2958.it"/>
    <s v="CASE E APPARTAMENTI VACANZE DIBIAGI FAUSTO - CALDAROLA"/>
  </r>
  <r>
    <x v="3"/>
    <s v="CASE ED APPARTAMENTI PER VACANZE C.DA ROCCHETTA"/>
    <s v="loc. Rocchetta 3"/>
    <x v="2"/>
    <m/>
    <m/>
    <s v="aspio@icisrl.net"/>
    <s v="CASE ED APPARTAMENTI PER VACANZE C.DA ROCCHETTA - SAN SEVERINO MARCHE"/>
  </r>
  <r>
    <x v="3"/>
    <s v="CASE ED APPARTAMENTI PER VACANZE VIA SAN MAURO (SANT'ELENA)"/>
    <s v="via San Mauro 60"/>
    <x v="2"/>
    <m/>
    <m/>
    <s v="immobiliare@sicit.com"/>
    <s v="CASE ED APPARTAMENTI PER VACANZE VIA SAN MAURO (SANT'ELENA) - SAN SEVERINO MARCHE"/>
  </r>
  <r>
    <x v="0"/>
    <s v="CASE LEONORI"/>
    <s v="contrada Santa Maria in Piana 81"/>
    <x v="139"/>
    <m/>
    <m/>
    <s v="tatyana.walther@alice.it"/>
    <s v="CASE LEONORI - TREIA"/>
  </r>
  <r>
    <x v="8"/>
    <s v="CASE VENTENA"/>
    <s v="TORRICELLA  2"/>
    <x v="192"/>
    <s v="TAVOLETO"/>
    <s v="www.caseventena.com"/>
    <s v="info@caseventena.com"/>
    <s v="CASE VENTENA - TAVOLETO"/>
  </r>
  <r>
    <x v="0"/>
    <s v="CASELLE"/>
    <m/>
    <x v="31"/>
    <s v="Apecchio"/>
    <m/>
    <s v="marialaura@jumpi.it"/>
    <s v="CASELLE - APECCHIO"/>
  </r>
  <r>
    <x v="0"/>
    <s v="CASELLINA"/>
    <s v="loc. la Casellina 1"/>
    <x v="31"/>
    <s v="APECCHIO"/>
    <m/>
    <s v="lpraziendaagricola@gmail.com"/>
    <s v="CASELLINA - APECCHIO"/>
  </r>
  <r>
    <x v="8"/>
    <s v="CASERMA CARINA"/>
    <s v="Contrada Mossa 16"/>
    <x v="206"/>
    <m/>
    <s v="www.caserma-carina.co.uk"/>
    <s v="info@caserma-carina.co.uk"/>
    <s v="CASERMA CARINA - MOGLIANO"/>
  </r>
  <r>
    <x v="7"/>
    <s v="CASETTA PACIFICA DELLE VIOLE"/>
    <s v="fraz. Castiglioni - via Martiri della Libertà 7"/>
    <x v="18"/>
    <s v="CASTIGLIONI"/>
    <m/>
    <s v="aria50antiquariato@email.it"/>
    <s v="CASETTA PACIFICA DELLE VIOLE - ARCEVIA"/>
  </r>
  <r>
    <x v="1"/>
    <s v="CASINA DELLE ROSE"/>
    <s v="piazzale Girfalco 16"/>
    <x v="37"/>
    <s v="FERMO"/>
    <m/>
    <m/>
    <s v="CASINA DELLE ROSE - FERMO"/>
  </r>
  <r>
    <x v="0"/>
    <s v="CASINA FOGLIETTI"/>
    <s v="contrada Cigliano 24/A"/>
    <x v="172"/>
    <s v="CORRIDONIA"/>
    <s v="www.casinafoglietti.it"/>
    <s v="info@casinafoglietti.it"/>
    <s v="CASINA FOGLIETTI - CORRIDONIA"/>
  </r>
  <r>
    <x v="8"/>
    <s v="CASTEL DI LUCO"/>
    <s v="localita' Castel di Luco 1"/>
    <x v="35"/>
    <s v="ACQUASANTA TERME"/>
    <s v="www.casteldiluco.com"/>
    <s v="casteldiluco@tiscali.it"/>
    <s v="CASTEL DI LUCO - ACQUASANTA TERME"/>
  </r>
  <r>
    <x v="8"/>
    <s v="CASTELLO DELLA PIEVE"/>
    <s v="localita' Castello della Pieve 1"/>
    <x v="76"/>
    <s v="MERCATELLO SUL METAURO"/>
    <s v="www.castellodellapieve.it"/>
    <s v="info@castellodellapieve.it"/>
    <s v="CASTELLO DELLA PIEVE - MERCATELLO SUL METAURO"/>
  </r>
  <r>
    <x v="3"/>
    <s v="CASTELLO DI GRANAROLA"/>
    <s v="via Castello 1"/>
    <x v="155"/>
    <m/>
    <s v="www.castellodigranarola.it"/>
    <s v="info@castellodigranarola.it"/>
    <s v="CASTELLO DI GRANAROLA - GRADARA"/>
  </r>
  <r>
    <x v="7"/>
    <s v="CASTRICINI ONORATO"/>
    <s v="c.da Prati 8"/>
    <x v="206"/>
    <s v="MOGLIANO"/>
    <m/>
    <s v="jogabonitocastro@alice.it"/>
    <s v="CASTRICINI ONORATO - MOGLIANO"/>
  </r>
  <r>
    <x v="4"/>
    <s v="CASTURA' TOMMASO. I TRE FRATELLI"/>
    <m/>
    <x v="37"/>
    <s v="fermo"/>
    <m/>
    <m/>
    <s v="CASTURA' TOMMASO. I TRE FRATELLI - FERMO"/>
  </r>
  <r>
    <x v="7"/>
    <s v="CATANI STEFANO"/>
    <s v="Lungomare Mameli 240"/>
    <x v="16"/>
    <s v="SENIGALLIA"/>
    <m/>
    <s v="affittestivi@belenchia.com"/>
    <s v="CATANI STEFANO - SENIGALLIA"/>
  </r>
  <r>
    <x v="0"/>
    <s v="CATIGNANO"/>
    <s v="c.da Vallonica 35"/>
    <x v="139"/>
    <s v="TREIA"/>
    <s v="www.agriturismocatignano.it"/>
    <s v="agriturismocatignano@tiscalinet.it"/>
    <s v="CATIGNANO - TREIA"/>
  </r>
  <r>
    <x v="0"/>
    <s v="CAVALIERE ERRANTE"/>
    <s v="via Labbrano 125"/>
    <x v="145"/>
    <s v="LABBRANO"/>
    <m/>
    <s v="francesco2683@gmail.com"/>
    <s v="CAVALIERE ERRANTE - MATELICA"/>
  </r>
  <r>
    <x v="4"/>
    <s v="CAVALLUCCIO DI MARE"/>
    <s v="via Litoranea  9"/>
    <x v="9"/>
    <s v="NUMANA"/>
    <m/>
    <s v="silau@libero.it"/>
    <s v="CAVALLUCCIO DI MARE - NUMANA"/>
  </r>
  <r>
    <x v="4"/>
    <s v="CAVALLUCCIO MARINO"/>
    <s v="viale a. scipioni 15 15"/>
    <x v="12"/>
    <s v="SAN BENEDETTO DEL TRONTO"/>
    <m/>
    <m/>
    <s v="CAVALLUCCIO MARINO - SAN BENEDETTO DEL TRONTO"/>
  </r>
  <r>
    <x v="4"/>
    <s v="CAVALLUCCIO MARINO"/>
    <s v="lungomare gramsci 1 1"/>
    <x v="47"/>
    <s v="PORTO SAN GIORGIO"/>
    <s v="mariateresa.silenzi@libero.it"/>
    <m/>
    <s v="CAVALLUCCIO MARINO - PORTO SAN GIORGIO"/>
  </r>
  <r>
    <x v="4"/>
    <s v="CAYO COCO"/>
    <m/>
    <x v="23"/>
    <s v="PORTO RECANATI"/>
    <m/>
    <m/>
    <s v="CAYO COCO - PORTO RECANATI"/>
  </r>
  <r>
    <x v="14"/>
    <s v="CEA CALVILLANO"/>
    <s v="localita' Calvillano snc"/>
    <x v="164"/>
    <s v="MONTECOPIOLO"/>
    <s v="www.lamacina.it"/>
    <s v="valerio@lamacina.it"/>
    <s v="CEA CALVILLANO - MONTECOPIOLO"/>
  </r>
  <r>
    <x v="7"/>
    <s v="CECCHINI SANDRINA"/>
    <m/>
    <x v="20"/>
    <s v="MONDOLFO"/>
    <m/>
    <s v="patrignanellig@gmail.com"/>
    <s v="CECCHINI SANDRINA - MONDOLFO"/>
  </r>
  <r>
    <x v="7"/>
    <s v="CENCI ROBERTO"/>
    <s v="Viale Adriatico 16/A"/>
    <x v="33"/>
    <s v="FANO"/>
    <m/>
    <m/>
    <s v="CENCI ROBERTO - FANO"/>
  </r>
  <r>
    <x v="1"/>
    <s v="CENTRALE"/>
    <s v="via balilla 12"/>
    <x v="12"/>
    <s v="SAN BENEDETTO DEL TRONTO"/>
    <s v="www.hotelcentralesbt.com"/>
    <s v="info@hotelcentralesbt.com"/>
    <s v="CENTRALE - SAN BENEDETTO DEL TRONTO"/>
  </r>
  <r>
    <x v="9"/>
    <s v="CENTRO ACCOGLIENZA GIOVANNI PAOLO II"/>
    <s v="via Montorso 3"/>
    <x v="15"/>
    <s v="LORETO"/>
    <s v="www.giovaniloreto.it"/>
    <s v="info@giovaniloreto.it"/>
    <s v="CENTRO ACCOGLIENZA GIOVANNI PAOLO II - LORETO"/>
  </r>
  <r>
    <x v="8"/>
    <s v="CENTRO DEI DUE PARCHI"/>
    <m/>
    <x v="157"/>
    <s v="FRAZIONE BORGO"/>
    <s v="www.centrodueparchi.it; www.forestalp.it;"/>
    <s v="info@centrodueparchi.it"/>
    <s v="CENTRO DEI DUE PARCHI - ARQUATA DEL TRONTO"/>
  </r>
  <r>
    <x v="10"/>
    <s v="CENTRO DI EDUCAZIONE AMBIENTALE - OSTELLO SAN MARTINO"/>
    <s v="LOCALITA' SANTA MARIA IN CAMPOLUNGO 1"/>
    <x v="80"/>
    <s v="LOC. SANTA MARIA IN CAMPOLONGO"/>
    <m/>
    <m/>
    <s v="CENTRO DI EDUCAZIONE AMBIENTALE - OSTELLO SAN MARTINO - URBANIA"/>
  </r>
  <r>
    <x v="14"/>
    <s v="CENTRO EDUCAZIONE AMBIENTALE"/>
    <s v="via giacomo matteotti 1"/>
    <x v="25"/>
    <s v="PIOBBICO"/>
    <s v="www.lamacina.it"/>
    <s v="valerio@lamacina.it"/>
    <s v="CENTRO EDUCAZIONE AMBIENTALE - PIOBBICO"/>
  </r>
  <r>
    <x v="9"/>
    <s v="CENTRO LE DUNE"/>
    <s v="lungomare leonardo da vinci 6"/>
    <x v="16"/>
    <s v="SENIGALLIA"/>
    <m/>
    <s v="senigallia@uisp.it"/>
    <s v="CENTRO LE DUNE - SENIGALLIA"/>
  </r>
  <r>
    <x v="5"/>
    <s v="CENTRO MARE LUNA"/>
    <s v="Via Marconi 6"/>
    <x v="69"/>
    <s v="PESARO"/>
    <m/>
    <s v="bbpesaro@gmail.com"/>
    <s v="CENTRO MARE LUNA - PESARO"/>
  </r>
  <r>
    <x v="9"/>
    <s v="CENTRO NEOCATECUMENALE SERVO DI JAHVE'"/>
    <s v="via sant' angelo 10"/>
    <x v="47"/>
    <s v="PORTO SAN GIORGIO"/>
    <m/>
    <m/>
    <s v="CENTRO NEOCATECUMENALE SERVO DI JAHVE' - PORTO SAN GIORGIO"/>
  </r>
  <r>
    <x v="9"/>
    <s v="CENTRO SERVIZIO POLIVALENTE DEL MONTEFELTRO"/>
    <s v="corso Giovanni XXIII 1"/>
    <x v="100"/>
    <s v="FRONTINO"/>
    <m/>
    <s v="valerio@lamacina.it"/>
    <s v="CENTRO SERVIZIO POLIVALENTE DEL MONTEFELTRO - FRONTINO"/>
  </r>
  <r>
    <x v="13"/>
    <s v="CENTRO STUDI BIBLICI"/>
    <s v="via servi di maria 1"/>
    <x v="219"/>
    <s v="MONTEFANO"/>
    <m/>
    <s v="centro.bib@tin.it"/>
    <s v="CENTRO STUDI BIBLICI - MONTEFANO"/>
  </r>
  <r>
    <x v="6"/>
    <s v="CENTRO TURISTICO BELVEDERE"/>
    <s v="via Montecucco 19"/>
    <x v="17"/>
    <s v=" CIVITANOVA MARCHE"/>
    <s v="www.campingbelvedere.net"/>
    <s v="info@campingbelvedere.net"/>
    <s v="CENTRO TURISTICO BELVEDERE - CIVITANOVA MARCHE"/>
  </r>
  <r>
    <x v="1"/>
    <s v="CENTRO TURISTICO MONTANARIA"/>
    <s v="contrada marinella 1"/>
    <x v="11"/>
    <s v="SARNANO"/>
    <s v="www.montanaria.it"/>
    <s v="info@montanaria.it"/>
    <s v="CENTRO TURISTICO MONTANARIA - SARNANO"/>
  </r>
  <r>
    <x v="8"/>
    <s v="CENTRO TURISTICO RURALE IL POGGIO"/>
    <s v="frazione Campolungo 162"/>
    <x v="151"/>
    <s v="ASCOLI PICENO"/>
    <s v="www.ilpoggioristorante.com"/>
    <s v="ilpoggio.ristorante@libero.it"/>
    <s v="CENTRO TURISTICO RURALE IL POGGIO - ASCOLI PICENO"/>
  </r>
  <r>
    <x v="6"/>
    <s v="CENTRO VACANZE CAMPING SPINNAKER"/>
    <s v="Via Giovanni Campofiloni 24"/>
    <x v="37"/>
    <s v="FERMO"/>
    <s v="www.vacanzespinnaker.it"/>
    <s v="info@vacanzespinnaker.it"/>
    <s v="CENTRO VACANZE CAMPING SPINNAKER - FERMO"/>
  </r>
  <r>
    <x v="6"/>
    <s v="CENTRO VACANZE LA RISACCA"/>
    <s v="via Europa 100"/>
    <x v="163"/>
    <s v="PORTO SANT' ELPIDIO"/>
    <s v="www.larisacca.it"/>
    <s v="info@larisacca.it"/>
    <s v="CENTRO VACANZE LA RISACCA - PORTO SANT'ELPIDIO"/>
  </r>
  <r>
    <x v="9"/>
    <s v="CENTRO VACANZE OASI CARPINETO"/>
    <m/>
    <x v="151"/>
    <s v="Castellano di Lisciano"/>
    <s v="www.oasicarpineto.it"/>
    <s v="info@oasicarpineto.it"/>
    <s v="CENTRO VACANZE OASI CARPINETO - ASCOLI PICENO"/>
  </r>
  <r>
    <x v="4"/>
    <s v="CENTRO VACANZE ON THE BEACH"/>
    <s v="via litoranea 211 211"/>
    <x v="9"/>
    <s v="MARCELLI"/>
    <s v="info@centrovacanzeonthebeach.it"/>
    <s v="www.centrovacanzeonthebeach.it"/>
    <s v="CENTRO VACANZE ON THE BEACH - NUMANA"/>
  </r>
  <r>
    <x v="5"/>
    <s v="C'ERA UNA VOLTA"/>
    <s v="Viale Serafini 75"/>
    <x v="21"/>
    <s v="FABRIANO"/>
    <m/>
    <s v="ceraunavolta.fabriano@gmail.com"/>
    <s v="C'ERA UNA VOLTA - FABRIANO"/>
  </r>
  <r>
    <x v="0"/>
    <s v="CERERE"/>
    <s v="localita' case beri 1"/>
    <x v="42"/>
    <s v="CAMERINO"/>
    <m/>
    <m/>
    <s v="CERERE - CAMERINO"/>
  </r>
  <r>
    <x v="8"/>
    <s v="CERESA'"/>
    <s v="via Leonessa snc"/>
    <x v="15"/>
    <m/>
    <m/>
    <s v="info@bebceresa.it"/>
    <s v="CERESA' - LORETO"/>
  </r>
  <r>
    <x v="0"/>
    <s v="CERQUATONDA"/>
    <s v="c.da Cerquatonda 4"/>
    <x v="96"/>
    <s v="MONTALTO DELLE MARCHE"/>
    <s v="www.agriturismocerquatonda.it"/>
    <s v="info@agriturismocerquatonda.it"/>
    <s v="CERQUATONDA - MONTALTO DELLE MARCHE"/>
  </r>
  <r>
    <x v="7"/>
    <s v="CESARE SORA"/>
    <s v="via Mazzini 87"/>
    <x v="20"/>
    <m/>
    <m/>
    <s v="consuele78@hotmail.com"/>
    <s v="CESARE SORA - MONDOLFO"/>
  </r>
  <r>
    <x v="7"/>
    <s v="CESARI PIERLUIGI"/>
    <s v="corso G.Mazzini 157"/>
    <x v="151"/>
    <m/>
    <m/>
    <m/>
    <s v="CESARI PIERLUIGI - ASCOLI PICENO"/>
  </r>
  <r>
    <x v="4"/>
    <s v="CHALET &quot; LA SIESTA&quot;"/>
    <s v="viale europa  1"/>
    <x v="12"/>
    <s v="SAN BENEDETTO DEL TRONTO"/>
    <s v="info@chaletlasiesta.it"/>
    <s v="www.chaletlasiesta.it"/>
    <s v="CHALET &quot; LA SIESTA&quot; - SAN BENEDETTO DEL TRONTO"/>
  </r>
  <r>
    <x v="4"/>
    <s v="CHALET 14 B"/>
    <m/>
    <x v="47"/>
    <m/>
    <s v="paolettapolidori@libero.it"/>
    <m/>
    <s v="CHALET 14 B - PORTO SAN GIORGIO"/>
  </r>
  <r>
    <x v="4"/>
    <s v="CHALET 4 FONTANE BEACH"/>
    <s v="via Flaminia 364 spiaggia Palombina Nuova 364"/>
    <x v="10"/>
    <s v="spiaggia Palombina Nuova"/>
    <s v="tbstartup@gmail.com"/>
    <s v="www.palombinabeach.com"/>
    <s v="CHALET 4 FONTANE BEACH - ANCONA"/>
  </r>
  <r>
    <x v="4"/>
    <s v="CHALET ADRIATICO"/>
    <s v="viale della Repubblica 15 -concessione n.39 15"/>
    <x v="5"/>
    <s v="Riviera Adriatica"/>
    <s v="http://www.chaletadriatico.it/"/>
    <s v="chaletadriatico1960@gmail.com"/>
    <s v="CHALET ADRIATICO - GROTTAMMARE"/>
  </r>
  <r>
    <x v="4"/>
    <s v="CHALET ALEX"/>
    <s v="VIALE RINASCIMENTO  18"/>
    <x v="12"/>
    <m/>
    <s v="alexbeach@libero.it"/>
    <s v="www.chaletalex.it"/>
    <s v="CHALET ALEX - SAN BENEDETTO DEL TRONTO"/>
  </r>
  <r>
    <x v="4"/>
    <s v="CHALET AMICI"/>
    <s v="via faleria 1 1"/>
    <x v="163"/>
    <s v="PORTO SANT' ELPIDIO"/>
    <m/>
    <m/>
    <s v="CHALET AMICI - PORTO SANT'ELPIDIO"/>
  </r>
  <r>
    <x v="4"/>
    <s v="CHALET BAIA BLANCA"/>
    <s v="viale De Gasperi 28"/>
    <x v="5"/>
    <m/>
    <s v="www.baiablanca.it"/>
    <s v="info@baiablanca.it"/>
    <s v="CHALET BAIA BLANCA - GROTTAMMARE"/>
  </r>
  <r>
    <x v="4"/>
    <s v="CHALET BARRACUDA"/>
    <m/>
    <x v="47"/>
    <s v="PORTO SAN GIORGIO"/>
    <m/>
    <s v="chaletbarracuda2@live.com"/>
    <s v="CHALET BARRACUDA - PORTO SAN GIORGIO"/>
  </r>
  <r>
    <x v="4"/>
    <s v="CHALET BOUNTY"/>
    <s v="lungomare gramsci 1 1"/>
    <x v="47"/>
    <s v="PORTO SAN GIORGIO"/>
    <m/>
    <m/>
    <s v="CHALET BOUNTY - PORTO SAN GIORGIO"/>
  </r>
  <r>
    <x v="4"/>
    <s v="CHALET CASABLANCA"/>
    <s v="viale Rinascimento 8 8"/>
    <x v="12"/>
    <m/>
    <m/>
    <m/>
    <s v="CHALET CASABLANCA - SAN BENEDETTO DEL TRONTO"/>
  </r>
  <r>
    <x v="4"/>
    <s v="CHALET CLUB SEVEN"/>
    <m/>
    <x v="5"/>
    <m/>
    <m/>
    <m/>
    <s v="CHALET CLUB SEVEN - GROTTAMMARE"/>
  </r>
  <r>
    <x v="4"/>
    <s v="CHALET COBA' RESTAURANT"/>
    <s v="Lungomare A. Gramsci concessione m. 13 365"/>
    <x v="47"/>
    <s v="PORTO SAN GIORGIO"/>
    <s v="info@cobarestaurant.it"/>
    <s v="www.cobarestaurant.it"/>
    <s v="CHALET COBA' RESTAURANT - PORTO SAN GIORGIO"/>
  </r>
  <r>
    <x v="4"/>
    <s v="CHALET DA DUILIO"/>
    <s v="lungomare gramsci sud 1 1"/>
    <x v="47"/>
    <s v="PORTO SAN GIORGIO"/>
    <s v="info@chaletduilio.it"/>
    <m/>
    <s v="CHALET DA DUILIO - PORTO SAN GIORGIO"/>
  </r>
  <r>
    <x v="4"/>
    <s v="CHALET DA GUIDO"/>
    <s v="lungomare gramsci 1 1"/>
    <x v="47"/>
    <s v="PORTO SAN GIORGIO"/>
    <m/>
    <m/>
    <s v="CHALET DA GUIDO - PORTO SAN GIORGIO"/>
  </r>
  <r>
    <x v="4"/>
    <s v="CHALET DA STEFANO"/>
    <s v="via lungomare gramsci sud 1 1"/>
    <x v="163"/>
    <s v="PORTO SAN GIORGIO"/>
    <m/>
    <m/>
    <s v="CHALET DA STEFANO - PORTO SANT'ELPIDIO"/>
  </r>
  <r>
    <x v="4"/>
    <s v="CHALET DADI'"/>
    <s v="via lungomare fermano 1 1"/>
    <x v="37"/>
    <s v="FERMO"/>
    <m/>
    <m/>
    <s v="CHALET DADI' - FERMO"/>
  </r>
  <r>
    <x v="4"/>
    <s v="CHALET DEGLI ANGELI"/>
    <s v="via san giacomo 51 51"/>
    <x v="12"/>
    <s v="PORTO D'ASCOLI"/>
    <m/>
    <m/>
    <s v="CHALET DEGLI ANGELI - SAN BENEDETTO DEL TRONTO"/>
  </r>
  <r>
    <x v="4"/>
    <s v="CHALET DEGLI ARTISTI - POLDO &amp; LIVIA"/>
    <s v="lungomare gramsci 1 1"/>
    <x v="47"/>
    <s v="PORTO SAN GIORGIO"/>
    <s v="rosalbacarboni64@hotmail.it"/>
    <m/>
    <s v="CHALET DEGLI ARTISTI - POLDO &amp; LIVIA - PORTO SAN GIORGIO"/>
  </r>
  <r>
    <x v="4"/>
    <s v="CHALET DEGLI ARTISTI - POLDO &amp; LIVIA"/>
    <s v="lungomare gramsci 1 1"/>
    <x v="47"/>
    <s v="PORTO SAN GIORGIO"/>
    <s v="rosalbacarboni64@hotmail.com"/>
    <m/>
    <s v="CHALET DEGLI ARTISTI - POLDO &amp; LIVIA - PORTO SAN GIORGIO"/>
  </r>
  <r>
    <x v="4"/>
    <s v="CHALET DELLE STELLE"/>
    <s v="viale cristoforo colombo 2 2"/>
    <x v="5"/>
    <m/>
    <m/>
    <m/>
    <s v="CHALET DELLE STELLE - GROTTAMMARE"/>
  </r>
  <r>
    <x v="4"/>
    <s v="CHALET GALILEO"/>
    <s v="viale iv novembre 1 1"/>
    <x v="17"/>
    <s v="CIVITANOVA MARCHE"/>
    <m/>
    <m/>
    <s v="CHALET GALILEO - CIVITANOVA MARCHE"/>
  </r>
  <r>
    <x v="4"/>
    <s v="CHALET IL GABBIANO ( LU CUCALE)"/>
    <s v="viale alcide de gasperi 1 41"/>
    <x v="5"/>
    <s v="GROTTAMMARE"/>
    <m/>
    <m/>
    <s v="CHALET IL GABBIANO ( LU CUCALE) - GROTTAMMARE"/>
  </r>
  <r>
    <x v="4"/>
    <s v="CHALET IL GAMBERO"/>
    <m/>
    <x v="12"/>
    <m/>
    <s v="info@residenceboomerang.it"/>
    <m/>
    <s v="CHALET IL GAMBERO - SAN BENEDETTO DEL TRONTO"/>
  </r>
  <r>
    <x v="4"/>
    <s v="CHALET IL GRILLO"/>
    <s v="via lungomare fermano 1 1"/>
    <x v="37"/>
    <s v="FERMO"/>
    <s v="mirella.santanafessa@alice.it"/>
    <m/>
    <s v="CHALET IL GRILLO - FERMO"/>
  </r>
  <r>
    <x v="4"/>
    <s v="CHALET JOLLY"/>
    <s v="lungomare gramsci nord 1 1"/>
    <x v="47"/>
    <s v="PORTO SAN GIORGIO"/>
    <m/>
    <m/>
    <s v="CHALET JOLLY - PORTO SAN GIORGIO"/>
  </r>
  <r>
    <x v="4"/>
    <s v="CHALET KINGHINO"/>
    <s v="via lungomare fermano 1 1"/>
    <x v="37"/>
    <s v="PORTO SAN GIORGIO"/>
    <m/>
    <m/>
    <s v="CHALET KINGHINO - FERMO"/>
  </r>
  <r>
    <x v="4"/>
    <s v="CHALET LA LAMPARA"/>
    <m/>
    <x v="222"/>
    <s v="PEDASO"/>
    <s v="info@ristorantechaletlalampara.com"/>
    <m/>
    <s v="CHALET LA LAMPARA - PEDASO"/>
  </r>
  <r>
    <x v="4"/>
    <s v="CHALET LA VELA"/>
    <s v="lungomare Gramsci 1"/>
    <x v="47"/>
    <s v="PORTO SAN GIORGIO"/>
    <m/>
    <s v="rodolfo.ragaglia@fastweb.it"/>
    <s v="CHALET LA VELA - PORTO SAN GIORGIO"/>
  </r>
  <r>
    <x v="4"/>
    <s v="CHALET LO STORIONE - BAGNI GINETTA"/>
    <s v="via lungomare gramsci sud 1 1"/>
    <x v="47"/>
    <s v="PORTO SAN GIORGIO"/>
    <s v="lostorione@tin.it"/>
    <m/>
    <s v="CHALET LO STORIONE - BAGNI GINETTA - PORTO SAN GIORGIO"/>
  </r>
  <r>
    <x v="4"/>
    <s v="CHALET MALU'"/>
    <s v="via lungomare fermano 1 1"/>
    <x v="37"/>
    <s v="PORTO SAN GIORGIO"/>
    <m/>
    <m/>
    <s v="CHALET MALU' - FERMO"/>
  </r>
  <r>
    <x v="4"/>
    <s v="CHALET MAURO"/>
    <m/>
    <x v="23"/>
    <s v="PORTO RECANATI"/>
    <m/>
    <m/>
    <s v="CHALET MAURO - PORTO RECANATI"/>
  </r>
  <r>
    <x v="4"/>
    <s v="CHALET MILLE LIRE"/>
    <m/>
    <x v="23"/>
    <m/>
    <m/>
    <m/>
    <s v="CHALET MILLE LIRE - PORTO RECANATI"/>
  </r>
  <r>
    <x v="4"/>
    <s v="CHALET MOYTO"/>
    <s v="via faleria 1 1"/>
    <x v="163"/>
    <s v="PORTO SANT' ELPIDIO"/>
    <s v="marcoamadio@libero.it"/>
    <m/>
    <s v="CHALET MOYTO - PORTO SANT'ELPIDIO"/>
  </r>
  <r>
    <x v="4"/>
    <s v="CHALET OASI"/>
    <s v="via lungomare gramsci sud 1 1"/>
    <x v="47"/>
    <s v="PORTO SAN GIORGIO"/>
    <m/>
    <m/>
    <s v="CHALET OASI - PORTO SAN GIORGIO"/>
  </r>
  <r>
    <x v="4"/>
    <s v="CHALET ONDINA"/>
    <s v="via lungomare fermano 1 1"/>
    <x v="37"/>
    <s v="PORTO SAN GIORGIO"/>
    <m/>
    <m/>
    <s v="CHALET ONDINA - FERMO"/>
  </r>
  <r>
    <x v="4"/>
    <s v="CHALET PAPILLON - BAGNI ANNA"/>
    <s v="via lungomare fermano 1 1"/>
    <x v="37"/>
    <s v="fermo"/>
    <m/>
    <m/>
    <s v="CHALET PAPILLON - BAGNI ANNA - FERMO"/>
  </r>
  <r>
    <x v="4"/>
    <s v="CHALET PINE"/>
    <s v="strada statale adriatica sud 1 1"/>
    <x v="32"/>
    <m/>
    <m/>
    <m/>
    <s v="CHALET PINE - CUPRA MARITTIMA"/>
  </r>
  <r>
    <x v="4"/>
    <s v="CHALET POKER"/>
    <s v="VIALE EUROPA  19 19"/>
    <x v="12"/>
    <m/>
    <m/>
    <m/>
    <s v="CHALET POKER - SAN BENEDETTO DEL TRONTO"/>
  </r>
  <r>
    <x v="4"/>
    <s v="CHALET RISTORANTE PAPILLON"/>
    <s v="via trieste 1 1"/>
    <x v="163"/>
    <s v="PORTO SANT' ELPIDIO"/>
    <s v="info@chaletpapillon.it"/>
    <s v="www.chaletpapillon.it"/>
    <s v="CHALET RISTORANTE PAPILLON - PORTO SANT'ELPIDIO"/>
  </r>
  <r>
    <x v="4"/>
    <s v="CHALET RIVAMARE di GABRIELLI STEFANO E C SAS"/>
    <s v="via san giacomo 13 13"/>
    <x v="12"/>
    <s v="SAN BENEDETTO DEL TRONTO"/>
    <s v="chaletrivamare106@gmail.com"/>
    <m/>
    <s v="CHALET RIVAMARE di GABRIELLI STEFANO E C SAS - SAN BENEDETTO DEL TRONTO"/>
  </r>
  <r>
    <x v="4"/>
    <s v="CHALET RIVAZZURRA"/>
    <s v="via lungomare fermano 1 1"/>
    <x v="37"/>
    <s v="PORTO SAN GIORGIO"/>
    <m/>
    <m/>
    <s v="CHALET RIVAZZURRA - FERMO"/>
  </r>
  <r>
    <x v="4"/>
    <s v="CHALET SIESTA NORD"/>
    <m/>
    <x v="5"/>
    <m/>
    <m/>
    <m/>
    <s v="CHALET SIESTA NORD - GROTTAMMARE"/>
  </r>
  <r>
    <x v="4"/>
    <s v="CHALET SIESTA NORD"/>
    <s v="Viale A. De Gasperi 43"/>
    <x v="5"/>
    <s v="Grottammare"/>
    <m/>
    <m/>
    <s v="CHALET SIESTA NORD - GROTTAMMARE"/>
  </r>
  <r>
    <x v="4"/>
    <s v="CHALET SPLASH"/>
    <s v="via Faleria 1 1"/>
    <x v="163"/>
    <s v="PORTO SANT' ELPIDIO"/>
    <m/>
    <m/>
    <s v="CHALET SPLASH - PORTO SANT'ELPIDIO"/>
  </r>
  <r>
    <x v="4"/>
    <s v="CHALET STORIONE"/>
    <s v="via faleria 43 43"/>
    <x v="163"/>
    <s v="PORTO SANT' ELPIDIO"/>
    <s v="mirelladelmoro@virgilio.it"/>
    <s v="mirelladelmoro@virgilio.it"/>
    <s v="CHALET STORIONE - PORTO SANT'ELPIDIO"/>
  </r>
  <r>
    <x v="4"/>
    <s v="CHALET SYLVIA"/>
    <s v="viale cristoforo colombo  1"/>
    <x v="5"/>
    <m/>
    <m/>
    <s v="sonssnc@hostingtoo.it"/>
    <s v="CHALET SYLVIA - GROTTAMMARE"/>
  </r>
  <r>
    <x v="0"/>
    <s v="CHESANOVA"/>
    <s v="via Turlo 26"/>
    <x v="110"/>
    <s v="Villagrande"/>
    <s v="www.chesanova.com"/>
    <s v="info@chesanova.com"/>
    <s v="CHESANOVA - MOMBAROCCIO"/>
  </r>
  <r>
    <x v="7"/>
    <s v="CHIARA ANDRENELLI"/>
    <s v="via San Gabriele 9"/>
    <x v="141"/>
    <m/>
    <m/>
    <s v="poipoi70@libero.it"/>
    <s v="CHIARA ANDRENELLI - MORROVALLE"/>
  </r>
  <r>
    <x v="0"/>
    <s v="CHIARALUCE RITA"/>
    <s v="contrada Forchiusa 97"/>
    <x v="72"/>
    <s v="SERRA SAN QUIRICO"/>
    <m/>
    <s v="agritur.chiaraluce@alice.it"/>
    <s v="CHIARALUCE RITA - SERRA SAN QUIRICO"/>
  </r>
  <r>
    <x v="0"/>
    <s v="CHIARODILUNA"/>
    <s v="strada san Fiorano 26"/>
    <x v="105"/>
    <s v="fiorano"/>
    <m/>
    <s v="info@chiarodiluna.info"/>
    <s v="CHIARODILUNA - COSSIGNANO"/>
  </r>
  <r>
    <x v="8"/>
    <s v="CHIGIO"/>
    <s v="strada Ciarciano 63"/>
    <x v="69"/>
    <m/>
    <s v="www.pesaro-chigiocountryhouse.it"/>
    <s v="countrychigio@hotmail.com"/>
    <s v="CHIGIO - PESARO"/>
  </r>
  <r>
    <x v="0"/>
    <s v="CHIGNONI"/>
    <s v="vocabolo Chignoni 1"/>
    <x v="31"/>
    <s v="APECCHIO"/>
    <s v="www.chignoni.it"/>
    <s v="info@chignoni.it"/>
    <s v="CHIGNONI - APECCHIO"/>
  </r>
  <r>
    <x v="7"/>
    <s v="CHRISTINUS ADRIANUS"/>
    <s v="Via Salsaro Ete SNC"/>
    <x v="27"/>
    <s v="LORO PICENO"/>
    <m/>
    <s v="donall@donall.it"/>
    <s v="CHRISTINUS ADRIANUS - LORO PICENO"/>
  </r>
  <r>
    <x v="7"/>
    <s v="CHRISTOPHER GERALD THORP"/>
    <s v="Contrada Salsaro Ete 50"/>
    <x v="27"/>
    <m/>
    <m/>
    <m/>
    <s v="CHRISTOPHER GERALD THORP - LORO PICENO"/>
  </r>
  <r>
    <x v="3"/>
    <s v="CIABATTONI IDA"/>
    <s v="c.da Tesino 104"/>
    <x v="30"/>
    <m/>
    <m/>
    <s v="casaleborgomiriam@gmail.com"/>
    <s v="CIABATTONI IDA - OFFIDA"/>
  </r>
  <r>
    <x v="7"/>
    <s v="CIAMPELLI ANTONELLO"/>
    <s v="via Buonincontri 14"/>
    <x v="33"/>
    <m/>
    <m/>
    <s v="antonello.ciampelli@gmail.com"/>
    <s v="CIAMPELLI ANTONELLO - FANO"/>
  </r>
  <r>
    <x v="7"/>
    <s v="CIANCAMERLA ROBERTA"/>
    <s v="Strada San Martino Castell'onesto  27/a"/>
    <x v="75"/>
    <s v="smirra di cagli"/>
    <s v="www.castellonesto.com"/>
    <s v="info@castellonesto.com"/>
    <s v="CIANCAMERLA ROBERTA - CAGLI"/>
  </r>
  <r>
    <x v="7"/>
    <s v="CIANI OMERE"/>
    <s v="Via Luigi Motta  33"/>
    <x v="33"/>
    <s v="FANO"/>
    <m/>
    <s v="cianiomere@hotmail.it"/>
    <s v="CIANI OMERE - FANO"/>
  </r>
  <r>
    <x v="4"/>
    <s v="CIAO !!!!"/>
    <m/>
    <x v="12"/>
    <m/>
    <s v="info@residencedolcemare.it"/>
    <m/>
    <s v="CIAO !!!! - SAN BENEDETTO DEL TRONTO"/>
  </r>
  <r>
    <x v="7"/>
    <s v="CIARROCCHI ANNA RITA"/>
    <s v="Piazza Cameranesi 2"/>
    <x v="16"/>
    <s v="SENIGALLIA"/>
    <m/>
    <s v="annaritaciarrocchi@yahoo.it"/>
    <s v="CIARROCCHI ANNA RITA - SENIGALLIA"/>
  </r>
  <r>
    <x v="7"/>
    <s v="CICCARELLI LUIGI"/>
    <s v="Duca degli Abruzzi 115"/>
    <x v="148"/>
    <s v="POTENZA PICENA"/>
    <m/>
    <m/>
    <s v="CICCARELLI LUIGI - POTENZA PICENA"/>
  </r>
  <r>
    <x v="7"/>
    <s v="CICCHI ANNA"/>
    <s v="Via Garibaldi  80"/>
    <x v="30"/>
    <s v="OFFIDA"/>
    <m/>
    <m/>
    <s v="CICCHI ANNA - OFFIDA"/>
  </r>
  <r>
    <x v="8"/>
    <s v="CICCO BIANCO di SCHWARZ WOLFANG ALFRED WILHELM"/>
    <s v="località Cicco Bianco snc"/>
    <x v="2"/>
    <s v="CICCO BIANCO"/>
    <m/>
    <s v="info@cicco-bianco.de"/>
    <s v="CICCO BIANCO di SCHWARZ WOLFANG ALFRED WILHELM - SAN SEVERINO MARCHE"/>
  </r>
  <r>
    <x v="7"/>
    <s v="CICERCHIA MARIA (11)"/>
    <s v="VIA TRIESTE 11"/>
    <x v="33"/>
    <s v="FANO"/>
    <m/>
    <s v="gest-service@pec.it"/>
    <s v="CICERCHIA MARIA (11) - FANO"/>
  </r>
  <r>
    <x v="7"/>
    <s v="CICERCHIA MARIA (136/B)"/>
    <s v="via Faà di Bruno 136/b"/>
    <x v="33"/>
    <s v="FANO"/>
    <m/>
    <s v="info@fanoaffitti.it"/>
    <s v="CICERCHIA MARIA (136/B) - FANO"/>
  </r>
  <r>
    <x v="7"/>
    <s v="CINGOLANI MIRELLA"/>
    <s v="Lungomare Italia 8/A"/>
    <x v="16"/>
    <s v="SENIGALLIA"/>
    <m/>
    <s v="susysartini@gmail.com"/>
    <s v="CINGOLANI MIRELLA - SENIGALLIA"/>
  </r>
  <r>
    <x v="7"/>
    <s v="CINI GRAZIANO"/>
    <s v="via XX Settembre  78"/>
    <x v="91"/>
    <m/>
    <m/>
    <s v="cini.graziano@gmail.com"/>
    <s v="CINI GRAZIANO - PERGOLA"/>
  </r>
  <r>
    <x v="7"/>
    <s v="CIONI ISABELLA MARGHERITA"/>
    <s v="VIA RIETI 11"/>
    <x v="16"/>
    <s v="SENIGALLIA"/>
    <m/>
    <m/>
    <s v="CIONI ISABELLA MARGHERITA - SENIGALLIA"/>
  </r>
  <r>
    <x v="4"/>
    <s v="CIRCOLO STAB. BALNEARE LIDO DEL CARABINIERE - N. 37"/>
    <s v="viale iv novembre 1 1"/>
    <x v="17"/>
    <s v="CIVITANOVA MARCHE"/>
    <m/>
    <m/>
    <s v="CIRCOLO STAB. BALNEARE LIDO DEL CARABINIERE - N. 37 - CIVITANOVA MARCHE"/>
  </r>
  <r>
    <x v="1"/>
    <s v="CITY"/>
    <s v="lungomare alighieri 14"/>
    <x v="16"/>
    <s v="SENIGALLIA"/>
    <s v="www.cityhotel.it"/>
    <s v="info@cityhotel.it"/>
    <s v="CITY - SENIGALLIA"/>
  </r>
  <r>
    <x v="7"/>
    <s v="CIUNCI RENATO PASQUALE"/>
    <s v="Lungomare da Vinci 63"/>
    <x v="16"/>
    <s v="SENIGALLIA"/>
    <m/>
    <s v="affittiestivi@belenchia.com"/>
    <s v="CIUNCI RENATO PASQUALE - SENIGALLIA"/>
  </r>
  <r>
    <x v="4"/>
    <s v="CLAUDIA"/>
    <s v="lungomare marconi 36 36"/>
    <x v="12"/>
    <m/>
    <m/>
    <m/>
    <s v="CLAUDIA - SAN BENEDETTO DEL TRONTO"/>
  </r>
  <r>
    <x v="1"/>
    <s v="CLAUDIANI"/>
    <s v="vicolo Antonio Ulissi 8"/>
    <x v="0"/>
    <s v="MACERATA"/>
    <s v="www.hotelclaudiani.it"/>
    <s v="info@hotelclaudiani.it"/>
    <s v="CLAUDIANI - MACERATA"/>
  </r>
  <r>
    <x v="1"/>
    <s v="CLIPPER"/>
    <s v="viale Guglielmo Marconi 53"/>
    <x v="69"/>
    <s v="PESARO"/>
    <s v="www.hotelclipper.it"/>
    <s v="info@hotelclipper.it"/>
    <s v="CLIPPER - PESARO"/>
  </r>
  <r>
    <x v="0"/>
    <s v="CLUANA"/>
    <s v="Via Piannenza 1056"/>
    <x v="111"/>
    <s v="SANT'ELPIDIO A MARE"/>
    <m/>
    <s v="info@agriturismocluana.com"/>
    <s v="CLUANA - SANT'ELPIDIO A MARE"/>
  </r>
  <r>
    <x v="4"/>
    <s v="CLUB 23"/>
    <s v="lungomare marconi 9 9"/>
    <x v="12"/>
    <m/>
    <m/>
    <m/>
    <s v="CLUB 23 - SAN BENEDETTO DEL TRONTO"/>
  </r>
  <r>
    <x v="12"/>
    <s v="CLUB CENTRO VACANZE"/>
    <s v="via Castelfidardo 1"/>
    <x v="9"/>
    <s v="NUMANA"/>
    <s v="www.villaggiocentrovacanzedeangelis.it"/>
    <s v="info@villaggiocentrovacanzedeangelis.it"/>
    <s v="CLUB CENTRO VACANZE - NUMANA"/>
  </r>
  <r>
    <x v="1"/>
    <s v="CLUB HOTEL"/>
    <s v="via Panoramica 33"/>
    <x v="28"/>
    <s v="GABICCE MARE"/>
    <s v="www.clubhotelgabicce.it"/>
    <s v="info@clubhotelgabicce.it"/>
    <s v="CLUB HOTEL - GABICCE MARE"/>
  </r>
  <r>
    <x v="4"/>
    <s v="COCO LOCO BEACH"/>
    <s v="lungomare gramsci 1 1"/>
    <x v="47"/>
    <s v="PORTO SAN GIORGIO"/>
    <m/>
    <m/>
    <s v="COCO LOCO BEACH - PORTO SAN GIORGIO"/>
  </r>
  <r>
    <x v="4"/>
    <s v="COCULLA BEACH-CRISANTI STEFANO"/>
    <s v="lungomare gramsci 1 1"/>
    <x v="47"/>
    <s v="PORTO SAN GIORGIO"/>
    <s v="crisantistefano@gmail.com"/>
    <m/>
    <s v="COCULLA BEACH-CRISANTI STEFANO - PORTO SAN GIORGIO"/>
  </r>
  <r>
    <x v="7"/>
    <s v="COGNINI AMALIA"/>
    <s v="Via Del Castello 11"/>
    <x v="148"/>
    <s v="POTENZA PICENA"/>
    <m/>
    <m/>
    <s v="COGNINI AMALIA - POTENZA PICENA"/>
  </r>
  <r>
    <x v="8"/>
    <s v="COL ALPI"/>
    <s v="via Circonvallazione 40"/>
    <x v="31"/>
    <s v="APECCHIO"/>
    <m/>
    <s v="ilaesimo@virgilio.it"/>
    <s v="COL ALPI - APECCHIO"/>
  </r>
  <r>
    <x v="0"/>
    <s v="COL D'AGELLO"/>
    <s v="localita' san rocco 1"/>
    <x v="24"/>
    <s v="CANTIANO"/>
    <m/>
    <m/>
    <s v="COL D'AGELLO - CANTIANO"/>
  </r>
  <r>
    <x v="8"/>
    <s v="COL DI FIORE"/>
    <s v="loc Col di Fiore snc"/>
    <x v="31"/>
    <s v="APECCHIO"/>
    <m/>
    <s v="lpraziendaagricola@gmail.com"/>
    <s v="COL DI FIORE - APECCHIO"/>
  </r>
  <r>
    <x v="5"/>
    <s v="COLAZIONE IN GIARDINO"/>
    <s v="via San Pietro Martire 10"/>
    <x v="4"/>
    <s v="JESI"/>
    <s v="www.colazioneingiardino.it"/>
    <s v="info@colazioneingiardino.it"/>
    <s v="COLAZIONE IN GIARDINO - JESI"/>
  </r>
  <r>
    <x v="0"/>
    <s v="COLDEMAGNA"/>
    <s v="via Coldemagna 31"/>
    <x v="46"/>
    <m/>
    <m/>
    <s v="coldemagna@gmail.com"/>
    <s v="COLDEMAGNA - SASSOFERRATO"/>
  </r>
  <r>
    <x v="7"/>
    <s v="COLEFFI MARIA VITTORIA"/>
    <s v="PREZIOTTI 7"/>
    <x v="37"/>
    <m/>
    <m/>
    <s v="giuseppe@mediapixel.it"/>
    <s v="COLEFFI MARIA VITTORIA - FERMO"/>
  </r>
  <r>
    <x v="7"/>
    <s v="COLETTA LAURA"/>
    <s v="fraz. Serrabernacchia 5"/>
    <x v="112"/>
    <s v="frazione Serrabernacchia"/>
    <m/>
    <s v="lauraco72@hotmail.com"/>
    <s v="COLETTA LAURA - GENGA"/>
  </r>
  <r>
    <x v="4"/>
    <s v="COLIBRI BEACH"/>
    <s v="viale alcide de gasperi 1 1"/>
    <x v="5"/>
    <s v="GROTTAMMARE"/>
    <m/>
    <m/>
    <s v="COLIBRI BEACH - GROTTAMMARE"/>
  </r>
  <r>
    <x v="0"/>
    <s v="COLLE DELLE STELLE"/>
    <s v="via panocchia 12"/>
    <x v="53"/>
    <s v="MERGO"/>
    <s v="www.colledellestelle.it"/>
    <s v="info@colledellestelle.it"/>
    <s v="COLLE DELLE STELLE - MERGO"/>
  </r>
  <r>
    <x v="0"/>
    <s v="COLLE DI GANGALIA"/>
    <s v="via Castelrosino 44"/>
    <x v="4"/>
    <s v="JESI"/>
    <m/>
    <s v="fmoroncini@libero.it"/>
    <s v="COLLE DI GANGALIA - JESI"/>
  </r>
  <r>
    <x v="8"/>
    <s v="COLLE INDACO"/>
    <s v="contrada Indaco 5"/>
    <x v="198"/>
    <s v="ORTEZZANO"/>
    <s v="www.colleindaco.it"/>
    <s v="info@colleindaco.it"/>
    <s v="COLLE INDACO - ORTEZZANO"/>
  </r>
  <r>
    <x v="0"/>
    <s v="COLLE RUFIANO"/>
    <s v="C.da Rufiano 15"/>
    <x v="82"/>
    <s v="CASTIGNANO"/>
    <s v="web.tiscali.it/collerufiano/"/>
    <s v="nicolapasqualini@inwind.it"/>
    <s v="COLLE RUFIANO - CASTIGNANO"/>
  </r>
  <r>
    <x v="0"/>
    <s v="COLLE SAVOIA"/>
    <s v="contrada crocifisso 2"/>
    <x v="105"/>
    <s v="COSSIGNANO"/>
    <m/>
    <s v="infocollesavoia@gmail.com"/>
    <s v="COLLE SAVOIA - COSSIGNANO"/>
  </r>
  <r>
    <x v="0"/>
    <s v="COLLE SUL LAGO"/>
    <s v="loc. Castreccioni 15"/>
    <x v="26"/>
    <m/>
    <s v="http://collesullago.com"/>
    <s v="info@collesullago.com"/>
    <s v="COLLE SUL LAGO - CINGOLI"/>
  </r>
  <r>
    <x v="0"/>
    <s v="COLLE VERDE"/>
    <s v="localita' bussonico 19"/>
    <x v="45"/>
    <s v="MONTEFORTINO"/>
    <m/>
    <s v="alfamitogta@virgilio.it"/>
    <s v="COLLE VERDE - MONTEFORTINO"/>
  </r>
  <r>
    <x v="9"/>
    <s v="COLLEGIO BONGIOVANNI"/>
    <s v="via B. Bongiovanni 7"/>
    <x v="42"/>
    <s v="CAMERINO"/>
    <s v="www.collegiobongiovanni.it"/>
    <s v="info@collegiobongiovanni.it"/>
    <s v="COLLEGIO BONGIOVANNI - CAMERINO"/>
  </r>
  <r>
    <x v="3"/>
    <s v="COLLEMARE SNC VILLA AL CONERO"/>
    <m/>
    <x v="15"/>
    <s v="LORETO"/>
    <m/>
    <m/>
    <s v="COLLEMARE SNC VILLA AL CONERO - LORETO"/>
  </r>
  <r>
    <x v="3"/>
    <s v="COLLEMARE SNC VILLAGGIO DEI TIGLI"/>
    <s v="via Montarice 114"/>
    <x v="23"/>
    <s v="PORTO RECANATI"/>
    <m/>
    <s v="info@villaggioitigli.it"/>
    <s v="COLLEMARE SNC VILLAGGIO DEI TIGLI - PORTO RECANATI"/>
  </r>
  <r>
    <x v="8"/>
    <s v="COLLEROVERE COUNTRY HOUSE"/>
    <s v="c.da Collerovere 3"/>
    <x v="116"/>
    <s v="SANT'ANGELO IN PONTANO"/>
    <s v="www.collerovere.com"/>
    <s v="collerovere@gmail.com"/>
    <s v="COLLEROVERE COUNTRY HOUSE - SANT'ANGELO IN PONTANO"/>
  </r>
  <r>
    <x v="8"/>
    <s v="COLLEVERDE"/>
    <s v="via bocca trabaria ovest 96"/>
    <x v="1"/>
    <s v="URBINO"/>
    <s v="www.colleverde-urbino.it"/>
    <s v="info@colleverde-urbino.it"/>
    <s v="COLLEVERDE - URBINO"/>
  </r>
  <r>
    <x v="8"/>
    <s v="COLLI GILBERTO"/>
    <s v="via Mainini 35"/>
    <x v="109"/>
    <m/>
    <m/>
    <m/>
    <s v="COLLI GILBERTO - MONTECASSIANO"/>
  </r>
  <r>
    <x v="7"/>
    <s v="COLLINA GIUSEPPE"/>
    <s v="Via Delle Convertite 10"/>
    <x v="151"/>
    <s v="ASCOLI PICENO"/>
    <m/>
    <s v="florilandia@libero.it"/>
    <s v="COLLINA GIUSEPPE - ASCOLI PICENO"/>
  </r>
  <r>
    <x v="7"/>
    <s v="COLLINS JAMES PAUL"/>
    <m/>
    <x v="62"/>
    <m/>
    <m/>
    <m/>
    <s v="COLLINS JAMES PAUL - AMANDOLA"/>
  </r>
  <r>
    <x v="7"/>
    <s v="COLLINS JAMES PAUL"/>
    <s v="c.da Lera 5"/>
    <x v="62"/>
    <m/>
    <m/>
    <s v="assistant_studiolegale@yahoo.it"/>
    <s v="COLLINS JAMES PAUL - AMANDOLA"/>
  </r>
  <r>
    <x v="0"/>
    <s v="COLMERU'"/>
    <s v="localita' Colmeroni 6"/>
    <x v="46"/>
    <s v="SASSOFERRATO"/>
    <m/>
    <s v="vecchi1958@alice.it"/>
    <s v="COLMERU' - SASSOFERRATO"/>
  </r>
  <r>
    <x v="0"/>
    <s v="COLOCCINI ANTONIO"/>
    <s v="contrada santa caterina 1"/>
    <x v="176"/>
    <s v="STAFFOLO"/>
    <m/>
    <m/>
    <s v="COLOCCINI ANTONIO - STAFFOLO"/>
  </r>
  <r>
    <x v="9"/>
    <s v="COLONIA DON ORIONE"/>
    <m/>
    <x v="25"/>
    <s v="CASCIAIA - MONTE NERONE"/>
    <m/>
    <s v="giorgiotasso50@gmail.com"/>
    <s v="COLONIA DON ORIONE - PIOBBICO"/>
  </r>
  <r>
    <x v="3"/>
    <s v="COLONIA MONTELAGO"/>
    <s v="frazione Montelago 69"/>
    <x v="46"/>
    <m/>
    <m/>
    <m/>
    <s v="COLONIA MONTELAGO - SASSOFERRATO"/>
  </r>
  <r>
    <x v="6"/>
    <s v="COLVERDE"/>
    <s v="via per Montalboddo 52"/>
    <x v="60"/>
    <s v="CORINALDO"/>
    <s v="www.colverde.com"/>
    <s v="info@colverde.com"/>
    <s v="COLVERDE - CORINALDO"/>
  </r>
  <r>
    <x v="10"/>
    <s v="COMMUNE TERRE CAMPI ROTUNDI"/>
    <s v="vicolo Giglioni 4"/>
    <x v="159"/>
    <m/>
    <m/>
    <s v="sindaco@camporotondo.sinp.net"/>
    <s v="COMMUNE TERRE CAMPI ROTUNDI - CAMPOROTONDO DI FIASTRONE"/>
  </r>
  <r>
    <x v="0"/>
    <s v="CONCE di ROGANTI SPOLETINI ENRICO"/>
    <s v="C.da Conce 1"/>
    <x v="139"/>
    <s v="TREIA"/>
    <s v="http://www.agriturismoconce.it/"/>
    <s v="info@agriturismoconce.it"/>
    <s v="CONCE di ROGANTI SPOLETINI ENRICO - TREIA"/>
  </r>
  <r>
    <x v="7"/>
    <s v="CONCETTONI LUCIA"/>
    <s v="PIAZZALE DELLA LIBERTA'  4/B"/>
    <x v="16"/>
    <s v="SENIGALLIA"/>
    <m/>
    <s v="affittiestivi@belenchia.com"/>
    <s v="CONCETTONI LUCIA - SENIGALLIA"/>
  </r>
  <r>
    <x v="1"/>
    <s v="CONCHIGLIA"/>
    <s v="via rieti 132"/>
    <x v="16"/>
    <s v="SENIGALLIA"/>
    <s v="www.hconchiglia.com"/>
    <s v="info@hconchiglia.com"/>
    <s v="CONCHIGLIA - SENIGALLIA"/>
  </r>
  <r>
    <x v="3"/>
    <s v="CONDOMINIO THECA UNO"/>
    <s v="via v. tedeschi 15"/>
    <x v="12"/>
    <s v="SAN BENEDETTO DEL TRONTO"/>
    <m/>
    <s v="ing.calcagni@tecacostruzioni.it"/>
    <s v="CONDOMINIO THECA UNO - SAN BENEDETTO DEL TRONTO"/>
  </r>
  <r>
    <x v="4"/>
    <s v="CONERO AZZURRO"/>
    <s v="via litoranea 1 1"/>
    <x v="9"/>
    <s v="MARCELLI"/>
    <s v="www.coneroazzurro.it"/>
    <s v="info@coneroazzurro.it"/>
    <s v="CONERO AZZURRO - NUMANA"/>
  </r>
  <r>
    <x v="12"/>
    <s v="CONERO AZZURRO"/>
    <s v="via Castelfidardo 80"/>
    <x v="9"/>
    <s v="NUMANA"/>
    <s v="www.coneroazzurro.it"/>
    <s v="info@coneroazzurro.it"/>
    <s v="CONERO AZZURRO - NUMANA"/>
  </r>
  <r>
    <x v="5"/>
    <s v="CONERO B&amp;B"/>
    <s v="via Amalfi 73"/>
    <x v="9"/>
    <s v="MARCELLI"/>
    <s v="www.conerobb.it"/>
    <s v="conerobb@gmail.com"/>
    <s v="CONERO B&amp;B - NUMANA"/>
  </r>
  <r>
    <x v="1"/>
    <s v="CONERO CAMERE"/>
    <s v="via Grilli 14"/>
    <x v="8"/>
    <m/>
    <s v="www.conerocamere.com"/>
    <s v="info@conerocamere.com"/>
    <s v="CONERO CAMERE - SIROLO"/>
  </r>
  <r>
    <x v="3"/>
    <s v="CONERO INFINITO 1"/>
    <s v="Viale Mareverde SNC"/>
    <x v="9"/>
    <s v="NUMANA"/>
    <m/>
    <s v="info@coneroinfinito.it"/>
    <s v="CONERO INFINITO 1 - NUMANA"/>
  </r>
  <r>
    <x v="3"/>
    <s v="CONERO MARE VERDE 1"/>
    <s v="via Mare Verde 85"/>
    <x v="9"/>
    <s v="NUMANA"/>
    <m/>
    <s v="info@coneromareverde.it"/>
    <s v="CONERO MARE VERDE 1 - NUMANA"/>
  </r>
  <r>
    <x v="3"/>
    <s v="CONERO MARE VERDE 2"/>
    <s v="via Mare Verde 85"/>
    <x v="9"/>
    <s v="NUMANA"/>
    <m/>
    <s v="info@coneromareverde.it; frapi72@me.com"/>
    <s v="CONERO MARE VERDE 2 - NUMANA"/>
  </r>
  <r>
    <x v="3"/>
    <s v="CONERO SUITES"/>
    <s v="via Mare Verde anc"/>
    <x v="9"/>
    <m/>
    <s v="www.conerosuites.it"/>
    <s v="info@conerosuites.it"/>
    <s v="CONERO SUITES - NUMANA"/>
  </r>
  <r>
    <x v="7"/>
    <s v="CONEROBELLAVISTA di BENADDUCI P. E ROSSETTI C."/>
    <s v="frazione Poggio 137"/>
    <x v="10"/>
    <s v="ANCONA"/>
    <m/>
    <s v="katia.ross@libero.it"/>
    <s v="CONEROBELLAVISTA di BENADDUCI P. E ROSSETTI C. - ANCONA"/>
  </r>
  <r>
    <x v="11"/>
    <s v="CONERO'S LIFE"/>
    <s v="viale Scarfiotti snc"/>
    <x v="23"/>
    <s v="loc. Scossicci"/>
    <m/>
    <s v="areacamper.portorecanati@gmail.com"/>
    <s v="CONERO'S LIFE - PORTO RECANATI"/>
  </r>
  <r>
    <x v="7"/>
    <s v="CONSOLI ANNA RITA"/>
    <s v="Lungomare Mameli 265"/>
    <x v="16"/>
    <s v="SENIGALLIA"/>
    <m/>
    <s v="info@dimoraimmobiliare.it"/>
    <s v="CONSOLI ANNA RITA - SENIGALLIA"/>
  </r>
  <r>
    <x v="7"/>
    <s v="CONTARDI GIOVANNI"/>
    <s v="Via Istria 4"/>
    <x v="16"/>
    <s v="SENIGALLIA"/>
    <m/>
    <s v="g.contardi@pcprocessingcenter.191.it"/>
    <s v="CONTARDI GIOVANNI - SENIGALLIA"/>
  </r>
  <r>
    <x v="3"/>
    <s v="CONTEA DEI CILIEGI"/>
    <s v="via Dei Piceni 14"/>
    <x v="222"/>
    <s v="collina &quot;monte serrone&quot;"/>
    <s v="www.laconteadeiciliegi.it"/>
    <s v="info@conteadeiciliegi.it"/>
    <s v="CONTEA DEI CILIEGI - PEDASO"/>
  </r>
  <r>
    <x v="7"/>
    <s v="CONTIGIANI SANDRO"/>
    <s v="Via San Marco 17"/>
    <x v="216"/>
    <s v="PETRIOLO"/>
    <m/>
    <s v="impresaedilecontigiani@gmail.com"/>
    <s v="CONTIGIANI SANDRO - PETRIOLO"/>
  </r>
  <r>
    <x v="1"/>
    <s v="CONTINENTAL"/>
    <s v="viale Adriatico 148"/>
    <x v="33"/>
    <s v="FANO"/>
    <s v="www.hotelcontinental-fano.it"/>
    <s v="info@hotelcontinental-fano.it"/>
    <s v="CONTINENTAL - FANO"/>
  </r>
  <r>
    <x v="1"/>
    <s v="CONTINENTAL"/>
    <s v="via primo maggio 6"/>
    <x v="28"/>
    <s v="GABICCE MARE"/>
    <s v="www.continentalhotel.info"/>
    <s v="continental@continentalhotel.info"/>
    <s v="CONTINENTAL - GABICCE MARE"/>
  </r>
  <r>
    <x v="1"/>
    <s v="CONTINENTAL"/>
    <s v="Lungomare Alighieri 126"/>
    <x v="16"/>
    <s v="SENIGALLIA"/>
    <s v="www.ilcontinental.com"/>
    <s v="info@ilcontinental.com"/>
    <s v="CONTINENTAL - SENIGALLIA"/>
  </r>
  <r>
    <x v="1"/>
    <s v="CONTINENTAL"/>
    <s v="viale europa 66"/>
    <x v="12"/>
    <s v="SAN BENEDETTO DEL TRONTO"/>
    <s v="www.hotel-continental.net"/>
    <s v="info@hotel-continental.net"/>
    <s v="CONTINENTAL - SAN BENEDETTO DEL TRONTO"/>
  </r>
  <r>
    <x v="7"/>
    <s v="CONTINI MIRCO"/>
    <s v="Via Basilicata 3/C"/>
    <x v="16"/>
    <s v="SENIGALLIA"/>
    <m/>
    <s v="affittiestivi@belenchia.com"/>
    <s v="CONTINI MIRCO - SENIGALLIA"/>
  </r>
  <r>
    <x v="0"/>
    <s v="CONTRADA VALLE LUNGA"/>
    <s v="fraz. Sappanico 159"/>
    <x v="10"/>
    <s v="Sappanico di Ancona"/>
    <s v="www.agrivallelunga.it"/>
    <s v="info@agrivallelunga.it"/>
    <s v="CONTRADA VALLE LUNGA - ANCONA"/>
  </r>
  <r>
    <x v="4"/>
    <s v="COPACABANA"/>
    <s v="Via Pizzetti 10"/>
    <x v="23"/>
    <m/>
    <m/>
    <s v="cristianludolini@hotmail.it"/>
    <s v="COPACABANA - PORTO RECANATI"/>
  </r>
  <r>
    <x v="0"/>
    <s v="COPPOLA GIANCARLO &amp; FIGLI"/>
    <s v="frazione Massignano 68"/>
    <x v="10"/>
    <s v="ANCONA"/>
    <s v="www.agriturismoconero.com"/>
    <s v="coppolagiamaglipaola@yahoo.it"/>
    <s v="COPPOLA GIANCARLO &amp; FIGLI - ANCONA"/>
  </r>
  <r>
    <x v="3"/>
    <s v="COQUUS FORNACIS"/>
    <s v="via Fornace 7"/>
    <x v="118"/>
    <s v="SERRA DE' CONTI"/>
    <s v="www.coquusfornacis.it"/>
    <s v="info@coquusfornacis.it"/>
    <s v="COQUUS FORNACIS - SERRA DE' CONTI"/>
  </r>
  <r>
    <x v="1"/>
    <s v="CORALLO"/>
    <s v="via Leonardo da Vinci 3"/>
    <x v="33"/>
    <s v="FANO"/>
    <s v="www.hotelcorallo-fano.it"/>
    <s v="info@hotelcorallo-fano.it"/>
    <s v="CORALLO - FANO"/>
  </r>
  <r>
    <x v="1"/>
    <s v="CORALLO"/>
    <s v="lungomare Mameli 66"/>
    <x v="16"/>
    <s v="SENIGALLIA"/>
    <s v="www.hcorallo.it"/>
    <s v="info@hcorallo.it"/>
    <s v="CORALLO - SENIGALLIA"/>
  </r>
  <r>
    <x v="4"/>
    <s v="CORALLO"/>
    <s v="viale alcide de gasperi  1"/>
    <x v="5"/>
    <m/>
    <m/>
    <m/>
    <s v="CORALLO - GROTTAMMARE"/>
  </r>
  <r>
    <x v="4"/>
    <s v="CORALLO"/>
    <s v="lungomare gramsci 1 1"/>
    <x v="47"/>
    <s v="PORTO SAN GIORGIO"/>
    <m/>
    <m/>
    <s v="CORALLO - PORTO SAN GIORGIO"/>
  </r>
  <r>
    <x v="4"/>
    <s v="CORALLO SUMMER VILLAGE"/>
    <s v="via Litoranea 1 1"/>
    <x v="9"/>
    <m/>
    <s v="info@corallovillage.it"/>
    <s v="www.corallovillage.it"/>
    <s v="CORALLO SUMMER VILLAGE - NUMANA"/>
  </r>
  <r>
    <x v="4"/>
    <s v="CORI CARLO"/>
    <s v="VIA PALOMBINA VECCHIA 1"/>
    <x v="10"/>
    <s v="FALCONARA MARITTIMA"/>
    <m/>
    <s v="paolo@paolocori.com"/>
    <s v="CORI CARLO - ANCONA"/>
  </r>
  <r>
    <x v="5"/>
    <s v="CORNER GARDEN B&amp;B"/>
    <s v="contrada Torrenova  36"/>
    <x v="148"/>
    <m/>
    <s v="www.cornergarden-bb.com"/>
    <s v="cornergarden@libero.it"/>
    <s v="CORNER GARDEN B&amp;B - POTENZA PICENA"/>
  </r>
  <r>
    <x v="8"/>
    <s v="CORNIO DELLE FRONDE"/>
    <s v="Via Costa della Figura  24"/>
    <x v="191"/>
    <s v="Fontecorniale"/>
    <s v="www.corniodellefronde.it"/>
    <s v="info@corniodellefronde.it"/>
    <s v="CORNIO DELLE FRONDE - MONTEFELCINO"/>
  </r>
  <r>
    <x v="7"/>
    <s v="CORRADO CALIENDI"/>
    <s v="LOCALITA' PIAN DEI PRATI sn"/>
    <x v="100"/>
    <m/>
    <m/>
    <m/>
    <s v="CORRADO CALIENDI - FRONTINO"/>
  </r>
  <r>
    <x v="5"/>
    <s v="CORTE CLEMENTINA"/>
    <s v="Via Clementina 18"/>
    <x v="4"/>
    <s v="JESI"/>
    <m/>
    <s v="loretta.sordoni@gmail.com"/>
    <s v="CORTE CLEMENTINA - JESI"/>
  </r>
  <r>
    <x v="8"/>
    <s v="CORTE DEL SOLE"/>
    <s v="rua sant' antonio 1"/>
    <x v="151"/>
    <s v="ASCOLI PICENO"/>
    <s v="www.lacortedelsole.com"/>
    <s v="info@lacortedelsole.com"/>
    <s v="CORTE DEL SOLE - ASCOLI PICENO"/>
  </r>
  <r>
    <x v="6"/>
    <s v="CORTINA"/>
    <s v="lungomare Italia 1"/>
    <x v="16"/>
    <s v="SENIGALLIA"/>
    <s v="www.campingcortina.com www.campingcortina.net"/>
    <s v="camping.cortina@libero.it"/>
    <s v="CORTINA - SENIGALLIA"/>
  </r>
  <r>
    <x v="7"/>
    <s v="COSIMO CORRADO BARBATO"/>
    <s v="via A. Cappellini 57"/>
    <x v="33"/>
    <m/>
    <m/>
    <m/>
    <s v="COSIMO CORRADO BARBATO - FANO"/>
  </r>
  <r>
    <x v="8"/>
    <s v="COSTA DEL MOLINO"/>
    <s v="coste del Molino 1/A"/>
    <x v="214"/>
    <m/>
    <m/>
    <s v="sistemfe@tin.it"/>
    <s v="COSTA DEL MOLINO - POGGIO SAN MARCELLO"/>
  </r>
  <r>
    <x v="0"/>
    <s v="COSTA DELLA FIGURA"/>
    <m/>
    <x v="191"/>
    <s v="Montefelcino"/>
    <m/>
    <s v="info@costadellafigura.com"/>
    <s v="COSTA DELLA FIGURA - MONTEFELCINO"/>
  </r>
  <r>
    <x v="7"/>
    <s v="COSTANTINI STEFANO"/>
    <s v="A. GRAMSCI 20/C"/>
    <x v="148"/>
    <s v="porto"/>
    <s v="https://plus.google.com/+CasaDAmareCOSTANTINI"/>
    <s v="info@casadamarecostantini.com"/>
    <s v="COSTANTINI STEFANO - POTENZA PICENA"/>
  </r>
  <r>
    <x v="3"/>
    <s v="COSTANZA"/>
    <s v="MARTINO DA FANO  36"/>
    <x v="33"/>
    <s v="Fano zona Centro"/>
    <m/>
    <s v="schiaroli.luciano@gmail.com"/>
    <s v="COSTANZA - FANO"/>
  </r>
  <r>
    <x v="7"/>
    <s v="COTTAGE LA VOLPE E IL FAGIANO"/>
    <s v="via Selva 6"/>
    <x v="226"/>
    <m/>
    <m/>
    <s v="info@cottagemc.it"/>
    <s v="COTTAGE LA VOLPE E IL FAGIANO - URBISAGLIA"/>
  </r>
  <r>
    <x v="5"/>
    <s v="COUNTRY  B&amp;B IL VOLO DEL FALCO"/>
    <s v="contrada Colvenale 18"/>
    <x v="159"/>
    <s v="CAMPOROTONDO DI FIASTRONE"/>
    <s v="www.ilvolodelfalco.com"/>
    <s v="cristianobibini@hotmail.it"/>
    <s v="COUNTRY  B&amp;B IL VOLO DEL FALCO - CAMPOROTONDO DI FIASTRONE"/>
  </r>
  <r>
    <x v="1"/>
    <s v="COUNTRY HOTEL &amp; RESTAURANT I CALANCHI"/>
    <s v="c.da Verrame 1"/>
    <x v="3"/>
    <s v="SAN SAVINO"/>
    <s v="www.i-calanchi.com"/>
    <s v="info@i-calanchi.com"/>
    <s v="COUNTRY HOTEL &amp; RESTAURANT I CALANCHI - RIPATRANSONE"/>
  </r>
  <r>
    <x v="1"/>
    <s v="COUNTRY HOTEL SASSOFERRATO"/>
    <s v="località Piano 114/g"/>
    <x v="46"/>
    <s v="loc. Piano Frassineta"/>
    <s v="www.countryhotelsassoferrato.191.it"/>
    <s v="info@countryhotelsassoferrato.191.it"/>
    <s v="COUNTRY HOTEL SASSOFERRATO - SASSOFERRATO"/>
  </r>
  <r>
    <x v="8"/>
    <s v="COUNTRY HOUSE  &quot;CA' VERNACCIA&quot;"/>
    <s v="via panoramica 10"/>
    <x v="1"/>
    <s v="URBINO"/>
    <s v="www.locandaurbino.com"/>
    <s v="info@locandaurbino.com"/>
    <s v="COUNTRY HOUSE  &quot;CA' VERNACCIA&quot; - URBINO"/>
  </r>
  <r>
    <x v="8"/>
    <s v="COUNTRY HOUSE  &quot;I GELSI&quot;  DI VILLANI FRANCESCA"/>
    <s v="contrada acquesalate 24"/>
    <x v="0"/>
    <s v="MACERATA"/>
    <s v="www.igelsi-countryhouse.it"/>
    <s v="info@igelsi-countryhouse.it"/>
    <s v="COUNTRY HOUSE  &quot;I GELSI&quot;  DI VILLANI FRANCESCA - MACERATA"/>
  </r>
  <r>
    <x v="8"/>
    <s v="COUNTRY HOUSE  BINNELLA DI TRILLINI RICCARDO"/>
    <s v="localita' Saltregna 3"/>
    <x v="26"/>
    <s v="CINGOLI"/>
    <m/>
    <s v="countryhousebinnella@gmail.com"/>
    <s v="COUNTRY HOUSE  BINNELLA DI TRILLINI RICCARDO - CINGOLI"/>
  </r>
  <r>
    <x v="8"/>
    <s v="COUNTRY HOUSE AI CIPRESSI"/>
    <s v="via mainardi 3"/>
    <x v="1"/>
    <s v="URBINO"/>
    <s v="http://www.cipressiurbino.it"/>
    <s v="cipressiurbino@gmail.com"/>
    <s v="COUNTRY HOUSE AI CIPRESSI - URBINO"/>
  </r>
  <r>
    <x v="8"/>
    <s v="COUNTRY HOUSE ANGELO BLU"/>
    <s v="Via Porta Parco 37"/>
    <x v="80"/>
    <s v="URBANIA"/>
    <s v="www.countryhouseangeloblu.it"/>
    <s v="info@countryhouseangeloblu.it"/>
    <s v="COUNTRY HOUSE ANGELO BLU - URBANIA"/>
  </r>
  <r>
    <x v="8"/>
    <s v="COUNTRY HOUSE CA' - LANI"/>
    <s v="localita' battaglia 5"/>
    <x v="147"/>
    <s v="PEGLIO"/>
    <m/>
    <m/>
    <s v="COUNTRY HOUSE CA' - LANI - PEGLIO"/>
  </r>
  <r>
    <x v="8"/>
    <s v="COUNTRY HOUSE CA' BRUNELLO di LORENZONI FILIPPO"/>
    <s v="Via Cà Brunello 1"/>
    <x v="1"/>
    <s v="URBINO"/>
    <m/>
    <s v="cabrunello@libero.it"/>
    <s v="COUNTRY HOUSE CA' BRUNELLO di LORENZONI FILIPPO - URBINO"/>
  </r>
  <r>
    <x v="8"/>
    <s v="COUNTRY HOUSE CA' BUCARINI"/>
    <s v="case sparse naro 3"/>
    <x v="75"/>
    <s v="CAGLI"/>
    <m/>
    <s v="bucarinilucia@gmail.com"/>
    <s v="COUNTRY HOUSE CA' BUCARINI - CAGLI"/>
  </r>
  <r>
    <x v="8"/>
    <s v="COUNTRY HOUSE CA PAZZO"/>
    <s v="via Le Case 213"/>
    <x v="25"/>
    <m/>
    <s v="www.capazzo.com"/>
    <s v="info@capazzo.com"/>
    <s v="COUNTRY HOUSE CA PAZZO - PIOBBICO"/>
  </r>
  <r>
    <x v="8"/>
    <s v="COUNTRY HOUSE CACCIABOCCA"/>
    <s v="vocabolo Caselle 100"/>
    <x v="31"/>
    <s v="APECCHIO"/>
    <s v="www.countryhousechiciabocca.it"/>
    <s v="info@countryhousechiciabocca.it"/>
    <s v="COUNTRY HOUSE CACCIABOCCA - APECCHIO"/>
  </r>
  <r>
    <x v="8"/>
    <s v="COUNTRY HOUSE CALVIE"/>
    <s v="localita' calvie 2"/>
    <x v="42"/>
    <s v="CAMERINO"/>
    <s v="www.lecalvie.it"/>
    <s v="info@lecalvie.it"/>
    <s v="COUNTRY HOUSE CALVIE - CAMERINO"/>
  </r>
  <r>
    <x v="8"/>
    <s v="COUNTRY HOUSE CASA LONDEI"/>
    <s v="via Reforzate 7"/>
    <x v="140"/>
    <m/>
    <m/>
    <s v="davidelondei@libero.it"/>
    <s v="COUNTRY HOUSE CASA LONDEI - SANT'IPPOLITO"/>
  </r>
  <r>
    <x v="8"/>
    <s v="COUNTRY HOUSE CASA ROSSA"/>
    <s v="VIA MADONNA DI LORETO 4"/>
    <x v="228"/>
    <s v="MONTELEONE DI FERMO"/>
    <s v="www.countryhousecasarossa.it"/>
    <s v="info@countryhousecasarossa.it"/>
    <s v="COUNTRY HOUSE CASA ROSSA - MONTELEONE DI FERMO"/>
  </r>
  <r>
    <x v="8"/>
    <s v="COUNTRY HOUSE CASTELLO DI MONTEGIOVE"/>
    <s v="via Forcolo 26"/>
    <x v="33"/>
    <s v="FANO"/>
    <s v="www.castellomontegiovehotel.com"/>
    <s v="info@castellomontegiove.it"/>
    <s v="COUNTRY HOUSE CASTELLO DI MONTEGIOVE - FANO"/>
  </r>
  <r>
    <x v="8"/>
    <s v="COUNTRY HOUSE CERQUETO di MONICA MARIA HENRICA DE VEER"/>
    <s v="c.da Gualduccio 1"/>
    <x v="132"/>
    <s v="SAN GINESIO"/>
    <s v="www.azienda-cerqueto.com"/>
    <s v="info@azienda-cerqueto.com"/>
    <s v="COUNTRY HOUSE CERQUETO di MONICA MARIA HENRICA DE VEER - SAN GINESIO"/>
  </r>
  <r>
    <x v="8"/>
    <s v="COUNTRY HOUSE CHIARALUCE"/>
    <s v="contrada fonte trufo 34"/>
    <x v="73"/>
    <s v="MASSIGNANO"/>
    <s v="www.countryhouseonline.it"/>
    <s v="info@countryhouseonline.it"/>
    <s v="COUNTRY HOUSE CHIARALUCE - MASSIGNANO"/>
  </r>
  <r>
    <x v="8"/>
    <s v="COUNTRY HOUSE COLLE RIDENTE"/>
    <s v="LOCALITA' COLLE RIDENTE  2"/>
    <x v="42"/>
    <s v="COLLE RIDENTE"/>
    <m/>
    <s v="info@colleridente.it"/>
    <s v="COUNTRY HOUSE COLLE RIDENTE - CAMERINO"/>
  </r>
  <r>
    <x v="8"/>
    <s v="COUNTRY HOUSE DEI SEGRETI"/>
    <s v="contrada verde fiore 1"/>
    <x v="108"/>
    <s v="APPIGNANO"/>
    <s v="www.osteriadeisegreti.com"/>
    <s v="info@osteriadeisegreti.com"/>
    <s v="COUNTRY HOUSE DEI SEGRETI - APPIGNANO"/>
  </r>
  <r>
    <x v="8"/>
    <s v="COUNTRY HOUSE DI CAPODIMONTE MARISA"/>
    <s v="frazione Pozzo 37"/>
    <x v="26"/>
    <s v="CINGOLI"/>
    <s v="www.casalefabrizi.it"/>
    <s v="info@casalefabrizi.it"/>
    <s v="COUNTRY HOUSE DI CAPODIMONTE MARISA - CINGOLI"/>
  </r>
  <r>
    <x v="8"/>
    <s v="COUNTRY HOUSE DI FEDERICI ANNA"/>
    <s v="c.da Carreggiano 4/a"/>
    <x v="139"/>
    <s v="TREIA"/>
    <m/>
    <m/>
    <s v="COUNTRY HOUSE DI FEDERICI ANNA - TREIA"/>
  </r>
  <r>
    <x v="8"/>
    <s v="COUNTRY HOUSE ELINE"/>
    <s v="via Madonna del Piano 85"/>
    <x v="91"/>
    <m/>
    <m/>
    <s v="info@casaleeline.com"/>
    <s v="COUNTRY HOUSE ELINE - PERGOLA"/>
  </r>
  <r>
    <x v="8"/>
    <s v="COUNTRY HOUSE FALERIA"/>
    <s v="via delle Terme 4"/>
    <x v="66"/>
    <s v="FALERONE"/>
    <s v="www.countryhousefaleria.it"/>
    <s v="info@countryhousefaleria.it"/>
    <s v="COUNTRY HOUSE FALERIA - FALERONE"/>
  </r>
  <r>
    <x v="8"/>
    <s v="COUNTRY HOUSE FANTASIA di CICCIOLI CARLA"/>
    <s v="contrada Grazie Fiastra 58"/>
    <x v="229"/>
    <s v="RIPE SAN GINESIO"/>
    <m/>
    <s v="countryfantasia@hotmail.it"/>
    <s v="COUNTRY HOUSE FANTASIA di CICCIOLI CARLA - RIPE SAN GINESIO"/>
  </r>
  <r>
    <x v="3"/>
    <s v="COUNTRY HOUSE FAVETO"/>
    <s v="c.da Faveto 88"/>
    <x v="43"/>
    <m/>
    <m/>
    <s v="sabri14@alice.it"/>
    <s v="COUNTRY HOUSE FAVETO - MONTEFALCONE APPENNINO"/>
  </r>
  <r>
    <x v="8"/>
    <s v="COUNTRY HOUSE I MORI"/>
    <s v="localita' Pettovallone 1"/>
    <x v="26"/>
    <s v="CINGOLI"/>
    <s v="www.imori.net"/>
    <s v="info@imori.net"/>
    <s v="COUNTRY HOUSE I MORI - CINGOLI"/>
  </r>
  <r>
    <x v="8"/>
    <s v="COUNTRY HOUSE IL CASALE"/>
    <s v="c.da Chiaravalle 39/a"/>
    <x v="139"/>
    <s v="TREIA"/>
    <s v="www.gitanos.it"/>
    <s v="info@gitanos.it"/>
    <s v="COUNTRY HOUSE IL CASALE - TREIA"/>
  </r>
  <r>
    <x v="8"/>
    <s v="COUNTRY HOUSE IL FALCO"/>
    <s v="localita' Finocchieto 204"/>
    <x v="25"/>
    <s v="PIOBBICO"/>
    <s v="www.ilfalco.eu"/>
    <s v="info@ilfalco.eu"/>
    <s v="COUNTRY HOUSE IL FALCO - PIOBBICO"/>
  </r>
  <r>
    <x v="8"/>
    <s v="COUNTRY HOUSE IL GIORDANO,SASSO DELLA ROCCA"/>
    <s v="via Centro Pieia 16,45"/>
    <x v="75"/>
    <s v="Centro Pieia 16; Centro Pieia 45"/>
    <s v="www.pieiavacanze.it"/>
    <s v="info@pieiavacanze.it"/>
    <s v="COUNTRY HOUSE IL GIORDANO,SASSO DELLA ROCCA - CAGLI"/>
  </r>
  <r>
    <x v="12"/>
    <s v="COUNTRY HOUSE IL GIRASOLE"/>
    <s v="Contrada S. Pietro 38"/>
    <x v="73"/>
    <s v="MASSIGNANO"/>
    <m/>
    <s v="countryhouseilgirasole@gmail.com"/>
    <s v="COUNTRY HOUSE IL GIRASOLE - MASSIGNANO"/>
  </r>
  <r>
    <x v="8"/>
    <s v="COUNTRY HOUSE IL MOLINO"/>
    <s v="localita' pian della pieve 60"/>
    <x v="26"/>
    <s v="CINGOLI"/>
    <m/>
    <m/>
    <s v="COUNTRY HOUSE IL MOLINO - CINGOLI"/>
  </r>
  <r>
    <x v="8"/>
    <s v="COUNTRY HOUSE IL PRATO di ZANCONI PAOLO"/>
    <s v="via Giacomo Puccini 2"/>
    <x v="26"/>
    <s v="CINGOLI"/>
    <m/>
    <s v="paolozanconi@gmail.com"/>
    <s v="COUNTRY HOUSE IL PRATO di ZANCONI PAOLO - CINGOLI"/>
  </r>
  <r>
    <x v="8"/>
    <s v="COUNTRY HOUSE IL VILLINO"/>
    <s v="c.da San Carlo 29"/>
    <x v="139"/>
    <s v="TREIA"/>
    <s v="www.ilvillinoristorante.it, www.villino.it"/>
    <s v="info@ilvillinoristorante.it; info@villino.it"/>
    <s v="COUNTRY HOUSE IL VILLINO - TREIA"/>
  </r>
  <r>
    <x v="8"/>
    <s v="COUNTRY HOUSE ISOLA BELGATTO"/>
    <s v="località belgatto 87"/>
    <x v="33"/>
    <s v="FANO"/>
    <s v="www.isolabelgatto.it"/>
    <s v="planet@isolabelgatto.it"/>
    <s v="COUNTRY HOUSE ISOLA BELGATTO - FANO"/>
  </r>
  <r>
    <x v="8"/>
    <s v="COUNTRY HOUSE LA CILICCHIA DI VESSELIZZA CHIARA"/>
    <s v="via Contrada Colonne 8"/>
    <x v="154"/>
    <m/>
    <m/>
    <s v="vesselizzachiara@netoip.com"/>
    <s v="COUNTRY HOUSE LA CILICCHIA DI VESSELIZZA CHIARA - AGUGLIANO"/>
  </r>
  <r>
    <x v="8"/>
    <s v="COUNTRY HOUSE LA FATTORIA"/>
    <s v="c.da Carreggiano 24"/>
    <x v="139"/>
    <s v="TREIA"/>
    <s v="www.lafattoriadipaolo.it"/>
    <m/>
    <s v="COUNTRY HOUSE LA FATTORIA - TREIA"/>
  </r>
  <r>
    <x v="8"/>
    <s v="COUNTRY HOUSE LA FOROLA 1923"/>
    <m/>
    <x v="19"/>
    <s v="ACQUAVIVA PICENA"/>
    <m/>
    <s v="nicolinocameli@gmail.com"/>
    <s v="COUNTRY HOUSE LA FOROLA 1923 - ACQUAVIVA PICENA"/>
  </r>
  <r>
    <x v="8"/>
    <s v="COUNTRY HOUSE LA MADONNINA"/>
    <s v="frazione filetto via cavallo montirone 211"/>
    <x v="16"/>
    <s v="SENIGALLIA"/>
    <s v="www.countryhouselamadonnina.it"/>
    <s v="info@countryhouselamadonnina.it"/>
    <s v="COUNTRY HOUSE LA MADONNINA - SENIGALLIA"/>
  </r>
  <r>
    <x v="8"/>
    <s v="COUNTRY HOUSE LA MARTINA"/>
    <s v="via Marina II 8"/>
    <x v="9"/>
    <m/>
    <m/>
    <s v="info@agriturismohornos.it"/>
    <s v="COUNTRY HOUSE LA MARTINA - NUMANA"/>
  </r>
  <r>
    <x v="8"/>
    <s v="COUNTRY HOUSE LA QUERCETA DI MARNACCHIA"/>
    <s v="Villa Marnacchia 2"/>
    <x v="62"/>
    <s v="AMANDOLA"/>
    <s v="www.laquercetadimarnacchia.it"/>
    <s v="gio@la quercetadimarnacchia.it"/>
    <s v="COUNTRY HOUSE LA QUERCETA DI MARNACCHIA - AMANDOLA"/>
  </r>
  <r>
    <x v="8"/>
    <s v="COUNTRY HOUSE LA RADICE"/>
    <s v="via orlando marchetti 45"/>
    <x v="17"/>
    <s v="CIVITANOVA MARCHE"/>
    <s v="www.hotellaradice.it"/>
    <s v="info@hotellaradice.it"/>
    <s v="COUNTRY HOUSE LA RADICE - CIVITANOVA MARCHE"/>
  </r>
  <r>
    <x v="8"/>
    <s v="COUNTRY HOUSE LA SPINA"/>
    <s v="vocabolo spina 1"/>
    <x v="31"/>
    <s v="APECCHIO"/>
    <s v="www.countryhouselaspina.it"/>
    <s v="info@countryhouselaspina.it"/>
    <s v="COUNTRY HOUSE LA SPINA - APECCHIO"/>
  </r>
  <r>
    <x v="8"/>
    <s v="COUNTRY HOUSE L'ABBAZIA"/>
    <s v="contrada Sant' Urbano 5"/>
    <x v="121"/>
    <s v="APIRO"/>
    <s v="www.abbaziasanturbano.it"/>
    <s v="abbaziasanturbano@libero.it"/>
    <s v="COUNTRY HOUSE L'ABBAZIA - APIRO"/>
  </r>
  <r>
    <x v="8"/>
    <s v="COUNTRY HOUSE LAMADDALENA"/>
    <s v="Via Storaco 3"/>
    <x v="36"/>
    <s v="FILOTTRANO"/>
    <s v="www.agriturismolamaddalena.com"/>
    <s v="info@agriturismolamaddalena.com"/>
    <s v="COUNTRY HOUSE LAMADDALENA - FILOTTRANO"/>
  </r>
  <r>
    <x v="8"/>
    <s v="COUNTRY HOUSE LE GRAZIE"/>
    <s v="c.da Forchiusa 101"/>
    <x v="72"/>
    <m/>
    <s v="www.countryhouselegrazie.it"/>
    <s v="info@countryhouselegrazie.it"/>
    <s v="COUNTRY HOUSE LE GRAZIE - SERRA SAN QUIRICO"/>
  </r>
  <r>
    <x v="8"/>
    <s v="COUNTRY HOUSE LOCALITA' GIROFALCO"/>
    <s v="Via Girfalco, 26"/>
    <x v="1"/>
    <m/>
    <s v="www.girfalco.it"/>
    <s v="info@girfalco.it"/>
    <s v="COUNTRY HOUSE LOCALITA' GIROFALCO - URBINO"/>
  </r>
  <r>
    <x v="8"/>
    <s v="COUNTRY HOUSE MONTEBELLO"/>
    <s v="strada della Fonte 12"/>
    <x v="156"/>
    <m/>
    <s v="www.countryhouse-montebello.it"/>
    <s v="info@countryhouse-montebello.it"/>
    <s v="COUNTRY HOUSE MONTEBELLO - GROTTAZZOLINA"/>
  </r>
  <r>
    <x v="8"/>
    <s v="COUNTRY HOUSE MONTESOFFIO"/>
    <s v="localita' montesoffio 5"/>
    <x v="173"/>
    <s v="BARCHI"/>
    <s v="www.montesoffio.com"/>
    <s v="info@montesoffio.com"/>
    <s v="COUNTRY HOUSE MONTESOFFIO - BARCHI"/>
  </r>
  <r>
    <x v="8"/>
    <s v="COUNTRY HOUSE PAPPAFO'"/>
    <s v="localita' montagnano 98"/>
    <x v="42"/>
    <s v="CAMERINO"/>
    <m/>
    <m/>
    <s v="COUNTRY HOUSE PAPPAFO' - CAMERINO"/>
  </r>
  <r>
    <x v="8"/>
    <s v="COUNTRY HOUSE RE ARTU'"/>
    <s v="localita' baldoni 2"/>
    <x v="45"/>
    <s v="MONTEFORTINO"/>
    <m/>
    <m/>
    <s v="COUNTRY HOUSE RE ARTU' - MONTEFORTINO"/>
  </r>
  <r>
    <x v="8"/>
    <s v="COUNTRY HOUSE SALOMONE"/>
    <s v="vocabolo Salomone 437"/>
    <x v="145"/>
    <s v="MATELICA"/>
    <s v="www.salomone-matelica.it"/>
    <s v="info@salomone-matelica.it"/>
    <s v="COUNTRY HOUSE SALOMONE - MATELICA"/>
  </r>
  <r>
    <x v="8"/>
    <s v="COUNTRY HOUSE SANT'ANGELO"/>
    <s v="strada Costa dei Fabbri 221"/>
    <x v="16"/>
    <s v="SANT'ANGELO"/>
    <s v="www.countryhousesantangelo.it"/>
    <s v="pamelabacolini@libero.it"/>
    <s v="COUNTRY HOUSE SANT'ANGELO - SENIGALLIA"/>
  </r>
  <r>
    <x v="8"/>
    <s v="COUNTRY HOUSE SANT'ANGIOLINO"/>
    <s v="LOC. S. ERACLIANO 13"/>
    <x v="80"/>
    <s v="LOC. SANT'ANGIOLINO"/>
    <s v="www.santangiolino.it"/>
    <s v="info@santangiolino.it"/>
    <s v="COUNTRY HOUSE SANT'ANGIOLINO - URBANIA"/>
  </r>
  <r>
    <x v="8"/>
    <s v="COUNTRY HOUSE SOLE E LUNA"/>
    <s v="c.da San Giovanni 54"/>
    <x v="120"/>
    <m/>
    <s v="www.countryhousesoleeluna.com"/>
    <s v="info@countryhousesoleeluna.com"/>
    <s v="COUNTRY HOUSE SOLE E LUNA - MONTEFIORE DELL'ASO"/>
  </r>
  <r>
    <x v="0"/>
    <s v="COUNTRY HOUSE SOTTO VENTO"/>
    <s v="frazione Colle 14"/>
    <x v="84"/>
    <s v="MONTEGALLO"/>
    <s v="www.rifugiocollesibillini.it"/>
    <s v="sibillini.colle@libero.it"/>
    <s v="COUNTRY HOUSE SOTTO VENTO - MONTEGALLO"/>
  </r>
  <r>
    <x v="8"/>
    <s v="COUNTRY HOUSE VARANO"/>
    <s v="frazione santa lucia 3"/>
    <x v="42"/>
    <s v="CAMERINO"/>
    <s v="www.varanocountryhouse.com"/>
    <s v="agasnc@libero.it"/>
    <s v="COUNTRY HOUSE VARANO - CAMERINO"/>
  </r>
  <r>
    <x v="8"/>
    <s v="COUNTRY HOUSE VILLA CISCA"/>
    <s v="localita' molino fulvi 14"/>
    <x v="171"/>
    <s v="AUDITORE"/>
    <s v="www.villacisca.com"/>
    <s v="info@villacisca.com"/>
    <s v="COUNTRY HOUSE VILLA CISCA - AUDITORE"/>
  </r>
  <r>
    <x v="8"/>
    <s v="COUNTRY HOUSE VILLA CLELIA"/>
    <s v="via Piani d' Aspio 1"/>
    <x v="8"/>
    <s v="SIROLO"/>
    <m/>
    <s v="info@villa-clelia.it"/>
    <s v="COUNTRY HOUSE VILLA CLELIA - SIROLO"/>
  </r>
  <r>
    <x v="8"/>
    <s v="COUNTRY HOUSE VILLA LILIANA"/>
    <s v="Via Bucchiano snc"/>
    <x v="135"/>
    <s v="Monte Rinaldo"/>
    <s v="www.villa-geminiani.com"/>
    <s v="liliana@villa-geminiani.com"/>
    <s v="COUNTRY HOUSE VILLA LILIANA - MONTE RINALDO"/>
  </r>
  <r>
    <x v="3"/>
    <s v="COUNTRY RESIDENCE"/>
    <s v="localita' Piano 134/I"/>
    <x v="46"/>
    <s v="SASSOFERRATO"/>
    <m/>
    <m/>
    <s v="COUNTRY RESIDENCE - SASSOFERRATO"/>
  </r>
  <r>
    <x v="8"/>
    <s v="COUNTRY RESORT PAMPERDUTO"/>
    <s v="c.da Pamperduto 13"/>
    <x v="148"/>
    <s v="Porto Potenza Picena"/>
    <s v="www.pamperduto.it"/>
    <s v="info@pamperduto.it"/>
    <s v="COUNTRY RESORT PAMPERDUTO - POTENZA PICENA"/>
  </r>
  <r>
    <x v="8"/>
    <s v="COVODIGIRAMONDO"/>
    <s v="contrada vallemarina 13"/>
    <x v="181"/>
    <s v="MONTE VIDON CORRADO"/>
    <s v="www.covodigiramondo.com"/>
    <s v="info@covodigiramondo.com"/>
    <s v="COVODIGIRAMONDO - MONTE VIDON CORRADO"/>
  </r>
  <r>
    <x v="4"/>
    <s v="CRAZY BEACH"/>
    <s v="via litoranea 1 1"/>
    <x v="9"/>
    <s v="MARCELLI"/>
    <m/>
    <m/>
    <s v="CRAZY BEACH - NUMANA"/>
  </r>
  <r>
    <x v="4"/>
    <s v="CRAZY BEACH - CIACCI MAURO - BAGNI N° 131"/>
    <s v="lungomare leonardo da vinci 1 1"/>
    <x v="16"/>
    <s v="SENIGALLIA"/>
    <m/>
    <m/>
    <s v="CRAZY BEACH - CIACCI MAURO - BAGNI N° 131 - SENIGALLIA"/>
  </r>
  <r>
    <x v="4"/>
    <s v="CRAZY DISCO BAR"/>
    <s v="via lungomare gramsci sud 1 1"/>
    <x v="47"/>
    <s v="PORTO SAN GIORGIO"/>
    <s v="masino.massetti@libero.it"/>
    <m/>
    <s v="CRAZY DISCO BAR - PORTO SAN GIORGIO"/>
  </r>
  <r>
    <x v="4"/>
    <s v="CRAZY SUMMER"/>
    <s v="via faleria 1 1"/>
    <x v="163"/>
    <s v="PORTO SANT' ELPIDIO"/>
    <m/>
    <m/>
    <s v="CRAZY SUMMER - PORTO SANT'ELPIDIO"/>
  </r>
  <r>
    <x v="7"/>
    <s v="CRESTINI GIANFRANCESCO"/>
    <s v="Via del Pietrisco 30"/>
    <x v="33"/>
    <s v="FANO"/>
    <m/>
    <m/>
    <s v="CRESTINI GIANFRANCESCO - FANO"/>
  </r>
  <r>
    <x v="4"/>
    <s v="CRISTAL  BEACH"/>
    <s v="viale giuseppe romita 26 26"/>
    <x v="32"/>
    <s v="CUPRA MARITTIMA"/>
    <s v="info@cristalhotel.it"/>
    <m/>
    <s v="CRISTAL  BEACH - CUPRA MARITTIMA"/>
  </r>
  <r>
    <x v="1"/>
    <s v="CRISTAL srl"/>
    <s v="viale giuseppe romita 26"/>
    <x v="32"/>
    <s v="CUPRA MARITTIMA"/>
    <s v="www.cristalhotel.it"/>
    <s v="info@cristalhotel.it"/>
    <s v="CRISTAL srl - CUPRA MARITTIMA"/>
  </r>
  <r>
    <x v="1"/>
    <s v="CRISTALLO"/>
    <s v="viale Cesare Battisti 49"/>
    <x v="33"/>
    <s v="FANO"/>
    <s v="www.hotelcristallo-fano.it"/>
    <s v="info@hotelcristallo-fano.it"/>
    <s v="CRISTALLO - FANO"/>
  </r>
  <r>
    <x v="3"/>
    <s v="CRISTALLO"/>
    <s v="via San Giacomo 20"/>
    <x v="12"/>
    <s v="SAN BENEDETTO DEL TRONTO"/>
    <s v="www.residencecristallosbt.it"/>
    <s v="residencecristallosbt@gmail.com"/>
    <s v="CRISTALLO - SAN BENEDETTO DEL TRONTO"/>
  </r>
  <r>
    <x v="1"/>
    <s v="CRISTINA"/>
    <s v="via Rieti 10"/>
    <x v="16"/>
    <s v="SENIGALLIA"/>
    <s v="www.hotelcristina.net"/>
    <s v="info@hotelcristina.net"/>
    <s v="CRISTINA - SENIGALLIA"/>
  </r>
  <r>
    <x v="5"/>
    <s v="CRISTINA B&amp;B"/>
    <s v="via Pergolesi 6"/>
    <x v="46"/>
    <m/>
    <s v="www.bb-cristina.it"/>
    <s v="info@bb-cristina.it"/>
    <s v="CRISTINA B&amp;B - SASSOFERRATO"/>
  </r>
  <r>
    <x v="5"/>
    <s v="CRISTINA HIPTING"/>
    <s v="via santa maria in potenza 39"/>
    <x v="23"/>
    <s v="PORTO RECANATI"/>
    <s v="www.cristinabedbreakfast.com"/>
    <s v="gattoscipione@libero.it"/>
    <s v="CRISTINA HIPTING - PORTO RECANATI"/>
  </r>
  <r>
    <x v="9"/>
    <s v="CRISTO RE"/>
    <s v="via Isonzo 194/A"/>
    <x v="10"/>
    <s v="ANCONA"/>
    <m/>
    <s v="suorefrancescane.an@libero.it"/>
    <s v="CRISTO RE - ANCONA"/>
  </r>
  <r>
    <x v="1"/>
    <s v="CRISTOFORO COLOMBO"/>
    <s v="via Adriatica 310"/>
    <x v="44"/>
    <s v="OSIMO"/>
    <s v="www.cristoforo-colombo.com"/>
    <s v="info@cristoforo-colombo.com"/>
    <s v="CRISTOFORO COLOMBO - OSIMO"/>
  </r>
  <r>
    <x v="0"/>
    <s v="CROCE DEL MORO"/>
    <s v="via contrada Tassanare 5"/>
    <x v="158"/>
    <s v="ROSORA"/>
    <s v="www.crocedelmoro.it"/>
    <s v="info@crocedelmoro.it"/>
    <s v="CROCE DEL MORO - ROSORA"/>
  </r>
  <r>
    <x v="4"/>
    <s v="CROCE DEL SUD"/>
    <s v="Lungomare Piermanni 7"/>
    <x v="17"/>
    <s v="CIVITANOVA MARCHE"/>
    <m/>
    <m/>
    <s v="CROCE DEL SUD - CIVITANOVA MARCHE"/>
  </r>
  <r>
    <x v="7"/>
    <s v="CROCETTI SANDRA"/>
    <s v="Fraz. COCCORE  2/A"/>
    <x v="21"/>
    <m/>
    <m/>
    <s v="scrocetti0206@gmail.com"/>
    <s v="CROCETTI SANDRA - FABRIANO"/>
  </r>
  <r>
    <x v="1"/>
    <s v="CRUISER"/>
    <s v="viale trieste 281"/>
    <x v="69"/>
    <s v="PESARO"/>
    <s v="Mercure Pesaro"/>
    <s v="HA746@accor.com"/>
    <s v="CRUISER - PESARO"/>
  </r>
  <r>
    <x v="1"/>
    <s v="CRYSTAL"/>
    <s v="via Pie' la Costa 1"/>
    <x v="201"/>
    <s v="USSITA"/>
    <s v="www.hotel-crystal.it"/>
    <s v="hotel-crystal@tiscali.it"/>
    <s v="CRYSTAL - USSITA"/>
  </r>
  <r>
    <x v="4"/>
    <s v="CRYSTAL 37"/>
    <s v="via Litoranea 207"/>
    <x v="9"/>
    <m/>
    <s v="balneare.crystal37@yahoo.it"/>
    <m/>
    <s v="CRYSTAL 37 - NUMANA"/>
  </r>
  <r>
    <x v="3"/>
    <s v="CUMANA BLU"/>
    <s v="contrada marina 27"/>
    <x v="55"/>
    <s v="CAMPOFILONE"/>
    <s v="www.cumanabluresidence.com"/>
    <s v="info@cumanabluresidence.com"/>
    <s v="CUMANA BLU - CAMPOFILONE"/>
  </r>
  <r>
    <x v="7"/>
    <s v="CURINA LUCIA"/>
    <s v="VIA VILLAGRANDE 159"/>
    <x v="110"/>
    <s v="MOMBAROCCIO"/>
    <m/>
    <s v="luciacurina@legalmail.it"/>
    <s v="CURINA LUCIA - MOMBAROCCIO"/>
  </r>
  <r>
    <x v="7"/>
    <s v="CURINA PAOLA"/>
    <s v="Via Campioni 3"/>
    <x v="33"/>
    <s v="FANO"/>
    <m/>
    <s v="giolun70@gmail.com"/>
    <s v="CURINA PAOLA - FANO"/>
  </r>
  <r>
    <x v="7"/>
    <s v="CURSI QUINTO"/>
    <s v="Lungomare Mameli 118/B"/>
    <x v="16"/>
    <s v="SENIGALLIA"/>
    <m/>
    <s v="quinto.cursi@email.it"/>
    <s v="CURSI QUINTO - SENIGALLIA"/>
  </r>
  <r>
    <x v="3"/>
    <s v="DA ADAMO OSTERIA  E LOCANDA"/>
    <s v="strada comunale Grazie 8"/>
    <x v="16"/>
    <s v="SENIGALLIA"/>
    <m/>
    <s v="osteriadadamo@icloud.com"/>
    <s v="DA ADAMO OSTERIA  E LOCANDA - SENIGALLIA"/>
  </r>
  <r>
    <x v="4"/>
    <s v="DA ALDO N 8"/>
    <m/>
    <x v="32"/>
    <m/>
    <s v="postamarco93@gmail.com"/>
    <s v="www.daaldo.net"/>
    <s v="DA ALDO N 8 - CUPRA MARITTIMA"/>
  </r>
  <r>
    <x v="4"/>
    <s v="DA ANDREA"/>
    <s v="viale trieste 17 17"/>
    <x v="12"/>
    <m/>
    <m/>
    <m/>
    <s v="DA ANDREA - SAN BENEDETTO DEL TRONTO"/>
  </r>
  <r>
    <x v="0"/>
    <s v="DA CARIGNANO"/>
    <s v="localita' bevano 70"/>
    <x v="33"/>
    <s v="FANO"/>
    <s v="www.dacarignano.it"/>
    <s v="info@dacarignano.it"/>
    <s v="DA CARIGNANO - FANO"/>
  </r>
  <r>
    <x v="8"/>
    <s v="DA CHECCO"/>
    <s v="(Strada Statale Settempedana) Contrada Collina 11"/>
    <x v="109"/>
    <s v="Località Commenda"/>
    <s v="www.dachecco.com"/>
    <s v="info@dachecco.com"/>
    <s v="DA CHECCO - MONTECASSIANO"/>
  </r>
  <r>
    <x v="3"/>
    <s v="DA FARINA"/>
    <s v="S.N. flaminia 379 O 379"/>
    <x v="33"/>
    <s v="CARRARA"/>
    <m/>
    <m/>
    <s v="DA FARINA - FANO"/>
  </r>
  <r>
    <x v="3"/>
    <s v="DA FARINA"/>
    <s v="S.N. Flaminia 369 369/A B 369"/>
    <x v="33"/>
    <s v="FANO"/>
    <m/>
    <s v="mori-2004@libero.it"/>
    <s v="DA FARINA - FANO"/>
  </r>
  <r>
    <x v="1"/>
    <s v="DA FAUSTINA"/>
    <s v="via Roma 3"/>
    <x v="146"/>
    <s v="SEFRO"/>
    <m/>
    <s v="studiocedan@gmail.com"/>
    <s v="DA FAUSTINA - SEFRO"/>
  </r>
  <r>
    <x v="1"/>
    <s v="DA FAUSTINA (DIPENDENZA)"/>
    <s v="via roma 3"/>
    <x v="146"/>
    <s v="SEFRO"/>
    <m/>
    <s v="studiocedan@gmail.com"/>
    <s v="DA FAUSTINA (DIPENDENZA) - SEFRO"/>
  </r>
  <r>
    <x v="4"/>
    <s v="DA FEDERICO"/>
    <s v="viale trieste 11 11"/>
    <x v="12"/>
    <m/>
    <m/>
    <m/>
    <s v="DA FEDERICO - SAN BENEDETTO DEL TRONTO"/>
  </r>
  <r>
    <x v="0"/>
    <s v="DA FOSCHETTA"/>
    <s v="c.da Acquaviva 569"/>
    <x v="145"/>
    <m/>
    <m/>
    <s v="agriturismo.dafoschetta@gmail.com"/>
    <s v="DA FOSCHETTA - MATELICA"/>
  </r>
  <r>
    <x v="5"/>
    <s v="DA FRABO'"/>
    <s v="fraz. San Ginesio  23/A"/>
    <x v="18"/>
    <s v="SAN GINESIO"/>
    <m/>
    <s v="federicofraboni@libero.it"/>
    <s v="DA FRABO' - ARCEVIA"/>
  </r>
  <r>
    <x v="4"/>
    <s v="DA GIACCHETTI"/>
    <s v="VIA PORTONOVO 171 171"/>
    <x v="10"/>
    <s v="loc. Poggio Portonovo"/>
    <s v="info@stabilimentobalnearedagiacchetti.it"/>
    <m/>
    <s v="DA GIACCHETTI - ANCONA"/>
  </r>
  <r>
    <x v="4"/>
    <s v="DA GIOVANNI"/>
    <m/>
    <x v="10"/>
    <s v="PALOMBINA NUOVA"/>
    <m/>
    <s v="www.bagnidagiovanni.it"/>
    <s v="DA GIOVANNI - ANCONA"/>
  </r>
  <r>
    <x v="4"/>
    <s v="DA GIUSTINA"/>
    <m/>
    <x v="8"/>
    <m/>
    <m/>
    <m/>
    <s v="DA GIUSTINA - SIROLO"/>
  </r>
  <r>
    <x v="4"/>
    <s v="DA LUIGI"/>
    <s v="viale trieste 3 3"/>
    <x v="12"/>
    <m/>
    <s v="chaletdaluigi@gmail.com"/>
    <s v="www.daluigi.it"/>
    <s v="DA LUIGI - SAN BENEDETTO DEL TRONTO"/>
  </r>
  <r>
    <x v="5"/>
    <s v="DA MARA"/>
    <s v="Via Don Minzoni 1"/>
    <x v="60"/>
    <s v="CORINALDO"/>
    <m/>
    <m/>
    <s v="DA MARA - CORINALDO"/>
  </r>
  <r>
    <x v="7"/>
    <s v="DA MARA"/>
    <s v="Via Don G. Minzoni 1"/>
    <x v="60"/>
    <s v="CORINALDO"/>
    <s v="http://bebdamara.it/"/>
    <s v="marisa.berti46@gmail.com"/>
    <s v="DA MARA - CORINALDO"/>
  </r>
  <r>
    <x v="1"/>
    <s v="DA MARCO"/>
    <s v="via G.Giganti 20"/>
    <x v="85"/>
    <s v="FOSSOMBRONE"/>
    <s v="www.albergodamarco.it"/>
    <s v="info@albergodamarco.it"/>
    <s v="DA MARCO - FOSSOMBRONE"/>
  </r>
  <r>
    <x v="4"/>
    <s v="DA MARCO"/>
    <m/>
    <x v="8"/>
    <m/>
    <m/>
    <s v="polo.anna@alice.it"/>
    <s v="DA MARCO - SIROLO"/>
  </r>
  <r>
    <x v="5"/>
    <s v="DA MARIA di PACIAROTTI PAOLA"/>
    <s v="PIO VIII CASTIGLIONI 32"/>
    <x v="26"/>
    <s v="CINGOLI"/>
    <m/>
    <s v="p.paciarotti@alice.it"/>
    <s v="DA MARIA di PACIAROTTI PAOLA - CINGOLI"/>
  </r>
  <r>
    <x v="4"/>
    <s v="DA MARINO"/>
    <s v="via Litoranea 3 3"/>
    <x v="9"/>
    <m/>
    <s v="stabilimentodamarino@live.it"/>
    <s v="www.stabilimentodamarino.it"/>
    <s v="DA MARINO - NUMANA"/>
  </r>
  <r>
    <x v="4"/>
    <s v="DA MARIO"/>
    <s v="viale de Gasperi 1 1"/>
    <x v="5"/>
    <m/>
    <m/>
    <m/>
    <s v="DA MARIO - GROTTAMMARE"/>
  </r>
  <r>
    <x v="1"/>
    <s v="DA NAZZARE'"/>
    <s v="via Aspio Terme 39"/>
    <x v="167"/>
    <s v="CAMERANO"/>
    <m/>
    <s v="info@hotelnazzare.com"/>
    <s v="DA NAZZARE' - CAMERANO"/>
  </r>
  <r>
    <x v="7"/>
    <s v="DA PAOLO E MILENA"/>
    <m/>
    <x v="94"/>
    <m/>
    <m/>
    <s v="paul.esposto@libero.it"/>
    <s v="DA PAOLO E MILENA - SAN COSTANZO"/>
  </r>
  <r>
    <x v="4"/>
    <s v="DA PEPPE"/>
    <s v="via Accesso Spiaggia 1 1"/>
    <x v="8"/>
    <s v="SIROLO"/>
    <m/>
    <m/>
    <s v="DA PEPPE - SIROLO"/>
  </r>
  <r>
    <x v="3"/>
    <s v="DA QUINTA"/>
    <s v="via Adriatico 42"/>
    <x v="33"/>
    <s v="FANO"/>
    <s v="www.trattorialaquinta.com"/>
    <s v="rengababy@gmail.com"/>
    <s v="DA QUINTA - FANO"/>
  </r>
  <r>
    <x v="4"/>
    <s v="DA ROBERTO"/>
    <s v="via del gelso  24"/>
    <x v="8"/>
    <s v="SIROLO"/>
    <m/>
    <m/>
    <s v="DA ROBERTO - SIROLO"/>
  </r>
  <r>
    <x v="1"/>
    <s v="DA ROSA"/>
    <s v="via leopoldo armaroli 94"/>
    <x v="0"/>
    <s v="MACERATA"/>
    <m/>
    <m/>
    <s v="DA ROSA - MACERATA"/>
  </r>
  <r>
    <x v="1"/>
    <s v="DA ROVERINO"/>
    <s v="viale Ascoli 10"/>
    <x v="115"/>
    <s v="COMUNANZA"/>
    <s v="www.ristoranteroverino.it"/>
    <s v="info@ristoranteroverino.it"/>
    <s v="DA ROVERINO - COMUNANZA"/>
  </r>
  <r>
    <x v="1"/>
    <s v="DA ROVERINO DIPENDENZA"/>
    <s v="viale ascoli 9"/>
    <x v="115"/>
    <s v="COMUNANZA"/>
    <m/>
    <m/>
    <s v="DA ROVERINO DIPENDENZA - COMUNANZA"/>
  </r>
  <r>
    <x v="4"/>
    <s v="DA SANTINA"/>
    <s v="Via Cristoforo Colombo 42"/>
    <x v="17"/>
    <s v="CIVITANOVA MARCHE"/>
    <m/>
    <m/>
    <s v="DA SANTINA - CIVITANOVA MARCHE"/>
  </r>
  <r>
    <x v="4"/>
    <s v="DA VINCENZO"/>
    <m/>
    <x v="12"/>
    <m/>
    <m/>
    <m/>
    <s v="DA VINCENZO - SAN BENEDETTO DEL TRONTO"/>
  </r>
  <r>
    <x v="3"/>
    <s v="DA VINCI"/>
    <s v="via Andrea Costa 19"/>
    <x v="22"/>
    <m/>
    <m/>
    <s v="info@residenzaleonardo.com"/>
    <s v="DA VINCI - FALCONARA MARITTIMA"/>
  </r>
  <r>
    <x v="1"/>
    <s v="DAL NAVIGANTE"/>
    <s v="loc. Nocelleto 28"/>
    <x v="186"/>
    <s v="CASTELSANTANGELO SUL NERA"/>
    <m/>
    <m/>
    <s v="DAL NAVIGANTE - CASTELSANTANGELO SUL NERA"/>
  </r>
  <r>
    <x v="4"/>
    <s v="DAL PESCATORE"/>
    <s v="via litoranea 215 215"/>
    <x v="9"/>
    <s v="MARCELLI"/>
    <m/>
    <s v="dalpescatoresrl@gmail.com"/>
    <s v="DAL PESCATORE - NUMANA"/>
  </r>
  <r>
    <x v="3"/>
    <s v="DAL PRIORE"/>
    <s v="VIA MISTICHELLI 8"/>
    <x v="182"/>
    <s v="Moresco"/>
    <s v="www.dalpriore.it"/>
    <s v="info@dalpriore.it"/>
    <s v="DAL PRIORE - MORESCO"/>
  </r>
  <r>
    <x v="4"/>
    <s v="DAL VENEZIANO"/>
    <s v="viale giacomo matteotti 1 1"/>
    <x v="17"/>
    <s v="CIVITANOVA MARCHE"/>
    <m/>
    <m/>
    <s v="DAL VENEZIANO - CIVITANOVA MARCHE"/>
  </r>
  <r>
    <x v="4"/>
    <s v="DAMA BLU"/>
    <s v="via Litoranea 209/a"/>
    <x v="9"/>
    <s v="LIDO di LEVANTE"/>
    <m/>
    <m/>
    <s v="DAMA BLU - NUMANA"/>
  </r>
  <r>
    <x v="3"/>
    <s v="DAMA S.A.S DI AGAZZANI MARCO &amp; C."/>
    <s v="via Litoranea 356"/>
    <x v="9"/>
    <s v="NUMANA"/>
    <s v="www.damablu.it"/>
    <s v="info@damablu.it"/>
    <s v="DAMA S.A.S DI AGAZZANI MARCO &amp; C. - NUMANA"/>
  </r>
  <r>
    <x v="2"/>
    <s v="DAMABLU"/>
    <s v="via litoranea 220"/>
    <x v="9"/>
    <s v="NUMANA"/>
    <s v="www.damablu.it"/>
    <s v="info@damablu.it"/>
    <s v="DAMABLU - NUMANA"/>
  </r>
  <r>
    <x v="3"/>
    <s v="DAMIANI GUIDO"/>
    <s v="circonvallazione Giro dei Debitori 27"/>
    <x v="1"/>
    <s v="URBINO"/>
    <m/>
    <m/>
    <s v="DAMIANI GUIDO - URBINO"/>
  </r>
  <r>
    <x v="7"/>
    <s v="D'ANGELO GINO"/>
    <s v="CONTRADA FIORANO 22"/>
    <x v="105"/>
    <s v="COSSIGNANO"/>
    <m/>
    <s v="andcsg@libero.it"/>
    <s v="D'ANGELO GINO - COSSIGNANO"/>
  </r>
  <r>
    <x v="3"/>
    <s v="DANIELA CAMERE"/>
    <s v="via Le Vigne 2/a"/>
    <x v="8"/>
    <m/>
    <s v="www.conero.it"/>
    <s v="info@danielacameresirolo.it"/>
    <s v="DANIELA CAMERE - SIROLO"/>
  </r>
  <r>
    <x v="7"/>
    <s v="DANIELE TALAMELLI E GASPARINI CINZIA"/>
    <s v="via Ammiraglio Cappellini 43,44"/>
    <x v="33"/>
    <s v="Torrette di Fano"/>
    <m/>
    <s v="info@affittoalmare.com"/>
    <s v="DANIELE TALAMELLI E GASPARINI CINZIA - FANO"/>
  </r>
  <r>
    <x v="5"/>
    <s v="D'AURIA EMILIANO"/>
    <s v="Corso di Sotto 44"/>
    <x v="151"/>
    <s v="ASCOLI PICENO"/>
    <m/>
    <m/>
    <s v="D'AURIA EMILIANO - ASCOLI PICENO"/>
  </r>
  <r>
    <x v="1"/>
    <s v="DAVID PALACE"/>
    <s v="lungomare Gramsci Sud, 503  503"/>
    <x v="47"/>
    <s v="PORTO SAN GIORGIO"/>
    <s v="www.hoteldavidpalace.it"/>
    <s v="info@hoteldavidpalace.it"/>
    <s v="DAVID PALACE - PORTO SAN GIORGIO"/>
  </r>
  <r>
    <x v="7"/>
    <s v="DAVIDE ROSATI"/>
    <s v="viale paradiso 36"/>
    <x v="174"/>
    <s v="CARPEGNA"/>
    <m/>
    <s v="info@campeggioparadiso.com"/>
    <s v="DAVIDE ROSATI - CARPEGNA"/>
  </r>
  <r>
    <x v="3"/>
    <s v="DE ANGELIS NATALINA"/>
    <s v="Via Adriatica 13"/>
    <x v="32"/>
    <s v="CUPRA MARITTIMA"/>
    <m/>
    <m/>
    <s v="DE ANGELIS NATALINA - CUPRA MARITTIMA"/>
  </r>
  <r>
    <x v="7"/>
    <s v="DE ANGELIS ROSALBA"/>
    <s v="Via Mondolfo 32"/>
    <x v="16"/>
    <s v="SENIGALLIA"/>
    <m/>
    <m/>
    <s v="DE ANGELIS ROSALBA - SENIGALLIA"/>
  </r>
  <r>
    <x v="7"/>
    <s v="DE BENEDICTIS CARLO"/>
    <s v="viale Cairoli 95"/>
    <x v="33"/>
    <m/>
    <m/>
    <s v="db.fiorangelo@libero.it"/>
    <s v="DE BENEDICTIS CARLO - FANO"/>
  </r>
  <r>
    <x v="7"/>
    <s v="DE BENEDICTIS FIORANGELO"/>
    <s v="viale Cairoli 95"/>
    <x v="33"/>
    <m/>
    <m/>
    <s v="db.fiorangelo@libero.it"/>
    <s v="DE BENEDICTIS FIORANGELO - FANO"/>
  </r>
  <r>
    <x v="7"/>
    <s v="DE CAROLIS GIORGIO"/>
    <s v="Via Roma 11"/>
    <x v="30"/>
    <s v="OFFIDA"/>
    <m/>
    <m/>
    <s v="DE CAROLIS GIORGIO - OFFIDA"/>
  </r>
  <r>
    <x v="7"/>
    <s v="DE DOMENICO GRAZIELLA"/>
    <s v="Via S. Bartolomeo 14"/>
    <x v="161"/>
    <s v="CUPRAMONTANA"/>
    <m/>
    <s v="gdedomenico@live.com"/>
    <s v="DE DOMENICO GRAZIELLA - CUPRAMONTANA"/>
  </r>
  <r>
    <x v="0"/>
    <s v="DE RERUM NATURA"/>
    <s v="Località Fornaci di Paravento  123"/>
    <x v="75"/>
    <s v="CAGLI"/>
    <s v="www.coopdererumnatura.it"/>
    <s v="cesare@ilpostodelleviole.it"/>
    <s v="DE RERUM NATURA - CAGLI"/>
  </r>
  <r>
    <x v="12"/>
    <s v="DEA CUPRA"/>
    <s v="via Adriatica Sud 44"/>
    <x v="32"/>
    <s v="CUPRA MARITTIMA"/>
    <s v="www.deacupra.com"/>
    <s v="info@deacupra.com"/>
    <s v="DEA CUPRA - CUPRA MARITTIMA"/>
  </r>
  <r>
    <x v="3"/>
    <s v="DEA FLORA"/>
    <s v="c.da San Giovanni 48/a"/>
    <x v="120"/>
    <m/>
    <s v="www.deaflora.it"/>
    <s v="info@deaflora.it"/>
    <s v="DEA FLORA - MONTEFIORE DELL'ASO"/>
  </r>
  <r>
    <x v="0"/>
    <s v="DEGLI ALTI PASCOLI"/>
    <m/>
    <x v="185"/>
    <m/>
    <s v="www.agriturismodeglialtipascoli.it"/>
    <s v="info@agriturismodeglialtipascoli.it"/>
    <s v="DEGLI ALTI PASCOLI - PIEVEBOVIGLIANA"/>
  </r>
  <r>
    <x v="0"/>
    <s v="DEGLI ALTI PASCOLI (3481)"/>
    <s v="via Sant' Ilario 10"/>
    <x v="74"/>
    <s v="FIASTRA"/>
    <s v="www.agriturismodeglialtipascoli.it"/>
    <s v="info@agriturismodeglialtipascoli.it"/>
    <s v="DEGLI ALTI PASCOLI (3481) - FIASTRA"/>
  </r>
  <r>
    <x v="0"/>
    <s v="DEGLI ALTI PASCOLI (5206)"/>
    <s v="via Sant'Ilario 10"/>
    <x v="74"/>
    <s v="FIASTRA"/>
    <s v="www.agriturismodeglialtipascoli.it"/>
    <s v="info@agriturismodeglialtipascoli.it"/>
    <s v="DEGLI ALTI PASCOLI (5206) - FIASTRA"/>
  </r>
  <r>
    <x v="1"/>
    <s v="DEI DUCHI"/>
    <s v="via giannetto dini 12"/>
    <x v="1"/>
    <s v="URBINO"/>
    <s v="www.viphotels.it"/>
    <s v="deiduchi@viphotels.it"/>
    <s v="DEI DUCHI - URBINO"/>
  </r>
  <r>
    <x v="0"/>
    <s v="DEI DUCHI"/>
    <s v="via colonna 43"/>
    <x v="1"/>
    <s v="URBINO"/>
    <s v="www.agriturismodeiduchi.it"/>
    <s v="agriturismodeiduchi@libero.it"/>
    <s v="DEI DUCHI - URBINO"/>
  </r>
  <r>
    <x v="1"/>
    <s v="DEI GALLI"/>
    <s v="lungomare mameli 226"/>
    <x v="16"/>
    <s v="SENIGALLIA"/>
    <s v="www.hoteldeigalli.it"/>
    <s v="info@hoteldeigalli.it"/>
    <s v="DEI GALLI - SENIGALLIA"/>
  </r>
  <r>
    <x v="1"/>
    <s v="DEL CACCIATORE"/>
    <s v="via Spinabello 15"/>
    <x v="88"/>
    <s v="MUCCIA"/>
    <m/>
    <m/>
    <s v="DEL CACCIATORE - MUCCIA"/>
  </r>
  <r>
    <x v="1"/>
    <s v="DEL CASTELLO"/>
    <s v="via Montali 17"/>
    <x v="200"/>
    <s v="MONTELABBATE"/>
    <s v="www.ristorantedelcastello.it"/>
    <s v="info@ristorantedelcastello.it"/>
    <s v="DEL CASTELLO - MONTELABBATE"/>
  </r>
  <r>
    <x v="3"/>
    <s v="DEL CASTELLO"/>
    <s v="corso Giovanni XXIII 6"/>
    <x v="78"/>
    <s v="PIANDIMELETO"/>
    <m/>
    <s v="ristorantinodelcastello@gmail.com"/>
    <s v="DEL CASTELLO - PIANDIMELETO"/>
  </r>
  <r>
    <x v="3"/>
    <s v="DEL CENTRO STORICO"/>
    <s v="via filippo corridoni 24"/>
    <x v="21"/>
    <s v="FABRIANO"/>
    <m/>
    <s v="affittacamerecentrostorico@legalmail.it"/>
    <s v="DEL CENTRO STORICO - FABRIANO"/>
  </r>
  <r>
    <x v="7"/>
    <s v="DEL CHIERICO GILBERTO"/>
    <s v="Via Madonna di Loreto 16"/>
    <x v="28"/>
    <s v="GABICCE MARE"/>
    <m/>
    <m/>
    <s v="DEL CHIERICO GILBERTO - GABICCE MARE"/>
  </r>
  <r>
    <x v="0"/>
    <s v="DEL FRONTINO"/>
    <s v="strada frontino 23"/>
    <x v="86"/>
    <s v="ACQUALAGNA"/>
    <m/>
    <m/>
    <s v="DEL FRONTINO - ACQUALAGNA"/>
  </r>
  <r>
    <x v="6"/>
    <s v="DEL GABBIANO"/>
    <s v="via faa' di bruno 95"/>
    <x v="20"/>
    <s v="FANO"/>
    <s v="www.campingdelgabbiano.it"/>
    <s v="info@campingdelgabbiano.it"/>
    <s v="DEL GABBIANO - MONDOLFO"/>
  </r>
  <r>
    <x v="7"/>
    <s v="DEL MAGNA LUCIANA - PIANO PRIMO"/>
    <s v="Via Rubini 1"/>
    <x v="155"/>
    <s v="GRADARA"/>
    <m/>
    <m/>
    <s v="DEL MAGNA LUCIANA - PIANO PRIMO - GRADARA"/>
  </r>
  <r>
    <x v="7"/>
    <s v="DEL MAGNA LUCIANA - PIANO TERRA"/>
    <s v="Via Rubini 1"/>
    <x v="155"/>
    <s v="GRADARA"/>
    <m/>
    <m/>
    <s v="DEL MAGNA LUCIANA - PIANO TERRA - GRADARA"/>
  </r>
  <r>
    <x v="7"/>
    <s v="DEL MEDICO GRAZIELLA"/>
    <s v="contrada Bisio snc"/>
    <x v="11"/>
    <m/>
    <s v="www.casavacanzesottobosco.com"/>
    <s v="graziella.delmedico@gmail.com"/>
    <s v="DEL MEDICO GRAZIELLA - SARNANO"/>
  </r>
  <r>
    <x v="1"/>
    <s v="DEL SOLE"/>
    <s v="lungomare Alighieri 118"/>
    <x v="16"/>
    <s v="SENIGALLIA"/>
    <m/>
    <s v="wallypower1182009@hotmail.it"/>
    <s v="DEL SOLE - SENIGALLIA"/>
  </r>
  <r>
    <x v="1"/>
    <s v="DEL SOLE"/>
    <s v="via mariani 59"/>
    <x v="42"/>
    <s v="CAMERINO"/>
    <m/>
    <m/>
    <s v="DEL SOLE - CAMERINO"/>
  </r>
  <r>
    <x v="7"/>
    <s v="DEL VECCHIO VILMA"/>
    <s v="via Ferretto  21"/>
    <x v="33"/>
    <m/>
    <m/>
    <m/>
    <s v="DEL VECCHIO VILMA - FANO"/>
  </r>
  <r>
    <x v="4"/>
    <s v="DELFINA"/>
    <s v="via Flaminia SNC"/>
    <x v="10"/>
    <s v="Palombina nuova"/>
    <s v="ced@elcodata.it"/>
    <m/>
    <s v="DELFINA - ANCONA"/>
  </r>
  <r>
    <x v="1"/>
    <s v="DELFINO"/>
    <s v="lungomare mameli 43"/>
    <x v="16"/>
    <s v="SENIGALLIA"/>
    <s v="www.hoteldelfino.net"/>
    <s v="info@hoteldelfino.net"/>
    <s v="DELFINO - SENIGALLIA"/>
  </r>
  <r>
    <x v="1"/>
    <s v="DELFINO AZZURRO"/>
    <s v="piazza Giovanni XXIII 15"/>
    <x v="15"/>
    <s v="LORETO"/>
    <s v="www.hoteldelfinoazzurro.it"/>
    <s v="delfazz@libero.it"/>
    <s v="DELFINO AZZURRO - LORETO"/>
  </r>
  <r>
    <x v="4"/>
    <s v="DELFINO BLU"/>
    <s v="viale alcide de gasperi 1 1"/>
    <x v="5"/>
    <m/>
    <m/>
    <m/>
    <s v="DELFINO BLU - GROTTAMMARE"/>
  </r>
  <r>
    <x v="1"/>
    <s v="DELLA SALUTE"/>
    <s v="via dante alighieri 20"/>
    <x v="212"/>
    <s v="MONTE GRIMANO TERME"/>
    <m/>
    <s v="hoteldellasalute@gmail.com"/>
    <s v="DELLA SALUTE - MONTE GRIMANO TERME"/>
  </r>
  <r>
    <x v="7"/>
    <s v="DELLASANTA MASSIMO"/>
    <s v="Via Cavazzotti 7"/>
    <x v="33"/>
    <s v="FANO"/>
    <m/>
    <s v="massimo.dellasanta@libero.it"/>
    <s v="DELLASANTA MASSIMO - FANO"/>
  </r>
  <r>
    <x v="3"/>
    <s v="DELLE GRAZIE"/>
    <s v="Contrada Grazie 22"/>
    <x v="105"/>
    <s v="COSSIGNANO"/>
    <m/>
    <s v="residenzadellegrazie@libero.it"/>
    <s v="DELLE GRAZIE - COSSIGNANO"/>
  </r>
  <r>
    <x v="1"/>
    <s v="DELLE NAZIONI"/>
    <s v="viale Trieste 60"/>
    <x v="69"/>
    <s v="PESARO"/>
    <s v="www.hoteldellenazionipesaro.it"/>
    <s v="info@hoteldellenazionipesaro.it"/>
    <s v="DELLE NAZIONI - PESARO"/>
  </r>
  <r>
    <x v="1"/>
    <s v="DEPENDANCE JERRY HOTEL"/>
    <s v="via Ponza 96"/>
    <x v="5"/>
    <m/>
    <s v="www.residencejerrygrottammare.it"/>
    <s v="info@jerryhotel.com"/>
    <s v="DEPENDANCE JERRY HOTEL - GROTTAMMARE"/>
  </r>
  <r>
    <x v="1"/>
    <s v="DES BAINS"/>
    <s v="viale Trieste 221"/>
    <x v="69"/>
    <s v="PESARO"/>
    <s v="www.innitalia.com"/>
    <s v="desbains@innitalia.com"/>
    <s v="DES BAINS - PESARO"/>
  </r>
  <r>
    <x v="5"/>
    <s v="DESANTIS P. FRANCESCO"/>
    <s v="contrada Acquarello 3"/>
    <x v="29"/>
    <s v="LAPEDONA"/>
    <m/>
    <m/>
    <s v="DESANTIS P. FRANCESCO - LAPEDONA"/>
  </r>
  <r>
    <x v="7"/>
    <s v="DI BENEDETTO ROSSANA"/>
    <s v="Viale Berna 12"/>
    <x v="69"/>
    <s v="PESARO"/>
    <m/>
    <s v="info@immobiliaretriestepesaro.ti"/>
    <s v="DI BENEDETTO ROSSANA - PESARO"/>
  </r>
  <r>
    <x v="3"/>
    <s v="DI LUCA SANTE"/>
    <s v="contrada morrone 12"/>
    <x v="128"/>
    <s v="GUALDO"/>
    <m/>
    <s v="sante.diluca@alice.it"/>
    <s v="DI LUCA SANTE - GUALDO"/>
  </r>
  <r>
    <x v="7"/>
    <s v="DI NISIO FRANCESCA"/>
    <s v="Via Palazzi 19"/>
    <x v="161"/>
    <s v="CUPRAMONTANA"/>
    <m/>
    <s v="dinisiofrancesca@libero.it"/>
    <s v="DI NISIO FRANCESCA - CUPRAMONTANA"/>
  </r>
  <r>
    <x v="7"/>
    <s v="DI SILVESTRO ROSANNA"/>
    <s v="CONTRADA MALISCIA 7"/>
    <x v="96"/>
    <s v="MONTALTO DELLE MARCHE"/>
    <m/>
    <s v="rosannadisilvestro1961@gmail.com"/>
    <s v="DI SILVESTRO ROSANNA - MONTALTO DELLE MARCHE"/>
  </r>
  <r>
    <x v="4"/>
    <s v="DI SOLE IN SOLE"/>
    <s v="lungomare gramsci 1 1"/>
    <x v="47"/>
    <s v="PORTO SAN GIORGIO"/>
    <s v="emanuele@studiococcioni.it"/>
    <m/>
    <s v="DI SOLE IN SOLE - PORTO SAN GIORGIO"/>
  </r>
  <r>
    <x v="7"/>
    <s v="DIEGO STAFFOLANI"/>
    <s v="via Montacuto 91/b"/>
    <x v="10"/>
    <m/>
    <m/>
    <s v="staffolani.diego@gmail.com"/>
    <s v="DIEGO STAFFOLANI - ANCONA"/>
  </r>
  <r>
    <x v="5"/>
    <s v="DIETRO LA PIAZZA"/>
    <s v="Rua del Macello 1"/>
    <x v="151"/>
    <s v="ASCOLI PICENO"/>
    <s v="www.airbnb.it"/>
    <s v="nonmimettereansia@libero.it"/>
    <s v="DIETRO LA PIAZZA - ASCOLI PICENO"/>
  </r>
  <r>
    <x v="3"/>
    <s v="DIMORA DELLA SIBILLA"/>
    <m/>
    <x v="62"/>
    <s v="AMANDOLA"/>
    <m/>
    <s v="griffiths.tamara@gmail.com"/>
    <s v="DIMORA DELLA SIBILLA - AMANDOLA"/>
  </r>
  <r>
    <x v="0"/>
    <s v="DIMORA DELLE VIGNE"/>
    <s v="via San Filippo 24"/>
    <x v="215"/>
    <s v="PIAGGE"/>
    <s v="www.dimoradellevigne.it"/>
    <s v="info@aziendaguerrieri.it"/>
    <s v="DIMORA DELLE VIGNE - PIAGGE"/>
  </r>
  <r>
    <x v="3"/>
    <s v="DIMORA DI MARE"/>
    <s v="via Parini 9"/>
    <x v="5"/>
    <m/>
    <s v="www.dimoradimare.com"/>
    <s v="info@dimoradimare.com"/>
    <s v="DIMORA DI MARE - GROTTAMMARE"/>
  </r>
  <r>
    <x v="7"/>
    <s v="DIMORA DI MORGIANO"/>
    <m/>
    <x v="151"/>
    <s v="MORGIANO"/>
    <s v="www.dimoradimorgiano.it"/>
    <s v="info@dimoradimorgiano.it"/>
    <s v="DIMORA DI MORGIANO - ASCOLI PICENO"/>
  </r>
  <r>
    <x v="3"/>
    <s v="DIMORA GALASTERNA"/>
    <s v="via Poggio Pagano 12"/>
    <x v="184"/>
    <m/>
    <m/>
    <s v="studiopompeiing@alice.it"/>
    <s v="DIMORA GALASTERNA - PIETRARUBBIA"/>
  </r>
  <r>
    <x v="3"/>
    <s v="DIMORA NEL CENTRO STORICO"/>
    <s v="Via G. Sacconi 51"/>
    <x v="151"/>
    <s v="ASCOLI PICENO"/>
    <m/>
    <s v="giorgioproietti88@gmail.com"/>
    <s v="DIMORA NEL CENTRO STORICO - ASCOLI PICENO"/>
  </r>
  <r>
    <x v="2"/>
    <s v="DIMORAE"/>
    <s v="via Santorre di Santarosa 29"/>
    <x v="17"/>
    <m/>
    <s v="www.hoteldimorae.it"/>
    <s v="info@hoteldimorae.it"/>
    <s v="DIMORAE - CIVITANOVA MARCHE"/>
  </r>
  <r>
    <x v="1"/>
    <s v="DINARICA"/>
    <s v="via Faà di Bruno  42"/>
    <x v="20"/>
    <s v="MONDOLFO"/>
    <s v="www.hoteldinarica.it"/>
    <s v="info@hoteldinarica.it"/>
    <s v="DINARICA - MONDOLFO"/>
  </r>
  <r>
    <x v="1"/>
    <s v="DINO"/>
    <s v="viale europa 106"/>
    <x v="12"/>
    <s v="SAN BENEDETTO DEL TRONTO"/>
    <s v="www.hoteldino.it"/>
    <s v="info@hoteldino.it"/>
    <s v="DINO - SAN BENEDETTO DEL TRONTO"/>
  </r>
  <r>
    <x v="1"/>
    <s v="DIPENDENZA HOTEL FEDERICO II"/>
    <s v="via ancona 92/bis"/>
    <x v="4"/>
    <s v="JESI"/>
    <s v="www.hotelfederico2.it"/>
    <s v="info@hotelfederico2.it"/>
    <s v="DIPENDENZA HOTEL FEDERICO II - JESI"/>
  </r>
  <r>
    <x v="1"/>
    <s v="DIPENDENZA HOTEL ROMA"/>
    <s v="largo giacomo leopardi 26"/>
    <x v="51"/>
    <s v="PETRITOLI"/>
    <s v="www.albergoroma.it"/>
    <s v="fulvital@tin.it"/>
    <s v="DIPENDENZA HOTEL ROMA - PETRITOLI"/>
  </r>
  <r>
    <x v="5"/>
    <s v="DISCANNO ANNA MARIA"/>
    <s v="strada panoramica ardizio 190"/>
    <x v="69"/>
    <s v="PESARO"/>
    <m/>
    <m/>
    <s v="DISCANNO ANNA MARIA - PESARO"/>
  </r>
  <r>
    <x v="11"/>
    <s v="DISCO KARTING"/>
    <s v="viale Scarfiotti 1"/>
    <x v="23"/>
    <s v="PORTO RECANATI"/>
    <m/>
    <m/>
    <s v="DISCO KARTING - PORTO RECANATI"/>
  </r>
  <r>
    <x v="0"/>
    <s v="DIVIN AMORE"/>
    <s v="strada divino amore 1"/>
    <x v="94"/>
    <s v="SAN COSTANZO"/>
    <s v="www.agridivinamore.it"/>
    <s v="info@agridivinamore.it"/>
    <s v="DIVIN AMORE - SAN COSTANZO"/>
  </r>
  <r>
    <x v="5"/>
    <s v="DOLCE DIMORA"/>
    <s v="Contrada Campo di Bove 6"/>
    <x v="108"/>
    <s v="APPIGNANO"/>
    <m/>
    <s v="bbdolcedimora@gmail.com"/>
    <s v="DOLCE DIMORA - APPIGNANO"/>
  </r>
  <r>
    <x v="3"/>
    <s v="DOLCE DORMIRE AFFITTACAMERE"/>
    <s v="Via Piero Gobetti 155"/>
    <x v="17"/>
    <s v="CIVITANOVA MARCHE"/>
    <m/>
    <s v="dolcedormirecivitanova@pec.it"/>
    <s v="DOLCE DORMIRE AFFITTACAMERE - CIVITANOVA MARCHE"/>
  </r>
  <r>
    <x v="8"/>
    <s v="DOLCE FAR NIENTE"/>
    <m/>
    <x v="170"/>
    <s v="ASOLA"/>
    <s v="www.aldolcefarniente.com"/>
    <s v="info@aldolcefarniente.com"/>
    <s v="DOLCE FAR NIENTE - MONTECOSARO"/>
  </r>
  <r>
    <x v="3"/>
    <s v="DOLCE SOGNO"/>
    <s v="strada Faleriense 5127"/>
    <x v="111"/>
    <s v="LUCE CRETAROLA"/>
    <s v="WWW.DOLCESOGNO.IT"/>
    <s v="info@dolcesogno.it"/>
    <s v="DOLCE SOGNO - SANT'ELPIDIO A MARE"/>
  </r>
  <r>
    <x v="4"/>
    <s v="DOLCE VITA"/>
    <s v="lungomare gramsci 1 1"/>
    <x v="47"/>
    <s v="PORTO SAN GIORGIO"/>
    <s v="lucia-moretti@hotmail.it"/>
    <m/>
    <s v="DOLCE VITA - PORTO SAN GIORGIO"/>
  </r>
  <r>
    <x v="0"/>
    <s v="DOLCI MARCHE"/>
    <s v="CONTRADA MOGLIE 32"/>
    <x v="96"/>
    <s v="Montalto delle Marche"/>
    <s v="www.agriturismo-dolci-marche.it"/>
    <s v="gem.agostino@yahoo.it"/>
    <s v="DOLCI MARCHE - MONTALTO DELLE MARCHE"/>
  </r>
  <r>
    <x v="3"/>
    <s v="DOLCI NOTTE DI MAGA CACAO"/>
    <s v="via Pola 12"/>
    <x v="17"/>
    <m/>
    <m/>
    <s v="samuelastak@libero.it"/>
    <s v="DOLCI NOTTE DI MAGA CACAO - CIVITANOVA MARCHE"/>
  </r>
  <r>
    <x v="5"/>
    <s v="DOMAR"/>
    <s v="Via della Carena 61"/>
    <x v="17"/>
    <s v="CIVITANOVA MARCHE"/>
    <m/>
    <m/>
    <s v="DOMAR - CIVITANOVA MARCHE"/>
  </r>
  <r>
    <x v="5"/>
    <s v="DOMENICA B&amp;B"/>
    <s v="via Don Luigi Sturzo 11"/>
    <x v="1"/>
    <s v="loc. Canavaccio"/>
    <m/>
    <s v="patrizia.diotallevi62@hotmail.com"/>
    <s v="DOMENICA B&amp;B - URBINO"/>
  </r>
  <r>
    <x v="1"/>
    <s v="DOMINGO"/>
    <s v="Via A. Ristori, 14 14"/>
    <x v="12"/>
    <s v="SAN BENEDETTO DEL TRONTO"/>
    <s v="www.hoteldomingo.com"/>
    <s v="info@hoteldomingo.com"/>
    <s v="DOMINGO - SAN BENEDETTO DEL TRONTO"/>
  </r>
  <r>
    <x v="1"/>
    <s v="DOMUS"/>
    <s v="via dante 20"/>
    <x v="218"/>
    <s v="CERRETO D' ESI"/>
    <s v="www.hoteldomus.com"/>
    <s v="info@hoteldomus.com"/>
    <s v="DOMUS - CERRETO D'ESI"/>
  </r>
  <r>
    <x v="6"/>
    <s v="DOMUS"/>
    <s v="lungomare leonardo da vinci 8"/>
    <x v="16"/>
    <s v="SENIGALLIA"/>
    <s v="www.campingdomus.it"/>
    <s v="campingdomus@gmail.com"/>
    <s v="DOMUS - SENIGALLIA"/>
  </r>
  <r>
    <x v="7"/>
    <s v="DOMUS APPENNINO"/>
    <s v="località Sasso snc"/>
    <x v="43"/>
    <s v="Località Sasso"/>
    <m/>
    <s v="sangiuliano@domusmacerata.it"/>
    <s v="DOMUS APPENNINO - MONTEFALCONE APPENNINO"/>
  </r>
  <r>
    <x v="9"/>
    <s v="DOMUS LAETITIAE"/>
    <s v="Montebove 1"/>
    <x v="201"/>
    <s v="USSITA"/>
    <s v="www.domusfrontignano.it"/>
    <s v="info@domuslaetitiae.it"/>
    <s v="DOMUS LAETITIAE - USSITA"/>
  </r>
  <r>
    <x v="8"/>
    <s v="DOMUS MARIAE"/>
    <s v="contrada nevola 2"/>
    <x v="104"/>
    <s v="OSTRA VETERE"/>
    <s v="www.domusmariae.info"/>
    <s v="info@domusmariae.info"/>
    <s v="DOMUS MARIAE - OSTRA VETERE"/>
  </r>
  <r>
    <x v="7"/>
    <s v="DOMUS MARINA"/>
    <s v="lungomare Italia 84"/>
    <x v="16"/>
    <s v="MARZOCCA"/>
    <s v="www.domusmacerata.it"/>
    <s v="sangiuliano@domusmacerata.it"/>
    <s v="DOMUS MARINA - SENIGALLIA"/>
  </r>
  <r>
    <x v="9"/>
    <s v="DOMUS MATER GRATIAE"/>
    <s v="via del mare 222"/>
    <x v="12"/>
    <s v="SAN BENEDETTO DEL TRONTO"/>
    <s v="www.domussanbenedetto.it"/>
    <s v="domusmg@13maggio.com"/>
    <s v="DOMUS MATER GRATIAE - SAN BENEDETTO DEL TRONTO"/>
  </r>
  <r>
    <x v="7"/>
    <s v="DOMUS MONTE BOVE"/>
    <s v="frazione calcara 1"/>
    <x v="201"/>
    <s v="USSITA"/>
    <s v="www.domusmacerata.it"/>
    <s v="sangiuliano@domusmacerata.it"/>
    <s v="DOMUS MONTE BOVE - USSITA"/>
  </r>
  <r>
    <x v="0"/>
    <s v="DOMUS PETRAE"/>
    <s v="Contrada Magazzini 11"/>
    <x v="3"/>
    <s v="CONTRADA MAGAZZINI"/>
    <s v="www.domuspetrae.it"/>
    <s v="info@domuspetrae.it; scabroso@yahoo.it"/>
    <s v="DOMUS PETRAE - RIPATRANSONE"/>
  </r>
  <r>
    <x v="9"/>
    <s v="DOMUS SAN GIULIANO"/>
    <s v="via cincinelli 4"/>
    <x v="0"/>
    <s v="MACERATA"/>
    <s v="www.domusmacerata.it"/>
    <s v="sangiuliano@domusmacerata.it"/>
    <s v="DOMUS SAN GIULIANO - MACERATA"/>
  </r>
  <r>
    <x v="9"/>
    <s v="DOMUS URBINO PALAZZO ANGELONI"/>
    <m/>
    <x v="1"/>
    <m/>
    <m/>
    <m/>
    <s v="DOMUS URBINO PALAZZO ANGELONI - URBINO"/>
  </r>
  <r>
    <x v="9"/>
    <s v="DOMUS URBINO PIEVE SAN CASSIANO"/>
    <m/>
    <x v="1"/>
    <m/>
    <m/>
    <s v="prenotazioni@domus-urbino.it"/>
    <s v="DOMUS URBINO PIEVE SAN CASSIANO - URBINO"/>
  </r>
  <r>
    <x v="6"/>
    <s v="DON DIEGO"/>
    <s v="lungomare Alcide de Gasperi 128"/>
    <x v="5"/>
    <s v="GROTTAMMARE"/>
    <s v="www.campingdondiego.it"/>
    <s v="info@dondiegocamping.it"/>
    <s v="DON DIEGO - GROTTAMMARE"/>
  </r>
  <r>
    <x v="4"/>
    <s v="DON DIEGO"/>
    <s v="viale alcide de gasperi 1 1"/>
    <x v="5"/>
    <m/>
    <m/>
    <m/>
    <s v="DON DIEGO - GROTTAMMARE"/>
  </r>
  <r>
    <x v="9"/>
    <s v="DON ORIONE"/>
    <s v="Via IV Novembre 47"/>
    <x v="33"/>
    <s v="FANO"/>
    <m/>
    <s v="donorionefano@virgilio.it"/>
    <s v="DON ORIONE - FANO"/>
  </r>
  <r>
    <x v="4"/>
    <s v="DONATELLA"/>
    <m/>
    <x v="9"/>
    <s v="MARCELLI"/>
    <m/>
    <s v="donatellazz61@gmail com"/>
    <s v="DONATELLA - NUMANA"/>
  </r>
  <r>
    <x v="7"/>
    <s v="DONATI GIORGIA"/>
    <s v="Via Varese 25"/>
    <x v="69"/>
    <s v="PESARO"/>
    <m/>
    <s v="info@immobiliaretriestepesaro.it"/>
    <s v="DONATI GIORGIA - PESARO"/>
  </r>
  <r>
    <x v="1"/>
    <s v="DONNAROSA HOTEL RISTORANTE"/>
    <s v="via Antonio Gramsci 5"/>
    <x v="65"/>
    <s v="ROCCAFLUVIONE"/>
    <m/>
    <s v="donnarosa.grottino@libero.it"/>
    <s v="DONNAROSA HOTEL RISTORANTE - ROCCAFLUVIONE"/>
  </r>
  <r>
    <x v="1"/>
    <s v="DORIA"/>
    <s v="via C. Maffei 93"/>
    <x v="12"/>
    <s v="SAN BENEDETTO DEL TRONTO"/>
    <s v="www.hoteldoria.it"/>
    <s v="info@hoteldoria.it"/>
    <s v="DORIA - SAN BENEDETTO DEL TRONTO"/>
  </r>
  <r>
    <x v="1"/>
    <s v="DORICO"/>
    <s v="via Flaminia 8"/>
    <x v="10"/>
    <s v="ANCONA"/>
    <s v="www.albergodorico.com"/>
    <s v="hoteldorico@gmail.com"/>
    <s v="DORICO - ANCONA"/>
  </r>
  <r>
    <x v="5"/>
    <s v="DORMI DA ME"/>
    <s v="Corso Scipione Gentili 33"/>
    <x v="132"/>
    <s v="SAN GINESIO"/>
    <m/>
    <s v="merellifranca1956@virgilio.it"/>
    <s v="DORMI DA ME - SAN GINESIO"/>
  </r>
  <r>
    <x v="5"/>
    <s v="DREAM FISH"/>
    <s v="Via G. Spontini 1"/>
    <x v="12"/>
    <s v="SAN BENEDETTO DEL TRONTO"/>
    <s v="bbdreamfish.com"/>
    <s v="eleanora.colagiacomi@gmail.com"/>
    <s v="DREAM FISH - SAN BENEDETTO DEL TRONTO"/>
  </r>
  <r>
    <x v="1"/>
    <s v="DU PARC"/>
    <s v="via panoramica 48"/>
    <x v="28"/>
    <s v="GABICCE MARE"/>
    <s v="www.duparchotel.it"/>
    <s v="info@duparchotel.it"/>
    <s v="DU PARC - GABICCE MARE"/>
  </r>
  <r>
    <x v="7"/>
    <s v="DUCCIO DUCCI"/>
    <s v="via Canarecchia 39"/>
    <x v="196"/>
    <m/>
    <m/>
    <s v="duccioducci@hotmail.com"/>
    <s v="DUCCIO DUCCI - VALLEFOGLIA"/>
  </r>
  <r>
    <x v="1"/>
    <s v="DUCHI DELLA ROVERE"/>
    <s v="via Filippo Corridoni 3"/>
    <x v="16"/>
    <s v="SENIGALLIA"/>
    <s v="www.hotelduchidellarovere.it"/>
    <s v="info@hotelduchidellarovere.it"/>
    <s v="DUCHI DELLA ROVERE - SENIGALLIA"/>
  </r>
  <r>
    <x v="1"/>
    <s v="DUE PALME"/>
    <s v="viale Trieste 52"/>
    <x v="69"/>
    <s v="PESARO"/>
    <s v="www.hotelduepalmeonline.com"/>
    <s v="info@hotelduepalmeonline.com"/>
    <s v="DUE PALME - PESARO"/>
  </r>
  <r>
    <x v="1"/>
    <s v="DUE PAVONI"/>
    <s v="viale fiume 79"/>
    <x v="69"/>
    <s v="PESARO"/>
    <s v="www.hotelduepavoni.com"/>
    <s v="info@hotelduepavoni.com"/>
    <s v="DUE PAVONI - PESARO"/>
  </r>
  <r>
    <x v="1"/>
    <s v="DUE TORRI"/>
    <s v="via San Francesco,21 15"/>
    <x v="2"/>
    <s v="SAN SEVERINO MARCHE"/>
    <s v="www.duetorri.it"/>
    <s v="info@duetorri.it"/>
    <s v="DUE TORRI - SAN SEVERINO MARCHE"/>
  </r>
  <r>
    <x v="7"/>
    <s v="EBE UBALDI"/>
    <s v="via G. Ruffini  6"/>
    <x v="33"/>
    <s v="MONDOLFO"/>
    <m/>
    <s v="ebe.ubi@alice.it"/>
    <s v="EBE UBALDI - FANO"/>
  </r>
  <r>
    <x v="1"/>
    <s v="EDELWEISS"/>
    <s v="via Buonincontri 27"/>
    <x v="33"/>
    <s v="FANO"/>
    <s v="www.hoteledelweissfano.it"/>
    <s v="info@hoteledelweissfano.it"/>
    <s v="EDELWEISS - FANO"/>
  </r>
  <r>
    <x v="3"/>
    <s v="EDELWEISS"/>
    <s v="via buonincontri 25"/>
    <x v="33"/>
    <s v="TORRETTE"/>
    <s v="www.residenceedelweiss.com"/>
    <s v="info@residenceedelweiss.com"/>
    <s v="EDELWEISS - FANO"/>
  </r>
  <r>
    <x v="2"/>
    <s v="EDEN"/>
    <s v="viale della Vittoria 57"/>
    <x v="28"/>
    <s v="GABICCE MARE"/>
    <s v="www.residenceeden.it"/>
    <s v="eden@residenceeden.it"/>
    <s v="EDEN - GABICCE MARE"/>
  </r>
  <r>
    <x v="1"/>
    <s v="EDEN"/>
    <s v="via Alcide De Gasperi 26"/>
    <x v="11"/>
    <s v="SARNANO"/>
    <s v="www.novidra.com"/>
    <s v="hotel@novidra.com"/>
    <s v="EDEN - SARNANO"/>
  </r>
  <r>
    <x v="1"/>
    <s v="EDEN"/>
    <s v="viale Alcide de Gasperi 146"/>
    <x v="5"/>
    <s v="GROTTAMMARE"/>
    <s v="www.hoteledengrottammare.it"/>
    <s v="info@hoteledengrottammare.it"/>
    <s v="EDEN - GROTTAMMARE"/>
  </r>
  <r>
    <x v="1"/>
    <s v="EDEN"/>
    <s v="viale del Lido 51"/>
    <x v="37"/>
    <s v="FERMO"/>
    <s v="www.hoteledenfermo.it"/>
    <s v="hoteleden@live.it"/>
    <s v="EDEN - FERMO"/>
  </r>
  <r>
    <x v="4"/>
    <s v="EDEN GIGLI"/>
    <s v="via angiolo morelli 11 11"/>
    <x v="9"/>
    <s v="NUMANA"/>
    <s v="amministrazione@giglihotels.com"/>
    <s v="www.giglihotels.com"/>
    <s v="EDEN GIGLI - NUMANA"/>
  </r>
  <r>
    <x v="1"/>
    <s v="EDEN PARK HOTEL"/>
    <s v="via Piave 2"/>
    <x v="41"/>
    <s v="MONTEMARCIANO"/>
    <m/>
    <s v="info@edenpark-hotel.it"/>
    <s v="EDEN PARK HOTEL - MONTEMARCIANO"/>
  </r>
  <r>
    <x v="3"/>
    <s v="EDILFALZETTI 2000 SNC DI FALZETTI DANIELA E LISIANA"/>
    <s v="localita' Bresciano 1"/>
    <x v="40"/>
    <s v="ESANATOGLIA"/>
    <m/>
    <s v="edilfalzetti2000snc@libero.it"/>
    <s v="EDILFALZETTI 2000 SNC DI FALZETTI DANIELA E LISIANA - ESANATOGLIA"/>
  </r>
  <r>
    <x v="1"/>
    <s v="EGO HOTEL"/>
    <s v="via Flaminia 220"/>
    <x v="10"/>
    <m/>
    <s v="www.egohotelancona.it"/>
    <s v="info@egohotelancona.it"/>
    <s v="EGO HOTEL - ANCONA"/>
  </r>
  <r>
    <x v="1"/>
    <s v="EKO"/>
    <s v="via Belvedere 4"/>
    <x v="33"/>
    <s v="FANO"/>
    <s v="www.hoteleko.it"/>
    <s v="info@hoteleko.it"/>
    <s v="EKO - FANO"/>
  </r>
  <r>
    <x v="8"/>
    <s v="EL FUNTANON"/>
    <s v="via Cerquelle 70"/>
    <x v="33"/>
    <s v="Carignano"/>
    <m/>
    <s v="info@elfuntanon.com"/>
    <s v="EL FUNTANON - FANO"/>
  </r>
  <r>
    <x v="0"/>
    <s v="EL GATAREL"/>
    <s v="via Pantaneto 10"/>
    <x v="85"/>
    <s v="FOSSOMBRONE"/>
    <s v="www.elgatarel.it"/>
    <s v="elgatarel@tiscali.it"/>
    <s v="EL GATAREL - FOSSOMBRONE"/>
  </r>
  <r>
    <x v="0"/>
    <s v="EL MOR"/>
    <s v="via molino delle ginestre 21"/>
    <x v="85"/>
    <s v="fossombrone"/>
    <m/>
    <m/>
    <s v="EL MOR - FOSSOMBRONE"/>
  </r>
  <r>
    <x v="1"/>
    <s v="ELEONORA"/>
    <s v="lungomare Marconi 2"/>
    <x v="16"/>
    <s v="SENIGALLIA"/>
    <s v="www.albergoeleonora.191.it"/>
    <s v="eleonora.carbonari@libero.it;"/>
    <s v="ELEONORA - SENIGALLIA"/>
  </r>
  <r>
    <x v="7"/>
    <s v="ELEONORA MASSACCESI"/>
    <s v="Vicolo dei Macelli 6"/>
    <x v="18"/>
    <s v="ARCEVIA"/>
    <m/>
    <m/>
    <s v="ELEONORA MASSACCESI - ARCEVIA"/>
  </r>
  <r>
    <x v="7"/>
    <s v="ELIO LATINI"/>
    <s v="fraz. Castiglioni 31"/>
    <x v="18"/>
    <s v="CASTIGLIONI"/>
    <m/>
    <s v="latale@libero.it"/>
    <s v="ELIO LATINI - ARCEVIA"/>
  </r>
  <r>
    <x v="1"/>
    <s v="ELISABETH DUE"/>
    <s v="piazzale amendola 2"/>
    <x v="33"/>
    <s v="FANO"/>
    <s v="www.hotelelisabethdue.it"/>
    <s v="info@hotelelisabethdue.it"/>
    <s v="ELISABETH DUE - FANO"/>
  </r>
  <r>
    <x v="7"/>
    <s v="ELISABETTA GABRIELLI RIVOSECCHI"/>
    <s v="viale Carducci 178"/>
    <x v="20"/>
    <m/>
    <m/>
    <m/>
    <s v="ELISABETTA GABRIELLI RIVOSECCHI - MONDOLFO"/>
  </r>
  <r>
    <x v="0"/>
    <s v="ELISEI NICOLA"/>
    <m/>
    <x v="128"/>
    <s v="GUALDO"/>
    <s v="www.agriturismoelisei.it"/>
    <s v="agriturismo.elisei@tiscali.it"/>
    <s v="ELISEI NICOLA - GUALDO"/>
  </r>
  <r>
    <x v="4"/>
    <s v="ELISEI STELLINA"/>
    <s v="viale cristoforo colombo 1 1"/>
    <x v="5"/>
    <m/>
    <m/>
    <m/>
    <s v="ELISEI STELLINA - GROTTAMMARE"/>
  </r>
  <r>
    <x v="1"/>
    <s v="EMBASSY"/>
    <s v="viale trieste 64"/>
    <x v="69"/>
    <s v="PESARO"/>
    <s v="www.hotelembassypesaro.com"/>
    <s v="embassy@hotelembassypesaro.com"/>
    <s v="EMBASSY - PESARO"/>
  </r>
  <r>
    <x v="7"/>
    <s v="EMILI SILVANA"/>
    <s v="via Rossini 8"/>
    <x v="20"/>
    <m/>
    <m/>
    <s v="semili@libero.it"/>
    <s v="EMILI SILVANA - MONDOLFO"/>
  </r>
  <r>
    <x v="1"/>
    <s v="EMILIA"/>
    <s v="frazione Poggio 1"/>
    <x v="10"/>
    <s v="PORTONOVO"/>
    <s v="www.hotelemilia.com"/>
    <s v="info@hotelemilia.com"/>
    <s v="EMILIA - ANCONA"/>
  </r>
  <r>
    <x v="3"/>
    <s v="EMPORIO LA LOGGIA"/>
    <s v="Via Malatestiana 6"/>
    <x v="155"/>
    <s v="GRADARA"/>
    <m/>
    <s v="matteo@baldassarri.com"/>
    <s v="EMPORIO LA LOGGIA - GRADARA"/>
  </r>
  <r>
    <x v="1"/>
    <s v="ENZO"/>
    <s v="corso Matteotti 21"/>
    <x v="23"/>
    <s v="PORTO RECANATI"/>
    <s v="www.hotelenzo.it"/>
    <s v="info@hotelenzo.it"/>
    <s v="ENZO - PORTO RECANATI"/>
  </r>
  <r>
    <x v="5"/>
    <s v="ERBAIUOLA B&amp;B DI GIBELLINI FRANCA"/>
    <s v="contrada castelnuovo 61"/>
    <x v="56"/>
    <s v="RECANATI"/>
    <s v="www.erbaiuola.it"/>
    <s v="info@erbaiuola.it"/>
    <s v="ERBAIUOLA B&amp;B DI GIBELLINI FRANCA - RECANATI"/>
  </r>
  <r>
    <x v="4"/>
    <s v="EREDI LAGALLA ROSSANA DI RICCI ENRICO E C. SAS"/>
    <s v="viale europa 31 31"/>
    <x v="12"/>
    <s v="SAN BENEDETTO DEL TRONTO"/>
    <m/>
    <m/>
    <s v="EREDI LAGALLA ROSSANA DI RICCI ENRICO E C. SAS - SAN BENEDETTO DEL TRONTO"/>
  </r>
  <r>
    <x v="9"/>
    <s v="EREMO DI MONTE GIOVE"/>
    <s v="strada comunale di montegiove 90"/>
    <x v="33"/>
    <s v="ROSCIANO"/>
    <m/>
    <m/>
    <s v="EREMO DI MONTE GIOVE - FANO"/>
  </r>
  <r>
    <x v="9"/>
    <s v="EREMO SAN DONATO"/>
    <s v="vocabolo Palazzi 1"/>
    <x v="58"/>
    <s v="loc.Palazzi"/>
    <s v="www.caresto.it"/>
    <s v="eremocaresto@libero.it"/>
    <s v="EREMO SAN DONATO - SANT'ANGELO IN VADO"/>
  </r>
  <r>
    <x v="7"/>
    <s v="ERRICO VINCENZO"/>
    <s v="Via Sardegna 1"/>
    <x v="16"/>
    <s v="SENIGALLIA"/>
    <m/>
    <s v="titti@cedsbarbati.it"/>
    <s v="ERRICO VINCENZO - SENIGALLIA"/>
  </r>
  <r>
    <x v="0"/>
    <s v="ESCHITO"/>
    <s v="via Molino 27"/>
    <x v="205"/>
    <s v="MONTOTTONE"/>
    <m/>
    <m/>
    <s v="ESCHITO - MONTOTTONE"/>
  </r>
  <r>
    <x v="7"/>
    <s v="ESPOSITO MARIACHIARA"/>
    <s v="Viale Romagna 45"/>
    <x v="33"/>
    <s v="FANO"/>
    <m/>
    <s v="telematico@renierassociati.com"/>
    <s v="ESPOSITO MARIACHIARA - FANO"/>
  </r>
  <r>
    <x v="3"/>
    <s v="ESSICCATOIO"/>
    <s v="vocabolo val d' acqua 1"/>
    <x v="31"/>
    <s v="APECCHIO"/>
    <s v="www.valguerriera.it"/>
    <s v="info@valguerriera.it"/>
    <s v="ESSICCATOIO - APECCHIO"/>
  </r>
  <r>
    <x v="7"/>
    <s v="ESTER JOHANNES HENDRIK - VIA LORETELLO 38"/>
    <s v="Della Fonte 38"/>
    <x v="18"/>
    <s v="LORETELLO"/>
    <m/>
    <s v="hans.ester49@gmail.com"/>
    <s v="ESTER JOHANNES HENDRIK - VIA LORETELLO 38 - ARCEVIA"/>
  </r>
  <r>
    <x v="7"/>
    <s v="ESTER JOHANNES HENDRIK - VIA LORETELLO 40"/>
    <s v="Via della Fonte 40"/>
    <x v="18"/>
    <s v="LORETELLO"/>
    <m/>
    <s v="hans.ester49@gmail.com"/>
    <s v="ESTER JOHANNES HENDRIK - VIA LORETELLO 40 - ARCEVIA"/>
  </r>
  <r>
    <x v="4"/>
    <s v="ET'NA'"/>
    <s v="Lungomare Piermanni 12"/>
    <x v="17"/>
    <s v="CIVITANOVA MARCHE"/>
    <s v="et-na@libero.it"/>
    <m/>
    <s v="ET'NA' - CIVITANOVA MARCHE"/>
  </r>
  <r>
    <x v="4"/>
    <s v="EUGENIO FIORANELLI"/>
    <s v="via litoranea 5 5/7"/>
    <x v="9"/>
    <s v="NUMANA"/>
    <m/>
    <s v="fioranellieugenio@pec.it"/>
    <s v="EUGENIO FIORANELLI - NUMANA"/>
  </r>
  <r>
    <x v="4"/>
    <s v="EUROBEACH - ALBONETTI SILVANA - BAGNI N° 161"/>
    <s v="lungomare italia 1 1"/>
    <x v="16"/>
    <s v="SENIGALLIA"/>
    <s v="info@hotelrex.tv"/>
    <m/>
    <s v="EUROBEACH - ALBONETTI SILVANA - BAGNI N° 161 - SENIGALLIA"/>
  </r>
  <r>
    <x v="4"/>
    <s v="EUROBEACH - BAGNI N° 162"/>
    <s v="lungomare italia 1 1"/>
    <x v="16"/>
    <s v="MARZOCCA"/>
    <s v="info@hotelrex.tv"/>
    <m/>
    <s v="EUROBEACH - BAGNI N° 162 - SENIGALLIA"/>
  </r>
  <r>
    <x v="1"/>
    <s v="EUROPA"/>
    <s v="lungomare alighieri 11"/>
    <x v="16"/>
    <s v="SENIGALLIA"/>
    <s v="www.hoteleuropa-an.it"/>
    <s v="info@hoteleuropa-an.it"/>
    <s v="EUROPA - SENIGALLIA"/>
  </r>
  <r>
    <x v="1"/>
    <s v="EUROPA"/>
    <s v="via Gramsci 8"/>
    <x v="32"/>
    <s v="CUPRA MARITTIMA"/>
    <s v="www.hoteleuropaweb.it"/>
    <s v="direzione@hoteleuropaweb.it"/>
    <s v="EUROPA - CUPRA MARITTIMA"/>
  </r>
  <r>
    <x v="5"/>
    <s v="EUROPE"/>
    <s v="viale europa 1"/>
    <x v="170"/>
    <s v="MONTECOSARO"/>
    <s v="www.europe22.it"/>
    <s v="rioanni@tin.it"/>
    <s v="EUROPE - MONTECOSARO"/>
  </r>
  <r>
    <x v="1"/>
    <s v="EUROTEL"/>
    <s v="Lungomare Alcide de Gasperi 26"/>
    <x v="5"/>
    <s v="GROTTAMMARE"/>
    <s v="www.eurhotel.it"/>
    <s v="info@eurhotel.it"/>
    <s v="EUROTEL - GROTTAMMARE"/>
  </r>
  <r>
    <x v="5"/>
    <s v="EUSEBI MAURIZIO"/>
    <s v="LOC. VALLEPETRA 34"/>
    <x v="76"/>
    <s v="VALLEPETRA"/>
    <m/>
    <s v="INESISTENTE@REGIONE.IT"/>
    <s v="EUSEBI MAURIZIO - MERCATELLO SUL METAURO"/>
  </r>
  <r>
    <x v="3"/>
    <s v="EVANGELISTA FERNANDA"/>
    <s v="via Stroppato 5"/>
    <x v="69"/>
    <m/>
    <m/>
    <s v="evanfer35@gmail.com"/>
    <s v="EVANGELISTA FERNANDA - PESARO"/>
  </r>
  <r>
    <x v="1"/>
    <s v="EXCELSIOR"/>
    <s v="via C. Simonetti 57"/>
    <x v="33"/>
    <s v="FANO"/>
    <s v="www.hotelangela.it"/>
    <s v="info@hotelangela.it"/>
    <s v="EXCELSIOR - FANO"/>
  </r>
  <r>
    <x v="1"/>
    <s v="EXCELSIOR"/>
    <s v="VIA VITTORIO VENETO 73"/>
    <x v="28"/>
    <m/>
    <s v="hotelexcelsiorgabicce.com"/>
    <s v="info@hotelexcelsiorgabicce.com"/>
    <s v="EXCELSIOR - GABICCE MARE"/>
  </r>
  <r>
    <x v="1"/>
    <s v="EXCELSIOR"/>
    <s v="lungomare Nazario Sauro 30/34"/>
    <x v="69"/>
    <s v="PESARO"/>
    <s v="www.excelsiorpesaro.it"/>
    <s v="info@excelsiorpesaro.it"/>
    <s v="EXCELSIOR - PESARO"/>
  </r>
  <r>
    <x v="1"/>
    <s v="EXCELSIOR"/>
    <s v="v.le Rinascimento 137"/>
    <x v="12"/>
    <s v="SAN BENEDETTO DEL TRONTO"/>
    <s v="www.grandhotelexcelsior.com"/>
    <s v="info@grandhotelexcelsior.com"/>
    <s v="EXCELSIOR - SAN BENEDETTO DEL TRONTO"/>
  </r>
  <r>
    <x v="1"/>
    <s v="EXCELSIOR LA FONTE"/>
    <s v="frazione Poggio 160"/>
    <x v="10"/>
    <s v="ANCONA"/>
    <s v="www.excelsiorlafonte.it"/>
    <s v="info@excelsiorlafonte.it"/>
    <s v="EXCELSIOR LA FONTE - ANCONA"/>
  </r>
  <r>
    <x v="7"/>
    <s v="FABRIZIO ERMINI"/>
    <s v="via Morrone 2"/>
    <x v="128"/>
    <m/>
    <m/>
    <s v="ale.ermini@gmail.com"/>
    <s v="FABRIZIO ERMINI - GUALDO"/>
  </r>
  <r>
    <x v="7"/>
    <s v="FACONDINI MARINO"/>
    <s v="via De Amicis 8"/>
    <x v="28"/>
    <m/>
    <m/>
    <m/>
    <s v="FACONDINI MARINO - GABICCE MARE"/>
  </r>
  <r>
    <x v="7"/>
    <s v="FAGIOLI ARMIDA APP.TO VIA BEETHOVEN"/>
    <s v="Via Beethoven 52"/>
    <x v="148"/>
    <s v="POTENZA PICENA"/>
    <m/>
    <m/>
    <s v="FAGIOLI ARMIDA APP.TO VIA BEETHOVEN - POTENZA PICENA"/>
  </r>
  <r>
    <x v="7"/>
    <s v="FAGIOLI ARMIDA APP.TO VIA ROSSINI"/>
    <s v="Via Rossini 5"/>
    <x v="148"/>
    <s v="POTENZA PICENA"/>
    <m/>
    <m/>
    <s v="FAGIOLI ARMIDA APP.TO VIA ROSSINI - POTENZA PICENA"/>
  </r>
  <r>
    <x v="7"/>
    <s v="FALLERONI TONINO"/>
    <s v="contrada Pioli 6"/>
    <x v="104"/>
    <m/>
    <m/>
    <s v="info@osteriaispiazzi.com"/>
    <s v="FALLERONI TONINO - OSTRA VETERE"/>
  </r>
  <r>
    <x v="7"/>
    <s v="FALLI LORENZO"/>
    <s v="via Marchesi 26"/>
    <x v="128"/>
    <m/>
    <m/>
    <s v="lorenzo.falli@istruzione.it"/>
    <s v="FALLI LORENZO - GUALDO"/>
  </r>
  <r>
    <x v="1"/>
    <s v="FAMILY BEACH RESORT IL GIRASOLE"/>
    <s v="via Ugo Foscolo 28"/>
    <x v="20"/>
    <s v="MONDOLFO"/>
    <m/>
    <s v="amministrazione@familyresortilgirasole.com"/>
    <s v="FAMILY BEACH RESORT IL GIRASOLE - MONDOLFO"/>
  </r>
  <r>
    <x v="6"/>
    <s v="FANO"/>
    <s v="via s.n.a.s. dir. sud 1"/>
    <x v="33"/>
    <s v="FANO"/>
    <s v="www.campingfano.it"/>
    <s v="info@campingfano.it"/>
    <s v="FANO - FANO"/>
  </r>
  <r>
    <x v="4"/>
    <s v="FANTASY BEACH DI TONELLI EMANUELE"/>
    <s v="via faa' di bruno 1 1"/>
    <x v="33"/>
    <s v="FANO"/>
    <m/>
    <m/>
    <s v="FANTASY BEACH DI TONELLI EMANUELE - FANO"/>
  </r>
  <r>
    <x v="6"/>
    <s v="FARANGHE CAMPING"/>
    <s v="località Masciano 79"/>
    <x v="40"/>
    <s v="LOC. MASCIANO"/>
    <m/>
    <s v="info@faranghe.eu"/>
    <s v="FARANGHE CAMPING - ESANATOGLIA"/>
  </r>
  <r>
    <x v="8"/>
    <s v="FARANGHE DI BOES MARCUS PETRUS CONTRY HOUSE"/>
    <s v="localita' masciano 79"/>
    <x v="40"/>
    <s v="ESANATOGLIA"/>
    <m/>
    <s v="info@vakantieinitalie.eu"/>
    <s v="FARANGHE DI BOES MARCUS PETRUS CONTRY HOUSE - ESANATOGLIA"/>
  </r>
  <r>
    <x v="1"/>
    <s v="FARO"/>
    <s v="lungomare mameli 110"/>
    <x v="16"/>
    <s v="SENIGALLIA"/>
    <s v="www.hotel-faro.it"/>
    <s v="mily80@libero.it"/>
    <s v="FARO - SENIGALLIA"/>
  </r>
  <r>
    <x v="0"/>
    <s v="FARROTECA MONTEROSSO"/>
    <s v="via Costantinopoli 1"/>
    <x v="64"/>
    <s v="SAN LORENZO IN CAMPO"/>
    <m/>
    <s v="info@mrosso.it"/>
    <s v="FARROTECA MONTEROSSO - SAN LORENZO IN CAMPO"/>
  </r>
  <r>
    <x v="7"/>
    <s v="FASANO GIUSEPPE"/>
    <s v="Via Mascagni 88"/>
    <x v="69"/>
    <s v="PESARO"/>
    <m/>
    <s v="info@immobiliaretriestepesaro.it"/>
    <s v="FASANO GIUSEPPE - PESARO"/>
  </r>
  <r>
    <x v="0"/>
    <s v="FATA"/>
    <s v="strada provinciale Croce Buzzo 19/A"/>
    <x v="41"/>
    <s v="MONTEMARCIANO"/>
    <m/>
    <s v="eosedit@hotmail.com"/>
    <s v="FATA - MONTEMARCIANO"/>
  </r>
  <r>
    <x v="0"/>
    <s v="FATTORIA DI CIGNANO"/>
    <s v="via Cignano 5"/>
    <x v="42"/>
    <s v="loc. Cignano"/>
    <m/>
    <m/>
    <s v="FATTORIA DI CIGNANO - CAMERINO"/>
  </r>
  <r>
    <x v="0"/>
    <s v="FATTORIA DI MONTESECCO"/>
    <s v="frazione Montesecco 1"/>
    <x v="91"/>
    <s v="PERGOLA"/>
    <m/>
    <m/>
    <s v="FATTORIA DI MONTESECCO - PERGOLA"/>
  </r>
  <r>
    <x v="0"/>
    <s v="FATTORIA FONTE PENNICI"/>
    <s v="localita' coppo 17"/>
    <x v="26"/>
    <s v="CINGOLI"/>
    <s v="www.agriturismofontepennici.it"/>
    <s v="info@agriturismofontepennici.it"/>
    <s v="FATTORIA FONTE PENNICI - CINGOLI"/>
  </r>
  <r>
    <x v="0"/>
    <s v="FATTORIA FONTEGELONI"/>
    <s v="loc. Fontegeloni 21"/>
    <x v="72"/>
    <s v="SERRA SAN QUIRICO"/>
    <s v="www.fattoriafontegeloni.it"/>
    <s v="fattoria.fontegeloni@virgilio.it"/>
    <s v="FATTORIA FONTEGELONI - SERRA SAN QUIRICO"/>
  </r>
  <r>
    <x v="0"/>
    <s v="FATTORIA ITALIA"/>
    <s v="contrada Serralta 1"/>
    <x v="72"/>
    <s v="SERRA SAN QUIRICO"/>
    <m/>
    <s v="arnaldo.micciarelli@libero.it"/>
    <s v="FATTORIA ITALIA - SERRA SAN QUIRICO"/>
  </r>
  <r>
    <x v="0"/>
    <s v="FATTORIA LA GINESTRA"/>
    <s v="via serraloggia 203"/>
    <x v="21"/>
    <s v="FABRIANO"/>
    <m/>
    <s v="anto.marcaccini@libero.it"/>
    <s v="FATTORIA LA GINESTRA - FABRIANO"/>
  </r>
  <r>
    <x v="0"/>
    <s v="FATTORIA LE ORIGINI"/>
    <s v="Cesolo Comone 127"/>
    <x v="2"/>
    <s v="SAN SEVERINO MARCHE"/>
    <s v="www.fattorialeorigini.it"/>
    <s v="info@fattorialeorigini.it"/>
    <s v="FATTORIA LE ORIGINI - SAN SEVERINO MARCHE"/>
  </r>
  <r>
    <x v="1"/>
    <s v="FAUSTO"/>
    <s v="via san giacomo, 43 43"/>
    <x v="12"/>
    <s v="SAN BENEDETTO DEL TRONTO"/>
    <s v="www.hotelfausto.com"/>
    <s v="info@hotelfausto.com"/>
    <s v="FAUSTO - SAN BENEDETTO DEL TRONTO"/>
  </r>
  <r>
    <x v="7"/>
    <s v="FAVI UMBERTO"/>
    <s v="VIA PIERELLI 29"/>
    <x v="16"/>
    <s v="SENIGALLIA"/>
    <m/>
    <s v="affittiestivi@belenchia.com"/>
    <s v="FAVI UMBERTO - SENIGALLIA"/>
  </r>
  <r>
    <x v="4"/>
    <s v="FEDERICO"/>
    <s v="Viale IV Novembre 26"/>
    <x v="17"/>
    <s v="CIVITANOVA MARCHE"/>
    <s v="christian@eurospedizioni.com"/>
    <m/>
    <s v="FEDERICO - CIVITANOVA MARCHE"/>
  </r>
  <r>
    <x v="3"/>
    <s v="FEDERICO I"/>
    <s v="largo San Cristoforo 2"/>
    <x v="46"/>
    <s v="SASSOFERRATO"/>
    <m/>
    <s v="info@countryhousefederico.it"/>
    <s v="FEDERICO I - SASSOFERRATO"/>
  </r>
  <r>
    <x v="4"/>
    <s v="FELIZIANI REBECCA"/>
    <s v="via faleria 1 1"/>
    <x v="163"/>
    <s v="PORTO SANT' ELPIDIO"/>
    <m/>
    <m/>
    <s v="FELIZIANI REBECCA - PORTO SANT'ELPIDIO"/>
  </r>
  <r>
    <x v="1"/>
    <s v="FELYCITA"/>
    <m/>
    <x v="201"/>
    <s v="FRONTIGNANO-USSITA"/>
    <s v="www.hotelfelycita.com"/>
    <s v="info@hotelfelycita.com"/>
    <s v="FELYCITA - USSITA"/>
  </r>
  <r>
    <x v="1"/>
    <s v="FENIX"/>
    <s v="via Martucci 2"/>
    <x v="12"/>
    <s v="SAN BENEDETTO DEL TRONTO"/>
    <s v="www.hotelfenix.eu"/>
    <s v="info@hotelfenix.eu"/>
    <s v="FENIX - SAN BENEDETTO DEL TRONTO"/>
  </r>
  <r>
    <x v="3"/>
    <s v="FERONIA - CASE E APPARTAMENTI PER VACANZE"/>
    <s v="piazza del popolo 96"/>
    <x v="2"/>
    <s v="SAN SEVERINO MARCHE"/>
    <m/>
    <m/>
    <s v="FERONIA - CASE E APPARTAMENTI PER VACANZE - SAN SEVERINO MARCHE"/>
  </r>
  <r>
    <x v="9"/>
    <s v="FERRA'"/>
    <m/>
    <x v="153"/>
    <s v="FERRA'"/>
    <m/>
    <s v="marchigiana@unitalsi.it"/>
    <s v="FERRA' - MONTEMONACO"/>
  </r>
  <r>
    <x v="1"/>
    <s v="FERRANTI"/>
    <s v="via Nazionale 60"/>
    <x v="93"/>
    <s v="SERRAPETRONA"/>
    <s v="www.hotelferranti.it"/>
    <s v="hotelferranti@yahoo.it"/>
    <s v="FERRANTI - SERRAPETRONA"/>
  </r>
  <r>
    <x v="1"/>
    <s v="FERRARA"/>
    <s v="via cola di rienzo 25"/>
    <x v="12"/>
    <s v="SAN BENEDETTO DEL TRONTO"/>
    <s v="www.hotelferrara.net"/>
    <s v="hotelferrara@virgilio.it"/>
    <s v="FERRARA - SAN BENEDETTO DEL TRONTO"/>
  </r>
  <r>
    <x v="7"/>
    <s v="FERRETTI FAUSTA"/>
    <m/>
    <x v="151"/>
    <m/>
    <m/>
    <m/>
    <s v="FERRETTI FAUSTA - ASCOLI PICENO"/>
  </r>
  <r>
    <x v="3"/>
    <s v="FERRETTI ROSANNA"/>
    <s v="Via del Ponte Vecchio 2"/>
    <x v="151"/>
    <s v="ASCOLI PICENO"/>
    <m/>
    <s v="rosanna.ferretti@alice.it"/>
    <s v="FERRETTI ROSANNA - ASCOLI PICENO"/>
  </r>
  <r>
    <x v="0"/>
    <s v="FERRI ENRICO"/>
    <s v="contrada Padulo 5"/>
    <x v="87"/>
    <m/>
    <m/>
    <s v="aziendaagricolaferri@alice.it"/>
    <s v="FERRI ENRICO - CASTORANO"/>
  </r>
  <r>
    <x v="5"/>
    <s v="FESTINA LENTE"/>
    <s v="Via San Giovanni Bosco 89"/>
    <x v="23"/>
    <s v="PORTO RECANATI"/>
    <s v="www.festinalentebb.it"/>
    <s v="info@festinalentebb.it"/>
    <s v="FESTINA LENTE - PORTO RECANATI"/>
  </r>
  <r>
    <x v="13"/>
    <s v="FILIPPETTI CLAUDIO - AGRICAMPEGGIO"/>
    <s v="localita' Metaurilia 46"/>
    <x v="33"/>
    <s v="FANO"/>
    <m/>
    <m/>
    <s v="FILIPPETTI CLAUDIO - AGRICAMPEGGIO - FANO"/>
  </r>
  <r>
    <x v="13"/>
    <s v="FILIPPETTI DANTE - AGRICAMPEGGIO"/>
    <s v="localita' Metaurilia 46"/>
    <x v="33"/>
    <s v="FANO"/>
    <m/>
    <m/>
    <s v="FILIPPETTI DANTE - AGRICAMPEGGIO - FANO"/>
  </r>
  <r>
    <x v="13"/>
    <s v="FILIPPETTI NANDO - AGRICAMPEGGIO"/>
    <s v="localita' Metaurilia 46"/>
    <x v="33"/>
    <s v="FANO"/>
    <m/>
    <m/>
    <s v="FILIPPETTI NANDO - AGRICAMPEGGIO - FANO"/>
  </r>
  <r>
    <x v="7"/>
    <s v="FILIPPO CAPOTONDI"/>
    <s v="via Ridolfi 12"/>
    <x v="60"/>
    <m/>
    <m/>
    <s v="millola75@gmail.com"/>
    <s v="FILIPPO CAPOTONDI - CORINALDO"/>
  </r>
  <r>
    <x v="0"/>
    <s v="FILODIVINO"/>
    <s v="Via Serra 46"/>
    <x v="193"/>
    <s v="SAN MARCELLO"/>
    <s v="www.filodivino.it"/>
    <s v="info@filodivino.it"/>
    <s v="FILODIVINO - SAN MARCELLO"/>
  </r>
  <r>
    <x v="8"/>
    <s v="FINIS AFRICAE"/>
    <s v="strada provinciale sant' angelo 155"/>
    <x v="16"/>
    <s v="SENIGALLIA"/>
    <s v="www.finisafricae.com"/>
    <s v="info@finisafricae.info"/>
    <s v="FINIS AFRICAE - SENIGALLIA"/>
  </r>
  <r>
    <x v="8"/>
    <s v="FINOCCHIETTO"/>
    <m/>
    <x v="25"/>
    <s v="LOC. FINOCCHIETTO"/>
    <s v="www.caserrantonio-ferri.com"/>
    <s v="info_ferri@libero.it"/>
    <s v="FINOCCHIETTO - PIOBBICO"/>
  </r>
  <r>
    <x v="0"/>
    <s v="FIOR DI LOTO"/>
    <s v="c.da Comunanza 7"/>
    <x v="150"/>
    <m/>
    <m/>
    <m/>
    <s v="FIOR DI LOTO - MONSAMPOLO DEL TRONTO"/>
  </r>
  <r>
    <x v="4"/>
    <s v="FIOR DI MARE"/>
    <s v="Via Cristoforo Colombo 14"/>
    <x v="9"/>
    <s v="Numana"/>
    <m/>
    <s v="ltiffi@alice.it"/>
    <s v="FIOR DI MARE - NUMANA"/>
  </r>
  <r>
    <x v="7"/>
    <s v="FIORDALISO,GIGLIO,GIRASOLE,IRIS,MARGHERITA,ORCHIDEA,VIOLETTA"/>
    <s v="via Sterpettine 20/22"/>
    <x v="20"/>
    <m/>
    <m/>
    <s v="rondinaveruska@gmail.com"/>
    <s v="FIORDALISO,GIGLIO,GIRASOLE,IRIS,MARGHERITA,ORCHIDEA,VIOLETTA - MONDOLFO"/>
  </r>
  <r>
    <x v="4"/>
    <s v="FIORE"/>
    <m/>
    <x v="23"/>
    <s v="PORTO RECANATI"/>
    <m/>
    <m/>
    <s v="FIORE - PORTO RECANATI"/>
  </r>
  <r>
    <x v="0"/>
    <s v="FIORE DI CAMPO"/>
    <s v="contrada Montone 124"/>
    <x v="37"/>
    <s v="FERMO"/>
    <s v="www.fioredicampo.com/"/>
    <s v="info@fioredicampo.com"/>
    <s v="FIORE DI CAMPO - FERMO"/>
  </r>
  <r>
    <x v="1"/>
    <s v="FIORELLA"/>
    <s v="VIA PUGLIA 12"/>
    <x v="16"/>
    <s v="SENIGALLIA"/>
    <s v="www.hotel-fiorella.it"/>
    <s v="info@hotel-fiorella.it"/>
    <s v="FIORELLA - SENIGALLIA"/>
  </r>
  <r>
    <x v="7"/>
    <s v="FIORELLI ATTILIO"/>
    <s v="VIALE TRIESTE 4"/>
    <x v="33"/>
    <s v="FANO"/>
    <m/>
    <s v="r.andrea@sed84.com"/>
    <s v="FIORELLI ATTILIO - FANO"/>
  </r>
  <r>
    <x v="0"/>
    <s v="FIORENIRE"/>
    <s v="C.da Filette 9"/>
    <x v="82"/>
    <s v="Castignano"/>
    <s v="www.fiorenire.it"/>
    <s v="fiorenire@fiorenire.it"/>
    <s v="FIORENIRE - CASTIGNANO"/>
  </r>
  <r>
    <x v="7"/>
    <s v="FIORENZA ZACCONI"/>
    <s v="via Dante Alighieri  87"/>
    <x v="148"/>
    <s v="PORTO POTENZA PICENA"/>
    <m/>
    <s v="zuccaccia.l@libero.it"/>
    <s v="FIORENZA ZACCONI - POTENZA PICENA"/>
  </r>
  <r>
    <x v="0"/>
    <s v="FIORI DEL CONERO"/>
    <s v="Via della Ferrovia  28/a"/>
    <x v="10"/>
    <m/>
    <s v="www.fioridelconero.it"/>
    <s v="fioridelconero@gmail.com"/>
    <s v="FIORI DEL CONERO - ANCONA"/>
  </r>
  <r>
    <x v="0"/>
    <s v="FIORI DI CAMPO"/>
    <s v="via Concio 5"/>
    <x v="8"/>
    <m/>
    <m/>
    <s v="roberta.raffaelli@tiscali.it"/>
    <s v="FIORI DI CAMPO - SIROLO"/>
  </r>
  <r>
    <x v="3"/>
    <s v="FISCALS COMPUTERS di PEROTTI ENRICO SNC"/>
    <s v="viale Alcide de Gasperi 16"/>
    <x v="5"/>
    <s v="GROTTAMMARE"/>
    <m/>
    <s v="ramona@studioenricoperotti.it"/>
    <s v="FISCALS COMPUTERS di PEROTTI ENRICO SNC - GROTTAMMARE"/>
  </r>
  <r>
    <x v="4"/>
    <s v="FLAMMINI STEFANO 1"/>
    <s v="viale nazario sauro 1 1"/>
    <x v="32"/>
    <s v="CUPRA MARITTIMA"/>
    <m/>
    <m/>
    <s v="FLAMMINI STEFANO 1 - CUPRA MARITTIMA"/>
  </r>
  <r>
    <x v="4"/>
    <s v="FLAMMINI STEFANO N.2"/>
    <s v="viale nazario sauro 14 14"/>
    <x v="32"/>
    <s v="CUPRA MARITTIMA"/>
    <m/>
    <m/>
    <s v="FLAMMINI STEFANO N.2 - CUPRA MARITTIMA"/>
  </r>
  <r>
    <x v="1"/>
    <s v="FLORENCE"/>
    <s v="via grado 5"/>
    <x v="12"/>
    <s v="SAN BENEDETTO DEL TRONTO"/>
    <s v="www.hotelflorencemare.it"/>
    <s v="info@hotelflorencemare.it"/>
    <s v="FLORENCE - SAN BENEDETTO DEL TRONTO"/>
  </r>
  <r>
    <x v="4"/>
    <s v="FLORIDA"/>
    <s v="lungomare cristoforo colombo 6 6"/>
    <x v="5"/>
    <m/>
    <m/>
    <m/>
    <s v="FLORIDA - GROTTAMMARE"/>
  </r>
  <r>
    <x v="4"/>
    <s v="FLORIDA 16"/>
    <s v="via litoranea 13 13"/>
    <x v="9"/>
    <s v="NUMANA"/>
    <m/>
    <s v="luipaoconero@hotmail.it"/>
    <s v="FLORIDA 16 - NUMANA"/>
  </r>
  <r>
    <x v="4"/>
    <s v="FLORIDITA"/>
    <m/>
    <x v="23"/>
    <m/>
    <m/>
    <m/>
    <s v="FLORIDITA - PORTO RECANATI"/>
  </r>
  <r>
    <x v="9"/>
    <s v="FOCE 1"/>
    <m/>
    <x v="153"/>
    <s v="FOCE"/>
    <m/>
    <m/>
    <s v="FOCE 1 - MONTEMONACO"/>
  </r>
  <r>
    <x v="7"/>
    <s v="FOGLIA LIDA"/>
    <s v="Duca degli Abruzzi 104"/>
    <x v="148"/>
    <s v="POTENZA PICENA"/>
    <m/>
    <m/>
    <s v="FOGLIA LIDA - POTENZA PICENA"/>
  </r>
  <r>
    <x v="6"/>
    <s v="FONTANA MARINA"/>
    <s v="localita' Tre Camini 1"/>
    <x v="55"/>
    <s v="CAMPOFILONE"/>
    <s v="www.fontanamarina.it"/>
    <s v="fontana@camping.it; info@fontanamarina.it"/>
    <s v="FONTANA MARINA - CAMPOFILONE"/>
  </r>
  <r>
    <x v="7"/>
    <s v="FONTE DEL CONERO"/>
    <s v="fraz. Poggio 107/a"/>
    <x v="10"/>
    <m/>
    <m/>
    <s v="fontedelconero@yahoo.it"/>
    <s v="FONTE DEL CONERO - ANCONA"/>
  </r>
  <r>
    <x v="8"/>
    <s v="FONTE DELL'OLMO"/>
    <s v="strada monte peruzzo 1"/>
    <x v="75"/>
    <s v="CAGLI"/>
    <m/>
    <s v="purgotti2@virgilio.it"/>
    <s v="FONTE DELL'OLMO - CAGLI"/>
  </r>
  <r>
    <x v="5"/>
    <s v="FONTE DI MARE"/>
    <s v="Via Adriatica 25"/>
    <x v="163"/>
    <s v="FONTE DI MARE"/>
    <m/>
    <m/>
    <s v="FONTE DI MARE - PORTO SANT'ELPIDIO"/>
  </r>
  <r>
    <x v="0"/>
    <s v="FONTE DI S. ANDREA"/>
    <m/>
    <x v="54"/>
    <s v="Montelparo"/>
    <s v="www.fontedisantandrea.it"/>
    <s v="info@fontedisantandrea.it"/>
    <s v="FONTE DI S. ANDREA - MONTELPARO"/>
  </r>
  <r>
    <x v="3"/>
    <s v="FONTE LE CASTELLANE DI FABI CARLA"/>
    <m/>
    <x v="11"/>
    <m/>
    <s v="www.fontelecastellane.com"/>
    <s v="fontelecastellane@libero.it"/>
    <s v="FONTE LE CASTELLANE DI FABI CARLA - SARNANO"/>
  </r>
  <r>
    <x v="0"/>
    <s v="FONTE PAROLLA AGRITURISMO"/>
    <s v="via Villa del Monte Campagna 13"/>
    <x v="173"/>
    <s v="loc. Villa del Monte"/>
    <s v="www.fonteparolla.it"/>
    <s v="info@fonteparolla.it"/>
    <s v="FONTE PAROLLA AGRITURISMO - BARCHI"/>
  </r>
  <r>
    <x v="0"/>
    <s v="FONTE ROSSA"/>
    <s v="via Tevere 23"/>
    <x v="111"/>
    <s v="loc.Capoluogo"/>
    <s v="http://www.agriturismofonterossa.it"/>
    <s v="info@agriturismofonterossa.it"/>
    <s v="FONTE ROSSA - SANT'ELPIDIO A MARE"/>
  </r>
  <r>
    <x v="0"/>
    <s v="FONTE SOMMA"/>
    <m/>
    <x v="31"/>
    <s v="loc.Fontesomma"/>
    <s v="www.fontesomma.it"/>
    <s v="info@fontesomma.it"/>
    <s v="FONTE SOMMA - APECCHIO"/>
  </r>
  <r>
    <x v="7"/>
    <s v="FONTEBRUNA"/>
    <s v="via Sant'Angelo 15"/>
    <x v="67"/>
    <m/>
    <m/>
    <s v="fontebruna@virgilio.it"/>
    <s v="FONTEBRUNA - MONTECICCARDO"/>
  </r>
  <r>
    <x v="0"/>
    <s v="FONTECHIARA"/>
    <s v="C.da Santa Maria in Paterno 19"/>
    <x v="139"/>
    <s v="TREIA"/>
    <s v="www.fontechiara.com"/>
    <s v="pinonastasi@alice.it"/>
    <s v="FONTECHIARA - TREIA"/>
  </r>
  <r>
    <x v="7"/>
    <s v="FONTEMARTA"/>
    <s v="c.da Rinci 20"/>
    <x v="11"/>
    <m/>
    <m/>
    <s v="t.marialuisa@email.it"/>
    <s v="FONTEMARTA - SARNANO"/>
  </r>
  <r>
    <x v="3"/>
    <s v="FONTERAMA  FASHION FUR di MOSCETTI MAURIZIO"/>
    <s v="frazione Fonterama 4"/>
    <x v="107"/>
    <s v="GAGLIOLE"/>
    <s v="www.residencefonterama.it"/>
    <s v="residencefonterama@libero.it"/>
    <s v="FONTERAMA  FASHION FUR di MOSCETTI MAURIZIO - GAGLIOLE"/>
  </r>
  <r>
    <x v="3"/>
    <s v="FONTERAMA di BENI MARIA TERESA"/>
    <s v="loc.Fonterama 4"/>
    <x v="107"/>
    <s v="FONTERAMA"/>
    <s v="www.residencefonterama.it"/>
    <s v="residencefonterama@libero.it"/>
    <s v="FONTERAMA di BENI MARIA TERESA - GAGLIOLE"/>
  </r>
  <r>
    <x v="0"/>
    <s v="FORESTALE LUTI"/>
    <s v="c.da Chiaravalle 63"/>
    <x v="139"/>
    <s v="TREIA"/>
    <m/>
    <s v="luigi.rosini@alice.it; antonio.nessuno@libero.it"/>
    <s v="FORESTALE LUTI - TREIA"/>
  </r>
  <r>
    <x v="11"/>
    <s v="FORESTCAMP"/>
    <m/>
    <x v="63"/>
    <m/>
    <m/>
    <s v="mdm.forestcamp@gmail.com"/>
    <s v="FORESTCAMP - SMERILLO"/>
  </r>
  <r>
    <x v="0"/>
    <s v="FORESTERIA AGRITURISTICA STRADA DEI CAMPIOLI"/>
    <s v="via Giardino Campioli 31"/>
    <x v="173"/>
    <m/>
    <s v="www.stradadeicampioli.it"/>
    <s v="info@stradadeicampioli.it"/>
    <s v="FORESTERIA AGRITURISTICA STRADA DEI CAMPIOLI - BARCHI"/>
  </r>
  <r>
    <x v="10"/>
    <s v="FORESTERIA COMUNALE"/>
    <s v="zona Tinta 51"/>
    <x v="132"/>
    <s v="SAN GINESIO"/>
    <s v="http://www.ostellosanginesio.it/"/>
    <s v="roberto.ostello@hotmail.it"/>
    <s v="FORESTERIA COMUNALE - SAN GINESIO"/>
  </r>
  <r>
    <x v="10"/>
    <s v="FORESTERIA DEL VIANDANTE"/>
    <s v="via Lrgo Marconi 3"/>
    <x v="54"/>
    <m/>
    <m/>
    <s v="scendoni52@gmail.com"/>
    <s v="FORESTERIA DEL VIANDANTE - MONTELPARO"/>
  </r>
  <r>
    <x v="3"/>
    <s v="FORESTERIA OPERA ARTE"/>
    <s v="piazza Lauro Rossi 4"/>
    <x v="0"/>
    <s v="MACERATA"/>
    <m/>
    <s v="info@operaarte.it"/>
    <s v="FORESTERIA OPERA ARTE - MACERATA"/>
  </r>
  <r>
    <x v="9"/>
    <s v="FORESTERIA ROMA 1 interno 14"/>
    <s v="Via Roma 152"/>
    <x v="0"/>
    <s v="MACERATA"/>
    <m/>
    <s v="staffolani@ilfarosociale.it"/>
    <s v="FORESTERIA ROMA 1 interno 14 - MACERATA"/>
  </r>
  <r>
    <x v="5"/>
    <s v="FORMAGIU NINA"/>
    <s v="Via Urbino 16"/>
    <x v="151"/>
    <s v="ASCOLI PICENO"/>
    <m/>
    <m/>
    <s v="FORMAGIU NINA - ASCOLI PICENO"/>
  </r>
  <r>
    <x v="0"/>
    <s v="FORNACI SABINE"/>
    <s v="via fornaci sabine 4"/>
    <x v="124"/>
    <s v="BELFORTE DEL CHIENTI"/>
    <s v="www.fornacisabine.com"/>
    <s v="info@fornacisabine.com"/>
    <s v="FORNACI SABINE - BELFORTE DEL CHIENTI"/>
  </r>
  <r>
    <x v="7"/>
    <s v="FORONCHI ELVIRA"/>
    <s v="via Trieste, via Trento 25,20"/>
    <x v="28"/>
    <m/>
    <m/>
    <s v="monica_vincenzo@virgilio.it"/>
    <s v="FORONCHI ELVIRA - GABICCE MARE"/>
  </r>
  <r>
    <x v="7"/>
    <s v="FORONCHI GIUSEPPE"/>
    <s v="via Trieste 25/b"/>
    <x v="28"/>
    <m/>
    <m/>
    <m/>
    <s v="FORONCHI GIUSEPPE - GABICCE MARE"/>
  </r>
  <r>
    <x v="1"/>
    <s v="FORTINO NAPOLEONICO"/>
    <s v="frazione Poggio 166"/>
    <x v="10"/>
    <s v="baia di Portonovo"/>
    <s v="www.hotelfortino.it"/>
    <s v="info@hotelfortino.it"/>
    <s v="FORTINO NAPOLEONICO - ANCONA"/>
  </r>
  <r>
    <x v="1"/>
    <s v="FORTUNA"/>
    <s v="piazza Carlo &amp; Nello Rosselli 15"/>
    <x v="10"/>
    <s v="ANCONA"/>
    <s v="www.hotelfortuna.it"/>
    <s v="info@hotelfortuna.it"/>
    <s v="FORTUNA - ANCONA"/>
  </r>
  <r>
    <x v="0"/>
    <s v="FORTUNA VERDE"/>
    <s v="C.da Fiorano 20"/>
    <x v="105"/>
    <s v="Cossignano"/>
    <s v="www.fortunaverde.com"/>
    <s v="info@fortunaverde.com"/>
    <s v="FORTUNA VERDE - COSSIGNANO"/>
  </r>
  <r>
    <x v="7"/>
    <s v="FOSCHI CARLO"/>
    <s v="Viale Monte Bove 35"/>
    <x v="56"/>
    <s v="RECANATI"/>
    <m/>
    <s v="carlo2010.foschi@gmail.com"/>
    <s v="FOSCHI CARLO - RECANATI"/>
  </r>
  <r>
    <x v="7"/>
    <s v="FOSCI ANTONIO"/>
    <s v="Viale dei gerani 11"/>
    <x v="16"/>
    <s v="SENIGALLIA"/>
    <m/>
    <s v="affittiestivi@belenchia.com"/>
    <s v="FOSCI ANTONIO - SENIGALLIA"/>
  </r>
  <r>
    <x v="3"/>
    <s v="FRAL DI BROCCOLO LAMBERTO E C. SNC"/>
    <s v="contrada Torrenova 14"/>
    <x v="148"/>
    <s v="POTENZA PICENA"/>
    <m/>
    <s v="fbroccolo@inwind.it"/>
    <s v="FRAL DI BROCCOLO LAMBERTO E C. SNC - POTENZA PICENA"/>
  </r>
  <r>
    <x v="7"/>
    <s v="FRANCA ETTORE"/>
    <s v="Viale della Vittoria 155"/>
    <x v="69"/>
    <s v="PESARO"/>
    <m/>
    <s v="immobiliare@adriamar.net"/>
    <s v="FRANCA ETTORE - PESARO"/>
  </r>
  <r>
    <x v="7"/>
    <s v="FRANCA GIACOMO"/>
    <s v="Via Castelfidardo 98"/>
    <x v="69"/>
    <s v="PESARP"/>
    <m/>
    <s v="immobiliare@adriamar.net"/>
    <s v="FRANCA GIACOMO - PESARO"/>
  </r>
  <r>
    <x v="7"/>
    <s v="FRANCESCO PIERAGOSTINI"/>
    <s v="fraz. Montale 11"/>
    <x v="18"/>
    <s v="MONTALE"/>
    <m/>
    <s v="sistoepaola@alice.it"/>
    <s v="FRANCESCO PIERAGOSTINI - ARCEVIA"/>
  </r>
  <r>
    <x v="7"/>
    <s v="FRANCESCONI CARLA"/>
    <s v="Via Damiano Chiesa 34"/>
    <x v="20"/>
    <s v="MONDOLFO"/>
    <m/>
    <m/>
    <s v="FRANCESCONI CARLA - MONDOLFO"/>
  </r>
  <r>
    <x v="7"/>
    <s v="FRANCHINI FEDERICA"/>
    <s v="Via Cattolica 24/B"/>
    <x v="155"/>
    <s v="GRADARA"/>
    <m/>
    <s v="franchini.federica82@gmail.com"/>
    <s v="FRANCHINI FEDERICA - GRADARA"/>
  </r>
  <r>
    <x v="8"/>
    <s v="FRANCO CASTELLANO"/>
    <s v="via Montajate 51"/>
    <x v="91"/>
    <m/>
    <m/>
    <m/>
    <s v="FRANCO CASTELLANO - PERGOLA"/>
  </r>
  <r>
    <x v="7"/>
    <s v="FRANCOLINI MARINELLI RITA"/>
    <m/>
    <x v="33"/>
    <m/>
    <m/>
    <s v="guglielmogiovannelli@gmail.com"/>
    <s v="FRANCOLINI MARINELLI RITA - FANO"/>
  </r>
  <r>
    <x v="0"/>
    <s v="FRATEL CONVENTUAL"/>
    <s v="contrada cantagallo 30"/>
    <x v="37"/>
    <s v="FERMO"/>
    <m/>
    <m/>
    <s v="FRATEL CONVENTUAL - FERMO"/>
  </r>
  <r>
    <x v="0"/>
    <s v="FRATICELLI MASSIMO"/>
    <s v="via Borghetto 9"/>
    <x v="211"/>
    <s v="MONTEMAGGIORE AL METAURO"/>
    <m/>
    <s v="massimo@fraticelli.eu"/>
    <s v="FRATICELLI MASSIMO - MONTEMAGGIORE AL METAURO"/>
  </r>
  <r>
    <x v="0"/>
    <s v="FRATTABELLA"/>
    <s v="frazione Monterolo 114"/>
    <x v="91"/>
    <s v="loc. Monterolo"/>
    <s v="www.agriturismofrattabella.it"/>
    <s v="info@agriturismofrattabella.it"/>
    <s v="FRATTABELLA - PERGOLA"/>
  </r>
  <r>
    <x v="4"/>
    <s v="FRONTEMARE"/>
    <s v="Via Lungomare 13/A"/>
    <x v="41"/>
    <s v="MARINA DI MONTEMARCIANO"/>
    <m/>
    <m/>
    <s v="FRONTEMARE - MONTEMARCIANO"/>
  </r>
  <r>
    <x v="11"/>
    <s v="FRONTEMARE PARKING"/>
    <m/>
    <x v="163"/>
    <m/>
    <m/>
    <s v="frontemareparkingsrl@gmail.com"/>
    <s v="FRONTEMARE PARKING - PORTO SANT'ELPIDIO"/>
  </r>
  <r>
    <x v="3"/>
    <s v="FUED IMMOBILIARE SRL APP.TI NUMANA"/>
    <s v="via Ascoli Piceno 33"/>
    <x v="9"/>
    <s v="NUMANA"/>
    <m/>
    <s v="info@fuedimmobiliare.it"/>
    <s v="FUED IMMOBILIARE SRL APP.TI NUMANA - NUMANA"/>
  </r>
  <r>
    <x v="3"/>
    <s v="FUED IMMOBILIARE SRL APP.TI SIROLO"/>
    <s v="Via Maratta 8"/>
    <x v="8"/>
    <s v="SIROLO"/>
    <m/>
    <s v="info@fuedimmobiliare.it"/>
    <s v="FUED IMMOBILIARE SRL APP.TI SIROLO - SIROLO"/>
  </r>
  <r>
    <x v="1"/>
    <s v="FULVIA"/>
    <s v="via Trieste 23"/>
    <x v="28"/>
    <s v="GABICCE MARE"/>
    <s v="www.gabiccemare.com/fulvia; info@hotelfulvia.com"/>
    <s v="info@hotelfulvia.com"/>
    <s v="FULVIA - GABICCE MARE"/>
  </r>
  <r>
    <x v="5"/>
    <s v="FUORI DI PORTA"/>
    <s v="Via Loretana 93"/>
    <x v="167"/>
    <s v="CAMERANO"/>
    <m/>
    <s v="jerryalce@gmail.com"/>
    <s v="FUORI DI PORTA - CAMERANO"/>
  </r>
  <r>
    <x v="7"/>
    <s v="FURIASSI LUIZA"/>
    <s v="COSTA DELLA FIGURA 20"/>
    <x v="191"/>
    <m/>
    <m/>
    <s v="inesistente@regione.marche.it"/>
    <s v="FURIASSI LUIZA - MONTEFELCINO"/>
  </r>
  <r>
    <x v="7"/>
    <s v="FURLANI MAGDA"/>
    <s v="Via Nazario Sauro SNC"/>
    <x v="33"/>
    <s v="FANO"/>
    <m/>
    <s v="magdalenafurlani@gmail.com"/>
    <s v="FURLANI MAGDA - FANO"/>
  </r>
  <r>
    <x v="1"/>
    <s v="G HOTEL"/>
    <s v="via sbrozzola 26"/>
    <x v="44"/>
    <s v="OSIMO"/>
    <s v="www.ghotelancona.it"/>
    <s v="info@ghotelancona.it"/>
    <s v="G HOTEL - OSIMO"/>
  </r>
  <r>
    <x v="7"/>
    <s v="G. &amp; D. APPARTAMENTO AD USO TURISTICO"/>
    <s v="Via Vittorio Veneto 26"/>
    <x v="10"/>
    <s v="ANCONA"/>
    <m/>
    <s v="miccio2009@libero.it"/>
    <s v="G. &amp; D. APPARTAMENTO AD USO TURISTICO - ANCONA"/>
  </r>
  <r>
    <x v="1"/>
    <s v="GABBIANO"/>
    <s v="lungomare Leonardo da Vinci 91"/>
    <x v="16"/>
    <s v="SENIGALLIA"/>
    <s v="www.gabbiano-senigallia.com"/>
    <s v="hotelgabbiano@gmail.com"/>
    <s v="GABBIANO - SENIGALLIA"/>
  </r>
  <r>
    <x v="1"/>
    <s v="GABBIANO"/>
    <s v="viale VI Novembre 256"/>
    <x v="17"/>
    <s v="CIVITANOVA MARCHE"/>
    <m/>
    <s v="info@gabbianohotelcivitanova.it"/>
    <s v="GABBIANO - CIVITANOVA MARCHE"/>
  </r>
  <r>
    <x v="4"/>
    <s v="GABBIANO"/>
    <s v="Torsten Bergmark isola pedonale nord snc"/>
    <x v="32"/>
    <s v="portobello"/>
    <m/>
    <s v="seavacanze@gmail.com"/>
    <s v="GABBIANO - CUPRA MARITTIMA"/>
  </r>
  <r>
    <x v="1"/>
    <s v="GABICCE"/>
    <s v="via trento 24"/>
    <x v="28"/>
    <s v="GABICCE MARE"/>
    <s v="www.hotelgabicce.it"/>
    <s v="info@hotelgabicce.it"/>
    <s v="GABICCE - GABICCE MARE"/>
  </r>
  <r>
    <x v="4"/>
    <s v="GABRY"/>
    <s v="Via Adriatica Sud  6/A"/>
    <x v="32"/>
    <s v="CUPRA MARITTIMA"/>
    <m/>
    <m/>
    <s v="GABRY - CUPRA MARITTIMA"/>
  </r>
  <r>
    <x v="7"/>
    <s v="GAGLIARDINI LUISELLA"/>
    <s v="via Faà di Bruno 51"/>
    <x v="33"/>
    <m/>
    <m/>
    <s v="elimolinari@gmail.com"/>
    <s v="GAGLIARDINI LUISELLA - FANO"/>
  </r>
  <r>
    <x v="2"/>
    <s v="GALILEO RESIDENCE"/>
    <m/>
    <x v="12"/>
    <m/>
    <s v="www.residencegalileo.it"/>
    <s v="info@residence-galileo.it"/>
    <s v="GALILEO RESIDENCE - SAN BENEDETTO DEL TRONTO"/>
  </r>
  <r>
    <x v="7"/>
    <s v="GALIMBERTI ILARIA"/>
    <s v="Via Pierelli  1A"/>
    <x v="16"/>
    <s v="SENIGALLIA"/>
    <m/>
    <s v="ilariagal@hotmail.it"/>
    <s v="GALIMBERTI ILARIA - SENIGALLIA"/>
  </r>
  <r>
    <x v="1"/>
    <s v="GALLERY HOTEL RECANATI"/>
    <s v="via falleroni 85"/>
    <x v="56"/>
    <s v="RECANATI"/>
    <s v="www.ghr.it"/>
    <s v="info@ghr.it"/>
    <s v="GALLERY HOTEL RECANATI - RECANATI"/>
  </r>
  <r>
    <x v="7"/>
    <s v="GALLI GIANCARLO"/>
    <s v="Piazza Giordano Bruno 14"/>
    <x v="16"/>
    <s v="SENIGALLIA"/>
    <m/>
    <s v="unotredigalli@gmail.com"/>
    <s v="GALLI GIANCARLO - SENIGALLIA"/>
  </r>
  <r>
    <x v="7"/>
    <s v="GALLI MARIA PIA, FILIPPINI MARIA"/>
    <s v="via Nino Bixio 4"/>
    <x v="28"/>
    <m/>
    <m/>
    <m/>
    <s v="GALLI MARIA PIA, FILIPPINI MARIA - GABICCE MARE"/>
  </r>
  <r>
    <x v="3"/>
    <s v="GAMBELLI - VIA ALFIERI"/>
    <s v="via Alfieri 16"/>
    <x v="22"/>
    <m/>
    <m/>
    <s v="obms@libero.it"/>
    <s v="GAMBELLI - VIA ALFIERI - FALCONARA MARITTIMA"/>
  </r>
  <r>
    <x v="3"/>
    <s v="GAMBELLI - VIA TASSO"/>
    <s v="via Tasso 1"/>
    <x v="22"/>
    <m/>
    <m/>
    <s v="obms@libero.it"/>
    <s v="GAMBELLI - VIA TASSO - FALCONARA MARITTIMA"/>
  </r>
  <r>
    <x v="7"/>
    <s v="GANDOLFI CARLO"/>
    <s v="Aprutina 139"/>
    <x v="148"/>
    <s v="POTENZA PICENA"/>
    <m/>
    <m/>
    <s v="GANDOLFI CARLO - POTENZA PICENA"/>
  </r>
  <r>
    <x v="1"/>
    <s v="GARDEN"/>
    <s v="via vittorio veneto 31"/>
    <x v="28"/>
    <s v="GABICCE MARE"/>
    <s v="www.hotelgardengabicce.com"/>
    <s v="info@hotelgardengabicce.com"/>
    <s v="GARDEN - GABICCE MARE"/>
  </r>
  <r>
    <x v="1"/>
    <s v="GARDEN"/>
    <s v="via daniele manin 4"/>
    <x v="20"/>
    <s v="MONDOLFO"/>
    <s v="www.hotelgarden-marotta.it"/>
    <s v="info@hotelgarden-marotta.it"/>
    <s v="GARDEN - MONDOLFO"/>
  </r>
  <r>
    <x v="1"/>
    <s v="GARDEN"/>
    <s v="viale bruno buozzi 8"/>
    <x v="12"/>
    <s v="SAN BENEDETTO DEL TRONTO"/>
    <s v="www.edentourhotels.it"/>
    <s v="hotelgarden@edentour.it"/>
    <s v="GARDEN - SAN BENEDETTO DEL TRONTO"/>
  </r>
  <r>
    <x v="1"/>
    <s v="GARDEN"/>
    <s v="Via Cesare Battisti 6"/>
    <x v="47"/>
    <s v="PORTO SAN GIORGIO"/>
    <s v="www.hotel-garden.net"/>
    <s v="info@hotel-garden.net"/>
    <s v="GARDEN - PORTO SAN GIORGIO"/>
  </r>
  <r>
    <x v="6"/>
    <s v="GARDEN RIVER"/>
    <s v="via Ottorino Respighi  snc"/>
    <x v="133"/>
    <s v="MARINA"/>
    <s v="www.camping.it/marche/gardenriver"/>
    <s v="centrovacanzegardenriver@gmail.com"/>
    <s v="GARDEN RIVER - ALTIDONA"/>
  </r>
  <r>
    <x v="7"/>
    <s v="GASPARINI TARCISIO"/>
    <s v="via A. Cappellini 60/B"/>
    <x v="33"/>
    <m/>
    <m/>
    <m/>
    <s v="GASPARINI TARCISIO - FANO"/>
  </r>
  <r>
    <x v="7"/>
    <s v="GASPARONI LUIGI APP.TO VIA DE GASPERI 16"/>
    <s v="via De Gasperi 16"/>
    <x v="33"/>
    <s v="FANO"/>
    <m/>
    <s v="segreteria@consulgest.eu"/>
    <s v="GASPARONI LUIGI APP.TO VIA DE GASPERI 16 - FANO"/>
  </r>
  <r>
    <x v="7"/>
    <s v="GASPARONI LUIGI APP.TO VIA DE GASPERI 18"/>
    <s v="Via De Gasperi 18"/>
    <x v="33"/>
    <s v="FANO"/>
    <m/>
    <s v="segreteria@consulgest.eu"/>
    <s v="GASPARONI LUIGI APP.TO VIA DE GASPERI 18 - FANO"/>
  </r>
  <r>
    <x v="7"/>
    <s v="GASPARONI LUIGI APP.TO VIA DE GASPERI 22"/>
    <s v="via De Gasperi 22"/>
    <x v="33"/>
    <s v="FANO"/>
    <m/>
    <s v="segreteria@consulgest.eu"/>
    <s v="GASPARONI LUIGI APP.TO VIA DE GASPERI 22 - FANO"/>
  </r>
  <r>
    <x v="7"/>
    <s v="GASPERINI DONATELLA"/>
    <s v="Via Puccini 4"/>
    <x v="16"/>
    <s v="SENIGALLIA"/>
    <m/>
    <s v="affittiestivi@belenchia.com"/>
    <s v="GASPERINI DONATELLA - SENIGALLIA"/>
  </r>
  <r>
    <x v="7"/>
    <s v="GATTONI GABRIELE"/>
    <s v="Via L. Laurana 33"/>
    <x v="69"/>
    <s v="PESARO"/>
    <m/>
    <s v="g.gattoni@live.it"/>
    <s v="GATTONI GABRIELE - PESARO"/>
  </r>
  <r>
    <x v="7"/>
    <s v="GAUDENZI ANNA MARIA"/>
    <s v="via Giovanni Pascoli 20"/>
    <x v="28"/>
    <m/>
    <m/>
    <m/>
    <s v="GAUDENZI ANNA MARIA - GABICCE MARE"/>
  </r>
  <r>
    <x v="7"/>
    <s v="GAUDENZI IVANA"/>
    <s v="via Trieste 2"/>
    <x v="28"/>
    <m/>
    <m/>
    <m/>
    <s v="GAUDENZI IVANA - GABICCE MARE"/>
  </r>
  <r>
    <x v="7"/>
    <s v="GAUDENZI LUCIANO"/>
    <s v="via Redipuglia 14"/>
    <x v="28"/>
    <m/>
    <m/>
    <m/>
    <s v="GAUDENZI LUCIANO - GABICCE MARE"/>
  </r>
  <r>
    <x v="7"/>
    <s v="GAUDENZI MARCO"/>
    <s v="via Redipuglia 12"/>
    <x v="28"/>
    <m/>
    <m/>
    <m/>
    <s v="GAUDENZI MARCO - GABICCE MARE"/>
  </r>
  <r>
    <x v="7"/>
    <s v="GAUDENZI MARIA LUISA"/>
    <s v="via Trieste 2"/>
    <x v="28"/>
    <m/>
    <m/>
    <m/>
    <s v="GAUDENZI MARIA LUISA - GABICCE MARE"/>
  </r>
  <r>
    <x v="7"/>
    <s v="GAUDENZI VENERINA"/>
    <s v="via G.Pascoli 5"/>
    <x v="28"/>
    <m/>
    <m/>
    <m/>
    <s v="GAUDENZI VENERINA - GABICCE MARE"/>
  </r>
  <r>
    <x v="1"/>
    <s v="GENTILE DA FABRIANO"/>
    <s v="VIA DI VITTORIO 13B"/>
    <x v="21"/>
    <s v="FABRIANO"/>
    <s v="www.hotelgentile.it"/>
    <s v="info@hotelgentile.it"/>
    <s v="GENTILE DA FABRIANO - FABRIANO"/>
  </r>
  <r>
    <x v="7"/>
    <s v="GERBONI ROMEO"/>
    <s v="Via Tavullia 19"/>
    <x v="155"/>
    <s v="GRADARA"/>
    <m/>
    <s v="allkr456.7@gmail.com"/>
    <s v="GERBONI ROMEO - GRADARA"/>
  </r>
  <r>
    <x v="7"/>
    <s v="GERIG ROBERT ANTHONY"/>
    <s v="contrada Scheggia 11"/>
    <x v="62"/>
    <m/>
    <m/>
    <s v="robertgerig@gmail.com"/>
    <s v="GERIG ROBERT ANTHONY - AMANDOLA"/>
  </r>
  <r>
    <x v="7"/>
    <s v="GHIANDA"/>
    <s v="via Borgo delle Rondini 11"/>
    <x v="112"/>
    <s v="frazione Trinquelli"/>
    <m/>
    <s v="angela.meetings@gmail.com"/>
    <s v="GHIANDA - GENGA"/>
  </r>
  <r>
    <x v="1"/>
    <s v="GHIGHETTA"/>
    <s v="via Borgo Mazzini 40"/>
    <x v="31"/>
    <m/>
    <m/>
    <s v="doradimaggio@libero.it"/>
    <s v="GHIGHETTA - APECCHIO"/>
  </r>
  <r>
    <x v="7"/>
    <s v="GIAGNOLINI GIOVANNI"/>
    <s v="via dell' Orizzonte 27"/>
    <x v="28"/>
    <m/>
    <m/>
    <m/>
    <s v="GIAGNOLINI GIOVANNI - GABICCE MARE"/>
  </r>
  <r>
    <x v="4"/>
    <s v="GIALLO SOLE S.A.S di MANCINI SIMONE &amp; C. - BAGNI N° 40"/>
    <s v="lungomare mameli 1 1"/>
    <x v="16"/>
    <s v="SENIGALLIA"/>
    <m/>
    <s v="infobagnigiallosole@tiscali.it"/>
    <s v="GIALLO SOLE S.A.S di MANCINI SIMONE &amp; C. - BAGNI N° 40 - SENIGALLIA"/>
  </r>
  <r>
    <x v="4"/>
    <s v="GIAMIRMA"/>
    <m/>
    <x v="148"/>
    <s v="PORTO POTENZA PICENA"/>
    <m/>
    <m/>
    <s v="GIAMIRMA - POTENZA PICENA"/>
  </r>
  <r>
    <x v="7"/>
    <s v="GIANCAMILLI LINO"/>
    <s v="VIA ROCCUCCIO 7"/>
    <x v="118"/>
    <m/>
    <m/>
    <s v="lino.giancamilli@libero.it"/>
    <s v="GIANCAMILLI LINO - SERRA DE' CONTI"/>
  </r>
  <r>
    <x v="4"/>
    <s v="GIANFRANCO"/>
    <s v="Lungomare Piermanni 9"/>
    <x v="17"/>
    <s v="CIVITANOVA MARCHE"/>
    <m/>
    <m/>
    <s v="GIANFRANCO - CIVITANOVA MARCHE"/>
  </r>
  <r>
    <x v="7"/>
    <s v="GIANNINI ENZO"/>
    <s v="GARIBALDI 29"/>
    <x v="148"/>
    <s v="PORTO POTENZA PICENA"/>
    <m/>
    <m/>
    <s v="GIANNINI ENZO - POTENZA PICENA"/>
  </r>
  <r>
    <x v="1"/>
    <s v="GIANNINO"/>
    <s v="viale Cristoforo Colombo 25"/>
    <x v="23"/>
    <s v="PORTO RECANATI"/>
    <s v="www.conerohotel.com"/>
    <s v="info@conerohotel.com"/>
    <s v="GIANNINO - PORTO RECANATI"/>
  </r>
  <r>
    <x v="4"/>
    <s v="GIEMME BAR' S Bagni 18"/>
    <s v="via flaminia SNC SNC"/>
    <x v="22"/>
    <s v="FALCONARA MARITTIMA"/>
    <s v="info@giemmebar.it"/>
    <s v="www.giemmebar.it"/>
    <s v="GIEMME BAR' S Bagni 18 - FALCONARA MARITTIMA"/>
  </r>
  <r>
    <x v="4"/>
    <s v="GIGETTA"/>
    <s v="Lungomare Piermanni 13"/>
    <x v="17"/>
    <s v="CIVITANOVA MARCHE"/>
    <m/>
    <m/>
    <s v="GIGETTA - CIVITANOVA MARCHE"/>
  </r>
  <r>
    <x v="1"/>
    <s v="GILDA MUSIC HOTEL"/>
    <s v="via della Cooperazione 4"/>
    <x v="163"/>
    <s v="PORTO SANT' ELPIDIO"/>
    <s v="www.gildamusichotel.it"/>
    <s v="info@gildamusichotel.it"/>
    <s v="GILDA MUSIC HOTEL - PORTO SANT'ELPIDIO"/>
  </r>
  <r>
    <x v="4"/>
    <s v="GIN'G BEACH"/>
    <m/>
    <x v="5"/>
    <m/>
    <s v="www.residenceada.com"/>
    <s v="info@residenceada.com"/>
    <s v="GIN'G BEACH - GROTTAMMARE"/>
  </r>
  <r>
    <x v="1"/>
    <s v="GINO"/>
    <s v="via Flaminia 4"/>
    <x v="10"/>
    <s v="ANCONA"/>
    <m/>
    <s v="hotel.gino@tiscalinet.it"/>
    <s v="GINO - ANCONA"/>
  </r>
  <r>
    <x v="1"/>
    <s v="GIOIA"/>
    <s v="via Alessandro Volta 168"/>
    <x v="12"/>
    <s v="SAN BENEDETTO DEL TRONTO"/>
    <s v="www.hotelgioia.org"/>
    <s v="hotelgioia@libero.it"/>
    <s v="GIOIA - SAN BENEDETTO DEL TRONTO"/>
  </r>
  <r>
    <x v="4"/>
    <s v="GIOIA DI PUGLIA"/>
    <m/>
    <x v="23"/>
    <m/>
    <m/>
    <m/>
    <s v="GIOIA DI PUGLIA - PORTO RECANATI"/>
  </r>
  <r>
    <x v="7"/>
    <s v="GIOMMI OSCAR"/>
    <s v="Via Trieste 81"/>
    <x v="69"/>
    <s v="PESARO"/>
    <m/>
    <m/>
    <s v="GIOMMI OSCAR - PESARO"/>
  </r>
  <r>
    <x v="7"/>
    <s v="GIORGI MARA"/>
    <s v="via Madonna Mare 25"/>
    <x v="33"/>
    <m/>
    <m/>
    <m/>
    <s v="GIORGI MARA - FANO"/>
  </r>
  <r>
    <x v="7"/>
    <s v="GIORGIA SORCI SIMONI"/>
    <s v="via Marconi 32"/>
    <x v="20"/>
    <m/>
    <m/>
    <s v="giorgiasorci@hotmail.com"/>
    <s v="GIORGIA SORCI SIMONI - MONDOLFO"/>
  </r>
  <r>
    <x v="7"/>
    <s v="GIOSTRA LUISA"/>
    <s v="Contrada Ciafone 114"/>
    <x v="30"/>
    <s v="OFFIDA"/>
    <m/>
    <m/>
    <s v="GIOSTRA LUISA - OFFIDA"/>
  </r>
  <r>
    <x v="4"/>
    <s v="GIOSUE' ALDO  CONC. N. 15B"/>
    <s v="viale nazario sauro 1 1"/>
    <x v="32"/>
    <s v="CUPRA MARITTIMA"/>
    <s v="postamarco93@gmail.com"/>
    <m/>
    <s v="GIOSUE' ALDO  CONC. N. 15B - CUPRA MARITTIMA"/>
  </r>
  <r>
    <x v="4"/>
    <s v="GIOSUE' ALDO CONC. N. 17"/>
    <s v="viale nazario sauro 2 2"/>
    <x v="32"/>
    <s v="CUPRA MARITTIMA"/>
    <s v="postamarco93@gmail.com"/>
    <m/>
    <s v="GIOSUE' ALDO CONC. N. 17 - CUPRA MARITTIMA"/>
  </r>
  <r>
    <x v="4"/>
    <s v="GIOSUE' DORIANA CONC. N. 19"/>
    <s v="viale nazario sauro 2 2"/>
    <x v="32"/>
    <s v="CUPRA MARITTIMA"/>
    <s v="postamarco93@gmail.com"/>
    <m/>
    <s v="GIOSUE' DORIANA CONC. N. 19 - CUPRA MARITTIMA"/>
  </r>
  <r>
    <x v="4"/>
    <s v="GIOUSE' ALDO CONC. N. 20"/>
    <s v="viale nazario sauro 3 3"/>
    <x v="32"/>
    <s v="CUPRA MARITTIMA"/>
    <s v="postamarco93@gmail.com"/>
    <m/>
    <s v="GIOUSE' ALDO CONC. N. 20 - CUPRA MARITTIMA"/>
  </r>
  <r>
    <x v="1"/>
    <s v="GIOVANNA REGINA"/>
    <s v="via vittorio veneto 173"/>
    <x v="28"/>
    <s v="GABICCE MARE"/>
    <s v="www.hotelgiovannaregina.com"/>
    <s v="giovanna@gabiccemare.com"/>
    <s v="GIOVANNA REGINA - GABICCE MARE"/>
  </r>
  <r>
    <x v="4"/>
    <s v="GIOVANNI"/>
    <m/>
    <x v="23"/>
    <s v="PORTO RECANATI"/>
    <m/>
    <m/>
    <s v="GIOVANNI - PORTO RECANATI"/>
  </r>
  <r>
    <x v="4"/>
    <s v="GIOVANNI &amp; ANNA"/>
    <s v="Lungomare Piermanni 17"/>
    <x v="17"/>
    <s v="CIVITANOVA MARCHE"/>
    <s v="catia.bigoni@fastwebnet.it"/>
    <s v="https://www.facebook.com/Ristorante.Giovanni.e.Ann"/>
    <s v="GIOVANNI &amp; ANNA - CIVITANOVA MARCHE"/>
  </r>
  <r>
    <x v="4"/>
    <s v="GIOVANNI e OLGA - BAGNI N° 11"/>
    <s v="lungomare mameli 1 1"/>
    <x v="16"/>
    <s v="SENIGALLIA"/>
    <m/>
    <m/>
    <s v="GIOVANNI e OLGA - BAGNI N° 11 - SENIGALLIA"/>
  </r>
  <r>
    <x v="7"/>
    <s v="GIOVANNI PAPA"/>
    <m/>
    <x v="15"/>
    <m/>
    <m/>
    <m/>
    <s v="GIOVANNI PAPA - LORETO"/>
  </r>
  <r>
    <x v="0"/>
    <s v="GIOVANNI XVII"/>
    <s v="vocabolo Pianaccio di Sotto 164"/>
    <x v="25"/>
    <s v="PIOBBICO"/>
    <m/>
    <s v="giovanni_17@alice.it"/>
    <s v="GIOVANNI XVII - PIOBBICO"/>
  </r>
  <r>
    <x v="1"/>
    <s v="GIRASOLE"/>
    <s v="via Cristoforo Colombo 204"/>
    <x v="17"/>
    <s v="CIVITANOVA MARCHE"/>
    <s v="www.hotelristorantegirasole.com"/>
    <s v="info@hotelristorantegirasole.com"/>
    <s v="GIRASOLE - CIVITANOVA MARCHE"/>
  </r>
  <r>
    <x v="1"/>
    <s v="GIRASOLE"/>
    <s v="viale europa 126"/>
    <x v="12"/>
    <s v="SAN BENEDETTO DEL TRONTO"/>
    <s v="www.albergogirasole.com"/>
    <s v="girasole@libero.it"/>
    <s v="GIRASOLE - SAN BENEDETTO DEL TRONTO"/>
  </r>
  <r>
    <x v="6"/>
    <s v="GIRASOLE"/>
    <s v="contrada Marina Palmense 1"/>
    <x v="37"/>
    <s v="FERMO"/>
    <s v="www.campinggirasole.it"/>
    <s v="booking@campinggirasole.it"/>
    <s v="GIRASOLE - FERMO"/>
  </r>
  <r>
    <x v="8"/>
    <s v="GIRFALCO country house B&amp;B"/>
    <s v="via girfalco 26"/>
    <x v="1"/>
    <s v="URBINO"/>
    <s v="www.girfalco.it"/>
    <s v="info@girfalco.it"/>
    <s v="GIRFALCO country house B&amp;B - URBINO"/>
  </r>
  <r>
    <x v="4"/>
    <s v="GIRI BEACH"/>
    <m/>
    <x v="148"/>
    <s v="PORTO POTENZA PICENA"/>
    <s v="b.giri@alice.it"/>
    <m/>
    <s v="GIRI BEACH - POTENZA PICENA"/>
  </r>
  <r>
    <x v="7"/>
    <s v="GIROLAMETTI DANIELA"/>
    <s v="via E.Storti 2"/>
    <x v="33"/>
    <m/>
    <m/>
    <m/>
    <s v="GIROLAMETTI DANIELA - FANO"/>
  </r>
  <r>
    <x v="1"/>
    <s v="GIULIETTA"/>
    <s v="via rieti 56"/>
    <x v="16"/>
    <s v="SENIGALLIA"/>
    <s v="www.hotelgiulietta.it"/>
    <s v="info@hotelgiulietta.it"/>
    <s v="GIULIETTA - SENIGALLIA"/>
  </r>
  <r>
    <x v="7"/>
    <s v="GIULIO ANTONIO CECCHI"/>
    <s v="via del Seminario 16"/>
    <x v="69"/>
    <m/>
    <m/>
    <s v="casavaccaj@yahoo.it"/>
    <s v="GIULIO ANTONIO CECCHI - PESARO"/>
  </r>
  <r>
    <x v="7"/>
    <s v="GIULIO FIORI"/>
    <s v="via Pergolesi 6"/>
    <x v="15"/>
    <m/>
    <m/>
    <s v="info@giuliofiori.it"/>
    <s v="GIULIO FIORI - LORETO"/>
  </r>
  <r>
    <x v="7"/>
    <s v="GIUNTI FRANCESCO"/>
    <s v="via Case Sparse 85"/>
    <x v="75"/>
    <s v="loc. Naro"/>
    <m/>
    <m/>
    <s v="GIUNTI FRANCESCO - CAGLI"/>
  </r>
  <r>
    <x v="5"/>
    <s v="GIUSEPPE CARBONI"/>
    <s v="contrada saline 32/A"/>
    <x v="113"/>
    <s v="PENNA SAN GIOVANNI"/>
    <m/>
    <s v="carboni.francesco@libero.it"/>
    <s v="GIUSEPPE CARBONI - PENNA SAN GIOVANNI"/>
  </r>
  <r>
    <x v="1"/>
    <s v="GIUSEPPINA"/>
    <s v="via edmondo de amicis 46"/>
    <x v="28"/>
    <s v="GABICCE MARE"/>
    <s v="www.gabiccemare.com/giuseppina"/>
    <m/>
    <s v="GIUSEPPINA - GABICCE MARE"/>
  </r>
  <r>
    <x v="7"/>
    <s v="GIUSTINI LOREDANA"/>
    <s v="Via E. Bocci 21"/>
    <x v="148"/>
    <s v="POTENZA PICENA"/>
    <m/>
    <m/>
    <s v="GIUSTINI LOREDANA - POTENZA PICENA"/>
  </r>
  <r>
    <x v="5"/>
    <s v="GLI ALBERETTI"/>
    <s v="Via Piane 49/A"/>
    <x v="15"/>
    <s v="LORETO"/>
    <m/>
    <s v="marcobruge@tiscali.it"/>
    <s v="GLI ALBERETTI - LORETO"/>
  </r>
  <r>
    <x v="0"/>
    <s v="GLI IPPOCASTANI"/>
    <s v="SP72 123"/>
    <x v="91"/>
    <s v="loc. Madonna del Piano"/>
    <s v="www.agriturismoippocastani.it"/>
    <s v="ippocastani.pergola@libero.it"/>
    <s v="GLI IPPOCASTANI - PERGOLA"/>
  </r>
  <r>
    <x v="5"/>
    <s v="GLI ORTI DI SAN GIACOMO"/>
    <s v="Via Monterone 33"/>
    <x v="14"/>
    <s v="MONTEPRANDONE"/>
    <s v="www.bbgliortidisangiacomo.it"/>
    <s v="ortidisangiacomo@gmail.com"/>
    <s v="GLI ORTI DI SAN GIACOMO - MONTEPRANDONE"/>
  </r>
  <r>
    <x v="0"/>
    <s v="GLI ULIVI"/>
    <s v="c.da Castellette 6"/>
    <x v="97"/>
    <m/>
    <m/>
    <s v="giusimiola@alice.it; verolicristian92@hotmail.it"/>
    <s v="GLI ULIVI - MONTE GIBERTO"/>
  </r>
  <r>
    <x v="8"/>
    <s v="GLI ULIVI DEL MONTE"/>
    <s v="via moruco c 2"/>
    <x v="203"/>
    <s v="MONTE SAN VITO"/>
    <s v="www.gliulividelmonte.it"/>
    <s v="info@gliulividelmonte.it"/>
    <s v="GLI ULIVI DEL MONTE - MONTE SAN VITO"/>
  </r>
  <r>
    <x v="1"/>
    <s v="GLORIA"/>
    <s v="via niccolo' machiavelli 1"/>
    <x v="28"/>
    <s v="GABICCE MARE"/>
    <s v="www.gloriahotel.net"/>
    <s v="direzione@gloriahotel.net"/>
    <s v="GLORIA - GABICCE MARE"/>
  </r>
  <r>
    <x v="4"/>
    <s v="GOLDEN BEACH"/>
    <s v="lungomare marconi 1 1"/>
    <x v="12"/>
    <m/>
    <m/>
    <m/>
    <s v="GOLDEN BEACH - SAN BENEDETTO DEL TRONTO"/>
  </r>
  <r>
    <x v="8"/>
    <s v="GOLF CLUB - COUNTRY HOUSE I LAURI"/>
    <s v="c.da San Giovanni 2"/>
    <x v="120"/>
    <s v="MONTEFIORE DELL' ASO"/>
    <s v="www.countryhouseilauri.it"/>
    <s v="info@countryhouseilauri.it"/>
    <s v="GOLF CLUB - COUNTRY HOUSE I LAURI - MONTEFIORE DELL'ASO"/>
  </r>
  <r>
    <x v="0"/>
    <s v="GOLF DI SCHITO di RAPACCINI PASQUALE"/>
    <s v="c.da Schito 35"/>
    <x v="139"/>
    <s v="TREIA"/>
    <m/>
    <m/>
    <s v="GOLF DI SCHITO di RAPACCINI PASQUALE - TREIA"/>
  </r>
  <r>
    <x v="1"/>
    <s v="GOOD TRUCK LA SOSTA"/>
    <s v="contrada San Giovanni 1"/>
    <x v="12"/>
    <s v="SAN BENEDETTO DEL TRONTO"/>
    <s v="www.lasostaspa.it"/>
    <s v="info@truckone.org"/>
    <s v="GOOD TRUCK LA SOSTA - SAN BENEDETTO DEL TRONTO"/>
  </r>
  <r>
    <x v="7"/>
    <s v="GOODAIR JULIE KAREN"/>
    <s v="Via Serra 60"/>
    <x v="193"/>
    <s v="SAN MARCELLO"/>
    <m/>
    <s v="jkg.trecipressi@gmail.com"/>
    <s v="GOODAIR JULIE KAREN - SAN MARCELLO"/>
  </r>
  <r>
    <x v="3"/>
    <s v="GOODNIGHT MOON"/>
    <s v="corso Marconi 22"/>
    <x v="37"/>
    <m/>
    <m/>
    <s v="laki5543@alice.it"/>
    <s v="GOODNIGHT MOON - FERMO"/>
  </r>
  <r>
    <x v="7"/>
    <s v="GORGOLINI ALESSANDRO"/>
    <s v="Via San Gregorio 9"/>
    <x v="86"/>
    <s v="ACQUALAGNA"/>
    <m/>
    <s v="ale.gorgolini@gmail.com"/>
    <s v="GORGOLINI ALESSANDRO - ACQUALAGNA"/>
  </r>
  <r>
    <x v="7"/>
    <s v="GORI LAURA"/>
    <s v="Lungomare Mameli 240"/>
    <x v="16"/>
    <s v="SENIGALLIA"/>
    <m/>
    <s v="affittiestivi@belenchia.com"/>
    <s v="GORI LAURA - SENIGALLIA"/>
  </r>
  <r>
    <x v="7"/>
    <s v="GRAMACCIONI GIANFRANCO"/>
    <s v="Via Mercantini 15"/>
    <x v="16"/>
    <s v="SENIGALLIA"/>
    <m/>
    <s v="affittiestivi@belenchia.com"/>
    <s v="GRAMACCIONI GIANFRANCO - SENIGALLIA"/>
  </r>
  <r>
    <x v="7"/>
    <s v="GRAMOLINI NADIA"/>
    <s v="D.CHIESA 48/A"/>
    <x v="20"/>
    <s v="MONDOLFO"/>
    <m/>
    <s v="inesistente@regione.marche.it"/>
    <s v="GRAMOLINI NADIA - MONDOLFO"/>
  </r>
  <r>
    <x v="1"/>
    <s v="GRAND HOTEL EXCELSIOR"/>
    <s v="lungomare Alighieri 150"/>
    <x v="16"/>
    <s v="SENIGALLIA"/>
    <s v="www.ghe.it"/>
    <s v="info@ghe.it"/>
    <s v="GRAND HOTEL EXCELSIOR - SENIGALLIA"/>
  </r>
  <r>
    <x v="1"/>
    <s v="GRAND HOTEL MICHELACCI"/>
    <s v="Piazza Giardini Unità d'Italia 1"/>
    <x v="28"/>
    <s v="GABICCE MARE"/>
    <s v="www.michelacci.com"/>
    <s v="info@michelacci.com"/>
    <s v="GRAND HOTEL MICHELACCI - GABICCE MARE"/>
  </r>
  <r>
    <x v="1"/>
    <s v="GRAND HOTEL PASSETTO"/>
    <s v="via Paolo Thaon de Revel 1"/>
    <x v="10"/>
    <s v="ANCONA"/>
    <s v="www.hotelpassetto.it"/>
    <s v="info@hotelpassetto.it"/>
    <s v="GRAND HOTEL PASSETTO - ANCONA"/>
  </r>
  <r>
    <x v="1"/>
    <s v="GRAND HOTEL VITTORIA"/>
    <s v="Piazzale della Libertà 2"/>
    <x v="69"/>
    <s v="PESARO"/>
    <s v="www.grandhotelvittoriapesaro.it"/>
    <s v="vittoria@viphotels.it"/>
    <s v="GRAND HOTEL VITTORIA - PESARO"/>
  </r>
  <r>
    <x v="7"/>
    <s v="GRANDE ISTRICE"/>
    <s v="frazione Paterno 191"/>
    <x v="10"/>
    <m/>
    <m/>
    <s v="info@latanadellistrice.it"/>
    <s v="GRANDE ISTRICE - ANCONA"/>
  </r>
  <r>
    <x v="3"/>
    <s v="GRASSI ERMANNO"/>
    <s v="via federico veterani 1"/>
    <x v="1"/>
    <s v="URBINO"/>
    <m/>
    <m/>
    <s v="GRASSI ERMANNO - URBINO"/>
  </r>
  <r>
    <x v="3"/>
    <s v="GRAZIOSO APPARTAMENTO"/>
    <s v="via Leopardi 1/a"/>
    <x v="22"/>
    <m/>
    <m/>
    <s v="graziosoappartamento@hotmail.com"/>
    <s v="GRAZIOSO APPARTAMENTO - FALCONARA MARITTIMA"/>
  </r>
  <r>
    <x v="6"/>
    <s v="GREEN CAMPING"/>
    <s v="strada Alderana 8"/>
    <x v="16"/>
    <s v="SENIGALLIA"/>
    <s v="www.greencamping.it"/>
    <s v="info@greencamping.it"/>
    <s v="GREEN CAMPING - SENIGALLIA"/>
  </r>
  <r>
    <x v="12"/>
    <s v="GREEN GARDEN"/>
    <s v="via Peschiera 3"/>
    <x v="8"/>
    <s v="SIROLO"/>
    <s v="www.greengardencamping.it"/>
    <s v="info@greengardencamping.it"/>
    <s v="GREEN GARDEN - SIROLO"/>
  </r>
  <r>
    <x v="5"/>
    <s v="GREEN HOUSE PICCHIO"/>
    <s v="BARCA 44"/>
    <x v="15"/>
    <m/>
    <m/>
    <m/>
    <s v="GREEN HOUSE PICCHIO - LORETO"/>
  </r>
  <r>
    <x v="8"/>
    <s v="GREEN PLANET"/>
    <s v="Contrada Abbadia di Fiastra snc"/>
    <x v="6"/>
    <m/>
    <m/>
    <s v="siro1981@libero.it"/>
    <s v="GREEN PLANET - TOLENTINO"/>
  </r>
  <r>
    <x v="3"/>
    <s v="GREENE PETER ANDREW"/>
    <s v="Strada Santa Barbara 5"/>
    <x v="75"/>
    <s v="CAGLI"/>
    <s v="www.sancristoforo.info"/>
    <s v="mail@le-marche.com"/>
    <s v="GREENE PETER ANDREW - CAGLI"/>
  </r>
  <r>
    <x v="7"/>
    <s v="GREGORI GIUSEPPINA"/>
    <s v="via Carducci 24"/>
    <x v="83"/>
    <m/>
    <m/>
    <s v="giungagreg@gmail.com"/>
    <s v="GREGORI GIUSEPPINA - FRATTE ROSA"/>
  </r>
  <r>
    <x v="7"/>
    <s v="GRILLI CICILIONI LUCIANA"/>
    <s v="Via San Pietro 10"/>
    <x v="206"/>
    <s v="MOGLIANO"/>
    <m/>
    <s v="lucigrilli@yahoo.it"/>
    <s v="GRILLI CICILIONI LUCIANA - MOGLIANO"/>
  </r>
  <r>
    <x v="7"/>
    <s v="GRILLI FRANCO"/>
    <s v="via Rossetti 2"/>
    <x v="33"/>
    <m/>
    <m/>
    <s v="grillifrank@libero.it"/>
    <s v="GRILLI FRANCO - FANO"/>
  </r>
  <r>
    <x v="4"/>
    <s v="GRILLO"/>
    <s v="viale Alcide de Gasperi  1"/>
    <x v="5"/>
    <m/>
    <m/>
    <m/>
    <s v="GRILLO - GROTTAMMARE"/>
  </r>
  <r>
    <x v="7"/>
    <s v="GRISI JAMES ROBERT"/>
    <s v="via Massignano 29"/>
    <x v="128"/>
    <m/>
    <m/>
    <s v="laborlawyer@live.com; sundaydipalma@yahoo.com"/>
    <s v="GRISI JAMES ROBERT - GUALDO"/>
  </r>
  <r>
    <x v="7"/>
    <s v="GUALDO"/>
    <s v="contrada Zazza 22"/>
    <x v="128"/>
    <s v="Gualdo"/>
    <s v="www.villanumoviv.com"/>
    <s v="marleen@villanumoviv.com; marleentijdeman@me.com"/>
    <s v="GUALDO - GUALDO"/>
  </r>
  <r>
    <x v="1"/>
    <s v="GUERRIN MESCHINO"/>
    <s v="frazione rocca 1"/>
    <x v="153"/>
    <s v="MONTEMONACO"/>
    <s v="www.guerrinmeschino.com"/>
    <s v="infoguerrinmeschino@libero.it"/>
    <s v="GUERRIN MESCHINO - MONTEMONACO"/>
  </r>
  <r>
    <x v="7"/>
    <s v="GUIDARELLI GUIDO"/>
    <s v="via Faà di Bruno 148/f"/>
    <x v="33"/>
    <s v="loc. Ponte Basso"/>
    <m/>
    <m/>
    <s v="GUIDARELLI GUIDO - FANO"/>
  </r>
  <r>
    <x v="7"/>
    <s v="GUIDOTTI ANNALISA MARIA"/>
    <s v="via Caduti della Resistenza  2"/>
    <x v="151"/>
    <m/>
    <m/>
    <s v="clp56@libero.it"/>
    <s v="GUIDOTTI ANNALISA MARIA - ASCOLI PICENO"/>
  </r>
  <r>
    <x v="7"/>
    <s v="GURINI GRAZIELLA APP.TO 237"/>
    <s v="Viale C. Battisti 237"/>
    <x v="69"/>
    <s v="PESARO"/>
    <m/>
    <s v="gurini.graziella@libero.it"/>
    <s v="GURINI GRAZIELLA APP.TO 237 - PESARO"/>
  </r>
  <r>
    <x v="7"/>
    <s v="GURINI GRAZIELLA APP.TO 239"/>
    <s v="Viale C. Battisti 233"/>
    <x v="69"/>
    <s v="PESARO"/>
    <m/>
    <s v="gurini.graziella@libero.it"/>
    <s v="GURINI GRAZIELLA APP.TO 239 - PESARO"/>
  </r>
  <r>
    <x v="1"/>
    <s v="HAITI"/>
    <s v="viale europa 68"/>
    <x v="12"/>
    <s v="SAN BENEDETTO DEL TRONTO"/>
    <s v="www.haiti.it"/>
    <s v="info@haiti.it"/>
    <s v="HAITI - SAN BENEDETTO DEL TRONTO"/>
  </r>
  <r>
    <x v="1"/>
    <s v="HAMBURG"/>
    <s v="via Rieti 104"/>
    <x v="16"/>
    <s v="SENIGALLIA"/>
    <s v="www.hotelhamburg.it"/>
    <s v="hotelhamburg@libero.it"/>
    <s v="HAMBURG - SENIGALLIA"/>
  </r>
  <r>
    <x v="4"/>
    <s v="HAPPY DAYS BEACH"/>
    <s v="viale Cristoforo Colombo 100"/>
    <x v="20"/>
    <s v="MAROTTA"/>
    <m/>
    <m/>
    <s v="HAPPY DAYS BEACH - MONDOLFO"/>
  </r>
  <r>
    <x v="4"/>
    <s v="HAPPY SUN BEACH"/>
    <s v="VIALE RINASCIMENTO 79 79"/>
    <x v="12"/>
    <m/>
    <m/>
    <m/>
    <s v="HAPPY SUN BEACH - SAN BENEDETTO DEL TRONTO"/>
  </r>
  <r>
    <x v="5"/>
    <s v="HARMONIA"/>
    <s v="Via Galilei 293"/>
    <x v="111"/>
    <s v="SANT'ELPIDIO A MARE"/>
    <m/>
    <s v="harmonia.sem@gmail.com"/>
    <s v="HARMONIA - SANT'ELPIDIO A MARE"/>
  </r>
  <r>
    <x v="1"/>
    <s v="HAUS CHARLOTTE"/>
    <s v="via g. milli 10"/>
    <x v="12"/>
    <s v="SAN BENEDETTO DEL TRONTO"/>
    <s v="www.hotelhausecharlotte.it"/>
    <s v="info@hotelhauscharlotte.it"/>
    <s v="HAUS CHARLOTTE - SAN BENEDETTO DEL TRONTO"/>
  </r>
  <r>
    <x v="4"/>
    <s v="HAWAII"/>
    <m/>
    <x v="12"/>
    <m/>
    <m/>
    <m/>
    <s v="HAWAII - SAN BENEDETTO DEL TRONTO"/>
  </r>
  <r>
    <x v="4"/>
    <s v="HAWAII BEACH - BAGNI N° 29 BIS"/>
    <s v="lungomare mameli 1 1"/>
    <x v="16"/>
    <s v="SENIGALLIA"/>
    <m/>
    <m/>
    <s v="HAWAII BEACH - BAGNI N° 29 BIS - SENIGALLIA"/>
  </r>
  <r>
    <x v="7"/>
    <s v="HOFSTEEDE SARAH"/>
    <s v="Via Salsaro Ete 37"/>
    <x v="27"/>
    <s v="LORO PICENO"/>
    <m/>
    <s v="donall@donall.it"/>
    <s v="HOFSTEEDE SARAH - LORO PICENO"/>
  </r>
  <r>
    <x v="1"/>
    <s v="HOLIDAY"/>
    <s v="viale Trento 159"/>
    <x v="69"/>
    <m/>
    <s v="www.holidaypesaro.com"/>
    <s v="info@holidaypesaro.com"/>
    <s v="HOLIDAY - PESARO"/>
  </r>
  <r>
    <x v="6"/>
    <s v="HOLIDAY"/>
    <s v="lungomare Leonardo Da Vinci 46bis"/>
    <x v="16"/>
    <s v="SENIGALLIA"/>
    <s v="www.campingholiday.net"/>
    <s v="info@campingholiday.net"/>
    <s v="HOLIDAY - SENIGALLIA"/>
  </r>
  <r>
    <x v="1"/>
    <s v="HOLIDAY"/>
    <s v="via Alessandro Volta 196"/>
    <x v="12"/>
    <s v="SAN BENEDETTO DEL TRONTO"/>
    <s v="www.holidaysbt.it"/>
    <s v="info@holidaysbt.it"/>
    <s v="HOLIDAY - SAN BENEDETTO DEL TRONTO"/>
  </r>
  <r>
    <x v="6"/>
    <s v="HOLIDAY"/>
    <s v="Trieste scn"/>
    <x v="163"/>
    <s v="Porto Sant'Elpidio"/>
    <s v="www.centroturistico.it"/>
    <s v="holidayhotel@centroturistico.it"/>
    <s v="HOLIDAY - PORTO SANT'ELPIDIO"/>
  </r>
  <r>
    <x v="1"/>
    <s v="HOLIDAY DEPENDANCE"/>
    <s v="via Alessandro Volta 194"/>
    <x v="12"/>
    <s v="SAN BENEDETTO DEL TRONTO"/>
    <s v="www.holidaysbt.it"/>
    <s v="holidaysbt@hotmail.it"/>
    <s v="HOLIDAY DEPENDANCE - SAN BENEDETTO DEL TRONTO"/>
  </r>
  <r>
    <x v="3"/>
    <s v="HOLIDAY HOUSE - F.LLI DESIATI E SCAFETTA A. SNC"/>
    <s v="via Cefalonia 55"/>
    <x v="12"/>
    <s v="Porto d'Ascoli"/>
    <m/>
    <s v="petrapokorna@libero.it"/>
    <s v="HOLIDAY HOUSE - F.LLI DESIATI E SCAFETTA A. SNC - SAN BENEDETTO DEL TRONTO"/>
  </r>
  <r>
    <x v="2"/>
    <s v="HOLIDAY S.R.L."/>
    <s v="Trieste scn"/>
    <x v="163"/>
    <s v="Porto Sant'Elpidio"/>
    <s v="www.centroturistico.it"/>
    <s v="holidayhotel@centroturistico.it"/>
    <s v="HOLIDAY S.R.L. - PORTO SANT'ELPIDIO"/>
  </r>
  <r>
    <x v="1"/>
    <s v="HOLLYWOOD"/>
    <s v="lungomare alighieri 62"/>
    <x v="16"/>
    <s v="SENIGALLIA"/>
    <s v="www.hotel-hollywood.it"/>
    <s v="info@hotel-hollywood.it"/>
    <s v="HOLLYWOOD - SENIGALLIA"/>
  </r>
  <r>
    <x v="5"/>
    <s v="HOME SWEET HOME"/>
    <s v="Via Luigi Mercantini 45"/>
    <x v="151"/>
    <s v="ASCOLI PICENO"/>
    <m/>
    <m/>
    <s v="HOME SWEET HOME - ASCOLI PICENO"/>
  </r>
  <r>
    <x v="3"/>
    <s v="HOSTAL AL PORTO"/>
    <s v="VIA CRISTOFORO COLOMBO 109"/>
    <x v="12"/>
    <s v="SAN BENEDETTO DEL TRONTO"/>
    <m/>
    <s v="hostalalporto@gmail.com"/>
    <s v="HOSTAL AL PORTO - SAN BENEDETTO DEL TRONTO"/>
  </r>
  <r>
    <x v="1"/>
    <s v="HOSTARIA DEL CAVALIERE"/>
    <s v="via antonio gramsci 7"/>
    <x v="14"/>
    <s v="MONTEPRANDONE"/>
    <s v="www.hoteldelcavaliere.it"/>
    <s v="info@hoteldelcavaliere.it"/>
    <s v="HOSTARIA DEL CAVALIERE - MONTEPRANDONE"/>
  </r>
  <r>
    <x v="1"/>
    <s v="HOSTARIA DELLA POSTA"/>
    <s v="via Carrozze Vaccili 6"/>
    <x v="134"/>
    <s v="CASTELPLANIO"/>
    <s v="www.hostariadellaposta.it"/>
    <s v="info@hostariadellaposta.it"/>
    <s v="HOSTARIA DELLA POSTA - CASTELPLANIO"/>
  </r>
  <r>
    <x v="4"/>
    <s v="HOSVI - CONCESSIONE N 23"/>
    <s v="Viale Giacomo Matteotti 23"/>
    <x v="17"/>
    <s v="CIVITANOVA MARCHE"/>
    <s v="info@hosvi.it"/>
    <s v="www.hosvi.it"/>
    <s v="HOSVI - CONCESSIONE N 23 - CIVITANOVA MARCHE"/>
  </r>
  <r>
    <x v="1"/>
    <s v="HOTEL 2000"/>
    <s v="via aurelio zonghi 1"/>
    <x v="21"/>
    <s v="FABRIANO"/>
    <s v="www.2000hotel.it"/>
    <s v="info@2000hotel.it"/>
    <s v="HOTEL 2000 - FABRIANO"/>
  </r>
  <r>
    <x v="1"/>
    <s v="HOTEL 77"/>
    <s v="viale Bruno Buozzi 90"/>
    <x v="6"/>
    <s v="TOLENTINO"/>
    <s v="www.hotel77.com"/>
    <s v="daniele@hotel77.com"/>
    <s v="HOTEL 77 - TOLENTINO"/>
  </r>
  <r>
    <x v="1"/>
    <s v="HOTEL ALESSANDRA"/>
    <s v="via Risorgimento 11"/>
    <x v="9"/>
    <s v="NUMANA"/>
    <s v="www.hotelalessandra.it"/>
    <s v="info@hotelalessandra.it"/>
    <s v="HOTEL ALESSANDRA - NUMANA"/>
  </r>
  <r>
    <x v="1"/>
    <s v="HOTEL ALEXANDER"/>
    <s v="via Litoranea 232"/>
    <x v="9"/>
    <s v="NUMANA"/>
    <s v="www.ha-alexander.it"/>
    <s v="info@ha-alexander.it"/>
    <s v="HOTEL ALEXANDER - NUMANA"/>
  </r>
  <r>
    <x v="1"/>
    <s v="HOTEL ALLE TERRAZZE"/>
    <s v="via Tito Rocchi 24"/>
    <x v="18"/>
    <s v="ARCEVIA"/>
    <m/>
    <s v="htalleterrazze@tiscali.it"/>
    <s v="HOTEL ALLE TERRAZZE - ARCEVIA"/>
  </r>
  <r>
    <x v="1"/>
    <s v="HOTEL ALTIS"/>
    <s v="viale Europa 64"/>
    <x v="12"/>
    <s v="SAN BENEDETTO DEL TRONTO"/>
    <s v="www.hotelaltis.it"/>
    <s v="info@hotelaltis.it"/>
    <s v="HOTEL ALTIS - SAN BENEDETTO DEL TRONTO"/>
  </r>
  <r>
    <x v="1"/>
    <s v="HOTEL AMBASSADOR"/>
    <s v="viale Cristoforo Colombo 2"/>
    <x v="20"/>
    <s v="MONDOLFO"/>
    <s v="www.hotelambassadormarotta.it"/>
    <s v="info@hotelambassadormarotta.it"/>
    <s v="HOTEL AMBASSADOR - MONDOLFO"/>
  </r>
  <r>
    <x v="1"/>
    <s v="HOTEL AMBASSADOR"/>
    <s v="viale Trieste 291"/>
    <x v="69"/>
    <s v="PESARO"/>
    <s v="www.ambassadorpesaro.it"/>
    <s v="info@ambassadorpesaro.it"/>
    <s v="HOTEL AMBASSADOR - PESARO"/>
  </r>
  <r>
    <x v="1"/>
    <s v="HOTEL AMBASSADOR"/>
    <s v="viale lungomare Repubblica 86"/>
    <x v="5"/>
    <s v="GROTTAMMARE"/>
    <s v="www.paradisogrottammare.it"/>
    <s v="info@ambassadorgrottammare.it"/>
    <s v="HOTEL AMBASSADOR - GROTTAMMARE"/>
  </r>
  <r>
    <x v="1"/>
    <s v="HOTEL ANNA"/>
    <s v="vicolo Francioni 4"/>
    <x v="174"/>
    <s v="CARPEGNA"/>
    <s v="www.hotelannacarpegna.it"/>
    <s v="info@hotelannacarpegna.it"/>
    <s v="HOTEL ANNA - CARPEGNA"/>
  </r>
  <r>
    <x v="1"/>
    <s v="HOTEL ANNA"/>
    <s v="VIA GROTTE 10"/>
    <x v="15"/>
    <s v="LORETO"/>
    <m/>
    <m/>
    <s v="HOTEL ANNA - LORETO"/>
  </r>
  <r>
    <x v="1"/>
    <s v="HOTEL ARCA"/>
    <s v="via Circonvallazione 69"/>
    <x v="7"/>
    <s v="SASSOCORVARO"/>
    <s v="www.hotelarca.it"/>
    <s v="info@hotelarca.it"/>
    <s v="HOTEL ARCA - SASSOCORVARO"/>
  </r>
  <r>
    <x v="1"/>
    <s v="HOTEL ARCADIA"/>
    <s v="via Padre Matteo Ricci 134"/>
    <x v="0"/>
    <s v="MACERATA"/>
    <s v="www.arcadiahotelmacerata.it"/>
    <s v="info@arcadiahotelmacerata.it"/>
    <s v="HOTEL ARCADIA - MACERATA"/>
  </r>
  <r>
    <x v="1"/>
    <s v="HOTEL ARLECCHINO"/>
    <s v="viale Trieste 22"/>
    <x v="12"/>
    <s v="SAN BENEDETTO DEL TRONTO"/>
    <s v="www.hotelarlecchino.it"/>
    <s v="info@hotelarlecchino.it"/>
    <s v="HOTEL ARLECCHINO - SAN BENEDETTO DEL TRONTO"/>
  </r>
  <r>
    <x v="1"/>
    <s v="HOTEL ATHENA"/>
    <s v="via Panoramica 9"/>
    <x v="28"/>
    <s v="GABICCE MARE"/>
    <s v="www.hotelathena.eu"/>
    <s v="direzione@hotelathena.eu;"/>
    <s v="HOTEL ATHENA - GABICCE MARE"/>
  </r>
  <r>
    <x v="1"/>
    <s v="HOTEL ATLANTIC"/>
    <s v="viale Trieste 365"/>
    <x v="69"/>
    <s v="PESARO"/>
    <s v="www.atlanticpesaro.it"/>
    <s v="info@atlanticpesaro.it"/>
    <s v="HOTEL ATLANTIC - PESARO"/>
  </r>
  <r>
    <x v="1"/>
    <s v="HOTEL ATLAS"/>
    <s v="via edmondo de amicis 6"/>
    <x v="28"/>
    <s v="GABICCE MARE"/>
    <s v="www.gabiccemare.com/atlas"/>
    <s v="atlas@gabiccemare.com"/>
    <s v="HOTEL ATLAS - GABICCE MARE"/>
  </r>
  <r>
    <x v="1"/>
    <s v="HOTEL BABY GIGLI MEUBLE'"/>
    <s v="via Litoranea 1"/>
    <x v="9"/>
    <s v="NUMANA"/>
    <m/>
    <s v="babygigli@giglihotels.com"/>
    <s v="HOTEL BABY GIGLI MEUBLE' - NUMANA"/>
  </r>
  <r>
    <x v="1"/>
    <s v="HOTEL BAHIA"/>
    <s v="Viale A.Scipioni 98"/>
    <x v="12"/>
    <s v="SAN BENEDETTO DEL TRONTO"/>
    <s v="www.hotelbahia.it"/>
    <s v="info@hotelbahia.it"/>
    <s v="HOTEL BAHIA - SAN BENEDETTO DEL TRONTO"/>
  </r>
  <r>
    <x v="1"/>
    <s v="HOTEL BAIA MARINA"/>
    <s v="via Nazario Sauro 52"/>
    <x v="32"/>
    <m/>
    <s v="www.baiamarinahotel.it"/>
    <s v="hotelbaiamarina@gmail.com"/>
    <s v="HOTEL BAIA MARINA - CUPRA MARITTIMA"/>
  </r>
  <r>
    <x v="1"/>
    <s v="HOTEL BEATRICE"/>
    <s v="via Vallone 1"/>
    <x v="8"/>
    <s v="SIROLO"/>
    <s v="www.beatricehotel.it"/>
    <s v="info@beatricehotel.it"/>
    <s v="HOTEL BEATRICE - SIROLO"/>
  </r>
  <r>
    <x v="1"/>
    <s v="HOTEL BEAURIVAGE"/>
    <s v="lungomare Marconi 28"/>
    <x v="16"/>
    <s v="SENIGALLIA"/>
    <s v="www.hotelbeaurivagesenigallia.com"/>
    <s v="info@hotelbeaurivagesenigallia.com"/>
    <s v="HOTEL BEAURIVAGE - SENIGALLIA"/>
  </r>
  <r>
    <x v="1"/>
    <s v="HOTEL BEL SIT"/>
    <s v="via dei cappuccini  15"/>
    <x v="16"/>
    <s v="SENIGALLIA"/>
    <s v="www.belsit.net"/>
    <s v="info@belsit.net"/>
    <s v="HOTEL BEL SIT - SENIGALLIA"/>
  </r>
  <r>
    <x v="1"/>
    <s v="HOTEL BELLAVISTA"/>
    <s v="Via Cristoforo Colombo 5"/>
    <x v="9"/>
    <s v="NUMANA"/>
    <s v="www.bellavistahotel.org"/>
    <s v="informazioni@bellavistahotel.org"/>
    <s v="HOTEL BELLAVISTA - NUMANA"/>
  </r>
  <r>
    <x v="1"/>
    <s v="HOTEL BELVEDERE"/>
    <s v="via Indipendenza 26"/>
    <x v="14"/>
    <m/>
    <s v="http://www.hrbelvedere.it"/>
    <s v="info@hrbelvedere.it"/>
    <s v="HOTEL BELVEDERE - MONTEPRANDONE"/>
  </r>
  <r>
    <x v="1"/>
    <s v="HOTEL BIANCHI NICOLA"/>
    <s v="piazza Fratelli Brancondi 38"/>
    <x v="23"/>
    <s v="PORTO RECANATI"/>
    <s v="www.hotelbianchinicola.it"/>
    <s v="info@hotelbianchinicola.it"/>
    <s v="HOTEL BIANCHI NICOLA - PORTO RECANATI"/>
  </r>
  <r>
    <x v="1"/>
    <s v="HOTEL BRUNFORTE"/>
    <s v="via B. Costa 38"/>
    <x v="11"/>
    <s v="SARNANO"/>
    <s v="www.hotel-brunforte.it"/>
    <s v="info@hotel-brunforte.it"/>
    <s v="HOTEL BRUNFORTE - SARNANO"/>
  </r>
  <r>
    <x v="1"/>
    <s v="HOTEL BUCCI DI PARLATO CLAUDIA"/>
    <s v="via dell' Industria 13"/>
    <x v="152"/>
    <s v="FERMIGNANO"/>
    <m/>
    <s v="hotel.bucci@libero.it"/>
    <s v="HOTEL BUCCI DI PARLATO CLAUDIA - FERMIGNANO"/>
  </r>
  <r>
    <x v="1"/>
    <s v="HOTEL CAESAR"/>
    <s v="viale trieste 125"/>
    <x v="69"/>
    <s v="PESARO"/>
    <s v="www.hotelcaesar.net"/>
    <s v="info@hotelcaesar.net"/>
    <s v="HOTEL CAESAR - PESARO"/>
  </r>
  <r>
    <x v="1"/>
    <s v="HOTEL CAMERLENGO"/>
    <s v="via Santa Maria 2"/>
    <x v="172"/>
    <s v="CORRIDONIA"/>
    <s v="www.hotelcamerlengo.com"/>
    <s v="info@hotelcamerlengo.com"/>
    <s v="HOTEL CAMERLENGO - CORRIDONIA"/>
  </r>
  <r>
    <x v="1"/>
    <s v="HOTEL CAPITAL"/>
    <s v="viale Nazario Sauro 18"/>
    <x v="32"/>
    <s v="CUPRA MARITTIMA"/>
    <s v="www.capitalhotel.net"/>
    <s v="info@capitalhotel.net"/>
    <s v="HOTEL CAPITAL - CUPRA MARITTIMA"/>
  </r>
  <r>
    <x v="1"/>
    <s v="HOTEL CAPITOL"/>
    <s v="viale Rovereto  19"/>
    <x v="69"/>
    <m/>
    <s v="www.hotelcapitol.pu.it"/>
    <s v="info@hotelcapitol.pu.it"/>
    <s v="HOTEL CAPITOL - PESARO"/>
  </r>
  <r>
    <x v="1"/>
    <s v="HOTEL CAPRI"/>
    <s v="via c. maffei 81"/>
    <x v="12"/>
    <s v="SAN BENEDETTO DEL TRONTO"/>
    <s v="www.htcapri.com"/>
    <s v="info@htcapri.com"/>
    <s v="HOTEL CAPRI - SAN BENEDETTO DEL TRONTO"/>
  </r>
  <r>
    <x v="1"/>
    <s v="HOTEL CARAVELLE"/>
    <s v="viale trieste 269"/>
    <x v="69"/>
    <s v="PESARO"/>
    <s v="www.hotel-caravelle.net"/>
    <s v="info@hotel-caravelle.net"/>
    <s v="HOTEL CARAVELLE - PESARO"/>
  </r>
  <r>
    <x v="1"/>
    <s v="HOTEL CARLO"/>
    <s v="via salaria 193"/>
    <x v="199"/>
    <s v="SPINETOLI"/>
    <m/>
    <s v="hotelcarlo@libero.it"/>
    <s v="HOTEL CARLO - SPINETOLI"/>
  </r>
  <r>
    <x v="1"/>
    <s v="HOTEL CAROLINE"/>
    <s v="viale Giuseppe Mazzini 7"/>
    <x v="30"/>
    <s v="OFFIDA"/>
    <s v="www.hotelcaroline.it"/>
    <s v="info@hotelcaroline.it"/>
    <s v="HOTEL CAROLINE - OFFIDA"/>
  </r>
  <r>
    <x v="1"/>
    <s v="HOTEL CASALE"/>
    <s v="contrada casale superiore 146"/>
    <x v="59"/>
    <s v="COLLI DEL TRONTO"/>
    <s v="www.hotelcasale.it"/>
    <s v="info@hotelcasale.it"/>
    <s v="HOTEL CASALE - COLLI DEL TRONTO"/>
  </r>
  <r>
    <x v="1"/>
    <s v="HOTEL CAVALLUCCIO MARINO"/>
    <s v="via vittorio veneto 111"/>
    <x v="28"/>
    <s v="GABICCE MARE"/>
    <s v="www.hotelcavallucciomarino.it"/>
    <s v="info@hotelcavallucciomarino.it"/>
    <s v="HOTEL CAVALLUCCIO MARINO - GABICCE MARE"/>
  </r>
  <r>
    <x v="1"/>
    <s v="HOTEL CENTRALE DI PAOLO E CINZIA DI FRONTINI PAOLO"/>
    <s v="via Giannuario Solari 5"/>
    <x v="15"/>
    <s v="LORETO"/>
    <s v="www.hotelcentraleloreto.it"/>
    <s v="info@hotelcentraleloreto.it"/>
    <s v="HOTEL CENTRALE DI PAOLO E CINZIA DI FRONTINI PAOLO - LORETO"/>
  </r>
  <r>
    <x v="1"/>
    <s v="HOTEL CENTRO BENESSERE VILLA DI CARLO"/>
    <s v="viale Martiri della Resistenza 1"/>
    <x v="212"/>
    <s v="MONTE GRIMANO TERME"/>
    <s v="www.villadicarlo.it"/>
    <s v="info@villadicarlo.it"/>
    <s v="HOTEL CENTRO BENESSERE VILLA DI CARLO - MONTE GRIMANO TERME"/>
  </r>
  <r>
    <x v="1"/>
    <s v="HOTEL CENTRO VACANZE DE ANGELIS"/>
    <s v="via Castelfidardo 1"/>
    <x v="9"/>
    <s v="NUMANA"/>
    <s v="www.villaggiocentrovacanzedeangelis.it"/>
    <s v="info@villaggiocentrovacanzedeangelis.it"/>
    <s v="HOTEL CENTRO VACANZE DE ANGELIS - NUMANA"/>
  </r>
  <r>
    <x v="1"/>
    <s v="HOTEL CHIARALUNA"/>
    <s v="via del Grappa 37"/>
    <x v="17"/>
    <s v="CIVITANOVA MARCHE"/>
    <s v="www.hotelchiaraluna.it"/>
    <s v="info@hotelchiaraluna.it"/>
    <s v="HOTEL CHIARALUNA - CIVITANOVA MARCHE"/>
  </r>
  <r>
    <x v="1"/>
    <s v="HOTEL CITY"/>
    <s v="via Giacomo Matteotti 112"/>
    <x v="10"/>
    <s v="ANCONA"/>
    <s v="www.hotelcityancona.it"/>
    <s v="info@hotelcityancona.it"/>
    <s v="HOTEL CITY - ANCONA"/>
  </r>
  <r>
    <x v="1"/>
    <s v="HOTEL CITY DIPENDENZA"/>
    <s v="via Matteotti 175"/>
    <x v="10"/>
    <m/>
    <s v="www.hotelcityancona.it"/>
    <s v="info@hotelcityancona.it"/>
    <s v="HOTEL CITY DIPENDENZA - ANCONA"/>
  </r>
  <r>
    <x v="1"/>
    <s v="HOTEL CLUENTUM"/>
    <s v="contrada san martino 103"/>
    <x v="6"/>
    <s v="TOLENTINO"/>
    <s v="www.hotelcluentum.it"/>
    <s v="info@hotelcluentum.it"/>
    <s v="HOTEL CLUENTUM - TOLENTINO"/>
  </r>
  <r>
    <x v="1"/>
    <s v="HOTEL CONCORDE"/>
    <s v="via aspio terme 191"/>
    <x v="167"/>
    <s v="CAMERANO"/>
    <s v="www.albergoconcorde.it"/>
    <s v="info@albergoconcorde.it"/>
    <s v="HOTEL CONCORDE - CAMERANO"/>
  </r>
  <r>
    <x v="1"/>
    <s v="HOTEL CONTINENTAL"/>
    <s v="viale Trieste 70"/>
    <x v="69"/>
    <s v="PESARO"/>
    <m/>
    <s v="continental@globaltoursrls.com"/>
    <s v="HOTEL CONTINENTAL - PESARO"/>
  </r>
  <r>
    <x v="1"/>
    <s v="HOTEL COSMOPOLITAN"/>
    <s v="via Alcide De Gasperi 2"/>
    <x v="17"/>
    <s v="CIVITANOVA MARCHE"/>
    <s v="www.cosmobusinesshotel.it"/>
    <s v="info@cosmobusinesshotel.it"/>
    <s v="HOTEL COSMOPOLITAN - CIVITANOVA MARCHE"/>
  </r>
  <r>
    <x v="1"/>
    <s v="HOTEL CRISTALL"/>
    <s v="via Orazio 3"/>
    <x v="12"/>
    <s v="SAN BENEDETTO DEL TRONTO"/>
    <s v="www.hotelcristall.it"/>
    <s v="info@hotelcristall.it"/>
    <s v="HOTEL CRISTALL - SAN BENEDETTO DEL TRONTO"/>
  </r>
  <r>
    <x v="1"/>
    <s v="HOTEL CRISTALLO"/>
    <s v="lungomare alighieri 2"/>
    <x v="16"/>
    <s v="SENIGALLIA"/>
    <m/>
    <s v="info@mastruccizoppini.it"/>
    <s v="HOTEL CRISTALLO - SENIGALLIA"/>
  </r>
  <r>
    <x v="1"/>
    <s v="HOTEL DE LA VILLE"/>
    <s v="viale Cairoli 1"/>
    <x v="33"/>
    <s v="FANO"/>
    <s v="www.hoteldelavillefano.com"/>
    <s v="info@hoteldelavillefano.com"/>
    <s v="HOTEL DE LA VILLE - FANO"/>
  </r>
  <r>
    <x v="1"/>
    <s v="HOTEL DE LA VILLE"/>
    <s v="lungomare marconi 35"/>
    <x v="16"/>
    <s v="SENIGALLIA"/>
    <s v="www.h-delaville.it"/>
    <s v="info@h-delaville.it"/>
    <s v="HOTEL DE LA VILLE - SENIGALLIA"/>
  </r>
  <r>
    <x v="1"/>
    <s v="HOTEL DEI NANI"/>
    <s v="viale del Lavoro 34"/>
    <x v="4"/>
    <s v="JESI"/>
    <s v="www.hoteldeinani.it"/>
    <s v="info@hoteldeinani.it"/>
    <s v="HOTEL DEI NANI - JESI"/>
  </r>
  <r>
    <x v="1"/>
    <s v="HOTEL DEL DUCA"/>
    <s v="piazza del Duca 102"/>
    <x v="130"/>
    <s v="MONTEDINOVE"/>
    <s v="www.hoteldelduca.com"/>
    <s v="info@hoteldelduca.com"/>
    <s v="HOTEL DEL DUCA - MONTEDINOVE"/>
  </r>
  <r>
    <x v="1"/>
    <s v="HOTEL DEL PARCO"/>
    <s v="via Molino 48"/>
    <x v="120"/>
    <s v="MONTEFIORE DELL' ASO"/>
    <s v="www.hoteldelparco.info"/>
    <s v="hotel_delparco@libero.it"/>
    <s v="HOTEL DEL PARCO - MONTEFIORE DELL'ASO"/>
  </r>
  <r>
    <x v="1"/>
    <s v="HOTEL DELLA LOGGIA"/>
    <s v="via santa maria 3"/>
    <x v="145"/>
    <s v="MATELICA"/>
    <s v="www.hoteldellaloggia.it"/>
    <s v="info@hoteldellaloggia.it"/>
    <s v="HOTEL DELLA LOGGIA - MATELICA"/>
  </r>
  <r>
    <x v="1"/>
    <s v="HOTEL DELLA ROSA"/>
    <s v="piazza Carlo e Nello Rosselli 3"/>
    <x v="10"/>
    <s v="ANCONA"/>
    <s v="www.hoteldellarosa.it"/>
    <s v="info@hoteldellarosa.it"/>
    <s v="HOTEL DELLA ROSA - ANCONA"/>
  </r>
  <r>
    <x v="1"/>
    <s v="HOTEL DELLA VITTORIA"/>
    <s v="via Fabio Filzi 2"/>
    <x v="10"/>
    <s v="ANCONA"/>
    <s v="www.hoteldellavittoria.com"/>
    <s v="info@hoteldellavittoria.com"/>
    <s v="HOTEL DELLA VITTORIA - ANCONA"/>
  </r>
  <r>
    <x v="1"/>
    <s v="HOTEL DURANTI"/>
    <s v="via San Giovanni 10"/>
    <x v="131"/>
    <s v="POLVERIGI"/>
    <s v="hotelduranti.it"/>
    <s v="duranti.daniela@alice.it"/>
    <s v="HOTEL DURANTI - POLVERIGI"/>
  </r>
  <r>
    <x v="1"/>
    <s v="HOTEL EDEN GIGLI"/>
    <s v="viale Angiolo Morelli 11"/>
    <x v="9"/>
    <s v="NUMANA"/>
    <m/>
    <s v="info@giglihotels.com"/>
    <s v="HOTEL EDEN GIGLI - NUMANA"/>
  </r>
  <r>
    <x v="4"/>
    <s v="HOTEL ELENA - BAGNI N° 18"/>
    <s v="lungomare mameli 18 18"/>
    <x v="16"/>
    <s v="SENIGALLIA"/>
    <m/>
    <m/>
    <s v="HOTEL ELENA - BAGNI N° 18 - SENIGALLIA"/>
  </r>
  <r>
    <x v="1"/>
    <s v="HOTEL ELVEZIA"/>
    <s v="viale Fiume  67"/>
    <x v="69"/>
    <m/>
    <s v="http://www.hotelelveziapesaro.it"/>
    <s v="hotelelvezia@outlook.it"/>
    <s v="HOTEL ELVEZIA - PESARO"/>
  </r>
  <r>
    <x v="1"/>
    <s v="HOTEL EMILIANA"/>
    <s v="via Raffaello Sanzio 2"/>
    <x v="8"/>
    <s v="SIROLO"/>
    <s v="www.hotelemiliana.it"/>
    <s v="info@hotelemiliana.it"/>
    <s v="HOTEL EMILIANA - SIROLO"/>
  </r>
  <r>
    <x v="1"/>
    <s v="HOTEL EUROPA"/>
    <s v="via vittorio veneto 5"/>
    <x v="28"/>
    <s v="GABICCE MARE"/>
    <s v="www.hoteleuropagabicce.com"/>
    <s v="info@hoteleuropagabicce.com"/>
    <s v="HOTEL EUROPA - GABICCE MARE"/>
  </r>
  <r>
    <x v="1"/>
    <s v="HOTEL EUROPA"/>
    <s v="via Sentino 3"/>
    <x v="10"/>
    <s v="loc. Torrette"/>
    <s v="www.hoteleuropa-ancona.it"/>
    <s v="info@hoteleuropa-ancona.it"/>
    <s v="HOTEL EUROPA - ANCONA"/>
  </r>
  <r>
    <x v="1"/>
    <s v="HOTEL FABBRI"/>
    <s v="via Cesare Battisti 48"/>
    <x v="28"/>
    <s v="GABICCE MARE"/>
    <s v="www.hotelfabbri.it"/>
    <s v="info@hotelfabbri.it"/>
    <s v="HOTEL FABBRI - GABICCE MARE"/>
  </r>
  <r>
    <x v="1"/>
    <s v="HOTEL FERONIA"/>
    <s v="piazza del popolo 96"/>
    <x v="2"/>
    <s v="SAN SEVERINO MARCHE"/>
    <m/>
    <s v="massimanola@alice.it"/>
    <s v="HOTEL FERONIA - SAN SEVERINO MARCHE"/>
  </r>
  <r>
    <x v="1"/>
    <s v="HOTEL FIERA"/>
    <s v="strada fornace vecchia 69"/>
    <x v="69"/>
    <s v="PESARO"/>
    <s v="www.hotelfierapesaro.com"/>
    <s v="info@hotelfierapesaro.com"/>
    <s v="HOTEL FIERA - PESARO"/>
  </r>
  <r>
    <x v="1"/>
    <s v="HOTEL FIGARO"/>
    <s v="viale Trieste 71"/>
    <x v="69"/>
    <s v="PESARO"/>
    <s v="www.hotelfigaro.it"/>
    <s v="info@hotelfigaro.it"/>
    <s v="HOTEL FIGARO - PESARO"/>
  </r>
  <r>
    <x v="1"/>
    <s v="HOTEL FIORITI - ALBERGO RISTORANTE"/>
    <s v="piazza Giuseppe Garibaldi 12"/>
    <x v="145"/>
    <s v="MATELICA"/>
    <m/>
    <m/>
    <s v="HOTEL FIORITI - ALBERGO RISTORANTE - MATELICA"/>
  </r>
  <r>
    <x v="1"/>
    <s v="HOTEL FLAMINIO"/>
    <s v="via Flaminia 12"/>
    <x v="125"/>
    <s v="SERRUNGARINA"/>
    <s v="www.hotelflaminiotavernelle.com"/>
    <s v="info@hotelflaminiotavernelle.com"/>
    <s v="HOTEL FLAMINIO - SERRUNGARINA"/>
  </r>
  <r>
    <x v="1"/>
    <s v="HOTEL FLORENCE"/>
    <s v="via Faa' di Bruno 15"/>
    <x v="20"/>
    <s v="MONDOLFO"/>
    <s v="www.hotelflorencemarotta.it"/>
    <s v="info@hotelflorencemarotta.it"/>
    <s v="HOTEL FLORENCE - MONDOLFO"/>
  </r>
  <r>
    <x v="1"/>
    <s v="HOTEL FLYING"/>
    <s v="viale Giuseppe Verdi 126"/>
    <x v="69"/>
    <s v="PESARO"/>
    <m/>
    <s v="info@flyinghotel.it"/>
    <s v="HOTEL FLYING - PESARO"/>
  </r>
  <r>
    <x v="1"/>
    <s v="HOTEL GABBIANO"/>
    <s v="via oberdan 4"/>
    <x v="47"/>
    <s v="PORTO SAN GIORGIO"/>
    <s v="www.hotelgabbiano.net"/>
    <s v="gabbianohotel@virgilio.it"/>
    <s v="HOTEL GABBIANO - PORTO SAN GIORGIO"/>
  </r>
  <r>
    <x v="1"/>
    <s v="HOTEL GALA"/>
    <s v="Viale Trieste 49"/>
    <x v="69"/>
    <s v="PESARO"/>
    <s v="www.hotelgala.it"/>
    <s v="info@hotelgala.it"/>
    <s v="HOTEL GALA - PESARO"/>
  </r>
  <r>
    <x v="1"/>
    <s v="HOTEL GALASSI"/>
    <s v="Via Rimini 11"/>
    <x v="9"/>
    <m/>
    <s v="www.hotelgalassi.it"/>
    <s v="info@hotelgalassi.it"/>
    <s v="HOTEL GALASSI - NUMANA"/>
  </r>
  <r>
    <x v="1"/>
    <s v="HOTEL GALLO"/>
    <s v="piazzale Stazione 13/14"/>
    <x v="148"/>
    <s v="POTENZA PICENA"/>
    <m/>
    <s v="cabesasrl@gmail.com"/>
    <s v="HOTEL GALLO - POTENZA PICENA"/>
  </r>
  <r>
    <x v="1"/>
    <s v="HOTEL GIANCARLO"/>
    <s v="via Cicerone 1"/>
    <x v="12"/>
    <s v="SAN BENEDETTO DEL TRONTO"/>
    <s v="www.hotelgiancarlo.it"/>
    <s v="info@hotelgiancarlo.it"/>
    <s v="HOTEL GIANCARLO - SAN BENEDETTO DEL TRONTO"/>
  </r>
  <r>
    <x v="1"/>
    <s v="HOTEL GIARDINETTO"/>
    <s v="corso Traiano Boccalini 10"/>
    <x v="15"/>
    <s v="LORETO"/>
    <s v="www.hotelgiardinetto.it"/>
    <s v="booking@hotelgiardinetto.it"/>
    <s v="HOTEL GIARDINETTO - LORETO"/>
  </r>
  <r>
    <x v="1"/>
    <s v="HOTEL GIARDINO DIPENDENZA"/>
    <m/>
    <x v="9"/>
    <m/>
    <s v="www.hotelgiardino.com"/>
    <s v="info@hotelgiardino.com"/>
    <s v="HOTEL GIARDINO DIPENDENZA - NUMANA"/>
  </r>
  <r>
    <x v="1"/>
    <s v="HOTEL GIARDINO Suite&amp;Wellness"/>
    <s v="via Circonvallazione Conero 19"/>
    <x v="9"/>
    <s v="NUMANA"/>
    <s v="www.hotelgiardino.com"/>
    <s v="info@hotelgiardino.com"/>
    <s v="HOTEL GIARDINO Suite&amp;Wellness - NUMANA"/>
  </r>
  <r>
    <x v="1"/>
    <s v="HOTEL GRASSETTI"/>
    <s v="via romolo murri 1"/>
    <x v="172"/>
    <s v="CORRIDONIA"/>
    <s v="www.grassetti.it"/>
    <s v="info@grassetti.it"/>
    <s v="HOTEL GRASSETTI - CORRIDONIA"/>
  </r>
  <r>
    <x v="1"/>
    <s v="HOTEL GRIMALDI"/>
    <s v="corso Italia Libera 9"/>
    <x v="139"/>
    <m/>
    <s v="www.hotelgrimalditreia.it"/>
    <s v="info@hotelgrimalditreia.it"/>
    <s v="HOTEL GRIMALDI - TREIA"/>
  </r>
  <r>
    <x v="1"/>
    <s v="HOTEL HERMITAGE"/>
    <s v="frazione Sassotetto 1"/>
    <x v="11"/>
    <s v="SARNANO"/>
    <s v="www.albergohermitage.eu"/>
    <s v="hotel.hermitage@virgilio.it"/>
    <s v="HOTEL HERMITAGE - SARNANO"/>
  </r>
  <r>
    <x v="4"/>
    <s v="HOTEL HOLLYWOOD - BAGNI N° 76"/>
    <s v="lungomare alighieri 76 76"/>
    <x v="16"/>
    <s v="SENIGALLIA"/>
    <m/>
    <m/>
    <s v="HOTEL HOLLYWOOD - BAGNI N° 76 - SENIGALLIA"/>
  </r>
  <r>
    <x v="1"/>
    <s v="HOTEL HORIZON"/>
    <s v="strada Provinciale Veregrense 1"/>
    <x v="34"/>
    <s v="villa Luciani"/>
    <s v="www.hotelhorizon.it"/>
    <s v="info@hotelhorizon.it"/>
    <s v="HOTEL HORIZON - MONTEGRANARO"/>
  </r>
  <r>
    <x v="1"/>
    <s v="HOTEL I COLLI"/>
    <s v="via Roma 151"/>
    <x v="0"/>
    <s v="MACERATA"/>
    <s v="www.hotelicolli.com"/>
    <s v="info@hotelicolli.com"/>
    <s v="HOTEL I COLLI - MACERATA"/>
  </r>
  <r>
    <x v="1"/>
    <s v="HOTEL IL BOSCHETTO"/>
    <s v="via Sandro Pertini  55"/>
    <x v="6"/>
    <s v="TOLENTINO"/>
    <m/>
    <s v="info@hotel-il-boschetto.it"/>
    <s v="HOTEL IL BOSCHETTO - TOLENTINO"/>
  </r>
  <r>
    <x v="1"/>
    <s v="HOTEL IL CAMINETTO"/>
    <s v="Lungomare A. Gramsci 365"/>
    <x v="47"/>
    <s v="PORTO SAN GIORGIO"/>
    <s v="www.hotelcaminetto.it"/>
    <s v="info@hotelcaminetto.it"/>
    <s v="HOTEL IL CAMINETTO - PORTO SAN GIORGIO"/>
  </r>
  <r>
    <x v="1"/>
    <s v="HOTEL IL MAESTRALE"/>
    <s v="via Fosse Ardeatine 12"/>
    <x v="12"/>
    <s v="SAN BENEDETTO DEL TRONTO"/>
    <s v="www.hotelmaestrale.it"/>
    <s v="info@maestralehotel.it"/>
    <s v="HOTEL IL MAESTRALE - SAN BENEDETTO DEL TRONTO"/>
  </r>
  <r>
    <x v="1"/>
    <s v="HOTEL IL PARCO"/>
    <s v="via Giulietti 58"/>
    <x v="8"/>
    <s v="SIROLO"/>
    <s v="www.hotelilparco.it"/>
    <s v="info@hotelilparco.it"/>
    <s v="HOTEL IL PARCO - SIROLO"/>
  </r>
  <r>
    <x v="1"/>
    <s v="HOTEL IL PICENO"/>
    <s v="via Leopardi  12"/>
    <x v="3"/>
    <m/>
    <s v="www.ilpiceno.eu"/>
    <s v="info@hotelpiceno.eu"/>
    <s v="HOTEL IL PICENO - RIPATRANSONE"/>
  </r>
  <r>
    <x v="1"/>
    <s v="HOTEL IL POGGIO"/>
    <s v="via Poggio 22"/>
    <x v="174"/>
    <s v="CARPEGNA"/>
    <s v="www.hotelilpoggio.it"/>
    <s v="info@hotelilpoggio.it"/>
    <s v="HOTEL IL POGGIO - CARPEGNA"/>
  </r>
  <r>
    <x v="4"/>
    <s v="HOTEL IMPERIAL"/>
    <s v="via faa' di bruno 119 119"/>
    <x v="33"/>
    <s v="FANO"/>
    <m/>
    <m/>
    <s v="HOTEL IMPERIAL - FANO"/>
  </r>
  <r>
    <x v="1"/>
    <s v="HOTEL IMPERIAL SPORT"/>
    <s v="via Annibale Ninchi 6"/>
    <x v="69"/>
    <s v="PESARO"/>
    <s v="www.imperialsporthotel.it"/>
    <s v="info@imperialsporthotel.it"/>
    <s v="HOTEL IMPERIAL SPORT - PESARO"/>
  </r>
  <r>
    <x v="1"/>
    <s v="HOTEL INTERNATIONAL"/>
    <s v="viale Rinascimento 47"/>
    <x v="12"/>
    <s v="SAN BENEDETTO DEL TRONTO"/>
    <s v="www.internationalhotel.it"/>
    <s v="info@internationalhotel.it"/>
    <s v="HOTEL INTERNATIONAL - SAN BENEDETTO DEL TRONTO"/>
  </r>
  <r>
    <x v="1"/>
    <s v="HOTEL INTERNAZIONALE"/>
    <s v="via cappellini 85"/>
    <x v="33"/>
    <s v="FANO"/>
    <s v="www.hotel-internazionale.net"/>
    <s v="perkins.james@libero.it"/>
    <s v="HOTEL INTERNAZIONALE - FANO"/>
  </r>
  <r>
    <x v="1"/>
    <s v="HOTEL ITALIA"/>
    <s v="via del Bagno 59"/>
    <x v="35"/>
    <s v="ACQUASANTA TERME"/>
    <s v="www.termeacquasanta.it"/>
    <s v="info@termeacquasanta.it"/>
    <s v="HOTEL ITALIA - ACQUASANTA TERME"/>
  </r>
  <r>
    <x v="1"/>
    <s v="HOTEL K2"/>
    <s v="via Ischia 31"/>
    <x v="9"/>
    <s v="NUMANA"/>
    <s v="www.hotelk2.com"/>
    <s v="info@hotelk2.com"/>
    <s v="HOTEL K2 - NUMANA"/>
  </r>
  <r>
    <x v="1"/>
    <s v="HOTEL KON TIKI"/>
    <s v="Via Ischia 17"/>
    <x v="9"/>
    <s v="NUMANA"/>
    <s v="www.hotelkontiki.it"/>
    <s v="info@hotelkontiki.it"/>
    <s v="HOTEL KON TIKI - NUMANA"/>
  </r>
  <r>
    <x v="1"/>
    <s v="HOTEL LA MAESTRA"/>
    <s v="via Baleari 6"/>
    <x v="5"/>
    <s v="GROTTAMMARE"/>
    <s v="www.hotellamaestra.it"/>
    <s v="info@hotellamaestra.it"/>
    <s v="HOTEL LA MAESTRA - GROTTAMMARE"/>
  </r>
  <r>
    <x v="1"/>
    <s v="HOTEL LA PACE"/>
    <s v="viale guglielmo marconi 26"/>
    <x v="12"/>
    <s v="SAN BENEDETTO DEL TRONTO"/>
    <s v="www.lapacehotel.it"/>
    <s v="info@lapacehotel.it"/>
    <s v="HOTEL LA PACE - SAN BENEDETTO DEL TRONTO"/>
  </r>
  <r>
    <x v="1"/>
    <s v="HOTEL LA PACE DEPENDANCE"/>
    <s v="viale Guglielmo Marconi 26"/>
    <x v="12"/>
    <s v="SAN BENEDETTO DEL TRONTO"/>
    <s v="www.lapacehotel.it"/>
    <s v="info@lapacehotel.it"/>
    <s v="HOTEL LA PACE DEPENDANCE - SAN BENEDETTO DEL TRONTO"/>
  </r>
  <r>
    <x v="1"/>
    <s v="HOTEL LA PERLA"/>
    <s v="viale Nazario Sauro 68"/>
    <x v="32"/>
    <s v="CUPRA MARITTIMA"/>
    <m/>
    <s v="info@hotellaperlacupra.it"/>
    <s v="HOTEL LA PERLA - CUPRA MARITTIMA"/>
  </r>
  <r>
    <x v="1"/>
    <s v="HOTEL LA PERLA"/>
    <m/>
    <x v="55"/>
    <s v="PONTENINA-CAMPOFILONE"/>
    <s v="www.vacanzelaperla.it"/>
    <s v="info@vacanzelaperla.it"/>
    <s v="HOTEL LA PERLA - CAMPOFILONE"/>
  </r>
  <r>
    <x v="1"/>
    <s v="HOTEL LA PERLA PREZIOSA"/>
    <s v="via Mediterraneo 8"/>
    <x v="5"/>
    <s v="GROTTAMMARE"/>
    <s v="www.laperlapreziosa.com"/>
    <s v="info@laperlapreziosa.com"/>
    <s v="HOTEL LA PERLA PREZIOSA - GROTTAMMARE"/>
  </r>
  <r>
    <x v="1"/>
    <s v="HOTEL LA PERLA PREZIOSA DEPENDANCE"/>
    <s v="via Mediterraneo 14"/>
    <x v="5"/>
    <s v="GROTTAMMARE"/>
    <s v="www.laperlapreziosa.com"/>
    <s v="info@laperlapreziosa.com"/>
    <s v="HOTEL LA PERLA PREZIOSA DEPENDANCE - GROTTAMMARE"/>
  </r>
  <r>
    <x v="1"/>
    <s v="HOTEL LA ROSA DEI VENTI"/>
    <s v="via Macerata 77"/>
    <x v="117"/>
    <s v="MONTE SAN GIUSTO"/>
    <s v="www.hotellarosadeiventi.com"/>
    <s v="info@hotellarosadeiventi.com"/>
    <s v="HOTEL LA ROSA DEI VENTI - MONTE SAN GIUSTO"/>
  </r>
  <r>
    <x v="1"/>
    <s v="HOTEL LA RUPE"/>
    <s v="via Meta 76"/>
    <x v="61"/>
    <s v="BORGO PACE"/>
    <m/>
    <s v="elisa@emtur.it"/>
    <s v="HOTEL LA RUPE - BORGO PACE"/>
  </r>
  <r>
    <x v="1"/>
    <s v="HOTEL LA TORRE"/>
    <s v="via montecarottese 4"/>
    <x v="160"/>
    <s v="MAIOLATI SPONTINI"/>
    <s v="www.hotelristorantelatorre.com"/>
    <s v="info@hotelristorantelatorre.com"/>
    <s v="HOTEL LA TORRE - MAIOLATI SPONTINI"/>
  </r>
  <r>
    <x v="1"/>
    <s v="HOTEL LANTERNA"/>
    <s v="via XX Settembre 242"/>
    <x v="47"/>
    <s v="PORTO SAN GIORGIO"/>
    <s v="www.lanternahotel.it"/>
    <s v="info@lanternahotel.it"/>
    <s v="HOTEL LANTERNA - PORTO SAN GIORGIO"/>
  </r>
  <r>
    <x v="1"/>
    <s v="HOTEL LAURI"/>
    <s v="via Tommaso Lauri 6"/>
    <x v="0"/>
    <s v="Macerata"/>
    <s v="www.hotellauri.it"/>
    <s v="info@hotellauri.it"/>
    <s v="HOTEL LAURI - MACERATA"/>
  </r>
  <r>
    <x v="1"/>
    <s v="HOTEL LE MUSE"/>
    <s v="via Cavour 106"/>
    <x v="21"/>
    <m/>
    <m/>
    <s v="info@hotellemusefabriano.it"/>
    <s v="HOTEL LE MUSE - FABRIANO"/>
  </r>
  <r>
    <x v="1"/>
    <s v="HOTEL LE SOLEIL"/>
    <s v="via Alessandro Volta 119"/>
    <x v="12"/>
    <s v="SAN BENEDETTO DEL TRONTO"/>
    <s v="www.lesoleil.it"/>
    <s v="rb@insinet.it"/>
    <s v="HOTEL LE SOLEIL - SAN BENEDETTO DEL TRONTO"/>
  </r>
  <r>
    <x v="3"/>
    <s v="HOTEL LEONE"/>
    <s v="via Vittorio Emanuelel II  60"/>
    <x v="54"/>
    <m/>
    <s v="www.hotelleonemarche.com"/>
    <s v="info@hotelleone.it"/>
    <s v="HOTEL LEONE - MONTELPARO"/>
  </r>
  <r>
    <x v="1"/>
    <s v="HOTEL LIDIA"/>
    <s v="via edmondo de amicis 28"/>
    <x v="28"/>
    <s v="GABICCE MARE"/>
    <s v="www.hotellidiagabiccemare.com"/>
    <s v="info@hotellidiagabiccemare.com"/>
    <s v="HOTEL LIDIA - GABICCE MARE"/>
  </r>
  <r>
    <x v="1"/>
    <s v="HOTEL LIDO"/>
    <s v="via lungomare Fermano 104"/>
    <x v="37"/>
    <s v="FERMO"/>
    <m/>
    <s v="stefan130577@yahoo.it"/>
    <s v="HOTEL LIDO - FERMO"/>
  </r>
  <r>
    <x v="4"/>
    <s v="HOTEL LIDO - BIG FISCH"/>
    <s v="via lungomare fermano 1 1"/>
    <x v="37"/>
    <s v="PORTO SAN GIORGIO"/>
    <m/>
    <m/>
    <s v="HOTEL LIDO - BIG FISCH - FERMO"/>
  </r>
  <r>
    <x v="1"/>
    <s v="HOTEL LORI"/>
    <s v="lungomare Italia 28"/>
    <x v="16"/>
    <s v="MARZOCCA"/>
    <s v="www.hotellori.com"/>
    <s v="hotellori@gmail.com"/>
    <s v="HOTEL LORI - SENIGALLIA"/>
  </r>
  <r>
    <x v="1"/>
    <s v="HOTEL LOSANNA"/>
    <s v="piazza giardini unita' d' italia 7"/>
    <x v="28"/>
    <s v="GABICCE MARE"/>
    <s v="www.hotellosanna.info"/>
    <s v="info@hotellosanna.info"/>
    <s v="HOTEL LOSANNA - GABICCE MARE"/>
  </r>
  <r>
    <x v="1"/>
    <s v="HOTEL LUX"/>
    <s v="via Ariosto 8"/>
    <x v="28"/>
    <m/>
    <s v="www.hotelluxgabicce.it"/>
    <s v="info@hotelluxgabicce.it"/>
    <s v="HOTEL LUX - GABICCE MARE"/>
  </r>
  <r>
    <x v="1"/>
    <s v="HOTEL MADISON"/>
    <m/>
    <x v="12"/>
    <s v="SAN BENEDETTO DEL TRONTO"/>
    <s v="www.hotelmadison.it"/>
    <s v="info@hotelmadison.it"/>
    <s v="HOTEL MADISON - SAN BENEDETTO DEL TRONTO"/>
  </r>
  <r>
    <x v="1"/>
    <s v="HOTEL MAJESTIC"/>
    <s v="viale Trieste 80"/>
    <x v="69"/>
    <s v="PESARO"/>
    <s v="www.hotelmajesticpesaro.com"/>
    <s v="info@hotelmajesticpesaro.com"/>
    <s v="HOTEL MAJESTIC - PESARO"/>
  </r>
  <r>
    <x v="4"/>
    <s v="HOTEL MAJESTIC DI URBANI GRAZIA - BAGNI N° 91"/>
    <s v="lungomare alighieri 124 124"/>
    <x v="16"/>
    <s v="SENIGALLIA"/>
    <s v="info@hmajestic.com"/>
    <s v="www.hmajestic.com"/>
    <s v="HOTEL MAJESTIC DI URBANI GRAZIA - BAGNI N° 91 - SENIGALLIA"/>
  </r>
  <r>
    <x v="1"/>
    <s v="HOTEL MAMIANI"/>
    <s v="via Errigo Bernini 6"/>
    <x v="1"/>
    <s v="URBINO"/>
    <s v="www.hotelmamiani.it"/>
    <s v="info@hotelmamiani.it"/>
    <s v="HOTEL MAMIANI - URBINO"/>
  </r>
  <r>
    <x v="1"/>
    <s v="HOTEL MARCELLI"/>
    <s v="via Litoranea 65"/>
    <x v="9"/>
    <s v="NUMANA"/>
    <m/>
    <s v="info@hotelmarcelli.it"/>
    <s v="HOTEL MARCELLI - NUMANA"/>
  </r>
  <r>
    <x v="4"/>
    <s v="HOTEL MARCELLI"/>
    <s v="via litoranea 65 65"/>
    <x v="9"/>
    <s v="MARCELLI"/>
    <s v="info@hotelmarcelli.it"/>
    <m/>
    <s v="HOTEL MARCELLI - NUMANA"/>
  </r>
  <r>
    <x v="1"/>
    <s v="HOTEL MARCHE"/>
    <s v="via Kennedy 34"/>
    <x v="151"/>
    <s v="ASCOLI PICENO"/>
    <m/>
    <s v="hotelmarche.ap@virgilio.it"/>
    <s v="HOTEL MARCHE - ASCOLI PICENO"/>
  </r>
  <r>
    <x v="1"/>
    <s v="HOTEL MARCONI"/>
    <s v="via c. maffei 114"/>
    <x v="12"/>
    <s v="SAN BENEDETTO DEL TRONTO"/>
    <s v="www.hotel-marconi.it"/>
    <s v="marconi@hotel-marconi.it"/>
    <s v="HOTEL MARCONI - SAN BENEDETTO DEL TRONTO"/>
  </r>
  <r>
    <x v="1"/>
    <s v="HOTEL MARE"/>
    <s v="viale Trieste 371"/>
    <x v="69"/>
    <s v="PESARO"/>
    <s v="www.marepesaro.it"/>
    <s v="info@marepesaro.it"/>
    <s v="HOTEL MARE - PESARO"/>
  </r>
  <r>
    <x v="4"/>
    <s v="HOTEL MAREBLU' - BAGNI N° 31"/>
    <s v="lungomare mameli 50 50"/>
    <x v="16"/>
    <s v="SENIGALLIA"/>
    <m/>
    <m/>
    <s v="HOTEL MAREBLU' - BAGNI N° 31 - SENIGALLIA"/>
  </r>
  <r>
    <x v="1"/>
    <s v="HOTEL MARIANI"/>
    <s v="via dell' Orfanotrofio 10"/>
    <x v="4"/>
    <s v="JESI"/>
    <s v="www.hotelmariani.com"/>
    <s v="direzione@hotelmariani.com"/>
    <s v="HOTEL MARIANI - JESI"/>
  </r>
  <r>
    <x v="1"/>
    <s v="HOTEL MARINA"/>
    <s v="viale Adriatico 15"/>
    <x v="33"/>
    <s v="FANO"/>
    <s v="www.hotelmarinafano.it"/>
    <s v="info@hotelmarinafano.it"/>
    <s v="HOTEL MARINA - FANO"/>
  </r>
  <r>
    <x v="1"/>
    <s v="HOTEL MASSI"/>
    <s v="via Aristide Merloni 8"/>
    <x v="145"/>
    <s v="MATELICA"/>
    <m/>
    <m/>
    <s v="HOTEL MASSI - MATELICA"/>
  </r>
  <r>
    <x v="1"/>
    <s v="HOTEL MASTAI"/>
    <s v="via Abbagnano 12"/>
    <x v="16"/>
    <m/>
    <s v="www.hotelmastaisenigallia.it"/>
    <s v="info@hotelmastai.it"/>
    <s v="HOTEL MASTAI - SENIGALLIA"/>
  </r>
  <r>
    <x v="1"/>
    <s v="HOTEL MEUBLE' LA PLAYA"/>
    <s v="via Cola di Rienzo 25"/>
    <x v="12"/>
    <s v="SAN BENEDETTO DEL TRONTO"/>
    <s v="http://web.tiscali.it/hotel.laplaya"/>
    <s v="meuble.playa@tiscali.it"/>
    <s v="HOTEL MEUBLE' LA PLAYA - SAN BENEDETTO DEL TRONTO"/>
  </r>
  <r>
    <x v="1"/>
    <s v="HOTEL MEUBLE' LE CAVE"/>
    <s v="via monte conero 2"/>
    <x v="8"/>
    <s v="SIROLO"/>
    <m/>
    <s v="info@le-cave.it"/>
    <s v="HOTEL MEUBLE' LE CAVE - SIROLO"/>
  </r>
  <r>
    <x v="1"/>
    <s v="HOTEL MIMOSA"/>
    <s v="via Ischia 115"/>
    <x v="9"/>
    <s v="NUMANA"/>
    <m/>
    <s v="hotelmimosamarcelli@gmail.com"/>
    <s v="HOTEL MIMOSA - NUMANA"/>
  </r>
  <r>
    <x v="1"/>
    <s v="HOTEL MIRO'"/>
    <s v="piazzale cesare battisti 12"/>
    <x v="121"/>
    <s v="APIRO"/>
    <s v="www.miro-hotel.it"/>
    <s v="info@miro-hotel.it"/>
    <s v="HOTEL MIRO' - APIRO"/>
  </r>
  <r>
    <x v="1"/>
    <s v="HOTEL MONTECONERO"/>
    <s v="via Monteconero 26"/>
    <x v="8"/>
    <s v="SIROLO"/>
    <s v="www.hotelmonteconero.it"/>
    <s v="info@hotelmonteconero.it"/>
    <s v="HOTEL MONTECONERO - SIROLO"/>
  </r>
  <r>
    <x v="1"/>
    <s v="HOTEL MONTI AZZURRI"/>
    <s v="via Roma 25"/>
    <x v="153"/>
    <s v="MONTEMONACO"/>
    <s v="www.hotelmontiazzurri.com"/>
    <s v="info@hotelmontiazzurri.com"/>
    <s v="HOTEL MONTI AZZURRI - MONTEMONACO"/>
  </r>
  <r>
    <x v="1"/>
    <s v="HOTEL NAPOLEON"/>
    <s v="viale fiume 118"/>
    <x v="69"/>
    <s v="PESARO"/>
    <s v="www.hotelnapoleonpesaro.it"/>
    <s v="info@hotelnapoleonpesaro.it"/>
    <s v="HOTEL NAPOLEON - PESARO"/>
  </r>
  <r>
    <x v="1"/>
    <s v="HOTEL NETTUNO"/>
    <s v="viale trieste 367"/>
    <x v="69"/>
    <s v="PESARO"/>
    <s v="www.hotelnettunopesaro.it"/>
    <s v="info@hotelnettunopesaro.it"/>
    <s v="HOTEL NETTUNO - PESARO"/>
  </r>
  <r>
    <x v="1"/>
    <s v="HOTEL NETTUNO"/>
    <s v="viale della vittoria 239"/>
    <x v="47"/>
    <s v="PORTO SAN GIORGIO"/>
    <s v="www.hotelnettuno.eu"/>
    <s v="info@hotelnettuno.eu"/>
    <s v="HOTEL NETTUNO - PORTO SAN GIORGIO"/>
  </r>
  <r>
    <x v="1"/>
    <s v="HOTEL NORD EST"/>
    <s v="via Vittorio Veneto 71"/>
    <x v="28"/>
    <s v="GABICCE MARE"/>
    <s v="www.nordesthotel.com"/>
    <s v="info@nordesthotel.com"/>
    <s v="HOTEL NORD EST - GABICCE MARE"/>
  </r>
  <r>
    <x v="1"/>
    <s v="HOTEL NUMANA PALACE"/>
    <s v="Via Litoranea 10"/>
    <x v="9"/>
    <s v="NUMANA"/>
    <s v="www.hotelnumanapalace.com"/>
    <s v="hotelnumanapalace@fastnet.it"/>
    <s v="HOTEL NUMANA PALACE - NUMANA"/>
  </r>
  <r>
    <x v="4"/>
    <s v="HOTEL NUMANA PALACE"/>
    <s v="via litoranea 10 10"/>
    <x v="9"/>
    <s v="NUMANA"/>
    <s v="hotelnumanapalace@fastnet.it"/>
    <s v="www.HOTELNUMANAPALACE.COM"/>
    <s v="HOTEL NUMANA PALACE - NUMANA"/>
  </r>
  <r>
    <x v="1"/>
    <s v="HOTEL NUOVO DIANA"/>
    <s v="lungomare Leonardo da Vinci 81"/>
    <x v="16"/>
    <s v="SENIGALLIA"/>
    <m/>
    <s v="hotelnuovodiana@adriatic-sea.com"/>
    <s v="HOTEL NUOVO DIANA - SENIGALLIA"/>
  </r>
  <r>
    <x v="1"/>
    <s v="HOTEL PALACE"/>
    <s v="corso Umberto I 1"/>
    <x v="17"/>
    <s v="CIVITANOVA MARCHE"/>
    <s v="www.royalre.it"/>
    <s v="palace@royalre.it"/>
    <s v="HOTEL PALACE - CIVITANOVA MARCHE"/>
  </r>
  <r>
    <x v="1"/>
    <s v="HOTEL PALAZZO GUIDEROCCHI"/>
    <s v="via Cesare Battisti 3"/>
    <x v="151"/>
    <s v="ASCOLI PICENO"/>
    <s v="www.palazzoguiderocchi.com"/>
    <s v="info@palazzoguiderocchi.com"/>
    <s v="HOTEL PALAZZO GUIDEROCCHI - ASCOLI PICENO"/>
  </r>
  <r>
    <x v="1"/>
    <s v="HOTEL PARADISO"/>
    <s v="via Abruzzi 7"/>
    <x v="16"/>
    <s v="SENIGALLIA"/>
    <s v="www.hotelparadisosenigallia.it"/>
    <s v="info@hotelparadisosenigallia.it"/>
    <s v="HOTEL PARADISO - SENIGALLIA"/>
  </r>
  <r>
    <x v="1"/>
    <s v="HOTEL PARADISO"/>
    <s v="Piazza Umberto I 7"/>
    <x v="62"/>
    <s v="AMANDOLA"/>
    <s v="sibillinihotels.it"/>
    <s v="hparadiso@inwind.it"/>
    <s v="HOTEL PARADISO - AMANDOLA"/>
  </r>
  <r>
    <x v="1"/>
    <s v="HOTEL PARCO"/>
    <s v="via G. Donizetti 2"/>
    <x v="169"/>
    <s v="CASTELFIDARDO"/>
    <s v="www.hotelparco.net"/>
    <s v="info@hotelparco.net"/>
    <s v="HOTEL PARCO - CASTELFIDARDO"/>
  </r>
  <r>
    <x v="1"/>
    <s v="HOTEL PARCO DEI PRINCIPI"/>
    <s v="lungomare Alcide de Gasperi 90"/>
    <x v="5"/>
    <s v="GROTTAMMARE"/>
    <s v="www.hotelparcodeiprincipi.it"/>
    <s v="htlparcodeiprincipi@tiscalinet.it"/>
    <s v="HOTEL PARCO DEI PRINCIPI - GROTTAMMARE"/>
  </r>
  <r>
    <x v="1"/>
    <s v="HOTEL PELLEGRINO E PACE"/>
    <s v="PIAZZA DELLA MADONNA 51/52"/>
    <x v="15"/>
    <s v="LORETO"/>
    <s v="www.pellegrinoepace.com"/>
    <s v="info@pellegrinoepace.com"/>
    <s v="HOTEL PELLEGRINO E PACE - LORETO"/>
  </r>
  <r>
    <x v="1"/>
    <s v="HOTEL PENNILE"/>
    <s v="via Gaetano Spalvieri 13/a"/>
    <x v="151"/>
    <s v="ASCOLI PICENO"/>
    <s v="www.hotelpennile.it"/>
    <s v="info@hotelpennile.it"/>
    <s v="HOTEL PENNILE - ASCOLI PICENO"/>
  </r>
  <r>
    <x v="1"/>
    <s v="HOTEL PHILOSOPHY"/>
    <s v="via Nino Bixio 1"/>
    <x v="150"/>
    <s v="MONSAMPOLO DEL TRONTO"/>
    <s v="www.albergophilosophy.com"/>
    <s v="hotelphilosophy@gmail.com"/>
    <s v="HOTEL PHILOSOPHY - MONSAMPOLO DEL TRONTO"/>
  </r>
  <r>
    <x v="1"/>
    <s v="HOTEL PINETA"/>
    <s v="viale della Vittoria 15"/>
    <x v="75"/>
    <s v="CAGLI"/>
    <m/>
    <s v="info@hpineta.com"/>
    <s v="HOTEL PINETA - CAGLI"/>
  </r>
  <r>
    <x v="1"/>
    <s v="HOTEL PINETA"/>
    <s v="viale Trieste 191"/>
    <x v="163"/>
    <s v="lungomare Nord"/>
    <s v="www.hotelpinetapse.it"/>
    <s v="info@hotelpinetapse.it"/>
    <s v="HOTEL PINETA - PORTO SANT'ELPIDIO"/>
  </r>
  <r>
    <x v="4"/>
    <s v="HOTEL PLAYA PRINCIPE"/>
    <s v="via buonincontri 1 1"/>
    <x v="33"/>
    <s v="FANO"/>
    <m/>
    <m/>
    <s v="HOTEL PLAYA PRINCIPE - FANO"/>
  </r>
  <r>
    <x v="1"/>
    <s v="HOTEL PRESIDENT'S"/>
    <s v="lungomare N. Sauro 33"/>
    <x v="69"/>
    <m/>
    <m/>
    <s v="info@hotelpresidents.it"/>
    <s v="HOTEL PRESIDENT'S - PESARO"/>
  </r>
  <r>
    <x v="1"/>
    <s v="HOTEL PRESTIGE"/>
    <s v="via Cappellini 94"/>
    <x v="33"/>
    <s v="Torrette di Fano"/>
    <s v="www.hprestige.it"/>
    <s v="info@hprestige.it"/>
    <s v="HOTEL PRESTIGE - FANO"/>
  </r>
  <r>
    <x v="1"/>
    <s v="HOTEL PROMENADE"/>
    <s v="viale Trieste 115"/>
    <x v="69"/>
    <s v="PESARO"/>
    <s v="www.hotelpromenade.pu.it"/>
    <s v="info@hotelpromenade.pu.it"/>
    <s v="HOTEL PROMENADE - PESARO"/>
  </r>
  <r>
    <x v="1"/>
    <s v="HOTEL RECINA"/>
    <s v="Loc. Valle Cascia 40"/>
    <x v="109"/>
    <s v="Loc. Valle Cascia n. 40"/>
    <s v="www.recinahotel.it"/>
    <s v="info@recinahotel.it"/>
    <s v="HOTEL RECINA - MONTECASSIANO"/>
  </r>
  <r>
    <x v="2"/>
    <s v="HOTEL RESIDENCE CHARLY"/>
    <s v="via Nazionale 78"/>
    <x v="37"/>
    <s v="FERMO"/>
    <s v="www.hotelresidencecharly.it"/>
    <s v="info@hotelresidencecharly.it"/>
    <s v="HOTEL RESIDENCE CHARLY - FERMO"/>
  </r>
  <r>
    <x v="1"/>
    <s v="HOTEL RESIDENZA CENTO TORRI"/>
    <s v="via Costanzo Mazzoni 4"/>
    <x v="151"/>
    <s v="ASCOLI PICENO"/>
    <s v="www.centotorri.com"/>
    <s v="info@centotorri.com"/>
    <s v="HOTEL RESIDENZA CENTO TORRI - ASCOLI PICENO"/>
  </r>
  <r>
    <x v="1"/>
    <s v="HOTEL RISTORANTE AI PINI"/>
    <s v="via Filippo Corridoni 101"/>
    <x v="11"/>
    <s v="SARNANO"/>
    <m/>
    <m/>
    <s v="HOTEL RISTORANTE AI PINI - SARNANO"/>
  </r>
  <r>
    <x v="1"/>
    <s v="HOTEL RISTORANTE AMBRO"/>
    <m/>
    <x v="45"/>
    <s v="loc. Ambro"/>
    <m/>
    <s v="cristiano85.bocci@tiscali.it"/>
    <s v="HOTEL RISTORANTE AMBRO - MONTEFORTINO"/>
  </r>
  <r>
    <x v="1"/>
    <s v="HOTEL RISTORANTE CONCHIGLIA VERDE"/>
    <s v="via Giovanni XXIII 12"/>
    <x v="8"/>
    <s v="SIROLO"/>
    <s v="www.conchigliaverde.it"/>
    <s v="info@conchigliaverde.it"/>
    <s v="HOTEL RISTORANTE CONCHIGLIA VERDE - SIROLO"/>
  </r>
  <r>
    <x v="1"/>
    <s v="HOTEL RISTORANTE ELENA"/>
    <s v="via g. rosi 14"/>
    <x v="49"/>
    <s v="VISSO"/>
    <s v="www.hotelristorantelena.com"/>
    <s v="info@hotelristorantelena"/>
    <s v="HOTEL RISTORANTE ELENA - VISSO"/>
  </r>
  <r>
    <x v="1"/>
    <s v="HOTEL RISTORANTE GIARDINO"/>
    <s v="via Enrico Mattei 4"/>
    <x v="64"/>
    <s v="SAN LORENZO IN CAMPO"/>
    <s v="www.hotelgiardino.it"/>
    <s v="info@hotelgiardino.it"/>
    <s v="HOTEL RISTORANTE GIARDINO - SAN LORENZO IN CAMPO"/>
  </r>
  <r>
    <x v="1"/>
    <s v="HOTEL RISTORANTE I TIGLI"/>
    <s v="via del teatro 31"/>
    <x v="60"/>
    <s v="CORINALDO"/>
    <s v="www.corinaldoalbergodiffuso.it"/>
    <s v="cantinalangelina@libero.it"/>
    <s v="HOTEL RISTORANTE I TIGLI - CORINALDO"/>
  </r>
  <r>
    <x v="3"/>
    <s v="HOTEL RISTORANTE IL CAMINETTO"/>
    <s v="via Cimarosa 8"/>
    <x v="47"/>
    <s v="PORTO SAN GIORGIO"/>
    <s v="www.hotelcaminetto.it"/>
    <s v="info@hotelcaminetto.it"/>
    <s v="HOTEL RISTORANTE IL CAMINETTO - PORTO SAN GIORGIO"/>
  </r>
  <r>
    <x v="1"/>
    <s v="HOTEL RISTORANTE IL GAMBERO"/>
    <s v="via Mazzini 1"/>
    <x v="163"/>
    <s v="PORTO SANT' ELPIDIO"/>
    <s v="www.hotelilgambero.it"/>
    <s v="info@hotelilgambero.it"/>
    <s v="HOTEL RISTORANTE IL GAMBERO - PORTO SANT'ELPIDIO"/>
  </r>
  <r>
    <x v="1"/>
    <s v="HOTEL RISTORANTE IL GRILLO"/>
    <s v="contrada colle in su 29"/>
    <x v="19"/>
    <s v="ACQUAVIVA PICENA"/>
    <s v="www.hotelilgrillo.it"/>
    <s v="info@hotelilgrillo.it"/>
    <s v="HOTEL RISTORANTE IL GRILLO - ACQUAVIVA PICENA"/>
  </r>
  <r>
    <x v="1"/>
    <s v="HOTEL RISTORANTE IL PASSO"/>
    <s v="via salaria 96"/>
    <x v="35"/>
    <s v="ACQUASANTA TERME"/>
    <s v="www.hotelilpasso.it"/>
    <s v="scrivimi@hotelilpasso.it"/>
    <s v="HOTEL RISTORANTE IL PASSO - ACQUASANTA TERME"/>
  </r>
  <r>
    <x v="1"/>
    <s v="HOTEL RISTORANTE LA FORESTERIA"/>
    <s v="contrada Abbadia di Fiastra  11"/>
    <x v="6"/>
    <s v="ABBADIA DI FIASTRA - TOLENTINO"/>
    <s v="www.laforesteria.it"/>
    <s v="info@laforesteria.it"/>
    <s v="HOTEL RISTORANTE LA FORESTERIA - TOLENTINO"/>
  </r>
  <r>
    <x v="1"/>
    <s v="HOTEL RISTORANTE LE GROTTE"/>
    <s v="loc. Pontebovesecco 14"/>
    <x v="112"/>
    <s v="loc. Pontebovesecco"/>
    <s v="www.hotellegrotte.it"/>
    <s v="info@hotellegrotte.it"/>
    <s v="HOTEL RISTORANTE LE GROTTE - GENGA"/>
  </r>
  <r>
    <x v="1"/>
    <s v="HOTEL RISTORANTE MIRACONERO"/>
    <s v="via Scossicci 16"/>
    <x v="23"/>
    <s v="PORTO RECANATI"/>
    <s v="www.miraconero.it"/>
    <s v="miraconero@alice.it"/>
    <s v="HOTEL RISTORANTE MIRACONERO - PORTO RECANATI"/>
  </r>
  <r>
    <x v="1"/>
    <s v="HOTEL RISTORANTE MONASTERO  VALLEDACQUA"/>
    <s v="Localita' Valledacqua 18"/>
    <x v="35"/>
    <s v="ACQUASANTA TERME"/>
    <s v="www.hotelmonasterovalledacqua.it"/>
    <s v="info@hotelmonasterovalledacqua.it"/>
    <s v="HOTEL RISTORANTE MONASTERO  VALLEDACQUA - ACQUASANTA TERME"/>
  </r>
  <r>
    <x v="1"/>
    <s v="HOTEL RISTORANTE MORETTI DANTE"/>
    <s v="via Fermi 4"/>
    <x v="99"/>
    <s v="MONTELUPONE"/>
    <s v="www.hotelmoretti.it"/>
    <s v="info@hotelmoretti.it"/>
    <s v="HOTEL RISTORANTE MORETTI DANTE - MONTELUPONE"/>
  </r>
  <r>
    <x v="1"/>
    <s v="HOTEL RISTORANTE O'VIV"/>
    <s v="via Marziale 43"/>
    <x v="19"/>
    <m/>
    <m/>
    <s v="oviv.acquavivapicena@gmail.com"/>
    <s v="HOTEL RISTORANTE O'VIV - ACQUAVIVA PICENA"/>
  </r>
  <r>
    <x v="1"/>
    <s v="HOTEL RISTORANTE PINETA"/>
    <s v="località Campodonico di Fabriano 102"/>
    <x v="21"/>
    <s v="Fabriano"/>
    <s v="www.pinetahotel.com"/>
    <s v="info@pinetahotel.com"/>
    <s v="HOTEL RISTORANTE PINETA - FABRIANO"/>
  </r>
  <r>
    <x v="1"/>
    <s v="HOTEL RISTORANTE PIZZERIA CHIAR DI LUNA"/>
    <s v="via A.Panzini 19"/>
    <x v="16"/>
    <m/>
    <s v="http://ginnoxp.wix.com/chiardiluna"/>
    <s v="solesoridente@gmail.com"/>
    <s v="HOTEL RISTORANTE PIZZERIA CHIAR DI LUNA - SENIGALLIA"/>
  </r>
  <r>
    <x v="1"/>
    <s v="HOTEL RISTORANTE TERME SAN VITTORE"/>
    <s v="frazione San Vittore 8"/>
    <x v="112"/>
    <m/>
    <s v="www.hoteltermesanvittore.com"/>
    <s v="hoteltermesanvittore@gmail.com"/>
    <s v="HOTEL RISTORANTE TERME SAN VITTORE - GENGA"/>
  </r>
  <r>
    <x v="1"/>
    <s v="HOTEL RISTORANTE TRE LANTERNE"/>
    <s v="frazione cagnano 1"/>
    <x v="35"/>
    <s v="ACQUASANTA TERME"/>
    <m/>
    <s v="info@trelanterne.it"/>
    <s v="HOTEL RISTORANTE TRE LANTERNE - ACQUASANTA TERME"/>
  </r>
  <r>
    <x v="1"/>
    <s v="HOTEL RISTORANTE VILLA FANINI"/>
    <s v="via G. Sacconi 52"/>
    <x v="217"/>
    <s v="MALTIGNANO"/>
    <m/>
    <s v="info@villafanini.it"/>
    <s v="HOTEL RISTORANTE VILLA FANINI - MALTIGNANO"/>
  </r>
  <r>
    <x v="1"/>
    <s v="HOTEL RISTORANTE VILLA SGARIGLIA"/>
    <s v="frazione Piagge 395"/>
    <x v="151"/>
    <s v="ASCOLI PICENO"/>
    <s v="www.villasgariglia.it"/>
    <s v="info@villasgariglia.it"/>
    <s v="HOTEL RISTORANTE VILLA SGARIGLIA - ASCOLI PICENO"/>
  </r>
  <r>
    <x v="1"/>
    <s v="HOTEL RITZ"/>
    <s v="lungomare Alighieri 142"/>
    <x v="16"/>
    <s v="SENIGALLIA"/>
    <s v="www.hritz.it"/>
    <s v="info@hritz.it"/>
    <s v="HOTEL RITZ - SENIGALLIA"/>
  </r>
  <r>
    <x v="4"/>
    <s v="HOTEL RITZ - BAGNI N° 95"/>
    <m/>
    <x v="16"/>
    <s v="SENIGALLIA"/>
    <m/>
    <m/>
    <s v="HOTEL RITZ - BAGNI N° 95 - SENIGALLIA"/>
  </r>
  <r>
    <x v="1"/>
    <s v="HOTEL ROSA MEUBLE'"/>
    <s v="lungomare Gramsci 177"/>
    <x v="47"/>
    <s v="PORTO SAN GIORGIO"/>
    <s v="http://www.rosameuble.it"/>
    <s v="info@rosameuble.it"/>
    <s v="HOTEL ROSA MEUBLE' - PORTO SAN GIORGIO"/>
  </r>
  <r>
    <x v="1"/>
    <s v="HOTEL ROSSINI"/>
    <s v="viale Guglielmo Marconi 44"/>
    <x v="69"/>
    <s v="PESARO"/>
    <s v="www.hotelrossini.it"/>
    <s v="info@hotelrossini.it"/>
    <s v="HOTEL ROSSINI - PESARO"/>
  </r>
  <r>
    <x v="1"/>
    <s v="HOTEL ROYAL"/>
    <s v="lungomare alighieri 146"/>
    <x v="16"/>
    <s v="SENIGALLIA"/>
    <s v="www.hotelroyalsenigallia.it"/>
    <s v="info@hotelroyalsenigallia.it"/>
    <s v="HOTEL ROYAL - SENIGALLIA"/>
  </r>
  <r>
    <x v="1"/>
    <s v="HOTEL ROYAL"/>
    <s v="viale enea silvio piccolomini 3"/>
    <x v="37"/>
    <s v="FERMO"/>
    <s v="www.royalre.it"/>
    <s v="royal@royalre.it"/>
    <s v="HOTEL ROYAL - FERMO"/>
  </r>
  <r>
    <x v="4"/>
    <s v="HOTEL RUHIG DI CILINA MARE SRL"/>
    <s v="via faa' di bruno 165 165"/>
    <x v="33"/>
    <s v="FANO"/>
    <s v="info@hotelruhig.com"/>
    <s v="www.hotelruhig.com"/>
    <s v="HOTEL RUHIG DI CILINA MARE SRL - FANO"/>
  </r>
  <r>
    <x v="1"/>
    <s v="HOTEL SABRA"/>
    <s v="via Puglie 4"/>
    <x v="16"/>
    <s v="SENIGALLIA"/>
    <s v="www.hotelsabra.it"/>
    <s v="info@hotelsabra.it"/>
    <s v="HOTEL SABRA - SENIGALLIA"/>
  </r>
  <r>
    <x v="1"/>
    <s v="HOTEL SAN CLAUDIO"/>
    <s v="contrada San Claudio 14"/>
    <x v="172"/>
    <s v="CORRIDONIA"/>
    <s v="www.hotelsanclaudio.it"/>
    <s v="info@hotelsanclaudio.it"/>
    <s v="HOTEL SAN CLAUDIO - CORRIDONIA"/>
  </r>
  <r>
    <x v="1"/>
    <s v="HOTEL SAN CRISPINO"/>
    <s v="via Dante Alighieri 222"/>
    <x v="141"/>
    <s v="MORROVALLE"/>
    <s v="www.hotelsancrispino.it"/>
    <s v="info@hotelsancrispino.it"/>
    <s v="HOTEL SAN CRISPINO - MORROVALLE"/>
  </r>
  <r>
    <x v="1"/>
    <s v="HOTEL SAN GABRIELE"/>
    <s v="via guglielmo marconi 22"/>
    <x v="15"/>
    <s v="LORETO"/>
    <s v="www.loretohotel.it"/>
    <s v="hotel.sangabriele@libero.it"/>
    <s v="HOTEL SAN GABRIELE - LORETO"/>
  </r>
  <r>
    <x v="1"/>
    <s v="HOTEL SAN MARCO"/>
    <s v="via garibaldi 6"/>
    <x v="194"/>
    <s v="SERVIGLIANO"/>
    <m/>
    <s v="alesiacesetti@alice.it"/>
    <s v="HOTEL SAN MARCO - SERVIGLIANO"/>
  </r>
  <r>
    <x v="1"/>
    <s v="HOTEL SAN MICHELE"/>
    <s v="via Amaducci 51"/>
    <x v="174"/>
    <s v="CARPEGNA"/>
    <m/>
    <s v="info@euromtour.it"/>
    <s v="HOTEL SAN MICHELE - CARPEGNA"/>
  </r>
  <r>
    <x v="1"/>
    <s v="HOTEL SANS SOUCI"/>
    <s v="viale Mare 9"/>
    <x v="28"/>
    <s v="GABICCE MARE"/>
    <s v="www.parkhotels.it/sanssouci"/>
    <s v="sanssouci@parkhotels.it"/>
    <s v="HOTEL SANS SOUCI - GABICCE MARE"/>
  </r>
  <r>
    <x v="1"/>
    <s v="HOTEL SAYONARA"/>
    <s v="viale della vittoria 12"/>
    <x v="28"/>
    <s v="GABICCE MARE"/>
    <s v="www.sayonarahotel.com"/>
    <s v="info@sayonarahotel.com"/>
    <s v="HOTEL SAYONARA - GABICCE MARE"/>
  </r>
  <r>
    <x v="1"/>
    <s v="HOTEL SCOGLIERA"/>
    <s v="via del Golfo 21"/>
    <x v="9"/>
    <s v="NUMANA"/>
    <s v="www.hotelscogliera.com"/>
    <s v="info@hotelscogliera.it"/>
    <s v="HOTEL SCOGLIERA - NUMANA"/>
  </r>
  <r>
    <x v="1"/>
    <s v="HOTEL SEEPORT"/>
    <s v="via Rupi di XXIX settembre 12"/>
    <x v="10"/>
    <m/>
    <s v="www.seeporthotel.com"/>
    <s v="info@seeporthotel.com"/>
    <s v="HOTEL SEEPORT - ANCONA"/>
  </r>
  <r>
    <x v="1"/>
    <s v="HOTEL SETTE COLLI"/>
    <s v="via gemme 1"/>
    <x v="36"/>
    <s v="FILOTTRANO"/>
    <s v="settecolli.it"/>
    <s v="hotel@settecolli.it"/>
    <s v="HOTEL SETTE COLLI - FILOTTRANO"/>
  </r>
  <r>
    <x v="1"/>
    <s v="HOTEL SIROLO"/>
    <s v="via Grilli 26"/>
    <x v="8"/>
    <s v="SIROLO"/>
    <s v="www.hotel-sirolo.eu"/>
    <s v="info@hotel-sirolo.eu"/>
    <s v="HOTEL SIROLO - SIROLO"/>
  </r>
  <r>
    <x v="1"/>
    <s v="HOTEL SOFTWOOD INFINITO"/>
    <s v="via Capodaglio 8"/>
    <x v="56"/>
    <s v="ZONA IND.LE SQUARTABUE"/>
    <s v="hotel_softwood_infinito@alice.it"/>
    <s v="hotel_softwood_infinito@alice.it"/>
    <s v="HOTEL SOFTWOOD INFINITO - RECANATI"/>
  </r>
  <r>
    <x v="4"/>
    <s v="HOTEL SOLARIUM SRL"/>
    <s v="VIALE EUROPA 102 102"/>
    <x v="12"/>
    <m/>
    <s v="info@hotelsolarium.it"/>
    <s v="www.hotelsolarium.it"/>
    <s v="HOTEL SOLARIUM SRL - SAN BENEDETTO DEL TRONTO"/>
  </r>
  <r>
    <x v="1"/>
    <s v="HOTEL SOLE RESORT"/>
    <s v="via Faa' di Bruno 103"/>
    <x v="33"/>
    <s v="FANO"/>
    <s v="www.hotelsole-marotta.it"/>
    <s v="info@hotelsole-marotta.it"/>
    <s v="HOTEL SOLE RESORT - FANO"/>
  </r>
  <r>
    <x v="1"/>
    <s v="HOTEL SORRISO"/>
    <s v="Via Flaminia 109"/>
    <x v="9"/>
    <s v="NUMANA"/>
    <s v="www.hotelsorrisonumana.it"/>
    <s v="info@hotelsorrisonumana.it"/>
    <s v="HOTEL SORRISO - NUMANA"/>
  </r>
  <r>
    <x v="4"/>
    <s v="HOTEL SORRISO"/>
    <m/>
    <x v="9"/>
    <s v="Numana"/>
    <s v="info@hotelsorrisonumana.it"/>
    <s v="www.hotelsorrisonumana.it"/>
    <s v="HOTEL SORRISO - NUMANA"/>
  </r>
  <r>
    <x v="1"/>
    <s v="HOTEL SOUVENIR"/>
    <s v="lungomare leonardo da vinci 21"/>
    <x v="16"/>
    <s v="SENIGALLIA"/>
    <s v="www.hotelsouvenir.it"/>
    <s v="info@hotelsouvenir.it"/>
    <s v="HOTEL SOUVENIR - SENIGALLIA"/>
  </r>
  <r>
    <x v="1"/>
    <s v="HOTEL SPIAGGIA D'ORO"/>
    <s v="via faa' di bruno 1"/>
    <x v="20"/>
    <s v="FANO"/>
    <s v="hotelspiaggiadoromarotta.jimdo.com"/>
    <s v="spiaggiadoromarotta@libero.it"/>
    <s v="HOTEL SPIAGGIA D'ORO - MONDOLFO"/>
  </r>
  <r>
    <x v="1"/>
    <s v="HOTEL SPLENDID"/>
    <s v="via armando diaz 5"/>
    <x v="28"/>
    <s v="GABICCE MARE"/>
    <s v="www.hotelsplendidgabicce.it"/>
    <s v="lucianapiermaria@libero.it"/>
    <s v="HOTEL SPLENDID - GABICCE MARE"/>
  </r>
  <r>
    <x v="1"/>
    <s v="HOTEL STELLA"/>
    <s v="via Giulietti 9"/>
    <x v="8"/>
    <s v="SIROLO"/>
    <s v="www.stellahotel.it"/>
    <s v="info@stellahotel.it"/>
    <s v="HOTEL STELLA - SIROLO"/>
  </r>
  <r>
    <x v="4"/>
    <s v="HOTEL SUNRISE"/>
    <s v="via san giacomo 25 25"/>
    <x v="12"/>
    <s v="SAN BENEDETTO DEL TRONTO"/>
    <s v="mail@hotelsunrise.it"/>
    <s v="www.hotelsunrise.it"/>
    <s v="HOTEL SUNRISE - SAN BENEDETTO DEL TRONTO"/>
  </r>
  <r>
    <x v="1"/>
    <s v="HOTEL TAORMINA"/>
    <s v="via dei Mille 93"/>
    <x v="12"/>
    <s v="SAN BENEDETTO DEL TRONTO"/>
    <s v="www.hoteltaormina.it"/>
    <s v="info@hoteltaormina.it"/>
    <s v="HOTEL TAORMINA - SAN BENEDETTO DEL TRONTO"/>
  </r>
  <r>
    <x v="1"/>
    <s v="HOTEL TERENZIO"/>
    <s v="C.da San Martino 24"/>
    <x v="82"/>
    <s v="CASTIGNANO"/>
    <m/>
    <s v="corradettigiampiero@tiscali.it"/>
    <s v="HOTEL TERENZIO - CASTIGNANO"/>
  </r>
  <r>
    <x v="1"/>
    <s v="HOTEL TERME ALESSANDRA GONZAGA CENTRO BENESSERE SPA"/>
    <s v="circonvallazione 7"/>
    <x v="123"/>
    <s v="MACERATA FELTRIA"/>
    <s v="www.hoteltermealessandragonzaga.it"/>
    <s v="info@hoteltermealessandragonzaga.it"/>
    <s v="HOTEL TERME ALESSANDRA GONZAGA CENTRO BENESSERE SPA - MACERATA FELTRIA"/>
  </r>
  <r>
    <x v="1"/>
    <s v="HOTEL THEA"/>
    <s v="via Vittorio Veneto 7"/>
    <x v="28"/>
    <s v="GABICCE MARE"/>
    <s v="www.hotelthea.it"/>
    <s v="info@hotelthea.it"/>
    <s v="HOTEL THEA - GABICCE MARE"/>
  </r>
  <r>
    <x v="1"/>
    <s v="HOTEL THEA DIPENDENZA"/>
    <s v="via Vittorio Veneto 16"/>
    <x v="28"/>
    <s v="GABICCE MARE"/>
    <s v="www.hotelthea.it"/>
    <s v="info@hotelthea.it"/>
    <s v="HOTEL THEA DIPENDENZA - GABICCE MARE"/>
  </r>
  <r>
    <x v="1"/>
    <s v="HOTEL TORRESI"/>
    <s v="contrada strada regina 60"/>
    <x v="148"/>
    <s v="POTENZA PICENA"/>
    <s v="www.hoteltorresi.it"/>
    <s v="info@hoteltorresi.it"/>
    <s v="HOTEL TORRESI - POTENZA PICENA"/>
  </r>
  <r>
    <x v="3"/>
    <s v="HOTEL TORRESI AFFITTACAMERE"/>
    <s v="via Strada Regina 60"/>
    <x v="148"/>
    <m/>
    <m/>
    <s v="info@hoteltorresi.it"/>
    <s v="HOTEL TORRESI AFFITTACAMERE - POTENZA PICENA"/>
  </r>
  <r>
    <x v="1"/>
    <s v="HOTEL TOURING"/>
    <s v="via degli Spagnoli 18"/>
    <x v="22"/>
    <s v="FALCONARA MARITTIMA"/>
    <s v="www.touringhotel.it"/>
    <s v="info@touringhotel.it"/>
    <s v="HOTEL TOURING - FALCONARA MARITTIMA"/>
  </r>
  <r>
    <x v="1"/>
    <s v="HOTEL TRIESTE"/>
    <s v="via Trieste 27"/>
    <x v="16"/>
    <s v="SENIGALLIA"/>
    <s v="www.hotelpensionetrieste.com"/>
    <s v="info@hotelpensionetrieste.com"/>
    <s v="HOTEL TRIESTE - SENIGALLIA"/>
  </r>
  <r>
    <x v="1"/>
    <s v="HOTEL TRIESTE DIPENDENZA 1"/>
    <s v="via Trieste 25"/>
    <x v="16"/>
    <m/>
    <s v="www.hotelpensionetrieste.com"/>
    <s v="info@hotelpensionetrieste.com"/>
    <s v="HOTEL TRIESTE DIPENDENZA 1 - SENIGALLIA"/>
  </r>
  <r>
    <x v="1"/>
    <s v="HOTEL TRIESTE DIPENDENZA 2"/>
    <s v="via Trieste 29"/>
    <x v="16"/>
    <m/>
    <s v="www.hotelpensionetrieste.com"/>
    <s v="info@hotelpensionetrieste.com"/>
    <s v="HOTEL TRIESTE DIPENDENZA 2 - SENIGALLIA"/>
  </r>
  <r>
    <x v="1"/>
    <s v="HOTEL TRIESTE DIPENDENZA 3"/>
    <s v="via Trieste 32"/>
    <x v="16"/>
    <m/>
    <s v="www.hotelpensionetrieste.com"/>
    <s v="info@hotelpensionetrieste.com"/>
    <s v="HOTEL TRIESTE DIPENDENZA 3 - SENIGALLIA"/>
  </r>
  <r>
    <x v="1"/>
    <s v="HOTEL USSITA"/>
    <s v="piazza dei Cavallari 1"/>
    <x v="201"/>
    <s v="USSITA"/>
    <s v="www.hotelussita.it"/>
    <s v="amministrazione@hotelussita.it"/>
    <s v="HOTEL USSITA - USSITA"/>
  </r>
  <r>
    <x v="4"/>
    <s v="HOTEL VELIA"/>
    <s v="viale alcide de gasperi 20 20"/>
    <x v="5"/>
    <m/>
    <s v="velia@grottammare.it"/>
    <s v="WWW.grottammare.it/velia"/>
    <s v="HOTEL VELIA - GROTTAMMARE"/>
  </r>
  <r>
    <x v="1"/>
    <s v="HOTEL VICTORIA"/>
    <s v="piazza San Vittorino 5"/>
    <x v="48"/>
    <s v="PIORACO"/>
    <m/>
    <m/>
    <s v="HOTEL VICTORIA - PIORACO"/>
  </r>
  <r>
    <x v="1"/>
    <s v="HOTEL VIENNA"/>
    <s v="via rieti 41"/>
    <x v="16"/>
    <s v="SENIGALLIA"/>
    <s v="www.vienna-hotel.it"/>
    <s v="info@vienna-hotel.it"/>
    <s v="HOTEL VIENNA - SENIGALLIA"/>
  </r>
  <r>
    <x v="1"/>
    <s v="HOTEL VILLA DEL MARE"/>
    <s v="via sardegna 4"/>
    <x v="16"/>
    <s v="SENIGALLIA"/>
    <s v="www.villadelmare.it"/>
    <s v="hotel@villadelmare.it"/>
    <s v="HOTEL VILLA DEL MARE - SENIGALLIA"/>
  </r>
  <r>
    <x v="1"/>
    <s v="HOTEL VILLA PICENA"/>
    <s v="via salaria 66"/>
    <x v="59"/>
    <s v="COLLI DEL TRONTO"/>
    <s v="www.villapicena.it"/>
    <s v="info@villapicena.it"/>
    <s v="HOTEL VILLA PICENA - COLLI DEL TRONTO"/>
  </r>
  <r>
    <x v="1"/>
    <s v="HOTEL VILLA PIGNA"/>
    <s v="viale Assisi 33"/>
    <x v="204"/>
    <s v="FOLIGNANO"/>
    <s v="www.hotelvillapigna.it"/>
    <s v="reception@hotelvillapigna.it"/>
    <s v="HOTEL VILLA PIGNA - FOLIGNANO"/>
  </r>
  <r>
    <x v="1"/>
    <s v="HOTEL VILLA QUIETE"/>
    <s v="localita' Valle Cascia 6"/>
    <x v="109"/>
    <s v="MONTECASSIANO"/>
    <s v="www.villaquiete.it"/>
    <s v="info@villaquiete.it"/>
    <s v="HOTEL VILLA QUIETE - MONTECASSIANO"/>
  </r>
  <r>
    <x v="1"/>
    <s v="HOTEL VILLA SGARIGLIA RESORT"/>
    <s v="via Salaria 1"/>
    <x v="151"/>
    <s v="CAMPOLUNGO"/>
    <s v="www.villasgariglia.com"/>
    <s v="info@villasgariglia.com"/>
    <s v="HOTEL VILLA SGARIGLIA RESORT - ASCOLI PICENO"/>
  </r>
  <r>
    <x v="1"/>
    <s v="HOTEL VILLA SIRENA"/>
    <s v="via del Golfo 24"/>
    <x v="9"/>
    <s v="NUMANA"/>
    <m/>
    <s v="info@villasirena.it"/>
    <s v="HOTEL VILLA SIRENA - NUMANA"/>
  </r>
  <r>
    <x v="1"/>
    <s v="HOTEL VILLA SORRISO"/>
    <s v="lungomare Alighieri 98"/>
    <x v="16"/>
    <s v="SENIGALLIA"/>
    <s v="hotelvillasorriso.altervista.org"/>
    <s v="hotelvillasorrisosenigallia@gmail.com"/>
    <s v="HOTEL VILLA SORRISO - SENIGALLIA"/>
  </r>
  <r>
    <x v="1"/>
    <s v="HOTEL WELCOME srl"/>
    <s v="via A. Ponchielli 5"/>
    <x v="12"/>
    <s v="SAN BENEDETTO DEL TRONTO"/>
    <s v="www.hotelwelcome.it"/>
    <s v="info@hotelwelcome.it"/>
    <s v="HOTEL WELCOME srl - SAN BENEDETTO DEL TRONTO"/>
  </r>
  <r>
    <x v="1"/>
    <s v="HOTEL ZAMPILLO"/>
    <s v="via F. Maratta 14"/>
    <x v="12"/>
    <s v="SAN BENEDETTO DEL TRONTO"/>
    <s v="www.hotelzampillo.it"/>
    <s v="direzione@hotelzampillo.it"/>
    <s v="HOTEL ZAMPILLO - SAN BENEDETTO DEL TRONTO"/>
  </r>
  <r>
    <x v="8"/>
    <s v="HOUSE ZII RENTAL"/>
    <s v="via San Giacomo 38"/>
    <x v="117"/>
    <s v="MONTE SAN GIUSTO"/>
    <s v="www.countrygiusto.com"/>
    <s v="info@countrygiusto.com"/>
    <s v="HOUSE ZII RENTAL - MONTE SAN GIUSTO"/>
  </r>
  <r>
    <x v="7"/>
    <s v="HUNTERS LODCE"/>
    <s v="c.da Scarchi 16"/>
    <x v="128"/>
    <s v="2 km al di fuori Gualdo sulla strada che conduce alla SS78"/>
    <s v="www.hunters-lodge.org"/>
    <s v="kentreves@tiscali.it"/>
    <s v="HUNTERS LODCE - GUALDO"/>
  </r>
  <r>
    <x v="0"/>
    <s v="I CALANCHI AGRITURISMO"/>
    <s v="STRADA PROVINCIALE PER BORGO MASSANO 5"/>
    <x v="77"/>
    <m/>
    <s v="www.icalanchiagriturismo.com"/>
    <s v="info@icalanchiagriturismo.com"/>
    <s v="I CALANCHI AGRITURISMO - MONTECALVO IN FOGLIA"/>
  </r>
  <r>
    <x v="0"/>
    <s v="I CASTAGNI DELLA PIANELLA"/>
    <s v="loc. Pianella sn"/>
    <x v="230"/>
    <s v="loc. La Pianella"/>
    <m/>
    <s v="manenti.stefano@tiscali.it"/>
    <s v="I CASTAGNI DELLA PIANELLA - LUNANO"/>
  </r>
  <r>
    <x v="0"/>
    <s v="I CIGNI"/>
    <s v="c.da San Giovanni 1"/>
    <x v="120"/>
    <s v="MONTEFIORE DELL' ASO"/>
    <s v="www.agriturismoicigni.it"/>
    <s v="info@agriturismoicigni.it"/>
    <s v="I CIGNI - MONTEFIORE DELL'ASO"/>
  </r>
  <r>
    <x v="0"/>
    <s v="I CILIEGI DEL CHECCO"/>
    <s v="via Serra 71"/>
    <x v="193"/>
    <s v="SAN MARCELLO"/>
    <s v="www.iciliegidelchecco.com"/>
    <s v="iciliegidelchecco@virgilio.it"/>
    <s v="I CILIEGI DEL CHECCO - SAN MARCELLO"/>
  </r>
  <r>
    <x v="8"/>
    <s v="I COLORI DELLA MELA"/>
    <s v="localita' montecalende 51"/>
    <x v="1"/>
    <s v="URBINO"/>
    <m/>
    <s v="sweetalegi@tiscali.it"/>
    <s v="I COLORI DELLA MELA - URBINO"/>
  </r>
  <r>
    <x v="1"/>
    <s v="I CUGINI"/>
    <s v="via don luigi sturzo 1"/>
    <x v="169"/>
    <s v="CASTELFIDARDO"/>
    <s v="www.hotelicugini.it"/>
    <s v="ristoranteicugini@tin.it"/>
    <s v="I CUGINI - CASTELFIDARDO"/>
  </r>
  <r>
    <x v="3"/>
    <s v="I DELFINI"/>
    <s v="via Kennedy 32"/>
    <x v="32"/>
    <s v="CUPRA MARITTIMA"/>
    <s v="www.residencecupra.it"/>
    <s v="info@residencecupra.it"/>
    <s v="I DELFINI - CUPRA MARITTIMA"/>
  </r>
  <r>
    <x v="4"/>
    <s v="I DELFINI SNC"/>
    <s v="via cristoforo colombo 1 1"/>
    <x v="28"/>
    <s v="GABICCE MARE"/>
    <m/>
    <m/>
    <s v="I DELFINI SNC - GABICCE MARE"/>
  </r>
  <r>
    <x v="1"/>
    <s v="I DUCHI"/>
    <s v="via varino favorino 72"/>
    <x v="42"/>
    <s v="CAMERINO"/>
    <s v="www.hoteliduchi.com"/>
    <s v="info@hoteliduchi.com"/>
    <s v="I DUCHI - CAMERINO"/>
  </r>
  <r>
    <x v="0"/>
    <s v="I DUCHI PELLEGRINI"/>
    <s v="via scarpara alta 16/a"/>
    <x v="231"/>
    <s v="SANTA MARIA NUOVA"/>
    <m/>
    <s v="iduchipellegrini@libero.it"/>
    <s v="I DUCHI PELLEGRINI - SANTA MARIA NUOVA"/>
  </r>
  <r>
    <x v="0"/>
    <s v="I DUE PINI"/>
    <s v="C.da Vallonica 7"/>
    <x v="139"/>
    <s v="TREIA"/>
    <m/>
    <m/>
    <s v="I DUE PINI - TREIA"/>
  </r>
  <r>
    <x v="3"/>
    <s v="I GABBIANI"/>
    <s v="via Sorrento 32"/>
    <x v="9"/>
    <s v="NUMANA"/>
    <m/>
    <m/>
    <s v="I GABBIANI - NUMANA"/>
  </r>
  <r>
    <x v="3"/>
    <s v="I GIRASOLI"/>
    <s v="frazione Giove 12"/>
    <x v="88"/>
    <s v="MUCCIA"/>
    <s v="www.residenceigirasoli.it"/>
    <s v="info@residenceigirasoli.it"/>
    <s v="I GIRASOLI - MUCCIA"/>
  </r>
  <r>
    <x v="3"/>
    <s v="I MAGNONI S.R.L."/>
    <s v="frazione montesecco 156"/>
    <x v="91"/>
    <s v="PERGOLA"/>
    <s v="www.imagnoni.com"/>
    <s v="imagnoni@imagnoni.com"/>
    <s v="I MAGNONI S.R.L. - PERGOLA"/>
  </r>
  <r>
    <x v="8"/>
    <s v="I PONTI Soc. Coop."/>
    <s v="localita' santa maria candelora 1"/>
    <x v="26"/>
    <s v="CINGOLI"/>
    <m/>
    <s v="santori.giuseppe@tiscali.it"/>
    <s v="I PONTI Soc. Coop. - CINGOLI"/>
  </r>
  <r>
    <x v="0"/>
    <s v="I SAPORI DI UN TEMPO"/>
    <s v="VIA DELL'INDUSTRIA  36"/>
    <x v="23"/>
    <s v="PORTO RECANATI"/>
    <s v="www.isaporidiuntempo.com"/>
    <s v="info@isaporidiuntempo.com"/>
    <s v="I SAPORI DI UN TEMPO - PORTO RECANATI"/>
  </r>
  <r>
    <x v="0"/>
    <s v="I SASSI DI SAN GIUSEPPE"/>
    <s v="contrada san giuseppe 4"/>
    <x v="103"/>
    <s v="MONTEGIORGIO"/>
    <s v="www.isassidisangiuseppe.it"/>
    <s v="info@isassidisangiuseppe.it"/>
    <s v="I SASSI DI SAN GIUSEPPE - MONTEGIORGIO"/>
  </r>
  <r>
    <x v="5"/>
    <s v="I SOMARELLI DI FINICELLI ELISABETTA"/>
    <s v="frazione Massaprofoglio 1"/>
    <x v="88"/>
    <s v="MUCCIA"/>
    <m/>
    <s v="elisabettafinicelli@mail.it"/>
    <s v="I SOMARELLI DI FINICELLI ELISABETTA - MUCCIA"/>
  </r>
  <r>
    <x v="4"/>
    <s v="I TAMERICI"/>
    <s v="via Litoranea 209 209"/>
    <x v="9"/>
    <s v="NUMANA"/>
    <m/>
    <m/>
    <s v="I TAMERICI - NUMANA"/>
  </r>
  <r>
    <x v="0"/>
    <s v="I TRE FILARI"/>
    <s v="contrada bagnolo 38/A"/>
    <x v="56"/>
    <s v="RECANATI"/>
    <s v="www.itrefilari.it"/>
    <s v="itrefilari@virgilio.it"/>
    <s v="I TRE FILARI - RECANATI"/>
  </r>
  <r>
    <x v="0"/>
    <s v="I TRE MORI"/>
    <s v="localita' Grifoleto 54"/>
    <x v="91"/>
    <s v="loc. Colventoso Pantana"/>
    <s v="www.agriturismoitremori.it"/>
    <s v="info@agriturismoitremori.it"/>
    <s v="I TRE MORI - PERGOLA"/>
  </r>
  <r>
    <x v="5"/>
    <s v="I TRE PAESI"/>
    <s v="via Romita 16"/>
    <x v="161"/>
    <s v="CUPRAMONTANA"/>
    <s v="www.trepaesi.eu"/>
    <s v="info@trepaesi.com"/>
    <s v="I TRE PAESI - CUPRAMONTANA"/>
  </r>
  <r>
    <x v="7"/>
    <s v="IACCHINI ISABELLA"/>
    <s v="Via Giacomo Puccini 18"/>
    <x v="33"/>
    <s v="FANO"/>
    <m/>
    <s v="biagiotti.giacomo@gmail.com"/>
    <s v="IACCHINI ISABELLA - FANO"/>
  </r>
  <r>
    <x v="7"/>
    <s v="IACOMUCCI SILVANO"/>
    <s v="via delle Mura 15"/>
    <x v="196"/>
    <s v="Montefabbri"/>
    <m/>
    <s v="silvano.iacomucci@gmail.it"/>
    <s v="IACOMUCCI SILVANO - VALLEFOGLIA"/>
  </r>
  <r>
    <x v="1"/>
    <s v="IDEAL"/>
    <s v="viale Nazario Sauro 50"/>
    <x v="32"/>
    <s v="CUPRA MARITTIMA"/>
    <s v="www.hotelideal-cupra.it"/>
    <s v="info@hotelideal-cupra.it"/>
    <s v="IDEAL - CUPRA MARITTIMA"/>
  </r>
  <r>
    <x v="4"/>
    <s v="IDEAL"/>
    <m/>
    <x v="32"/>
    <m/>
    <s v="info@hotelideal-cupra.it"/>
    <s v="www.hotelideal-cupra.it"/>
    <s v="IDEAL - CUPRA MARITTIMA"/>
  </r>
  <r>
    <x v="4"/>
    <s v="IGUANA"/>
    <m/>
    <x v="12"/>
    <m/>
    <m/>
    <m/>
    <s v="IGUANA - SAN BENEDETTO DEL TRONTO"/>
  </r>
  <r>
    <x v="5"/>
    <s v="IL BARDO"/>
    <s v="Via Valdice 9"/>
    <x v="56"/>
    <s v="RECANATI"/>
    <m/>
    <s v="d.gattiventurini@gmail.com"/>
    <s v="IL BARDO - RECANATI"/>
  </r>
  <r>
    <x v="3"/>
    <s v="IL BEDROOMS DI PORTA MAGGIORE"/>
    <s v="Via Milano 2"/>
    <x v="151"/>
    <s v="ASCOLI PICENO"/>
    <m/>
    <m/>
    <s v="IL BEDROOMS DI PORTA MAGGIORE - ASCOLI PICENO"/>
  </r>
  <r>
    <x v="8"/>
    <s v="IL BELVEDERE"/>
    <s v="fraz. Piticchio 124"/>
    <x v="18"/>
    <s v="PITICCHIO"/>
    <s v="www.ilcastellocountryhouse.it"/>
    <s v="info@ilcastellocountryhouse.it"/>
    <s v="IL BELVEDERE - ARCEVIA"/>
  </r>
  <r>
    <x v="4"/>
    <s v="IL BERTOLDO DI MILLETTI &amp; DI MATTIA SAS"/>
    <s v="Via Lungomare 127/A"/>
    <x v="41"/>
    <s v="MARINA DI MONTEMARCIANO"/>
    <m/>
    <m/>
    <s v="IL BERTOLDO DI MILLETTI &amp; DI MATTIA SAS - MONTEMARCIANO"/>
  </r>
  <r>
    <x v="0"/>
    <s v="IL BETELLICO di CAMILLETTI LUIGI"/>
    <s v="via Betellico 15"/>
    <x v="8"/>
    <s v="COPPO"/>
    <m/>
    <s v="roberto.camilletti@alice.it"/>
    <s v="IL BETELLICO di CAMILLETTI LUIGI - SIROLO"/>
  </r>
  <r>
    <x v="8"/>
    <s v="IL BIROCCIO"/>
    <s v="via Ca' Bernocco 2"/>
    <x v="1"/>
    <s v="URBINO"/>
    <s v="www.ilbiroccio.it"/>
    <s v="info@ilbiroccio.it"/>
    <s v="IL BIROCCIO - URBINO"/>
  </r>
  <r>
    <x v="0"/>
    <s v="IL BORGHETTO"/>
    <s v="Località Bugione 4"/>
    <x v="45"/>
    <s v="Montefortino"/>
    <s v="www.ilborghetto.com"/>
    <s v="info@ilborghetto.com"/>
    <s v="IL BORGHETTO - MONTEFORTINO"/>
  </r>
  <r>
    <x v="4"/>
    <s v="IL BORGHETTO BEACH"/>
    <m/>
    <x v="32"/>
    <s v="CUPRAMARITTIMA"/>
    <m/>
    <m/>
    <s v="IL BORGHETTO BEACH - CUPRA MARITTIMA"/>
  </r>
  <r>
    <x v="3"/>
    <s v="IL BORGO"/>
    <s v="via Cesare 1/b"/>
    <x v="57"/>
    <m/>
    <s v="ww.ilborgotavullia.it"/>
    <s v="sandroniambra@gmail.com"/>
    <s v="IL BORGO - TAVULLIA"/>
  </r>
  <r>
    <x v="1"/>
    <s v="IL BORGO DEL VENTO"/>
    <m/>
    <x v="115"/>
    <m/>
    <m/>
    <m/>
    <s v="IL BORGO DEL VENTO - COMUNANZA"/>
  </r>
  <r>
    <x v="8"/>
    <s v="IL BORGO DELLA MINIERA"/>
    <s v="via molino belluzzi 8"/>
    <x v="1"/>
    <s v="URBINO"/>
    <m/>
    <s v="info@urbinoincoming.it"/>
    <s v="IL BORGO DELLA MINIERA - URBINO"/>
  </r>
  <r>
    <x v="0"/>
    <s v="IL BOSCHETTO"/>
    <s v="fraz. San Giovanni Battista 157/E"/>
    <x v="18"/>
    <s v="SAN GIOVANNI BATTISTA"/>
    <s v="www.agriturismoilboschetto.com"/>
    <s v="info@agriturismoilboschetto.com"/>
    <s v="IL BOSCHETTO - ARCEVIA"/>
  </r>
  <r>
    <x v="4"/>
    <s v="IL BRIGANTINO"/>
    <m/>
    <x v="17"/>
    <m/>
    <m/>
    <m/>
    <s v="IL BRIGANTINO - CIVITANOVA MARCHE"/>
  </r>
  <r>
    <x v="1"/>
    <s v="IL BRIGANTINO"/>
    <s v="viale L. Scarfiotti 10-12"/>
    <x v="23"/>
    <s v="PORTO RECANATI"/>
    <s v="www.brigantinohotel.it"/>
    <s v="info@brigantinohotel.it"/>
    <s v="IL BRIGANTINO - PORTO RECANATI"/>
  </r>
  <r>
    <x v="4"/>
    <s v="IL BRIGANTINO"/>
    <s v="lungomare gramsci 1 1"/>
    <x v="47"/>
    <s v="PORTO SAN GIORGIO"/>
    <s v="ilbrigantinopsg@alice.it"/>
    <m/>
    <s v="IL BRIGANTINO - PORTO SAN GIORGIO"/>
  </r>
  <r>
    <x v="7"/>
    <s v="IL BRUGNOLO"/>
    <s v="Via Adiacenze 6"/>
    <x v="110"/>
    <s v="MOMBAROCCIO"/>
    <m/>
    <s v="avv.aiudi@yahoo.it"/>
    <s v="IL BRUGNOLO - MOMBAROCCIO"/>
  </r>
  <r>
    <x v="8"/>
    <s v="IL CAMPETTO"/>
    <s v="strada Torre Campetto  130"/>
    <x v="16"/>
    <m/>
    <m/>
    <s v="info@bertigroup.it"/>
    <s v="IL CAMPETTO - SENIGALLIA"/>
  </r>
  <r>
    <x v="3"/>
    <s v="IL CAPRICCIO di SAPONE ANNA MARIA"/>
    <s v="SS Adriatica 21"/>
    <x v="22"/>
    <s v="FALCONARA MARITTIMA"/>
    <m/>
    <s v="ristorante.capriccio@libero.it"/>
    <s v="IL CAPRICCIO di SAPONE ANNA MARIA - FALCONARA MARITTIMA"/>
  </r>
  <r>
    <x v="5"/>
    <s v="IL CAPUCCIO"/>
    <s v="fraz. Nidastore 66"/>
    <x v="18"/>
    <s v="NIDASTORE"/>
    <m/>
    <s v="info@ilcapuccio.it ; lgelettronica@tiscali.it"/>
    <s v="IL CAPUCCIO - ARCEVIA"/>
  </r>
  <r>
    <x v="0"/>
    <s v="IL CARBONAIO"/>
    <m/>
    <x v="89"/>
    <s v="FRAZIONE VILLA MONTALTO N° 69"/>
    <m/>
    <s v="ilcarbonaio@alice.it"/>
    <s v="IL CARBONAIO - CESSAPALOMBO"/>
  </r>
  <r>
    <x v="7"/>
    <s v="IL CARRUBO"/>
    <s v="via Petricci 25"/>
    <x v="67"/>
    <s v="MONTE SANTA MARIA"/>
    <m/>
    <s v="paolino.a63@tiscali.it; amadoripaolo@libero.it"/>
    <s v="IL CARRUBO - MONTECICCARDO"/>
  </r>
  <r>
    <x v="0"/>
    <s v="IL CASALE"/>
    <s v="via Sterleto 46"/>
    <x v="91"/>
    <s v="PERGOLA"/>
    <s v="www.agriturismoilcasale.net"/>
    <s v="info@agriturismoilcasale.net"/>
    <s v="IL CASALE - PERGOLA"/>
  </r>
  <r>
    <x v="0"/>
    <s v="IL CASALE"/>
    <s v="contrada Campomaggio 125"/>
    <x v="141"/>
    <s v="MORROVALLE"/>
    <s v="www.ilcasale.org"/>
    <s v="info@ilcasale.org"/>
    <s v="IL CASALE - MORROVALLE"/>
  </r>
  <r>
    <x v="8"/>
    <s v="IL CASALE"/>
    <s v="contrada calcara 6"/>
    <x v="133"/>
    <s v="ALTIDONA"/>
    <s v="www.ristorantecasalealtidona.it"/>
    <s v="info@ristorantecasale.it"/>
    <s v="IL CASALE - ALTIDONA"/>
  </r>
  <r>
    <x v="8"/>
    <s v="IL CASALE DEGLI ULIVI"/>
    <s v="via Abbazia di Rosara 126"/>
    <x v="151"/>
    <s v="frazione Rosara"/>
    <s v="www.ilcasaledegliulivi.com"/>
    <s v="info@ilcasaledegliulivi.com"/>
    <s v="IL CASALE DEGLI ULIVI - ASCOLI PICENO"/>
  </r>
  <r>
    <x v="8"/>
    <s v="IL CASALE DEL BACO"/>
    <s v="contrada Santa Maria 23"/>
    <x v="158"/>
    <s v="ROSORA"/>
    <s v="www.casaledelbaco.it"/>
    <s v="info@casaledelbaco.it"/>
    <s v="IL CASALE DEL BACO - ROSORA"/>
  </r>
  <r>
    <x v="0"/>
    <s v="IL CASALE DEL BARONE"/>
    <s v="loc. Cà Franceschino 5/a"/>
    <x v="76"/>
    <s v="loc. Cà Franceschino"/>
    <s v="www.agriturismobiomarche.it"/>
    <s v="info@agriturismobiomarche.it"/>
    <s v="IL CASALE DEL BARONE - MERCATELLO SUL METAURO"/>
  </r>
  <r>
    <x v="7"/>
    <s v="IL CASALE DEL BONCIO"/>
    <s v="via Boncio 8"/>
    <x v="155"/>
    <m/>
    <m/>
    <s v="info@casaledelboncio.it"/>
    <s v="IL CASALE DEL BONCIO - GRADARA"/>
  </r>
  <r>
    <x v="5"/>
    <s v="IL CASALE DEL GALLO"/>
    <m/>
    <x v="120"/>
    <m/>
    <s v="inesistente@regione.it"/>
    <m/>
    <s v="IL CASALE DEL GALLO - MONTEFIORE DELL'ASO"/>
  </r>
  <r>
    <x v="8"/>
    <s v="IL CASALE DEL GUFO"/>
    <s v="via Alberici 6"/>
    <x v="38"/>
    <m/>
    <s v="www.casaledelgufo.it"/>
    <s v="info@casaledelgufo.it"/>
    <s v="IL CASALE DEL GUFO - CHIARAVALLE"/>
  </r>
  <r>
    <x v="8"/>
    <s v="IL CASALE DELL' ACQUABONA"/>
    <s v="Via Intriglione 6"/>
    <x v="219"/>
    <m/>
    <s v="www.ilcasaledellacquabona.it"/>
    <s v="marcocapodacqua@hotmail.it"/>
    <s v="IL CASALE DELL' ACQUABONA - MONTEFANO"/>
  </r>
  <r>
    <x v="8"/>
    <s v="IL CASALE DI AURORA"/>
    <s v="c.da Fiastra 21/a"/>
    <x v="177"/>
    <m/>
    <m/>
    <s v="smerillimichela@yahoo.it"/>
    <s v="IL CASALE DI AURORA - COLMURANO"/>
  </r>
  <r>
    <x v="3"/>
    <s v="IL CASALE DI GIULIA"/>
    <s v="via Ancarano 15"/>
    <x v="8"/>
    <m/>
    <s v="www.ilcasaledigiulia.it"/>
    <s v="info@ilcasaledigiulia.it"/>
    <s v="IL CASALE DI GIULIA - SIROLO"/>
  </r>
  <r>
    <x v="8"/>
    <s v="IL CASALE DI GUALDO"/>
    <m/>
    <x v="128"/>
    <s v="C.DA TOMASSUCCI"/>
    <s v="WWW.COUNTRYHOUSECASALEDIGUALDO.IT"/>
    <s v="damiano.c@tiscali.it"/>
    <s v="IL CASALE DI GUALDO - GUALDO"/>
  </r>
  <r>
    <x v="8"/>
    <s v="IL CASALE DI MARIU'"/>
    <s v="via Montecanepino 27"/>
    <x v="148"/>
    <m/>
    <m/>
    <s v="info@ilcasaledimariu.it"/>
    <s v="IL CASALE DI MARIU' - POTENZA PICENA"/>
  </r>
  <r>
    <x v="5"/>
    <s v="IL CASALE DORATO"/>
    <s v="Via Rovigliano 10"/>
    <x v="36"/>
    <s v="FILOTTRANO"/>
    <m/>
    <s v="pamadochen@gmail.com"/>
    <s v="IL CASALE DORATO - FILOTTRANO"/>
  </r>
  <r>
    <x v="0"/>
    <s v="IL CASALE NEL TUFO"/>
    <s v="localita' Rancitella 1"/>
    <x v="1"/>
    <s v="URBINO"/>
    <m/>
    <s v="faustofoglietta@interfree.it"/>
    <s v="IL CASALE NEL TUFO - URBINO"/>
  </r>
  <r>
    <x v="3"/>
    <s v="IL CASALE SRLS"/>
    <s v="Via Montecanepino 27"/>
    <x v="148"/>
    <s v="POTENZA PICENA"/>
    <m/>
    <m/>
    <s v="IL CASALE SRLS - POTENZA PICENA"/>
  </r>
  <r>
    <x v="8"/>
    <s v="IL CASALE SUL LAGO"/>
    <m/>
    <x v="151"/>
    <s v="frazione Coperso"/>
    <m/>
    <s v="antonellabartolini67@gmail.com"/>
    <s v="IL CASALE SUL LAGO - ASCOLI PICENO"/>
  </r>
  <r>
    <x v="0"/>
    <s v="IL CASATO"/>
    <s v="localita' Vasconi 11/A"/>
    <x v="144"/>
    <s v="CASTELRAIMONDO"/>
    <s v="www.agriturismoilcasato.it"/>
    <s v="info@agriturismoilcasato.it"/>
    <s v="IL CASATO - CASTELRAIMONDO"/>
  </r>
  <r>
    <x v="0"/>
    <s v="IL CASOLARE"/>
    <s v="contrada Vallimestre 1"/>
    <x v="132"/>
    <s v="SAN GINESIO"/>
    <m/>
    <s v="il.casolare@tiscali.it"/>
    <s v="IL CASOLARE - SAN GINESIO"/>
  </r>
  <r>
    <x v="1"/>
    <s v="IL CASOLARE"/>
    <s v="via Case Sparse 31"/>
    <x v="149"/>
    <m/>
    <s v="www.ristoranteilcasolare.com"/>
    <s v="ristoranteilcasolaresas@pec.it"/>
    <s v="IL CASOLARE - VENAROTTA"/>
  </r>
  <r>
    <x v="7"/>
    <s v="IL CASOLARE DELLE STELLE"/>
    <s v="via Santa Maria delle stelle 8"/>
    <x v="53"/>
    <s v="mergo"/>
    <s v="nicholasinter@alice.it"/>
    <s v="nicholasinter@alice.it"/>
    <s v="IL CASOLARE DELLE STELLE - MERGO"/>
  </r>
  <r>
    <x v="0"/>
    <s v="IL CASTAGNETO"/>
    <s v="frazione colle 71"/>
    <x v="151"/>
    <s v="ASCOLI PICENO"/>
    <m/>
    <s v="elisabetta.ranelli@libero.it"/>
    <s v="IL CASTAGNETO - ASCOLI PICENO"/>
  </r>
  <r>
    <x v="1"/>
    <s v="IL CASTAGNO"/>
    <s v="corso matteotti 72"/>
    <x v="68"/>
    <s v="ORCIANO DI PESARO"/>
    <s v="www.hotelcastagno.com"/>
    <s v="hotelilcastagno@libero.it"/>
    <s v="IL CASTAGNO - ORCIANO DI PESARO"/>
  </r>
  <r>
    <x v="3"/>
    <s v="IL CASTAGNO"/>
    <m/>
    <x v="153"/>
    <m/>
    <m/>
    <m/>
    <s v="IL CASTAGNO - MONTEMONACO"/>
  </r>
  <r>
    <x v="0"/>
    <s v="IL CASTELLANO"/>
    <s v="contrada casagatti 32"/>
    <x v="132"/>
    <s v="SAN GINESIO"/>
    <m/>
    <m/>
    <s v="IL CASTELLANO - SAN GINESIO"/>
  </r>
  <r>
    <x v="3"/>
    <s v="IL CASTELLANO"/>
    <s v="contrada ceresola 5"/>
    <x v="63"/>
    <s v="SMERILLO"/>
    <m/>
    <m/>
    <s v="IL CASTELLANO - SMERILLO"/>
  </r>
  <r>
    <x v="0"/>
    <s v="IL CASTELLO"/>
    <s v="via valle di teva 5"/>
    <x v="175"/>
    <s v="MONTE CERIGNONE"/>
    <s v="www.vallediteva.it"/>
    <s v="ilcastello@vallediteva.it"/>
    <s v="IL CASTELLO - MONTE CERIGNONE"/>
  </r>
  <r>
    <x v="1"/>
    <s v="IL CAVALIERE"/>
    <s v="via mariani 35"/>
    <x v="42"/>
    <s v="CAMERINO"/>
    <s v="www.hotelilcavaliere.com"/>
    <s v="info@hotelilcavaliere.com"/>
    <s v="IL CAVALIERE - CAMERINO"/>
  </r>
  <r>
    <x v="5"/>
    <s v="IL CEDRO AZZURRO"/>
    <s v="VIA MONTERENZO 13"/>
    <x v="12"/>
    <s v="SAN BENEDETTO DEL TRONTO"/>
    <s v="www.bed&amp;breakfast.it"/>
    <s v="pie.nes@libero.it"/>
    <s v="IL CEDRO AZZURRO - SAN BENEDETTO DEL TRONTO"/>
  </r>
  <r>
    <x v="4"/>
    <s v="IL CIGNO"/>
    <s v="lungomare gramsci 1 1"/>
    <x v="47"/>
    <s v="PORTO SAN GIORGIO"/>
    <s v="chaletilcigno@gmail.com"/>
    <m/>
    <s v="IL CIGNO - PORTO SAN GIORGIO"/>
  </r>
  <r>
    <x v="11"/>
    <s v="IL CINISCO"/>
    <s v="via Cinisco snc"/>
    <x v="138"/>
    <m/>
    <s v="www.ilcinisco.it/informazioni.html"/>
    <s v="info@ilcinisco.it"/>
    <s v="IL CINISCO - FRONTONE"/>
  </r>
  <r>
    <x v="9"/>
    <s v="IL CLAN ILLUMINATO"/>
    <m/>
    <x v="230"/>
    <s v="LOCALITA' CONVENTO DEL MONTE ILLUMINATO"/>
    <m/>
    <s v="anna.pierleoni@tin.it"/>
    <s v="IL CLAN ILLUMINATO - LUNANO"/>
  </r>
  <r>
    <x v="0"/>
    <s v="IL COLCELLO"/>
    <s v="via Palazzo del Piano 10"/>
    <x v="1"/>
    <s v="URBINO"/>
    <s v="www.ilcolcello-urbino.com"/>
    <s v="info@ilcolcello-urbino.com"/>
    <s v="IL COLCELLO - URBINO"/>
  </r>
  <r>
    <x v="5"/>
    <s v="IL COLLE"/>
    <s v="piazza Augusto Filippi 1"/>
    <x v="72"/>
    <s v="SERRA SAN QUIRICO"/>
    <s v="www.ilcollebb.it"/>
    <s v="info@ilcollebb.it"/>
    <s v="IL COLLE - SERRA SAN QUIRICO"/>
  </r>
  <r>
    <x v="3"/>
    <s v="IL COLLE"/>
    <s v="C.DA COLLE MOLINO 7"/>
    <x v="63"/>
    <s v="SMERILLO"/>
    <m/>
    <s v="giancarlonarcisi@alice.it"/>
    <s v="IL COLLE - SMERILLO"/>
  </r>
  <r>
    <x v="0"/>
    <s v="IL COLLE DEI CECI"/>
    <s v="c.da San Sisto 8"/>
    <x v="227"/>
    <m/>
    <s v="www.ilcolledeiceci.it"/>
    <s v="info@ilcolledeiceci.it"/>
    <s v="IL COLLE DEI CECI - FRANCAVILLA D'ETE"/>
  </r>
  <r>
    <x v="0"/>
    <s v="IL COLLE DEL SOLE"/>
    <m/>
    <x v="145"/>
    <s v="colle Tenuto"/>
    <s v="www.ilcolledelsole.it"/>
    <s v="info@ilcolledelsole.it"/>
    <s v="IL COLLE DEL SOLE - MATELICA"/>
  </r>
  <r>
    <x v="5"/>
    <s v="IL COLLE DELLE TERRAZZE"/>
    <s v="Via Roncosambaccio 118"/>
    <x v="33"/>
    <s v="RONCOSAMBACCIO"/>
    <m/>
    <s v="mchiaragiovanetti@gmail.com"/>
    <s v="IL COLLE DELLE TERRAZZE - FANO"/>
  </r>
  <r>
    <x v="0"/>
    <s v="IL COLORE DEL GRANO"/>
    <s v="via Montepiano Colombara  14"/>
    <x v="68"/>
    <m/>
    <s v="www.agriturismoilcoloredelgrano.it"/>
    <s v="info@agriturismoilcoloredelgrano.it"/>
    <s v="IL COLORE DEL GRANO - ORCIANO DI PESARO"/>
  </r>
  <r>
    <x v="3"/>
    <s v="IL CONERO DI SARA"/>
    <s v="LITORANEA  89"/>
    <x v="9"/>
    <s v="NUMANA"/>
    <s v="www.appartamenticonerosara.com"/>
    <s v="ilconerodisara@gmail.com"/>
    <s v="IL CONERO DI SARA - NUMANA"/>
  </r>
  <r>
    <x v="3"/>
    <s v="IL CONERO MARE DI PINCINI CARLA"/>
    <s v="via Litoranea 1"/>
    <x v="9"/>
    <s v="NUMANA"/>
    <m/>
    <s v="info@ilconero-mare.it"/>
    <s v="IL CONERO MARE DI PINCINI CARLA - NUMANA"/>
  </r>
  <r>
    <x v="0"/>
    <s v="IL CONFINE"/>
    <s v="contrada Schito 85/A"/>
    <x v="139"/>
    <s v="contrada Schito"/>
    <s v="www.agriturismoilconfine.it"/>
    <s v="agriturismoilconfine@gmail.com"/>
    <s v="IL CONFINE - TREIA"/>
  </r>
  <r>
    <x v="7"/>
    <s v="IL CONIO DI DI GIOVANNI FEDERICO"/>
    <s v="strada pietralatra 1"/>
    <x v="86"/>
    <s v="ACQUALAGNA"/>
    <m/>
    <m/>
    <s v="IL CONIO DI DI GIOVANNI FEDERICO - ACQUALAGNA"/>
  </r>
  <r>
    <x v="4"/>
    <s v="IL CONTADINO"/>
    <s v="via Montecatino 72 72"/>
    <x v="73"/>
    <s v="MASSIGNANO"/>
    <s v="ristcontadino@libero.it"/>
    <s v="www.hotelilcontadino.it"/>
    <s v="IL CONTADINO - MASSIGNANO"/>
  </r>
  <r>
    <x v="1"/>
    <s v="IL CONTADINO"/>
    <s v="via Montecantino 66"/>
    <x v="73"/>
    <s v="MARINA DI MASSIGNANO"/>
    <s v="www.hotelilcontadino.it"/>
    <s v="ristcontadino@libero.it"/>
    <s v="IL CONTADINO - MASSIGNANO"/>
  </r>
  <r>
    <x v="8"/>
    <s v="IL CONTADINO E IL MARE"/>
    <s v="contrada San Girio 65 bis"/>
    <x v="148"/>
    <s v="POTENZA PICENA"/>
    <m/>
    <s v="info@ilcontadinoeilmare.com"/>
    <s v="IL CONTADINO E IL MARE - POTENZA PICENA"/>
  </r>
  <r>
    <x v="5"/>
    <s v="IL CONVENTO"/>
    <s v="convento 2"/>
    <x v="185"/>
    <m/>
    <s v="www.ilconvento.info"/>
    <s v="info@ilconvento.info"/>
    <s v="IL CONVENTO - PIEVEBOVIGLIANA"/>
  </r>
  <r>
    <x v="3"/>
    <s v="IL CONVENTO  (BIANCATELLI GIUSEPPINA)"/>
    <s v="via Zoccolanti 2"/>
    <x v="62"/>
    <s v="AMANDOLA"/>
    <s v="www.camereilconvento.it"/>
    <s v="info@camereilconvento.it"/>
    <s v="IL CONVENTO  (BIANCATELLI GIUSEPPINA) - AMANDOLA"/>
  </r>
  <r>
    <x v="0"/>
    <s v="IL CORBEZZOLO"/>
    <s v="frazione Massignano 124"/>
    <x v="10"/>
    <s v="MASSIGNANO"/>
    <s v="ilcorbezzolo@alice.it"/>
    <m/>
    <s v="IL CORBEZZOLO - ANCONA"/>
  </r>
  <r>
    <x v="3"/>
    <s v="IL CORTEGIANO"/>
    <s v="via federico veterani 1"/>
    <x v="1"/>
    <s v="URBINO"/>
    <m/>
    <s v="ilcortegiano@libero.it"/>
    <s v="IL CORTEGIANO - URBINO"/>
  </r>
  <r>
    <x v="0"/>
    <s v="IL CRINALE"/>
    <s v="ferretti 28"/>
    <x v="87"/>
    <s v="castorano"/>
    <s v="www.ilcrinale.it"/>
    <s v="info@ilcrinale.it"/>
    <s v="IL CRINALE - CASTORANO"/>
  </r>
  <r>
    <x v="4"/>
    <s v="IL CUCALE"/>
    <s v="via litoranea 103 103"/>
    <x v="9"/>
    <s v="MARCELLI"/>
    <m/>
    <m/>
    <s v="IL CUCALE - NUMANA"/>
  </r>
  <r>
    <x v="1"/>
    <s v="IL DAINO"/>
    <s v="via roma 19 19"/>
    <x v="138"/>
    <s v="FRONTONE"/>
    <m/>
    <s v="info@hotelildaino.it"/>
    <s v="IL DAINO - FRONTONE"/>
  </r>
  <r>
    <x v="4"/>
    <s v="IL DELFINO VERDE"/>
    <s v="lungomare gramsci 1 1"/>
    <x v="47"/>
    <s v="PORTO SAN GIORGIO"/>
    <m/>
    <m/>
    <s v="IL DELFINO VERDE - PORTO SAN GIORGIO"/>
  </r>
  <r>
    <x v="4"/>
    <s v="IL DIAMANTE"/>
    <s v="via San Giacomo 5 5"/>
    <x v="12"/>
    <m/>
    <s v="info@ildiamantevacanze.it"/>
    <s v="www.ildiamantevacanze.it"/>
    <s v="IL DIAMANTE - SAN BENEDETTO DEL TRONTO"/>
  </r>
  <r>
    <x v="3"/>
    <s v="IL DIAMANTE S.R.L."/>
    <s v="via san giacomo 5"/>
    <x v="12"/>
    <s v="SAN BENEDETTO DEL TRONTO"/>
    <s v="www.ildiamantevacanze.it"/>
    <s v="info@ildiamantevacanze.it"/>
    <s v="IL DIAMANTE S.R.L. - SAN BENEDETTO DEL TRONTO"/>
  </r>
  <r>
    <x v="0"/>
    <s v="IL FALCO"/>
    <s v="via 8 Marzo 1000"/>
    <x v="111"/>
    <s v="Casette d'Ete"/>
    <s v="www.agriturismoilfalco-casettedete.com"/>
    <s v="info@agriturismoilfalco-casettedete.com"/>
    <s v="IL FALCO - SANT'ELPIDIO A MARE"/>
  </r>
  <r>
    <x v="4"/>
    <s v="IL FARFALLONE"/>
    <m/>
    <x v="12"/>
    <m/>
    <m/>
    <m/>
    <s v="IL FARFALLONE - SAN BENEDETTO DEL TRONTO"/>
  </r>
  <r>
    <x v="4"/>
    <s v="IL FARO"/>
    <m/>
    <x v="23"/>
    <s v="PORTO RECANATI"/>
    <m/>
    <m/>
    <s v="IL FARO - PORTO RECANATI"/>
  </r>
  <r>
    <x v="1"/>
    <s v="IL FARO"/>
    <s v="via o. Marziario 16"/>
    <x v="2"/>
    <s v="SAN SEVERINO MARCHE"/>
    <s v="www.hotelilfaro.net"/>
    <s v="info@hotelilfaro.net"/>
    <s v="IL FARO - SAN SEVERINO MARCHE"/>
  </r>
  <r>
    <x v="4"/>
    <s v="IL FARO"/>
    <s v="Via Giacomo Leopardi 13"/>
    <x v="222"/>
    <s v="PEDASO"/>
    <m/>
    <m/>
    <s v="IL FARO - PEDASO"/>
  </r>
  <r>
    <x v="8"/>
    <s v="IL FEUDO DEI CIPRESSI"/>
    <s v="contrada grazie fiastra 32"/>
    <x v="27"/>
    <s v="LORO PICENO"/>
    <s v="www.feudodeicipressi.it"/>
    <s v="guidopallotta@alice.it"/>
    <s v="IL FEUDO DEI CIPRESSI - LORO PICENO"/>
  </r>
  <r>
    <x v="0"/>
    <s v="IL FIENILE"/>
    <s v="contrada Valle 1"/>
    <x v="130"/>
    <s v="MONTEDINOVE"/>
    <m/>
    <s v="il.fienile@tiscali.it"/>
    <s v="IL FIENILE - MONTEDINOVE"/>
  </r>
  <r>
    <x v="0"/>
    <s v="IL FIORE E LA FARFALLA"/>
    <s v="Strada Blilla 11"/>
    <x v="69"/>
    <s v="PESARO"/>
    <s v="www.ilfioreelafarfalla.com"/>
    <s v="info@ilfioreelafarfalla.com"/>
    <s v="IL FIORE E LA FARFALLA - PESARO"/>
  </r>
  <r>
    <x v="0"/>
    <s v="IL FOCOLARE"/>
    <s v="contrada san silvestro 1"/>
    <x v="87"/>
    <s v="CASTORANO"/>
    <m/>
    <s v="marti.dga@libero.it"/>
    <s v="IL FOCOLARE - CASTORANO"/>
  </r>
  <r>
    <x v="3"/>
    <s v="IL FOCOLARE di CICARILLI STEFANIA"/>
    <s v="via orazio avicenna 8"/>
    <x v="26"/>
    <s v="CINGOLI"/>
    <s v="www.ilfocolarecingoli.it"/>
    <s v="info@ilfocolarecingoli.it"/>
    <s v="IL FOCOLARE di CICARILLI STEFANIA - CINGOLI"/>
  </r>
  <r>
    <x v="3"/>
    <s v="IL FONTANILE"/>
    <s v="contrada Durano 4"/>
    <x v="63"/>
    <m/>
    <m/>
    <s v="gamba.roby@gmail.com"/>
    <s v="IL FONTANILE - SMERILLO"/>
  </r>
  <r>
    <x v="0"/>
    <s v="IL FRANTOIO"/>
    <s v="contrada madonna bruna 25"/>
    <x v="29"/>
    <s v="LAPEDONA"/>
    <s v="www.ilfrantoioagriturismo.it"/>
    <s v="tizianodecarolis@alice.it"/>
    <s v="IL FRANTOIO - LAPEDONA"/>
  </r>
  <r>
    <x v="0"/>
    <s v="IL FRUTTETO"/>
    <s v="contrada acquaviva snc"/>
    <x v="90"/>
    <s v="CALDAROLA"/>
    <s v="www.frutteto.info"/>
    <s v="info@frutteto.info"/>
    <s v="IL FRUTTETO - CALDAROLA"/>
  </r>
  <r>
    <x v="1"/>
    <s v="IL FRUTTETO"/>
    <m/>
    <x v="32"/>
    <s v="CUPRA MARITTIMA"/>
    <s v="www.campingilfrutteto.it"/>
    <s v="info@campingilfrutteto.it"/>
    <s v="IL FRUTTETO - CUPRA MARITTIMA"/>
  </r>
  <r>
    <x v="6"/>
    <s v="IL FRUTTETO"/>
    <s v="contrada Boccabianca 99"/>
    <x v="32"/>
    <s v="CUPRA MARITTIMA"/>
    <s v="www.campingilfrutteto.it"/>
    <s v="info@campingilfrutteto.it"/>
    <s v="IL FRUTTETO - CUPRA MARITTIMA"/>
  </r>
  <r>
    <x v="3"/>
    <s v="IL FRUTTETO"/>
    <s v="contrada Madonna degli Angeli 10"/>
    <x v="225"/>
    <s v="MONTE VIDON COMBATTE"/>
    <s v="www.ilfrutteto.biz"/>
    <s v="il.frutteto@tiscali.it"/>
    <s v="IL FRUTTETO - MONTE VIDON COMBATTE"/>
  </r>
  <r>
    <x v="1"/>
    <s v="IL GABBIANO"/>
    <s v="Strada Nazionale Adriatica Sud 396"/>
    <x v="20"/>
    <s v="MONDOLFO"/>
    <s v="www.ilgabbianomarotta.it"/>
    <m/>
    <s v="IL GABBIANO - MONDOLFO"/>
  </r>
  <r>
    <x v="0"/>
    <s v="IL GAIANELLO"/>
    <s v="c.da Monteradaldo Ete 38"/>
    <x v="165"/>
    <m/>
    <s v="www.agriturismogaianellofm.com"/>
    <s v="info@gaianello.com"/>
    <s v="IL GAIANELLO - SANTA VITTORIA IN MATENANO"/>
  </r>
  <r>
    <x v="5"/>
    <s v="IL GALLO DEL VICINO B&amp;B"/>
    <s v="c.da Sant'Isidoro 26"/>
    <x v="102"/>
    <m/>
    <s v="www.ilgallodelvicino.com"/>
    <s v="ilgallodelvicino@hotmail.it"/>
    <s v="IL GALLO DEL VICINO B&amp;B - MONTE URANO"/>
  </r>
  <r>
    <x v="5"/>
    <s v="IL GALLO DI PETTOVALLONE"/>
    <s v="via Pettovallone 24,24b"/>
    <x v="26"/>
    <m/>
    <s v="www.pettovallone.it"/>
    <s v="pettovallone@gmail.com"/>
    <s v="IL GALLO DI PETTOVALLONE - CINGOLI"/>
  </r>
  <r>
    <x v="0"/>
    <s v="IL GALLO SENONE RESORT"/>
    <s v="strada del Crocifisso 171"/>
    <x v="16"/>
    <m/>
    <s v="www.ilgallosenone.it"/>
    <s v="info@ilgallosenone.it"/>
    <s v="IL GALLO SENONE RESORT - SENIGALLIA"/>
  </r>
  <r>
    <x v="0"/>
    <s v="IL GELSO ANTICO"/>
    <s v="contrada vallememoria 14"/>
    <x v="56"/>
    <s v="RECANATI"/>
    <s v="www.ilgelsoantico.com"/>
    <s v="ilgelsoantico@live.it"/>
    <s v="IL GELSO ANTICO - RECANATI"/>
  </r>
  <r>
    <x v="5"/>
    <s v="IL GIARDINO AROMATICO"/>
    <s v="Via Piane Santi 75"/>
    <x v="73"/>
    <s v="MASSIGNANO"/>
    <m/>
    <s v="lampa611@gmail.com"/>
    <s v="IL GIARDINO AROMATICO - MASSIGNANO"/>
  </r>
  <r>
    <x v="8"/>
    <s v="IL GIARDINO DEGLI ULIVI"/>
    <s v="contrada forano 29"/>
    <x v="108"/>
    <s v="APPIGNANO"/>
    <s v="www.algiardinodegliulivi.it"/>
    <s v="info@algiardinodegliulivi.it"/>
    <s v="IL GIARDINO DEGLI ULIVI - APPIGNANO"/>
  </r>
  <r>
    <x v="0"/>
    <s v="IL GIARDINO DEGLI ULIVI"/>
    <s v="via Crucianelli 54"/>
    <x v="144"/>
    <s v="CASTELRAIMONDO"/>
    <s v="www.ilgiardinodegliulivi.com"/>
    <s v="info@ilgiardinodegliulivi.com"/>
    <s v="IL GIARDINO DEGLI ULIVI - CASTELRAIMONDO"/>
  </r>
  <r>
    <x v="0"/>
    <s v="IL GIARDINO DEGLI ULIVI"/>
    <s v="frazione Piagge 333"/>
    <x v="151"/>
    <s v="ASCOLI PICENO"/>
    <s v="www.ilgiardinodegliulivi.org"/>
    <s v="posta@ilgiardinodegliulivi.org"/>
    <s v="IL GIARDINO DEGLI ULIVI - ASCOLI PICENO"/>
  </r>
  <r>
    <x v="0"/>
    <s v="IL GIARDINO DEI SAPORI"/>
    <s v="contrada saletta 28"/>
    <x v="56"/>
    <s v="RECANATI"/>
    <s v="www.ilgiardinodeisapori.net"/>
    <s v="giardinodeisapori@tiscali.it"/>
    <s v="IL GIARDINO DEI SAPORI - RECANATI"/>
  </r>
  <r>
    <x v="5"/>
    <s v="IL GIARDINO DEL MONSIGNORE"/>
    <s v="via piave 7"/>
    <x v="1"/>
    <s v="URBINO"/>
    <m/>
    <m/>
    <s v="IL GIARDINO DEL MONSIGNORE - URBINO"/>
  </r>
  <r>
    <x v="5"/>
    <s v="IL GIARDINO DELLE ROSE"/>
    <s v="Via Scarpara Alta  1/A"/>
    <x v="231"/>
    <s v="SANTA MARIA NUOVA"/>
    <s v="www.giardinodellerose.eu"/>
    <s v="gnitrati@studionitrati.it"/>
    <s v="IL GIARDINO DELLE ROSE - SANTA MARIA NUOVA"/>
  </r>
  <r>
    <x v="5"/>
    <s v="IL GIARDINO DI MARGHERITA"/>
    <s v="Via Zingari 7"/>
    <x v="167"/>
    <s v="CAMERANO"/>
    <m/>
    <s v="ilgiardinodimargherita@gmail.com"/>
    <s v="IL GIARDINO DI MARGHERITA - CAMERANO"/>
  </r>
  <r>
    <x v="8"/>
    <s v="IL GIARDINO DI MAVI"/>
    <s v="Contrada Tenna 6/A"/>
    <x v="102"/>
    <s v="MONTE URANO"/>
    <m/>
    <s v="pallottamariavittoria@gmail.com"/>
    <s v="IL GIARDINO DI MAVI - MONTE URANO"/>
  </r>
  <r>
    <x v="5"/>
    <s v="IL GIARDINO DI SAN GIACOMO"/>
    <s v="Via Monterone 33"/>
    <x v="14"/>
    <s v="MONTEPRANDONE"/>
    <m/>
    <s v="persianicristian1965@gmail.com"/>
    <s v="IL GIARDINO DI SAN GIACOMO - MONTEPRANDONE"/>
  </r>
  <r>
    <x v="1"/>
    <s v="IL GIGLIO"/>
    <s v="via del corso 8"/>
    <x v="60"/>
    <s v="CORINALDO"/>
    <s v="www.hotelgigliocorinaldo.com"/>
    <s v="info@corinaldoalbergodiffuso.it"/>
    <s v="IL GIGLIO - CORINALDO"/>
  </r>
  <r>
    <x v="5"/>
    <s v="IL GIGLIO DEL CONERO 1"/>
    <m/>
    <x v="9"/>
    <s v="NUMANA"/>
    <m/>
    <s v="info@gigliodelconero.it"/>
    <s v="IL GIGLIO DEL CONERO 1 - NUMANA"/>
  </r>
  <r>
    <x v="5"/>
    <s v="IL GIGLIO DEL CONERO 2"/>
    <s v="MONTALBANO 27"/>
    <x v="9"/>
    <m/>
    <m/>
    <s v="info@gigliodelconero.it"/>
    <s v="IL GIGLIO DEL CONERO 2 - NUMANA"/>
  </r>
  <r>
    <x v="8"/>
    <s v="IL GINEPRO"/>
    <s v="via Frati Cappuccini 19"/>
    <x v="85"/>
    <m/>
    <s v="www.ilginepro.net"/>
    <s v="info@ilginepro.net"/>
    <s v="IL GINEPRO - FOSSOMBRONE"/>
  </r>
  <r>
    <x v="8"/>
    <s v="IL GIRASOLE"/>
    <s v="via Pagino 40"/>
    <x v="152"/>
    <s v="PAGINO"/>
    <m/>
    <m/>
    <s v="IL GIRASOLE - FERMIGNANO"/>
  </r>
  <r>
    <x v="0"/>
    <s v="IL GIRASOLE"/>
    <s v="fraz. Costa 82"/>
    <x v="18"/>
    <s v="COSTA"/>
    <s v="www.agriturismo-ilgirasole.it"/>
    <s v="info@agriturismo-ilgirasole.it"/>
    <s v="IL GIRASOLE - ARCEVIA"/>
  </r>
  <r>
    <x v="3"/>
    <s v="IL GIRASOLE"/>
    <s v="via loretana 277"/>
    <x v="167"/>
    <s v="CAMERANO"/>
    <s v="www.locandailgirasole.it"/>
    <s v="info@locandailgirasole.it"/>
    <s v="IL GIRASOLE - CAMERANO"/>
  </r>
  <r>
    <x v="3"/>
    <s v="IL GIRASOLE"/>
    <s v="via alcide de gasperi 28"/>
    <x v="11"/>
    <s v="SARNANO"/>
    <m/>
    <m/>
    <s v="IL GIRASOLE - SARNANO"/>
  </r>
  <r>
    <x v="3"/>
    <s v="IL GLICINE"/>
    <s v="via Mercato 6"/>
    <x v="155"/>
    <s v="GRADARA"/>
    <m/>
    <s v="delbianco.mar@gmail.com"/>
    <s v="IL GLICINE - GRADARA"/>
  </r>
  <r>
    <x v="0"/>
    <s v="IL GORGHETTO"/>
    <s v="localita' Molino di Castagna 8"/>
    <x v="46"/>
    <s v="SASSOFERRATO"/>
    <s v="www.ilgorghetto.it"/>
    <s v="info@ilgorghetto.it"/>
    <s v="IL GORGHETTO - SASSOFERRATO"/>
  </r>
  <r>
    <x v="8"/>
    <s v="IL GRANAIO DEI PRETINI"/>
    <s v="via S.Amico 71"/>
    <x v="166"/>
    <s v="MORRO D' ALBA"/>
    <m/>
    <s v="ilgranaio.piera@libero.it"/>
    <s v="IL GRANAIO DEI PRETINI - MORRO D'ALBA"/>
  </r>
  <r>
    <x v="8"/>
    <s v="IL GRANAIO DI COLLE VICHINANO"/>
    <m/>
    <x v="21"/>
    <s v="loc. Paterno, colle Cataldo"/>
    <s v="www.homerentitaly.com"/>
    <s v="info@homerentitaly.it"/>
    <s v="IL GRANAIO DI COLLE VICHINANO - FABRIANO"/>
  </r>
  <r>
    <x v="0"/>
    <s v="IL GRAPPOLO ROSSO"/>
    <s v="via forche di tenna 14"/>
    <x v="205"/>
    <s v="MONTOTTONE"/>
    <m/>
    <s v="info@grappolorosso.it"/>
    <s v="IL GRAPPOLO ROSSO - MONTOTTONE"/>
  </r>
  <r>
    <x v="5"/>
    <s v="IL GRECALE"/>
    <s v="Via Sas 459"/>
    <x v="33"/>
    <s v="PONTE SASSO"/>
    <m/>
    <s v="c.vitali62@gmail.com"/>
    <s v="IL GRECALE - FANO"/>
  </r>
  <r>
    <x v="4"/>
    <s v="IL GRECALE"/>
    <s v="via Colombo 4 4"/>
    <x v="5"/>
    <m/>
    <s v="info@ilgrecaleancona.it"/>
    <s v="www.ilgrecaleancona.it"/>
    <s v="IL GRECALE - GROTTAMMARE"/>
  </r>
  <r>
    <x v="5"/>
    <s v="IL GRECALE 2"/>
    <s v="Via Snas  461"/>
    <x v="33"/>
    <s v="PONTE SASSO"/>
    <m/>
    <s v="c.vitali62@gmail.com"/>
    <s v="IL GRECALE 2 - FANO"/>
  </r>
  <r>
    <x v="0"/>
    <s v="IL GRILLOTTO"/>
    <s v="via del grillotto 8"/>
    <x v="1"/>
    <s v="URBINO"/>
    <s v="www.urbinoeprovincia.com/ilgrillotto.htm"/>
    <s v="mary.silvestre@alice.it"/>
    <s v="IL GRILLOTTO - URBINO"/>
  </r>
  <r>
    <x v="0"/>
    <s v="IL GUARDACIELO"/>
    <s v="strada panoramica adriatica 1"/>
    <x v="69"/>
    <s v="PESARO"/>
    <s v="www.ilguardacielo.it"/>
    <s v="ilguardacielo@virgilio.it"/>
    <s v="IL GUARDACIELO - PESARO"/>
  </r>
  <r>
    <x v="0"/>
    <s v="IL GUFO"/>
    <m/>
    <x v="30"/>
    <s v="S. BARNABA"/>
    <m/>
    <m/>
    <s v="IL GUFO - OFFIDA"/>
  </r>
  <r>
    <x v="0"/>
    <s v="IL LANTERNINO"/>
    <s v="via ronco 5"/>
    <x v="41"/>
    <s v="MONTEMARCIANO"/>
    <s v="www.illanternino.it"/>
    <s v="info@illanternino.net"/>
    <s v="IL LANTERNINO - MONTEMARCIANO"/>
  </r>
  <r>
    <x v="0"/>
    <s v="IL LECCINO"/>
    <s v="Via San Giorgio 63"/>
    <x v="124"/>
    <s v="SAN GIORGIO"/>
    <m/>
    <s v="patrizio.scarpacci@geopec.it"/>
    <s v="IL LECCINO - BELFORTE DEL CHIENTI"/>
  </r>
  <r>
    <x v="0"/>
    <s v="IL LECCIO"/>
    <s v="fraz. Colle Aprico 29"/>
    <x v="18"/>
    <s v="COLLE APRICO"/>
    <m/>
    <s v="chiby77@hotmail.it"/>
    <s v="IL LECCIO - ARCEVIA"/>
  </r>
  <r>
    <x v="5"/>
    <s v="IL LEONE ROSSO B&amp;B"/>
    <s v="contrada patrignone 11"/>
    <x v="66"/>
    <s v="FALERONE"/>
    <s v="http://www.illeonerosso.com"/>
    <s v="fra.guglielmi@gmail.com; info@illeonerosso.com"/>
    <s v="IL LEONE ROSSO B&amp;B - FALERONE"/>
  </r>
  <r>
    <x v="4"/>
    <s v="IL LIBECCIO"/>
    <s v="via litoranea 213 213"/>
    <x v="9"/>
    <s v="MARCELLI"/>
    <m/>
    <m/>
    <s v="IL LIBECCIO - NUMANA"/>
  </r>
  <r>
    <x v="4"/>
    <s v="IL LIDO DEL PESCATORE"/>
    <s v="viale trieste 27 27"/>
    <x v="12"/>
    <m/>
    <s v="info@deangelisgomme.it; aldimeriomaria@gmail.com"/>
    <m/>
    <s v="IL LIDO DEL PESCATORE - SAN BENEDETTO DEL TRONTO"/>
  </r>
  <r>
    <x v="4"/>
    <s v="IL LIDO DELLE PALME DI BATTISTI FRANCESCA &amp; C. S.N.C."/>
    <s v="via cappellini 1 1"/>
    <x v="33"/>
    <s v="FANO"/>
    <m/>
    <m/>
    <s v="IL LIDO DELLE PALME DI BATTISTI FRANCESCA &amp; C. S.N.C. - FANO"/>
  </r>
  <r>
    <x v="4"/>
    <s v="IL LIDO DI ANNA"/>
    <s v="viale Colombo 12 12"/>
    <x v="5"/>
    <m/>
    <s v="margio26@libero.it"/>
    <m/>
    <s v="IL LIDO DI ANNA - GROTTAMMARE"/>
  </r>
  <r>
    <x v="0"/>
    <s v="IL MANDORLO"/>
    <s v="frazione varano 184"/>
    <x v="10"/>
    <s v="ANCONA"/>
    <s v="www.agriturismoilmandorlo.it"/>
    <s v="alfredo.frittelli@alice.it"/>
    <s v="IL MANDORLO - ANCONA"/>
  </r>
  <r>
    <x v="3"/>
    <s v="IL MANDRIANO"/>
    <s v="via Cantoniera 76"/>
    <x v="174"/>
    <s v="CARPEGNA"/>
    <m/>
    <s v="as_studio@libero.it"/>
    <s v="IL MANDRIANO - CARPEGNA"/>
  </r>
  <r>
    <x v="0"/>
    <s v="IL MANIERO"/>
    <s v="via Bagnatora 25"/>
    <x v="4"/>
    <m/>
    <s v="www.agriturismoilmaniero.it"/>
    <s v="info@agriturismoilmaniero.it"/>
    <s v="IL MANIERO - JESI"/>
  </r>
  <r>
    <x v="7"/>
    <s v="IL MARE ACCANTO"/>
    <s v="LUNG.NORD IV NOVEMBRE  284"/>
    <x v="17"/>
    <s v="CIVITANOVA MARCHE"/>
    <m/>
    <s v="enzobagalini@tiscali.it"/>
    <s v="IL MARE ACCANTO - CIVITANOVA MARCHE"/>
  </r>
  <r>
    <x v="0"/>
    <s v="IL MARE IN CAMPAGNA"/>
    <s v="contrada Marina 54"/>
    <x v="55"/>
    <s v="CAMPOFILONE"/>
    <s v="www.mareincampagna.it"/>
    <s v="info@mareincampagna.it"/>
    <s v="IL MARE IN CAMPAGNA - CAMPOFILONE"/>
  </r>
  <r>
    <x v="0"/>
    <s v="IL MARGARITO"/>
    <s v="via Intriglione 8"/>
    <x v="219"/>
    <m/>
    <s v="www.relaisilmargarito.com"/>
    <s v="info@releaisilmargarito.com"/>
    <s v="IL MARGARITO - MONTEFANO"/>
  </r>
  <r>
    <x v="0"/>
    <s v="IL MELOGRANO"/>
    <s v="via vallati 21"/>
    <x v="160"/>
    <s v="MAIOLATI SPONTINI"/>
    <s v="www.ilmelograno.de"/>
    <s v="information@ilmelograno.de"/>
    <s v="IL MELOGRANO - MAIOLATI SPONTINI"/>
  </r>
  <r>
    <x v="0"/>
    <s v="IL MELOGRANO"/>
    <s v="via Sant'Antonio 5"/>
    <x v="216"/>
    <m/>
    <s v="www.vivaiminnozzi.it"/>
    <s v="vivaiminnozzi@libero.it"/>
    <s v="IL MELOGRANO - PETRIOLO"/>
  </r>
  <r>
    <x v="0"/>
    <s v="IL MELOGRANO"/>
    <s v="contrada capparuccia 34"/>
    <x v="232"/>
    <s v="PONZANO DI FERMO"/>
    <s v="www.ilmelogranoagriturismo.com"/>
    <s v="ilmelograno@hotmail.com"/>
    <s v="IL MELOGRANO - PONZANO DI FERMO"/>
  </r>
  <r>
    <x v="3"/>
    <s v="IL MOLINO S.R.L"/>
    <s v="contrada tenna 22"/>
    <x v="127"/>
    <s v="RAPAGNANO"/>
    <s v="www.ilvecchiomolino.it"/>
    <s v="info@ilvecchiomolino.it"/>
    <s v="IL MOLINO S.R.L - RAPAGNANO"/>
  </r>
  <r>
    <x v="4"/>
    <s v="IL MOLO snc"/>
    <s v="PORTONOVO 166 166"/>
    <x v="10"/>
    <s v="Portonovo di Ancona"/>
    <s v="info@lmolo.it"/>
    <s v="www.ilmolo.it"/>
    <s v="IL MOLO snc - ANCONA"/>
  </r>
  <r>
    <x v="7"/>
    <s v="IL MONTALE COUNTRY RESORT"/>
    <s v="via Calamone 12"/>
    <x v="200"/>
    <m/>
    <s v="www.ilmontale.it"/>
    <s v="info@ilmontale.it"/>
    <s v="IL MONTALE COUNTRY RESORT - MONTELABBATE"/>
  </r>
  <r>
    <x v="7"/>
    <s v="IL MONTE"/>
    <s v="via Montepartemio 10"/>
    <x v="52"/>
    <m/>
    <s v="www.casapartemio.it"/>
    <s v="casapartemio@gmail.com"/>
    <s v="IL MONTE - CARTOCETO"/>
  </r>
  <r>
    <x v="0"/>
    <s v="IL MONTICELLO"/>
    <s v="contrada menocchia 8"/>
    <x v="122"/>
    <s v="CARASSAI"/>
    <m/>
    <s v="mauro.fioroni@postaraffaello.it"/>
    <s v="IL MONTICELLO - CARASSAI"/>
  </r>
  <r>
    <x v="0"/>
    <s v="IL MOSAICO DEL PENSIERO"/>
    <s v="via San Mariano 51"/>
    <x v="21"/>
    <s v="ALBACINA"/>
    <m/>
    <m/>
    <s v="IL MOSAICO DEL PENSIERO - FABRIANO"/>
  </r>
  <r>
    <x v="7"/>
    <s v="IL MUTINO"/>
    <s v="via del mutino 57"/>
    <x v="100"/>
    <s v="FRONTINO"/>
    <m/>
    <m/>
    <s v="IL MUTINO - FRONTINO"/>
  </r>
  <r>
    <x v="0"/>
    <s v="IL NASCONDIGLIO DI BACCO"/>
    <s v="c.da Ciafone 79"/>
    <x v="30"/>
    <s v="Borgo Miriam"/>
    <s v="www.nascondigliodibacco.it"/>
    <s v="info@nascondigliodibacco.it"/>
    <s v="IL NASCONDIGLIO DI BACCO - OFFIDA"/>
  </r>
  <r>
    <x v="5"/>
    <s v="IL NIDO"/>
    <s v="VIA PIRANO 45"/>
    <x v="57"/>
    <s v="TAVULLIA"/>
    <m/>
    <s v="lorena.buscaglia@yahoo.it"/>
    <s v="IL NIDO - TAVULLIA"/>
  </r>
  <r>
    <x v="5"/>
    <s v="IL NIDO DEL CUCULO"/>
    <s v="contrada colcu' 12"/>
    <x v="90"/>
    <s v="CALDAROLA"/>
    <s v="www.ilnidodelcuculo.it"/>
    <s v="susannafab@tiscali.it"/>
    <s v="IL NIDO DEL CUCULO - CALDAROLA"/>
  </r>
  <r>
    <x v="8"/>
    <s v="IL NIDO DEL FALCO di DANIELE DILETTI"/>
    <s v="contrada Molino 93"/>
    <x v="71"/>
    <s v="MONTE SAN MARTINO"/>
    <s v="www.ilnidodelfalco.com"/>
    <s v="info@ilnidodelfalco.com"/>
    <s v="IL NIDO DEL FALCO di DANIELE DILETTI - MONTE SAN MARTINO"/>
  </r>
  <r>
    <x v="5"/>
    <s v="IL NIDO SUL TETTO DI MARCHETTI ANNA"/>
    <s v="Via R. Sanzio 353/A"/>
    <x v="16"/>
    <s v="SENIGALLIA"/>
    <m/>
    <s v="annamarchetti56@libero.it"/>
    <s v="IL NIDO SUL TETTO DI MARCHETTI ANNA - SENIGALLIA"/>
  </r>
  <r>
    <x v="7"/>
    <s v="IL NOCETO"/>
    <s v="via Tomba 50"/>
    <x v="125"/>
    <m/>
    <s v="www.il-noceto.it"/>
    <s v="info@il-noceto.it"/>
    <s v="IL NOCETO - SERRUNGARINA"/>
  </r>
  <r>
    <x v="0"/>
    <s v="IL PALAZZO DI MINIERA"/>
    <s v="via fornace 1"/>
    <x v="1"/>
    <s v="URBINO"/>
    <m/>
    <s v="renato.pulisca@gmail.com"/>
    <s v="IL PALAZZO DI MINIERA - URBINO"/>
  </r>
  <r>
    <x v="0"/>
    <s v="IL PALMARONE"/>
    <m/>
    <x v="207"/>
    <m/>
    <m/>
    <s v="ilpalmarone@libero.it"/>
    <s v="IL PALMARONE - ROTELLA"/>
  </r>
  <r>
    <x v="0"/>
    <s v="IL PALOMBACCIO"/>
    <s v="via Valle 7"/>
    <x v="96"/>
    <s v="CONTRADA VALLE"/>
    <s v="www.ilpalombaccio.it"/>
    <s v="infotiscali@ilpalombaccio.it"/>
    <s v="IL PALOMBACCIO - MONTALTO DELLE MARCHE"/>
  </r>
  <r>
    <x v="3"/>
    <s v="IL PANORAMA"/>
    <s v="Via dei Biancospini  1"/>
    <x v="151"/>
    <s v="ASCOLI PICENO"/>
    <m/>
    <s v="agolor@live.it"/>
    <s v="IL PANORAMA - ASCOLI PICENO"/>
  </r>
  <r>
    <x v="13"/>
    <s v="IL PARADISO - AGRICAMPEGGIO"/>
    <s v="localita' Magliano 29"/>
    <x v="33"/>
    <s v="FANO"/>
    <s v="www.agriturismoilparadiso.altervista.org"/>
    <s v="ilparadisoagriturismo@gmail.com"/>
    <s v="IL PARADISO - AGRICAMPEGGIO - FANO"/>
  </r>
  <r>
    <x v="8"/>
    <s v="IL PARADISO DEL RE"/>
    <s v="fraz. San Pietro in Musio 6"/>
    <x v="18"/>
    <s v="SAN PIETRO IN MUSIO"/>
    <s v="www.ilparadisodelre.it"/>
    <s v="angelo@ilparadisodelre.it"/>
    <s v="IL PARADISO DEL RE - ARCEVIA"/>
  </r>
  <r>
    <x v="1"/>
    <s v="IL PARCO"/>
    <s v="via Guglielmo Marconi 6"/>
    <x v="112"/>
    <s v="GENGA"/>
    <m/>
    <s v="ristilparco@alice.it"/>
    <s v="IL PARCO - GENGA"/>
  </r>
  <r>
    <x v="0"/>
    <s v="IL PARCO DI KIPO"/>
    <s v="via Margherita 23"/>
    <x v="219"/>
    <m/>
    <s v="www.parcodikipo.it"/>
    <s v="info@parcodikipo.it"/>
    <s v="IL PARCO DI KIPO - MONTEFANO"/>
  </r>
  <r>
    <x v="0"/>
    <s v="IL PARCO E LA LUNA"/>
    <s v="Via Piantate Lunghe 152"/>
    <x v="10"/>
    <s v="MONTESICURO"/>
    <s v="www.ilparcoancona.it"/>
    <s v="ilparco@email.it"/>
    <s v="IL PARCO E LA LUNA - ANCONA"/>
  </r>
  <r>
    <x v="5"/>
    <s v="IL PENTOLONE IN COMPAGNIA"/>
    <s v="fraz. Avacelli 26"/>
    <x v="18"/>
    <s v="AVACELLI"/>
    <s v="www.pentoloneincompagnia.it"/>
    <s v="pentolone@live.it"/>
    <s v="IL PENTOLONE IN COMPAGNIA - ARCEVIA"/>
  </r>
  <r>
    <x v="5"/>
    <s v="IL PENTOLONE IN COMPAGNIA"/>
    <s v="fraz. Avacelli 38"/>
    <x v="18"/>
    <s v="AVACELLI"/>
    <m/>
    <m/>
    <s v="IL PENTOLONE IN COMPAGNIA - ARCEVIA"/>
  </r>
  <r>
    <x v="4"/>
    <s v="IL PESCATORE"/>
    <s v="viale trieste 27 27"/>
    <x v="12"/>
    <m/>
    <s v="info@ilpescatore.info"/>
    <s v="www.ilpescatore.info"/>
    <s v="IL PESCATORE - SAN BENEDETTO DEL TRONTO"/>
  </r>
  <r>
    <x v="5"/>
    <s v="IL PETTIROSSO"/>
    <s v="Via San Bonaventura 12"/>
    <x v="137"/>
    <s v="San Bonaventura"/>
    <s v="www.pettirosso.eu"/>
    <s v="galemar24@gmail.com"/>
    <s v="IL PETTIROSSO - OSTRA"/>
  </r>
  <r>
    <x v="0"/>
    <s v="IL PETTIROSSO"/>
    <s v="c.da Monterosato 3"/>
    <x v="37"/>
    <s v="FERMO"/>
    <m/>
    <m/>
    <s v="IL PETTIROSSO - FERMO"/>
  </r>
  <r>
    <x v="0"/>
    <s v="IL PICCHIO"/>
    <s v="frazione Pie Casavecchia 13"/>
    <x v="114"/>
    <s v="PIEVE TORINA"/>
    <m/>
    <m/>
    <s v="IL PICCHIO - PIEVE TORINA"/>
  </r>
  <r>
    <x v="0"/>
    <s v="IL PICCHIO - MADONNABRUNA"/>
    <s v="contrada Camera di Fermo 100"/>
    <x v="37"/>
    <s v="FERMO"/>
    <s v="www.madonnabruna.it"/>
    <s v="azienda@madonnabruna.it"/>
    <s v="IL PICCHIO - MADONNABRUNA - FERMO"/>
  </r>
  <r>
    <x v="4"/>
    <s v="IL PICCOLO LIDO - BAGNI N° 67"/>
    <s v="lungomare alighieri 67 67"/>
    <x v="16"/>
    <s v="SENIGALLIA"/>
    <m/>
    <m/>
    <s v="IL PICCOLO LIDO - BAGNI N° 67 - SENIGALLIA"/>
  </r>
  <r>
    <x v="4"/>
    <s v="IL PICCOLO LIDO - BAGNI N° 68"/>
    <m/>
    <x v="16"/>
    <s v="SENIGALLIA"/>
    <m/>
    <m/>
    <s v="IL PICCOLO LIDO - BAGNI N° 68 - SENIGALLIA"/>
  </r>
  <r>
    <x v="8"/>
    <s v="IL PIGNOCCO"/>
    <s v="strada del Pignocco 3"/>
    <x v="69"/>
    <s v="PESARO"/>
    <s v="www.ilpignocco.it"/>
    <s v="info@ilpignocco.it"/>
    <s v="IL PIGNOCCO - PESARO"/>
  </r>
  <r>
    <x v="4"/>
    <s v="IL PIRATA"/>
    <m/>
    <x v="23"/>
    <s v="PORTO RECANATI"/>
    <m/>
    <m/>
    <s v="IL PIRATA - PORTO RECANATI"/>
  </r>
  <r>
    <x v="4"/>
    <s v="IL PIRATA"/>
    <m/>
    <x v="12"/>
    <m/>
    <m/>
    <m/>
    <s v="IL PIRATA - SAN BENEDETTO DEL TRONTO"/>
  </r>
  <r>
    <x v="0"/>
    <s v="IL PODERE"/>
    <s v="strada delle valli 8"/>
    <x v="101"/>
    <s v="ISOLA DEL PIANO"/>
    <m/>
    <m/>
    <s v="IL PODERE - ISOLA DEL PIANO"/>
  </r>
  <r>
    <x v="3"/>
    <s v="IL PODERE"/>
    <s v="via Marina 36"/>
    <x v="41"/>
    <s v="MONTEMARCIANO"/>
    <m/>
    <m/>
    <s v="IL PODERE - MONTEMARCIANO"/>
  </r>
  <r>
    <x v="0"/>
    <s v="IL PODERINO DELLA NONNA"/>
    <s v="contrada San Giovanni 30"/>
    <x v="120"/>
    <s v="MONTEFIORE DELL' ASO"/>
    <s v="www.ilpoderinodellanonna.it"/>
    <s v="info@ilpoderinodellanonna.it"/>
    <s v="IL PODERINO DELLA NONNA - MONTEFIORE DELL'ASO"/>
  </r>
  <r>
    <x v="1"/>
    <s v="IL POGGETTO"/>
    <s v="c.so Vittorio Veneto 2"/>
    <x v="192"/>
    <s v="TAVOLETO"/>
    <s v="www.ilpoggetto.eu"/>
    <s v="info@ilpoggetto.eu"/>
    <s v="IL POGGETTO - TAVOLETO"/>
  </r>
  <r>
    <x v="5"/>
    <s v="IL POGGETTO"/>
    <s v="Via Maranello 21"/>
    <x v="17"/>
    <s v="CIVITANOVA MARCHE"/>
    <s v="www.ilpoggetto-bedbreakfast.it"/>
    <s v="ilpoggettobb@gmail.com"/>
    <s v="IL POGGETTO - CIVITANOVA MARCHE"/>
  </r>
  <r>
    <x v="0"/>
    <s v="IL POGGIO"/>
    <s v="frazione Poggio 6"/>
    <x v="138"/>
    <s v="ANCONA"/>
    <m/>
    <m/>
    <s v="IL POGGIO - FRONTONE"/>
  </r>
  <r>
    <x v="0"/>
    <s v="IL POGGIO"/>
    <s v="via san martino 89"/>
    <x v="186"/>
    <s v="CASTELSANTANGELO SUL NERA"/>
    <m/>
    <m/>
    <s v="IL POGGIO - CASTELSANTANGELO SUL NERA"/>
  </r>
  <r>
    <x v="8"/>
    <s v="IL POGGIO DELLE ARMONIE"/>
    <s v="via pecciane  18"/>
    <x v="185"/>
    <s v="PIEVEBOVIGLIANA"/>
    <s v="www.ilpoggiodellearmonie.it"/>
    <s v="info@ilpoggiodellearmonie.it"/>
    <s v="IL POGGIO DELLE ARMONIE - PIEVEBOVIGLIANA"/>
  </r>
  <r>
    <x v="3"/>
    <s v="IL POGGIO DI D'ANGELI LIDIA"/>
    <s v="Via Poggio San Giovanni 9"/>
    <x v="171"/>
    <s v="AUDITORE"/>
    <m/>
    <s v="info@baita7nani.com"/>
    <s v="IL POGGIO DI D'ANGELI LIDIA - AUDITORE"/>
  </r>
  <r>
    <x v="3"/>
    <s v="IL POGGIO DI D'ANGELI LIDIA AFFITTACAMERE"/>
    <s v="Via Poggio San Giovanni 17"/>
    <x v="171"/>
    <s v="AUDITORE"/>
    <m/>
    <s v="info@baita7nani.com"/>
    <s v="IL POGGIO DI D'ANGELI LIDIA AFFITTACAMERE - AUDITORE"/>
  </r>
  <r>
    <x v="4"/>
    <s v="IL PORTICCIOLO"/>
    <s v="spiaggia Palombina Nuova 7"/>
    <x v="10"/>
    <m/>
    <m/>
    <s v="capogrossi.g@pec.confartigianato.it"/>
    <s v="IL PORTICCIOLO - ANCONA"/>
  </r>
  <r>
    <x v="4"/>
    <s v="IL PORTICCIOLO"/>
    <s v="via Nazario Sauro 7 7"/>
    <x v="32"/>
    <m/>
    <s v="stefano.abbadini@libero.it"/>
    <m/>
    <s v="IL PORTICCIOLO - CUPRA MARITTIMA"/>
  </r>
  <r>
    <x v="3"/>
    <s v="IL PORTICO"/>
    <s v="TOSI 9"/>
    <x v="33"/>
    <s v="LE TORRETTE"/>
    <s v="www.ilportico-fano.it"/>
    <s v="info@ilportico-fano.it"/>
    <s v="IL PORTICO - FANO"/>
  </r>
  <r>
    <x v="5"/>
    <s v="IL POSTO DELLE FATE"/>
    <s v="via duchi del montefeltro 26"/>
    <x v="1"/>
    <s v="URBINO"/>
    <s v="www.postodellefate.it"/>
    <s v="m.dubaldo@libero.it"/>
    <s v="IL POSTO DELLE FATE - URBINO"/>
  </r>
  <r>
    <x v="0"/>
    <s v="IL POSTO DELLE VIOLE"/>
    <s v="Località Fornaci di Paravento 123"/>
    <x v="75"/>
    <s v="CAGLI"/>
    <s v="www.ilpostodelleviole.it"/>
    <s v="cesare@ilpostodelleviole.it"/>
    <s v="IL POSTO DELLE VIOLE - CAGLI"/>
  </r>
  <r>
    <x v="13"/>
    <s v="IL PRATO - AGRICAMPEGGIO"/>
    <s v="localita' Metaurilia 81"/>
    <x v="33"/>
    <s v="FANO"/>
    <m/>
    <m/>
    <s v="IL PRATO - AGRICAMPEGGIO - FANO"/>
  </r>
  <r>
    <x v="13"/>
    <s v="IL PRATO DEI GRILLI - AGRICAMPEGGIO"/>
    <s v="localita' Belgatto 75"/>
    <x v="33"/>
    <s v="FANO"/>
    <s v="www.pratodeigrilli.it"/>
    <s v="pratodeigrilli@libero.it"/>
    <s v="IL PRATO DEI GRILLI - AGRICAMPEGGIO - FANO"/>
  </r>
  <r>
    <x v="1"/>
    <s v="IL PUNTO"/>
    <s v="via Litoranea 220"/>
    <x v="20"/>
    <s v="MONDOLFO"/>
    <m/>
    <s v="info@albergoilpunto.com"/>
    <s v="IL PUNTO - MONDOLFO"/>
  </r>
  <r>
    <x v="4"/>
    <s v="IL RE DEL SOLE - SOUTH BACH"/>
    <s v="via lungomare fermano 1 1"/>
    <x v="37"/>
    <s v="fermo"/>
    <m/>
    <m/>
    <s v="IL RE DEL SOLE - SOUTH BACH - FERMO"/>
  </r>
  <r>
    <x v="0"/>
    <s v="IL RIFUGIO"/>
    <s v="strada provinciale sant'angelo 210/A"/>
    <x v="16"/>
    <s v="SENIGALLIA"/>
    <s v="www.agriturismoilrifugio.com"/>
    <s v="info@agriturismoilrifugio.com"/>
    <s v="IL RIFUGIO - SENIGALLIA"/>
  </r>
  <r>
    <x v="7"/>
    <s v="IL RIFUGIO DEI CANTICI"/>
    <s v="via Colle  2/b"/>
    <x v="11"/>
    <m/>
    <s v="www.ilrifugiodeicantici.it"/>
    <s v="info@ilrifugiodeicantici.it"/>
    <s v="IL RIFUGIO DEI CANTICI - SARNANO"/>
  </r>
  <r>
    <x v="5"/>
    <s v="IL RIFUGIO DEI MARSI"/>
    <s v="frazione Caserine 8"/>
    <x v="65"/>
    <s v="ROCCAFLUVIONE"/>
    <s v="www.bedandbreakfastascolipiceno.eu"/>
    <s v="info@ilrifugiodeimarsi.it"/>
    <s v="IL RIFUGIO DEI MARSI - ROCCAFLUVIONE"/>
  </r>
  <r>
    <x v="5"/>
    <s v="IL RIFUGIO DI APHRODITE"/>
    <s v="Via G. Puccini 17"/>
    <x v="169"/>
    <s v="CASTELFIDARDO"/>
    <m/>
    <s v="diana.iura@alice.it"/>
    <s v="IL RIFUGIO DI APHRODITE - CASTELFIDARDO"/>
  </r>
  <r>
    <x v="1"/>
    <s v="IL RISTORO DEL VIANDANTE"/>
    <s v="via dei Bastioni 12"/>
    <x v="188"/>
    <m/>
    <m/>
    <s v="danilo@cecconisrl.it; direzione@albergoconcorde.it"/>
    <s v="IL RISTORO DEL VIANDANTE - OFFAGNA"/>
  </r>
  <r>
    <x v="0"/>
    <s v="IL RITORNO"/>
    <s v="via Piani d' Aspio 12"/>
    <x v="8"/>
    <s v="SIROLO"/>
    <s v="www.ilritorno.com"/>
    <s v="info@ilritorno.com"/>
    <s v="IL RITORNO - SIROLO"/>
  </r>
  <r>
    <x v="3"/>
    <s v="IL ROCCOLO"/>
    <s v="c.da Valcerasa 60"/>
    <x v="139"/>
    <s v="TREIA"/>
    <m/>
    <s v="info@gitanos.it"/>
    <s v="IL ROCCOLO - TREIA"/>
  </r>
  <r>
    <x v="1"/>
    <s v="IL RUSPANTE"/>
    <s v="via Picena Inferiore 87"/>
    <x v="65"/>
    <s v="ROCCAFLUVIONE"/>
    <m/>
    <m/>
    <s v="IL RUSPANTE - ROCCAFLUVIONE"/>
  </r>
  <r>
    <x v="0"/>
    <s v="IL RUSTICO"/>
    <s v="fraz. Sant'Apollinare  91"/>
    <x v="18"/>
    <s v="SANT'APOLLINARE"/>
    <s v="www.agriturismoilrustico.it"/>
    <s v="info@agriturismoilrustico.it"/>
    <s v="IL RUSTICO - ARCEVIA"/>
  </r>
  <r>
    <x v="8"/>
    <s v="IL SALINO"/>
    <s v="contrada contro 20"/>
    <x v="128"/>
    <s v="GUALDO"/>
    <s v="www.ilsalino.com"/>
    <s v="info@ilsalino.com"/>
    <s v="IL SALINO - GUALDO"/>
  </r>
  <r>
    <x v="0"/>
    <s v="IL SAPORE DELLA LUNA"/>
    <s v="contrada Spiagge 23"/>
    <x v="14"/>
    <s v="MONTEPRANDONE"/>
    <s v="www.ilsaporedellaluna.it"/>
    <s v="info@ilsaporedellaluna.it"/>
    <s v="IL SAPORE DELLA LUNA - MONTEPRANDONE"/>
  </r>
  <r>
    <x v="0"/>
    <s v="IL SASSETTO"/>
    <s v="contrada Sassetto 191"/>
    <x v="11"/>
    <s v="SARNANO"/>
    <s v="www.ilsassetto.it"/>
    <s v="ilsassetto@libero.it"/>
    <s v="IL SASSETTO - SARNANO"/>
  </r>
  <r>
    <x v="8"/>
    <s v="IL SASSONE"/>
    <s v="via Inferno 11"/>
    <x v="167"/>
    <s v="CAMERANO"/>
    <s v="www.countryhouseilsassone.it"/>
    <s v="info@countryhouseilsassone.it"/>
    <s v="IL SASSONE - CAMERANO"/>
  </r>
  <r>
    <x v="3"/>
    <s v="IL SENTIERO"/>
    <s v="contrada Cona 45"/>
    <x v="104"/>
    <s v="OSTRA VETERE"/>
    <m/>
    <s v="info@il-sentiero.info"/>
    <s v="IL SENTIERO - OSTRA VETERE"/>
  </r>
  <r>
    <x v="0"/>
    <s v="IL SENTIERO"/>
    <s v="c.da Fonte d' Ercole 11"/>
    <x v="96"/>
    <m/>
    <s v="www.bbilsentiero.it"/>
    <s v="info@bbilsentiero.it"/>
    <s v="IL SENTIERO - MONTALTO DELLE MARCHE"/>
  </r>
  <r>
    <x v="8"/>
    <s v="IL SENTIERO DEGLI AILANTI"/>
    <s v="via Rustichelle 8"/>
    <x v="218"/>
    <s v="CERRETO D' ESI"/>
    <s v="www.ilsentierodegliailanti.it"/>
    <s v="info@ilsentierodegliailanti.it"/>
    <s v="IL SENTIERO DEGLI AILANTI - CERRETO D'ESI"/>
  </r>
  <r>
    <x v="5"/>
    <s v="IL SESTANTE"/>
    <s v="VIA VASCO DE GAMA 164"/>
    <x v="17"/>
    <s v="CIVITANOVA MARCHE"/>
    <m/>
    <s v="ilsestantebb@gmail.com"/>
    <s v="IL SESTANTE - CIVITANOVA MARCHE"/>
  </r>
  <r>
    <x v="3"/>
    <s v="IL SETTECENTO di Servili Francesco"/>
    <s v="via Collericcardo 18"/>
    <x v="142"/>
    <s v="San Giovanni"/>
    <s v="www.ilsettecento.it"/>
    <s v="info@ilsettecento.it"/>
    <s v="IL SETTECENTO di Servili Francesco - FORCE"/>
  </r>
  <r>
    <x v="3"/>
    <s v="IL SETTIMO BORGO DI VOETMAN"/>
    <s v="Viale Degli Eroi 78"/>
    <x v="60"/>
    <s v="CORINALDO"/>
    <s v="www.ilsettimoborgo.it"/>
    <s v="info@ilsettimoborgo.it"/>
    <s v="IL SETTIMO BORGO DI VOETMAN - CORINALDO"/>
  </r>
  <r>
    <x v="5"/>
    <s v="IL SICOMORO"/>
    <s v="Via XXX Luglio 4"/>
    <x v="81"/>
    <s v="MONTECAROTTO"/>
    <m/>
    <s v="r.chiappetti@alice.it"/>
    <s v="IL SICOMORO - MONTECAROTTO"/>
  </r>
  <r>
    <x v="8"/>
    <s v="IL SOGNO DI TINO"/>
    <s v="Via Croce  18"/>
    <x v="46"/>
    <s v="CABERNARDI"/>
    <m/>
    <s v="sole.cav@virgilio.it"/>
    <s v="IL SOGNO DI TINO - SASSOFERRATO"/>
  </r>
  <r>
    <x v="3"/>
    <s v="IL TELAIO"/>
    <s v="piazzuola Sabato del Villaggio 5"/>
    <x v="56"/>
    <m/>
    <m/>
    <s v="casaleopardi@giacomoleopardi.it"/>
    <s v="IL TELAIO - RECANATI"/>
  </r>
  <r>
    <x v="0"/>
    <s v="IL TEMPIO DI NOVANA"/>
    <s v="contrada Aso 44"/>
    <x v="135"/>
    <s v="MONTE RINALDO"/>
    <s v="danieletom83@libero.it"/>
    <s v="info@tempiodinovana.eu"/>
    <s v="IL TEMPIO DI NOVANA - MONTE RINALDO"/>
  </r>
  <r>
    <x v="5"/>
    <s v="IL TERRAZZINO"/>
    <s v="Via Ciro Menotti 103"/>
    <x v="69"/>
    <s v="PESARO"/>
    <m/>
    <s v="bedandbreakfastlaterrazza@yahoo.it"/>
    <s v="IL TERRAZZINO - PESARO"/>
  </r>
  <r>
    <x v="5"/>
    <s v="IL TERRAZZINO"/>
    <s v="Via del Molino 17"/>
    <x v="37"/>
    <s v="FERMO"/>
    <s v="www.ilterrazzino.wordpress.com"/>
    <s v="ilterrazzinobb@gmail.com"/>
    <s v="IL TERRAZZINO - FERMO"/>
  </r>
  <r>
    <x v="5"/>
    <s v="IL TERRAZZO DELLE RONDINI"/>
    <s v="C.DA MADONNA MANU' 51"/>
    <x v="29"/>
    <m/>
    <m/>
    <s v="ilterrazzodellerondini@gmail.com"/>
    <s v="IL TERRAZZO DELLE RONDINI - LAPEDONA"/>
  </r>
  <r>
    <x v="8"/>
    <s v="IL TIGLIO"/>
    <s v="via Fontisa 2"/>
    <x v="53"/>
    <s v="MERGO"/>
    <s v="www.countryhouseiltiglio.it"/>
    <s v="info@countryhouseiltiglio.it"/>
    <s v="IL TIGLIO - MERGO"/>
  </r>
  <r>
    <x v="7"/>
    <s v="IL TIGLIO"/>
    <s v="Via Sassetello 6"/>
    <x v="46"/>
    <s v="SASSETELLO"/>
    <m/>
    <s v="iltiglio2015@gmail.com"/>
    <s v="IL TIGLIO - SASSOFERRATO"/>
  </r>
  <r>
    <x v="10"/>
    <s v="IL TIGLIO"/>
    <s v="loc. Convento 2"/>
    <x v="226"/>
    <s v="CONVENTO"/>
    <m/>
    <s v="giovasoldado90@hotmail.it"/>
    <s v="IL TIGLIO - URBISAGLIA"/>
  </r>
  <r>
    <x v="0"/>
    <s v="IL TIGLIO DI MAZZARONI ENRICO"/>
    <s v="frazione Isola San Biagio 1"/>
    <x v="153"/>
    <s v="MONTEMONACO"/>
    <m/>
    <s v="ristoranteiltiglio@yahoo.it"/>
    <s v="IL TIGLIO DI MAZZARONI ENRICO - MONTEMONACO"/>
  </r>
  <r>
    <x v="5"/>
    <s v="IL TIMONE"/>
    <s v="via Matteo Ricci 61"/>
    <x v="17"/>
    <s v="CIVITANOVA MARCHE"/>
    <m/>
    <s v="timone_civitanova@hotmail.com"/>
    <s v="IL TIMONE - CIVITANOVA MARCHE"/>
  </r>
  <r>
    <x v="4"/>
    <s v="IL TIMONE"/>
    <m/>
    <x v="12"/>
    <m/>
    <s v="info@hotelhauscharlotte.it"/>
    <m/>
    <s v="IL TIMONE - SAN BENEDETTO DEL TRONTO"/>
  </r>
  <r>
    <x v="1"/>
    <s v="IL TIMONE"/>
    <s v="via Kennedy 85"/>
    <x v="47"/>
    <s v="PORTO SAN GIORGIO"/>
    <s v="www.hoteltimone.com"/>
    <s v="info@hoteltimone.com"/>
    <s v="IL TIMONE - PORTO SAN GIORGIO"/>
  </r>
  <r>
    <x v="1"/>
    <s v="IL TORRIONE"/>
    <s v="via circonvallazione 14"/>
    <x v="171"/>
    <s v="AUDITORE"/>
    <s v="www.albergoiltorrione.it"/>
    <s v="info@albergoiltorrione.it"/>
    <s v="IL TORRIONE - AUDITORE"/>
  </r>
  <r>
    <x v="0"/>
    <s v="IL TRANSUMANTE"/>
    <s v="Contrada Marolino 3"/>
    <x v="148"/>
    <s v="POTENZA PICENA"/>
    <m/>
    <s v="transumante@alice.it"/>
    <s v="IL TRANSUMANTE - POTENZA PICENA"/>
  </r>
  <r>
    <x v="14"/>
    <s v="IL TRIBBIO DI RICOTTINI GIANCARLO"/>
    <s v="via Monte Coglia snc"/>
    <x v="74"/>
    <m/>
    <s v="www.rifugioditribbio.com"/>
    <s v="info@rifugioditribbio.com"/>
    <s v="IL TRIBBIO DI RICOTTINI GIANCARLO - FIASTRA"/>
  </r>
  <r>
    <x v="4"/>
    <s v="IL TRITONE"/>
    <m/>
    <x v="12"/>
    <m/>
    <m/>
    <m/>
    <s v="IL TRITONE - SAN BENEDETTO DEL TRONTO"/>
  </r>
  <r>
    <x v="4"/>
    <s v="IL TUCANO"/>
    <s v="viale alcide de gasperi 73 73"/>
    <x v="5"/>
    <m/>
    <m/>
    <m/>
    <s v="IL TUCANO - GROTTAMMARE"/>
  </r>
  <r>
    <x v="1"/>
    <s v="IL TUO CORBEZZOLO"/>
    <s v="via Sant'Egidio 25"/>
    <x v="3"/>
    <s v="RIPATRANSONE"/>
    <s v="www.hotel-corbezzolo.com"/>
    <s v="info@hotel-corbezzolo.com"/>
    <s v="IL TUO CORBEZZOLO - RIPATRANSONE"/>
  </r>
  <r>
    <x v="4"/>
    <s v="IL VALENTINO"/>
    <m/>
    <x v="10"/>
    <s v="spiaggia Passetto"/>
    <s v="info@lalunaalpassetto.it"/>
    <s v="www.lalunaalpassetto.it/index.php/il-valentino/"/>
    <s v="IL VALENTINO - ANCONA"/>
  </r>
  <r>
    <x v="6"/>
    <s v="IL VASCELLO"/>
    <s v="viale della repubblica 15"/>
    <x v="23"/>
    <s v="PORTO RECANATI"/>
    <m/>
    <s v="Ilvascello68@hotmail.com"/>
    <s v="IL VASCELLO - PORTO RECANATI"/>
  </r>
  <r>
    <x v="13"/>
    <s v="IL VECCHIO ED IL MARE"/>
    <m/>
    <x v="5"/>
    <s v="GROTTAMMARE"/>
    <m/>
    <s v="ittiturismo@tiscali.it"/>
    <s v="IL VECCHIO ED IL MARE - GROTTAMMARE"/>
  </r>
  <r>
    <x v="1"/>
    <s v="IL VECCHIO GRANAIO"/>
    <s v="c.da Chiaravalle 47/B"/>
    <x v="139"/>
    <s v="TREIA"/>
    <s v="www.ilvecchiogranaio.it"/>
    <s v="ilvecchiogranaio@alice.it"/>
    <s v="IL VECCHIO GRANAIO - TREIA"/>
  </r>
  <r>
    <x v="7"/>
    <s v="IL VECCHIO MANDORLO"/>
    <s v="VIA ANCARANO 8"/>
    <x v="8"/>
    <m/>
    <m/>
    <s v="massibargi@libero.it"/>
    <s v="IL VECCHIO MANDORLO - SIROLO"/>
  </r>
  <r>
    <x v="0"/>
    <s v="IL VECCHIO PIOPPO"/>
    <s v="via san girolamo 122"/>
    <x v="37"/>
    <s v="FERMO"/>
    <s v="www.ilvecchiopioppo.it"/>
    <s v="agrivecchiopioppo@libero.it"/>
    <s v="IL VECCHIO PIOPPO - FERMO"/>
  </r>
  <r>
    <x v="5"/>
    <s v="IL VECCHIO PODERE"/>
    <s v="Via Bore di Fiano 4"/>
    <x v="97"/>
    <s v="MONTE GIBERTO"/>
    <m/>
    <m/>
    <s v="IL VECCHIO PODERE - MONTE GIBERTO"/>
  </r>
  <r>
    <x v="0"/>
    <s v="IL VECCHIO SCORNABECCO"/>
    <s v="strada Scornabecco 85"/>
    <x v="16"/>
    <s v="SCAPEZZANO"/>
    <s v="www.ilvecchioscornabecco.com"/>
    <s v="info@ilvecchioscornabecco.com"/>
    <s v="IL VECCHIO SCORNABECCO - SENIGALLIA"/>
  </r>
  <r>
    <x v="3"/>
    <s v="IL VECCHIO TASSO (BASSETTI CLAUDIA)"/>
    <s v="CONTRADA DURANO 8"/>
    <x v="63"/>
    <m/>
    <s v="www.tassodurano.it"/>
    <s v="tassodurano@tiscali.it"/>
    <s v="IL VECCHIO TASSO (BASSETTI CLAUDIA) - SMERILLO"/>
  </r>
  <r>
    <x v="1"/>
    <s v="IL VELIERO"/>
    <s v="VIALE AMERICA 1/a,b"/>
    <x v="190"/>
    <s v="VIALE AMERICA"/>
    <m/>
    <m/>
    <s v="IL VELIERO - MAGLIANO DI TENNA"/>
  </r>
  <r>
    <x v="3"/>
    <s v="IL VICOLO RELAIS"/>
    <s v="via Garibaldi 36"/>
    <x v="8"/>
    <m/>
    <s v="www.ilvicolosirolo.it"/>
    <s v="info@ilvicolosirolo.it"/>
    <s v="IL VICOLO RELAIS - SIROLO"/>
  </r>
  <r>
    <x v="0"/>
    <s v="IL VIGNETO"/>
    <s v="c.da Santa Croce 11"/>
    <x v="206"/>
    <m/>
    <m/>
    <s v="ilvignetocasale@gmail.com"/>
    <s v="IL VIGNETO - MOGLIANO"/>
  </r>
  <r>
    <x v="3"/>
    <s v="IL VILLINO"/>
    <m/>
    <x v="15"/>
    <m/>
    <m/>
    <s v="info@studiocommercialemarchianiematteucci.191.it"/>
    <s v="IL VILLINO - LORETO"/>
  </r>
  <r>
    <x v="8"/>
    <s v="IL VILLINO CAMPAGNOLO"/>
    <m/>
    <x v="60"/>
    <s v="INCANCELLATA"/>
    <m/>
    <m/>
    <s v="IL VILLINO CAMPAGNOLO - CORINALDO"/>
  </r>
  <r>
    <x v="5"/>
    <s v="IL VIRGINIA"/>
    <s v="Via Picena Superiore 25"/>
    <x v="65"/>
    <s v="ROCCAFLUVIONE"/>
    <m/>
    <m/>
    <s v="IL VIRGINIA - ROCCAFLUVIONE"/>
  </r>
  <r>
    <x v="7"/>
    <s v="ILARI SERENELLA"/>
    <s v="LUNGOMARE DANTE ALIGHIERI 14"/>
    <x v="16"/>
    <s v="SENIGALLIA"/>
    <m/>
    <s v="affittiestivi@belenchia.com"/>
    <s v="ILARI SERENELLA - SENIGALLIA"/>
  </r>
  <r>
    <x v="7"/>
    <s v="ILARIA, LUIGI MOSCATELLI"/>
    <s v="via Cristoforo Colombo 16"/>
    <x v="20"/>
    <m/>
    <m/>
    <s v="martasora@hotmail.it"/>
    <s v="ILARIA, LUIGI MOSCATELLI - MONDOLFO"/>
  </r>
  <r>
    <x v="0"/>
    <s v="ILPICCOLO BOSCO"/>
    <s v="contrada san biagio 7"/>
    <x v="37"/>
    <s v="FERMO"/>
    <m/>
    <s v="ilpiccolobosco@virgilio.it"/>
    <s v="ILPICCOLO BOSCO - FERMO"/>
  </r>
  <r>
    <x v="3"/>
    <s v="IMMOBILIARE LE PIANE SNC"/>
    <s v="via san giuseppe 58"/>
    <x v="50"/>
    <s v="CAMERATA PICENA"/>
    <m/>
    <s v="ristorantelepiane@alice.it"/>
    <s v="IMMOBILIARE LE PIANE SNC - CAMERATA PICENA"/>
  </r>
  <r>
    <x v="3"/>
    <s v="IMMOBILIARE SAN VITO"/>
    <s v="via palombina vecchia 18"/>
    <x v="22"/>
    <s v="FALCONARA MARITTIMA"/>
    <m/>
    <s v="gardoni.rolando@tiscali.it"/>
    <s v="IMMOBILIARE SAN VITO - FALCONARA MARITTIMA"/>
  </r>
  <r>
    <x v="3"/>
    <s v="IMMOBILIARE TURISTICA BRANCHINI"/>
    <s v="via Litoranea 37"/>
    <x v="9"/>
    <s v="NUMANA"/>
    <s v="www.immobiliarebranchini.it"/>
    <s v="info@immobiliarebranchini.it"/>
    <s v="IMMOBILIARE TURISTICA BRANCHINI - NUMANA"/>
  </r>
  <r>
    <x v="1"/>
    <s v="IMPERIAL"/>
    <s v="via faa' di bruno 119"/>
    <x v="33"/>
    <s v="Ponte Sasso Marotta"/>
    <s v="www.hotel-imperial.it"/>
    <s v="info@hotel-imperial.it"/>
    <s v="IMPERIAL - FANO"/>
  </r>
  <r>
    <x v="1"/>
    <s v="IMPERIAL"/>
    <s v="via Indipendenza 25"/>
    <x v="12"/>
    <s v="SAN BENEDETTO DEL TRONTO"/>
    <s v="www.hotelimperial.it"/>
    <s v="info@hotelimperial.it"/>
    <s v="IMPERIAL - SAN BENEDETTO DEL TRONTO"/>
  </r>
  <r>
    <x v="4"/>
    <s v="IMPERIAL BEACH"/>
    <m/>
    <x v="12"/>
    <m/>
    <s v="info@hotelimperial.it"/>
    <m/>
    <s v="IMPERIAL BEACH - SAN BENEDETTO DEL TRONTO"/>
  </r>
  <r>
    <x v="0"/>
    <s v="IMPRESA AGRICOLA CALVARESI MARIA"/>
    <s v="via pallino 1"/>
    <x v="199"/>
    <s v="SPINETOLI"/>
    <m/>
    <m/>
    <s v="IMPRESA AGRICOLA CALVARESI MARIA - SPINETOLI"/>
  </r>
  <r>
    <x v="0"/>
    <s v="IMPRESA AGRICOLA MASSI GIOVANNI"/>
    <m/>
    <x v="199"/>
    <m/>
    <m/>
    <m/>
    <s v="IMPRESA AGRICOLA MASSI GIOVANNI - SPINETOLI"/>
  </r>
  <r>
    <x v="3"/>
    <s v="IN TOWN LUXURY HOUSE"/>
    <s v="via Roma 12"/>
    <x v="42"/>
    <m/>
    <s v="www.intowncamerino.com"/>
    <s v="info@intowncamerino.com"/>
    <s v="IN TOWN LUXURY HOUSE - CAMERINO"/>
  </r>
  <r>
    <x v="5"/>
    <s v="INCANTO SOTTO IL MARE"/>
    <s v="Via Faustina Maratta 1"/>
    <x v="12"/>
    <s v="SAN BENEDETTO DEL TRONTO"/>
    <s v="www.incantosottoilmare.it"/>
    <s v="info@incantosottoilmare.it"/>
    <s v="INCANTO SOTTO IL MARE - SAN BENEDETTO DEL TRONTO"/>
  </r>
  <r>
    <x v="5"/>
    <s v="incentro"/>
    <s v="via Mura Orientali 20/a"/>
    <x v="4"/>
    <s v="JESI"/>
    <s v="www.incentrojesi.it"/>
    <s v="info@incentrojesi.it"/>
    <s v="incentro - JESI"/>
  </r>
  <r>
    <x v="0"/>
    <s v="INFINITI ORIZZONTI"/>
    <s v="contrada Torre di Morro 27"/>
    <x v="132"/>
    <m/>
    <m/>
    <s v="mariateresaeleuteri@virgilio.it"/>
    <s v="INFINITI ORIZZONTI - SAN GINESIO"/>
  </r>
  <r>
    <x v="1"/>
    <s v="INTERNATIONAL"/>
    <s v="via Vittorio Veneto 165"/>
    <x v="28"/>
    <s v="GABICCE MARE"/>
    <s v="www.internationalgabicce.com"/>
    <s v="info@internationalgabicce.com"/>
    <s v="INTERNATIONAL - GABICCE MARE"/>
  </r>
  <r>
    <x v="1"/>
    <s v="INTERNATIONAL"/>
    <s v="lungomare mameli 44"/>
    <x v="16"/>
    <s v="SENIGALLIA"/>
    <s v="www.hotelinternationalsenigallia.com"/>
    <s v="info@hotelinternationalsenigallia.com"/>
    <s v="INTERNATIONAL - SENIGALLIA"/>
  </r>
  <r>
    <x v="1"/>
    <s v="INTERNATIONAL CAGLI HOTEL SRL"/>
    <s v="strada Civita  5"/>
    <x v="75"/>
    <s v="CAGLI"/>
    <m/>
    <s v="info@internationalcaglihotel.it"/>
    <s v="INTERNATIONAL CAGLI HOTEL SRL - CAGLI"/>
  </r>
  <r>
    <x v="1"/>
    <s v="INTERNAZIONALE"/>
    <s v="via Portonovo 148"/>
    <x v="10"/>
    <s v="Baia di Portonovo"/>
    <s v="www.hotel-internazionale.com"/>
    <s v="info@hotel-internazionale.com"/>
    <s v="INTERNAZIONALE - ANCONA"/>
  </r>
  <r>
    <x v="4"/>
    <s v="IPPOCAMPO - N. 35"/>
    <m/>
    <x v="17"/>
    <s v="CIVITANOVA MARCHE"/>
    <s v="ippocampo2012@gmail.com"/>
    <s v="ippocampo2012@gmail.com"/>
    <s v="IPPOCAMPO - N. 35 - CIVITANOVA MARCHE"/>
  </r>
  <r>
    <x v="7"/>
    <s v="ISABELLE SARAH CORBETT"/>
    <s v="via Santa Cecilia  30"/>
    <x v="80"/>
    <m/>
    <m/>
    <s v="ir@isabelleriviere.it"/>
    <s v="ISABELLE SARAH CORBETT - URBANIA"/>
  </r>
  <r>
    <x v="3"/>
    <s v="ISIDORI PATRIZIO"/>
    <s v="via papa sisto iv 1"/>
    <x v="128"/>
    <s v="GUALDO"/>
    <m/>
    <s v="manila.isidori@alice.it"/>
    <s v="ISIDORI PATRIZIO - GUALDO"/>
  </r>
  <r>
    <x v="4"/>
    <s v="ISLAMORADA DOG-BEACH"/>
    <s v="Via Faa di Bruno SN"/>
    <x v="33"/>
    <s v="PONTE SASSO"/>
    <s v="www.islamorada.it"/>
    <s v="info@islamorada.it"/>
    <s v="ISLAMORADA DOG-BEACH - FANO"/>
  </r>
  <r>
    <x v="9"/>
    <s v="ISOLA SAN BIAGIO"/>
    <m/>
    <x v="153"/>
    <s v="ISOLA SAN BIAGIO"/>
    <m/>
    <m/>
    <s v="ISOLA SAN BIAGIO - MONTEMONACO"/>
  </r>
  <r>
    <x v="9"/>
    <s v="ISTITUTO FIGLIE DELL'ADDOLORATA"/>
    <s v="viale Regina Margherita 11"/>
    <x v="148"/>
    <s v="POTENZA PICENA"/>
    <m/>
    <m/>
    <s v="ISTITUTO FIGLIE DELL'ADDOLORATA - POTENZA PICENA"/>
  </r>
  <r>
    <x v="9"/>
    <s v="ISTITUTO SALESIANO MADONNA DI LORETO"/>
    <s v="via San Giovanni Bosco Burbera 7"/>
    <x v="15"/>
    <s v="LORETO"/>
    <m/>
    <s v="loreto-economosdb@donbosco.it"/>
    <s v="ISTITUTO SALESIANO MADONNA DI LORETO - LORETO"/>
  </r>
  <r>
    <x v="13"/>
    <s v="ISTITUTO SANTA FELICITA"/>
    <s v="via del fiancale 1"/>
    <x v="1"/>
    <s v="URBINO"/>
    <m/>
    <m/>
    <s v="ISTITUTO SANTA FELICITA - URBINO"/>
  </r>
  <r>
    <x v="9"/>
    <s v="ISTITUTO SUORE DISCEPOLE DI GESU' EUCARISTICO"/>
    <s v="via San Francesco 8"/>
    <x v="195"/>
    <s v="SALTARA"/>
    <m/>
    <s v="sdgesanfrancesco@libero.it"/>
    <s v="ISTITUTO SUORE DISCEPOLE DI GESU' EUCARISTICO - SALTARA"/>
  </r>
  <r>
    <x v="9"/>
    <s v="ISTITUTO SUORE SAN GIOVANNI BATTISTA"/>
    <s v="via San Martino 143"/>
    <x v="12"/>
    <s v="SAN BENEDETTO DEL TRONTO"/>
    <m/>
    <s v="comunitasbt@gmail.com"/>
    <s v="ISTITUTO SUORE SAN GIOVANNI BATTISTA - SAN BENEDETTO DEL TRONTO"/>
  </r>
  <r>
    <x v="9"/>
    <s v="ISTITUTO VIRGO LAURETANA"/>
    <s v="via G. Parini 69/73"/>
    <x v="5"/>
    <s v="GROTTAMMARE"/>
    <s v="www.virgolauretana.it"/>
    <s v="info@virgolauretana.it"/>
    <s v="ISTITUTO VIRGO LAURETANA - GROTTAMMARE"/>
  </r>
  <r>
    <x v="4"/>
    <s v="ITACA BEACH N 6/7"/>
    <s v="strada Marina Ardizia snc snc"/>
    <x v="69"/>
    <m/>
    <m/>
    <m/>
    <s v="ITACA BEACH N 6/7 - PESARO"/>
  </r>
  <r>
    <x v="1"/>
    <s v="ITALIA"/>
    <s v="corso giuseppe garibaldi 32"/>
    <x v="1"/>
    <s v="URBINO"/>
    <s v="www.albergo-italia-urbino.it"/>
    <s v="info@albergo-italia-urbino.it"/>
    <s v="ITALIA - URBINO"/>
  </r>
  <r>
    <x v="1"/>
    <s v="ITALIA"/>
    <s v="piazza Carlo e Nello Rosselli 9"/>
    <x v="10"/>
    <s v="ANCONA"/>
    <s v="www.albergoitaliaancona.com"/>
    <s v="hotel-italia@libero.it"/>
    <s v="ITALIA - ANCONA"/>
  </r>
  <r>
    <x v="1"/>
    <s v="ITALIA"/>
    <s v="Lungomare Dante Alighieri 108"/>
    <x v="16"/>
    <s v="SENIGALLIA"/>
    <s v="www.hotelitalia-senigallia.it"/>
    <s v="hotelitalia.senigallia@gmail.com"/>
    <s v="ITALIA - SENIGALLIA"/>
  </r>
  <r>
    <x v="1"/>
    <s v="ITALIA MEUBLE'"/>
    <s v="via Vittorio Veneto 132"/>
    <x v="28"/>
    <s v="GABICCE MARE"/>
    <s v="www.hotelitaliagabiccemare.com"/>
    <s v="info@hotelitaliagabiccemare.com"/>
    <s v="ITALIA MEUBLE' - GABICCE MARE"/>
  </r>
  <r>
    <x v="7"/>
    <s v="ITALO BOIANI"/>
    <s v="via Raffaello Jozzino 1 e 25"/>
    <x v="33"/>
    <m/>
    <m/>
    <m/>
    <s v="ITALO BOIANI - FANO"/>
  </r>
  <r>
    <x v="3"/>
    <s v="IURA FAUSTO"/>
    <s v="via rimini 14"/>
    <x v="9"/>
    <s v="NUMANA"/>
    <m/>
    <m/>
    <s v="IURA FAUSTO - NUMANA"/>
  </r>
  <r>
    <x v="1"/>
    <s v="JANUS HOTEL FABRIANO"/>
    <s v="P.le Giacomo Matteotti 45"/>
    <x v="21"/>
    <s v="FABRIANO"/>
    <s v="www.janussocietacooperativa.it"/>
    <s v="info@janussocietacooperativa.it"/>
    <s v="JANUS HOTEL FABRIANO - FABRIANO"/>
  </r>
  <r>
    <x v="1"/>
    <s v="JERRY"/>
    <s v="viale alcide de gasperi 1"/>
    <x v="5"/>
    <s v="GROTTAMMARE"/>
    <s v="www.jerryhotel.com"/>
    <s v="info@jerryhotel.com"/>
    <s v="JERRY - GROTTAMMARE"/>
  </r>
  <r>
    <x v="4"/>
    <s v="JOE AMARENA DI FILIPPO SPARACCA &amp; C. SNC"/>
    <s v="viale parigi 2 2"/>
    <x v="69"/>
    <s v="PESARO"/>
    <m/>
    <m/>
    <s v="JOE AMARENA DI FILIPPO SPARACCA &amp; C. SNC - PESARO"/>
  </r>
  <r>
    <x v="12"/>
    <s v="JOHNNY"/>
    <s v="Campofiloni  28/30"/>
    <x v="37"/>
    <s v="FERMO"/>
    <s v="www.campingjohnny.com"/>
    <s v="info@campingjohnny.com"/>
    <s v="JOHNNY - FERMO"/>
  </r>
  <r>
    <x v="4"/>
    <s v="JOSE'"/>
    <s v="viale Rinascimento 28 28"/>
    <x v="12"/>
    <m/>
    <s v="info@chaletjose.com"/>
    <s v="www.chaletjose.com"/>
    <s v="JOSE' - SAN BENEDETTO DEL TRONTO"/>
  </r>
  <r>
    <x v="4"/>
    <s v="KALAVERDE DI BALDINI CLAUDIO"/>
    <m/>
    <x v="33"/>
    <s v="Baia Metauro"/>
    <s v="mauroeoretta@alice.it"/>
    <s v="kalaverde.it"/>
    <s v="KALAVERDE DI BALDINI CLAUDIO - FANO"/>
  </r>
  <r>
    <x v="4"/>
    <s v="KENDWA BEACH DI CURSI MASSIMO"/>
    <s v="via della baia 1 1"/>
    <x v="33"/>
    <s v="FANO"/>
    <m/>
    <m/>
    <s v="KENDWA BEACH DI CURSI MASSIMO - FANO"/>
  </r>
  <r>
    <x v="7"/>
    <s v="KENNETH WILLIAM EVERETT"/>
    <s v="contrada Zazza 49"/>
    <x v="128"/>
    <m/>
    <m/>
    <s v="ken@toyfnet.com"/>
    <s v="KENNETH WILLIAM EVERETT - GUALDO"/>
  </r>
  <r>
    <x v="7"/>
    <s v="KEVIN GARRETT"/>
    <s v="via Marrone 37"/>
    <x v="128"/>
    <s v="via Morrone 37"/>
    <m/>
    <s v="casadorato311@hotmail.com"/>
    <s v="KEVIN GARRETT - GUALDO"/>
  </r>
  <r>
    <x v="4"/>
    <s v="KIRO KIRO BEACH"/>
    <m/>
    <x v="23"/>
    <m/>
    <m/>
    <m/>
    <s v="KIRO KIRO BEACH - PORTO RECANATI"/>
  </r>
  <r>
    <x v="1"/>
    <s v="KLASS HOTEL"/>
    <s v="via Adriatica 22"/>
    <x v="169"/>
    <s v="CASTELFIDARDO"/>
    <s v="www.klasshotel.it"/>
    <s v="info@klasshotel.it"/>
    <s v="KLASS HOTEL - CASTELFIDARDO"/>
  </r>
  <r>
    <x v="4"/>
    <s v="KOCO BEACH"/>
    <s v="via spagnoli 1 1"/>
    <x v="22"/>
    <s v="FALCONARA MARITTIMA"/>
    <s v="kocobeach14@libero.it"/>
    <m/>
    <s v="KOCO BEACH - FALCONARA MARITTIMA"/>
  </r>
  <r>
    <x v="4"/>
    <s v="KOH I NOOR"/>
    <s v="viale alcide de gasperi 1 1"/>
    <x v="5"/>
    <s v="SAN BENEDETTO DEL TRONTO"/>
    <m/>
    <s v="egisto.palmitesta@gmail.com"/>
    <s v="KOH I NOOR - GROTTAMMARE"/>
  </r>
  <r>
    <x v="4"/>
    <s v="KON TIKI"/>
    <s v="via litoranea 205 205"/>
    <x v="9"/>
    <s v="MARCELLI"/>
    <s v="info@hotelkontiki.it"/>
    <s v="www.hotelkontiki.it"/>
    <s v="KON TIKI - NUMANA"/>
  </r>
  <r>
    <x v="4"/>
    <s v="KON TIKI"/>
    <s v="viale trieste 7 7"/>
    <x v="12"/>
    <m/>
    <m/>
    <m/>
    <s v="KON TIKI - SAN BENEDETTO DEL TRONTO"/>
  </r>
  <r>
    <x v="4"/>
    <s v="KONKOBA"/>
    <s v="via faleria 1 1"/>
    <x v="163"/>
    <s v="PORTO SANT' ELPIDIO"/>
    <m/>
    <m/>
    <s v="KONKOBA - PORTO SANT'ELPIDIO"/>
  </r>
  <r>
    <x v="4"/>
    <s v="KOOKA"/>
    <s v="via faleria 1 1"/>
    <x v="163"/>
    <s v="PORTO SANT' ELPIDIO"/>
    <s v="info@chaletkooka.it"/>
    <s v="www.chaletkooka.it"/>
    <s v="KOOKA - PORTO SANT'ELPIDIO"/>
  </r>
  <r>
    <x v="1"/>
    <s v="KRISTAL"/>
    <s v="via cluentina 49"/>
    <x v="0"/>
    <s v="MACERATA"/>
    <m/>
    <m/>
    <s v="KRISTAL - MACERATA"/>
  </r>
  <r>
    <x v="7"/>
    <s v="KUHNE SORG HELGA CARMEN"/>
    <s v="Fraz. Loretello  5b, 58"/>
    <x v="18"/>
    <s v="ARCEVIA"/>
    <m/>
    <m/>
    <s v="KUHNE SORG HELGA CARMEN - ARCEVIA"/>
  </r>
  <r>
    <x v="4"/>
    <s v="KURSAAL"/>
    <s v="lungomare gramsci 1 1"/>
    <x v="47"/>
    <s v="PORTO SAN GIORGIO"/>
    <m/>
    <m/>
    <s v="KURSAAL - PORTO SAN GIORGIO"/>
  </r>
  <r>
    <x v="6"/>
    <s v="L PRE"/>
    <s v="via Giacomo Matteotti 45"/>
    <x v="137"/>
    <s v="OSTRA"/>
    <s v="www.lpre.it"/>
    <s v="info@lpre.it"/>
    <s v="L PRE - OSTRA"/>
  </r>
  <r>
    <x v="4"/>
    <s v="LA BAITA"/>
    <m/>
    <x v="23"/>
    <m/>
    <m/>
    <m/>
    <s v="LA BAITA - PORTO RECANATI"/>
  </r>
  <r>
    <x v="3"/>
    <s v="LA BAITA DI PILATO S.A.S."/>
    <s v="localita' pignotti 8"/>
    <x v="153"/>
    <s v="MONTEMONACO"/>
    <s v="www.labaitadipilato.it"/>
    <s v="info@labaitadipilato.it"/>
    <s v="LA BAITA DI PILATO S.A.S. - MONTEMONACO"/>
  </r>
  <r>
    <x v="7"/>
    <s v="LA BARCHETTA"/>
    <s v="Via Monfalcone 23"/>
    <x v="12"/>
    <s v="SAN BENEDETTO DEL TRONTO"/>
    <m/>
    <s v="labarchettasbt@gmail.com"/>
    <s v="LA BARCHETTA - SAN BENEDETTO DEL TRONTO"/>
  </r>
  <r>
    <x v="3"/>
    <s v="LA BATTIGIA"/>
    <s v="via Litoranea 84"/>
    <x v="9"/>
    <m/>
    <m/>
    <s v="albergocantarini@gmail.com"/>
    <s v="LA BATTIGIA - NUMANA"/>
  </r>
  <r>
    <x v="0"/>
    <s v="LA BECERCA"/>
    <s v="via Becerca 1"/>
    <x v="72"/>
    <s v="trivio di serra san quirico"/>
    <s v="www.becerca.it"/>
    <s v="becerca@becerca.it"/>
    <s v="LA BECERCA - SERRA SAN QUIRICO"/>
  </r>
  <r>
    <x v="3"/>
    <s v="LA BOTTE"/>
    <s v="viale trieste 40"/>
    <x v="69"/>
    <s v="PESARO"/>
    <m/>
    <s v="info@residencelabotte.it"/>
    <s v="LA BOTTE - PESARO"/>
  </r>
  <r>
    <x v="1"/>
    <s v="LA BOTTE"/>
    <s v="borgo Miriam 51"/>
    <x v="30"/>
    <s v="OFFIDA"/>
    <s v="www.hotellabotte.com"/>
    <s v="hotel_labotte@libero.it"/>
    <s v="LA BOTTE - OFFIDA"/>
  </r>
  <r>
    <x v="0"/>
    <s v="LA BOTTEGA DEI SAPORI"/>
    <s v="localita' Castreccioni 19"/>
    <x v="26"/>
    <s v="CINGOLI"/>
    <m/>
    <s v="pina.c2013@libero.it"/>
    <s v="LA BOTTEGA DEI SAPORI - CINGOLI"/>
  </r>
  <r>
    <x v="3"/>
    <s v="LA BOUGANVILLEA"/>
    <s v="via risorgimento 39"/>
    <x v="9"/>
    <s v="NUMANA"/>
    <m/>
    <s v="affittacamerebuganvillea@gmail.com"/>
    <s v="LA BOUGANVILLEA - NUMANA"/>
  </r>
  <r>
    <x v="4"/>
    <s v="LA BUSSOLA"/>
    <s v="via Litoranea 1 1"/>
    <x v="9"/>
    <s v="NUMANA"/>
    <s v="info@residencemarcelli.it"/>
    <m/>
    <s v="LA BUSSOLA - NUMANA"/>
  </r>
  <r>
    <x v="4"/>
    <s v="LA BUSSOLA"/>
    <s v="viale IV novembre 276 276"/>
    <x v="17"/>
    <s v="CIVITANOVA MARCHE"/>
    <m/>
    <m/>
    <s v="LA BUSSOLA - CIVITANOVA MARCHE"/>
  </r>
  <r>
    <x v="4"/>
    <s v="LA BUSSOLA"/>
    <s v="viale Marconi 27 27"/>
    <x v="12"/>
    <s v="SAN BENEDETTO DEL TRONTO"/>
    <s v="info@zautte.it"/>
    <m/>
    <s v="LA BUSSOLA - SAN BENEDETTO DEL TRONTO"/>
  </r>
  <r>
    <x v="4"/>
    <s v="LA CABANA DI PELLEGRINI IVAN"/>
    <s v="Lungomare 142 142"/>
    <x v="41"/>
    <s v="MARINA DI MONTEMARCIANO"/>
    <m/>
    <m/>
    <s v="LA CABANA DI PELLEGRINI IVAN - MONTEMARCIANO"/>
  </r>
  <r>
    <x v="0"/>
    <s v="LA CAMBRA"/>
    <s v="CONTRADA CAMBRA 75"/>
    <x v="149"/>
    <s v="FRAZ. OLIBRA"/>
    <s v="www.angellozzi.it"/>
    <s v="info@angellozzi.it"/>
    <s v="LA CAMBRA - VENAROTTA"/>
  </r>
  <r>
    <x v="0"/>
    <s v="LA CAMPANA"/>
    <s v="contrada Menocchia 39"/>
    <x v="120"/>
    <s v="MONTEFIORE DELL' ASO"/>
    <s v="www.lacampana.it"/>
    <s v="info@lacampana.it"/>
    <s v="LA CAMPANA - MONTEFIORE DELL'ASO"/>
  </r>
  <r>
    <x v="7"/>
    <s v="LA CANOSA SRL AGROFORESTALE di Reina Riccardo"/>
    <s v="Contrada San Pietro 6"/>
    <x v="207"/>
    <s v="Contrada San Pietro"/>
    <m/>
    <s v="amministrazione@lacanosaagricola.it"/>
    <s v="LA CANOSA SRL AGROFORESTALE di Reina Riccardo - ROTELLA"/>
  </r>
  <r>
    <x v="1"/>
    <s v="LA CANTINA DI ALE"/>
    <s v="Nazario Sauro 72"/>
    <x v="56"/>
    <s v="RECANATI"/>
    <s v="www.palazzobello.it"/>
    <s v="info@palazzobello.it"/>
    <s v="LA CANTINA DI ALE - RECANATI"/>
  </r>
  <r>
    <x v="0"/>
    <s v="LA CANTINA DI BACCO"/>
    <s v="fraz. Ripalta 90"/>
    <x v="18"/>
    <s v="RIPALTA"/>
    <s v="www.lacantinadibacco.it"/>
    <s v="lacantinadibacco@tin.it"/>
    <s v="LA CANTINA DI BACCO - ARCEVIA"/>
  </r>
  <r>
    <x v="1"/>
    <s v="LA CANTINELLA"/>
    <s v="via g. amendola 1"/>
    <x v="137"/>
    <s v="OSTRA"/>
    <s v="www.lacantinella.net"/>
    <s v="info@lacantinella.net"/>
    <s v="LA CANTINELLA - OSTRA"/>
  </r>
  <r>
    <x v="1"/>
    <s v="LA CAPANNA"/>
    <s v="piazzale pintura 5"/>
    <x v="202"/>
    <s v="PINTURA DI BOLOGNOLA"/>
    <m/>
    <s v="mariodalesio@hotmail.com"/>
    <s v="LA CAPANNA - BOLOGNOLA"/>
  </r>
  <r>
    <x v="4"/>
    <s v="LA CAPANNINA"/>
    <s v="frazione Poggio 1"/>
    <x v="10"/>
    <s v="ANCONA"/>
    <s v="www.lacapannina-portonovo.com"/>
    <s v="info@lacapanninadiportonovo.it"/>
    <s v="LA CAPANNINA - ANCONA"/>
  </r>
  <r>
    <x v="4"/>
    <s v="LA CAPANNINA"/>
    <s v="via litoranea 209 209"/>
    <x v="9"/>
    <s v="NUMANA"/>
    <m/>
    <m/>
    <s v="LA CAPANNINA - NUMANA"/>
  </r>
  <r>
    <x v="7"/>
    <s v="LA CAPANNINA"/>
    <s v="SANTA MADDALENA  19"/>
    <x v="11"/>
    <s v="SANTA MADDALENA"/>
    <m/>
    <s v="lacapannina.info@gmail.com"/>
    <s v="LA CAPANNINA - SARNANO"/>
  </r>
  <r>
    <x v="4"/>
    <s v="LA CAPANNINA"/>
    <s v="viale giuseppe romita 1 1"/>
    <x v="32"/>
    <s v="CUPRA MARITTIMA"/>
    <s v="info@terrazzasulmare.it"/>
    <m/>
    <s v="LA CAPANNINA - CUPRA MARITTIMA"/>
  </r>
  <r>
    <x v="4"/>
    <s v="LA CAPANNINA"/>
    <s v="viale antonio gramsci 1 1"/>
    <x v="47"/>
    <s v="PORTO SAN GIORGIO"/>
    <s v="info@villaggiolacapannina.it"/>
    <m/>
    <s v="LA CAPANNINA - PORTO SAN GIORGIO"/>
  </r>
  <r>
    <x v="12"/>
    <s v="LA CAPANNINA"/>
    <s v="via San Martino 11"/>
    <x v="47"/>
    <s v="PORTO SAN GIORGIO"/>
    <s v="www.villaggiolacapannina.it"/>
    <s v="info@villaggiolacapannina.it"/>
    <s v="LA CAPANNINA - PORTO SAN GIORGIO"/>
  </r>
  <r>
    <x v="8"/>
    <s v="LA CAPINERA"/>
    <s v="localita' san martino dei muri 1"/>
    <x v="85"/>
    <s v="FOSSOMBRONE"/>
    <s v="www.lacapinera.com"/>
    <s v="info@lacapinera.com"/>
    <s v="LA CAPINERA - FOSSOMBRONE"/>
  </r>
  <r>
    <x v="10"/>
    <s v="LA CARAVELLA Residenza Universitaria"/>
    <s v="via dei velini 221"/>
    <x v="0"/>
    <s v="MACERATA"/>
    <s v="www.ilfarosociale.it"/>
    <s v="faro.coop@mercurio.it"/>
    <s v="LA CARAVELLA Residenza Universitaria - MACERATA"/>
  </r>
  <r>
    <x v="3"/>
    <s v="LA CARPINELLA"/>
    <s v="frazione Poggio 158"/>
    <x v="10"/>
    <s v="ANCONA"/>
    <s v="www.lacarpinella.it"/>
    <s v="info@lacarpinella.it; piergi67@yahoo.it"/>
    <s v="LA CARPINELLA - ANCONA"/>
  </r>
  <r>
    <x v="0"/>
    <s v="LA CASA DEGLI ELFI"/>
    <s v="Contrada Canali 7"/>
    <x v="198"/>
    <s v="Canali"/>
    <m/>
    <s v="info@lacasadeglignomi.net"/>
    <s v="LA CASA DEGLI ELFI - ORTEZZANO"/>
  </r>
  <r>
    <x v="0"/>
    <s v="LA CASA DEGLI GNOMI"/>
    <s v="contrada Canali 9"/>
    <x v="198"/>
    <s v="ORTEZZANO"/>
    <s v="www.lacasadeglignomi.net"/>
    <s v="info@lacasadeglignomi.net"/>
    <s v="LA CASA DEGLI GNOMI - ORTEZZANO"/>
  </r>
  <r>
    <x v="0"/>
    <s v="LA CASA DEGLI ULIVI"/>
    <s v="c.da San Venanzio 86"/>
    <x v="82"/>
    <m/>
    <s v="www.lacasadegliulivi.com"/>
    <s v="lacasadegliulivi@libero.it"/>
    <s v="LA CASA DEGLI ULIVI - CASTIGNANO"/>
  </r>
  <r>
    <x v="8"/>
    <s v="LA CASA DEI FIORI"/>
    <s v="località Serra delle Piane 123"/>
    <x v="145"/>
    <s v="SERRA DELLE PIANE"/>
    <s v="www.lacasadeifiori.eu"/>
    <s v="info@lacasadeifiori.eu"/>
    <s v="LA CASA DEI FIORI - MATELICA"/>
  </r>
  <r>
    <x v="5"/>
    <s v="LA CASA DEI NONNI"/>
    <s v="CONTRADA MADONNA DI LORETO 21"/>
    <x v="228"/>
    <m/>
    <s v="www.lacasadeinonni.org"/>
    <s v="info@lacasadeinonni.org"/>
    <s v="LA CASA DEI NONNI - MONTELEONE DI FERMO"/>
  </r>
  <r>
    <x v="0"/>
    <s v="LA CASA DEL MIRTO"/>
    <s v="c.da Colle Ete 33"/>
    <x v="179"/>
    <m/>
    <m/>
    <s v="casadelmirto@libero.it"/>
    <s v="LA CASA DEL MIRTO - BELMONTE PICENO"/>
  </r>
  <r>
    <x v="5"/>
    <s v="LA CASA DEL TESORO"/>
    <s v="strada del tesoro 12"/>
    <x v="57"/>
    <s v="TAVULLIA"/>
    <s v="www.casadeltesoro.it"/>
    <s v="casadeltesoro@gmail.com"/>
    <s v="LA CASA DEL TESORO - TAVULLIA"/>
  </r>
  <r>
    <x v="0"/>
    <s v="LA CASA DEL VECCHIO MULINO"/>
    <s v="contrada di la' di Menocchia 1"/>
    <x v="122"/>
    <s v="CARASSAI"/>
    <s v="www.casavecchiomulino.it"/>
    <s v="info@casavecchiomulino.it"/>
    <s v="LA CASA DEL VECCHIO MULINO - CARASSAI"/>
  </r>
  <r>
    <x v="5"/>
    <s v="LA CASA DELL'ARTE"/>
    <m/>
    <x v="98"/>
    <s v="Monterubbiano"/>
    <s v="casa dell arte.com"/>
    <s v="casadelarte@libero.it"/>
    <s v="LA CASA DELL'ARTE - MONTERUBBIANO"/>
  </r>
  <r>
    <x v="5"/>
    <s v="LA CASA DELLE FAVOLE di SHEILA CONTI"/>
    <s v="via Lattanzio Ventura 141"/>
    <x v="0"/>
    <s v="MACERATA"/>
    <s v="http://sheila.beepworld.it"/>
    <s v="ernestina61@hotmail.it"/>
    <s v="LA CASA DELLE FAVOLE di SHEILA CONTI - MACERATA"/>
  </r>
  <r>
    <x v="7"/>
    <s v="LA CASA DELLE LUNE"/>
    <s v="via Turlo  23"/>
    <x v="110"/>
    <m/>
    <m/>
    <s v="elenarugiada@yahoo.it"/>
    <s v="LA CASA DELLE LUNE - MOMBAROCCIO"/>
  </r>
  <r>
    <x v="5"/>
    <s v="LA CASA DELLE RONDINI B&amp;B"/>
    <s v="Contrada Campagliano 5"/>
    <x v="176"/>
    <s v="STAFFOLO"/>
    <s v="www.ilcasaledellerondini.it"/>
    <s v="info@ilcasaledellerondini.it"/>
    <s v="LA CASA DELLE RONDINI B&amp;B - STAFFOLO"/>
  </r>
  <r>
    <x v="0"/>
    <s v="LA CASA DI CAMPAGNA"/>
    <s v="frazione Bassano 32"/>
    <x v="21"/>
    <s v="FRAZIONE BASSANO"/>
    <s v="www.lacasadicampagnafabriano.it"/>
    <s v="info@lacasadicampagnafabriano.it"/>
    <s v="LA CASA DI CAMPAGNA - FABRIANO"/>
  </r>
  <r>
    <x v="3"/>
    <s v="LA CASA DI CARLA"/>
    <s v="strada comunale vallescura seconda 1"/>
    <x v="37"/>
    <s v="FERMO"/>
    <s v="www.lacasadicarla.it"/>
    <s v="mascetticarla@libero.it"/>
    <s v="LA CASA DI CARLA - FERMO"/>
  </r>
  <r>
    <x v="7"/>
    <s v="LA CASA DI CECILIA"/>
    <s v="Contrada Torrenova SNC"/>
    <x v="148"/>
    <s v="POTENZA PICENA"/>
    <m/>
    <s v="bbcasacecilia@libero.it"/>
    <s v="LA CASA DI CECILIA - POTENZA PICENA"/>
  </r>
  <r>
    <x v="7"/>
    <s v="LA CASA DI DORA di SALVATORI GIULIANO"/>
    <s v="via Europa 28"/>
    <x v="124"/>
    <s v="BELFORTE DEL CHIENTI"/>
    <m/>
    <m/>
    <s v="LA CASA DI DORA di SALVATORI GIULIANO - BELFORTE DEL CHIENTI"/>
  </r>
  <r>
    <x v="7"/>
    <s v="LA CASA DI GIOVANNA"/>
    <s v="via delle Mura 15"/>
    <x v="196"/>
    <s v="Castello di Montefabbri"/>
    <m/>
    <s v="silvano.iacomucci@gmail.com"/>
    <s v="LA CASA DI GIOVANNA - VALLEFOGLIA"/>
  </r>
  <r>
    <x v="7"/>
    <s v="LA CASA DI LENU'"/>
    <s v="Via G. Matteotti 1"/>
    <x v="137"/>
    <s v="OSTRA"/>
    <m/>
    <s v="eleonoragiovanetti@gmail.com"/>
    <s v="LA CASA DI LENU' - OSTRA"/>
  </r>
  <r>
    <x v="5"/>
    <s v="LA CASA DI MARINELLA"/>
    <s v="contrada lava 6"/>
    <x v="30"/>
    <s v="OFFIDA"/>
    <m/>
    <s v="bbmarinella@vodafone.it"/>
    <s v="LA CASA DI MARINELLA - OFFIDA"/>
  </r>
  <r>
    <x v="5"/>
    <s v="LA CASA DI OLIVA"/>
    <s v="Corso Cavour 24"/>
    <x v="0"/>
    <s v="MACERATA"/>
    <m/>
    <s v="studioenricoleli@gmail.com"/>
    <s v="LA CASA DI OLIVA - MACERATA"/>
  </r>
  <r>
    <x v="7"/>
    <s v="LA CASA DI PALLINA"/>
    <s v="largo Giovanni Bovio 7"/>
    <x v="10"/>
    <s v="ANCONA"/>
    <s v="www.lacasadipallina.com"/>
    <s v="paola.crescini@gmail.com"/>
    <s v="LA CASA DI PALLINA - ANCONA"/>
  </r>
  <r>
    <x v="3"/>
    <s v="LA CASA DI PEPPA"/>
    <s v="via Pinto  20"/>
    <x v="172"/>
    <m/>
    <m/>
    <s v="mixsil_@libero.it"/>
    <s v="LA CASA DI PEPPA - CORRIDONIA"/>
  </r>
  <r>
    <x v="5"/>
    <s v="LA CASA DI ROSA"/>
    <m/>
    <x v="90"/>
    <m/>
    <m/>
    <m/>
    <s v="LA CASA DI ROSA - CALDAROLA"/>
  </r>
  <r>
    <x v="5"/>
    <s v="LA CASA DI TITTI"/>
    <s v="VIA TRIPOLI 20"/>
    <x v="17"/>
    <s v="CIVITANOVA MARCHE"/>
    <m/>
    <s v="lacasadititti20@gmail.com"/>
    <s v="LA CASA DI TITTI - CIVITANOVA MARCHE"/>
  </r>
  <r>
    <x v="5"/>
    <s v="LA CASA DI ZIA SESTA"/>
    <s v="Via Angelo Rocca 52"/>
    <x v="18"/>
    <s v="ARCEVIA"/>
    <m/>
    <s v="giocri03@gmail.com"/>
    <s v="LA CASA DI ZIA SESTA - ARCEVIA"/>
  </r>
  <r>
    <x v="0"/>
    <s v="LA CASA DI ZOE"/>
    <s v="Contrada Morla 26"/>
    <x v="126"/>
    <s v="POLLENZA"/>
    <s v="www.agriturismolacasadizoe.it"/>
    <s v="info@agriturismolacasadizoe.it"/>
    <s v="LA CASA DI ZOE - POLLENZA"/>
  </r>
  <r>
    <x v="5"/>
    <s v="LA CASA DOPO IL PONTE"/>
    <s v="VIA DANTE 61"/>
    <x v="141"/>
    <s v="TRODICA DI MORROVALLE"/>
    <s v="www.lacasadelponte.com"/>
    <s v="info@lacasadelponte.com"/>
    <s v="LA CASA DOPO IL PONTE - MORROVALLE"/>
  </r>
  <r>
    <x v="0"/>
    <s v="LA CASA IN CAMPAGNA"/>
    <s v="via della ferrovia 93"/>
    <x v="10"/>
    <s v="SAPPANICO"/>
    <m/>
    <s v="info@lacasaincampagna.org"/>
    <s v="LA CASA IN CAMPAGNA - ANCONA"/>
  </r>
  <r>
    <x v="5"/>
    <s v="LA CASA IN CAMPAGNA"/>
    <s v="CONTRADA GALLO 16"/>
    <x v="105"/>
    <s v="contrada Gallo"/>
    <s v="www.bblacasaincampagna.it"/>
    <s v="info@bblacasaincampagna.it"/>
    <s v="LA CASA IN CAMPAGNA - COSSIGNANO"/>
  </r>
  <r>
    <x v="8"/>
    <s v="LA CASA NEL BORGO"/>
    <s v="localita' castello della pieve 1"/>
    <x v="76"/>
    <s v="MERCATELLO SUL METAURO"/>
    <m/>
    <m/>
    <s v="LA CASA NEL BORGO - MERCATELLO SUL METAURO"/>
  </r>
  <r>
    <x v="5"/>
    <s v="LA CASA NEL BORGO"/>
    <s v="SANT' ANTONIO  5"/>
    <x v="49"/>
    <m/>
    <m/>
    <s v="i.gatti@hotmail.it"/>
    <s v="LA CASA NEL BORGO - VISSO"/>
  </r>
  <r>
    <x v="7"/>
    <s v="LA CASA NEL BOSCO APP.TO"/>
    <s v="Contrada Ciapella 13"/>
    <x v="3"/>
    <s v="RIPATRANSONE"/>
    <m/>
    <s v="info@invacanzanellemarche.eu"/>
    <s v="LA CASA NEL BOSCO APP.TO - RIPATRANSONE"/>
  </r>
  <r>
    <x v="5"/>
    <s v="LA CASA NEL VICOLO"/>
    <s v="Vicolo Jacometti 20"/>
    <x v="56"/>
    <s v="RECANATI"/>
    <m/>
    <s v="mich.vitali@tiscali.it"/>
    <s v="LA CASA NEL VICOLO - RECANATI"/>
  </r>
  <r>
    <x v="3"/>
    <s v="LA CASA NELLA VIGNA RIO MAGGIO"/>
    <s v="Via Vallone 41"/>
    <x v="34"/>
    <s v="MONTEGRANARO"/>
    <s v="www.riomaggio.it"/>
    <s v="info@riomaggio.it"/>
    <s v="LA CASA NELLA VIGNA RIO MAGGIO - MONTEGRANARO"/>
  </r>
  <r>
    <x v="5"/>
    <s v="LA CASA PRIMA DEL PONTE"/>
    <s v="VIA DANTE 63"/>
    <x v="141"/>
    <s v="TRODICA DI MORROVALLE"/>
    <s v="www.lacasadelponte.com"/>
    <s v="info@lacasadelponte.com"/>
    <s v="LA CASA PRIMA DEL PONTE - MORROVALLE"/>
  </r>
  <r>
    <x v="5"/>
    <s v="LA CASA STORTA"/>
    <s v="Via Guasino 5"/>
    <x v="44"/>
    <s v="OSIMO"/>
    <s v="www.bblacasastorta.it"/>
    <s v="bblacasastorta@gmail.com"/>
    <s v="LA CASA STORTA - OSIMO"/>
  </r>
  <r>
    <x v="3"/>
    <s v="LA CASA SUL BORGO"/>
    <s v="BORGO CASTELLANO 6"/>
    <x v="29"/>
    <m/>
    <m/>
    <s v="apalloni@libero.it"/>
    <s v="LA CASA SUL BORGO - LAPEDONA"/>
  </r>
  <r>
    <x v="0"/>
    <s v="LA CASA SUL FIUME"/>
    <s v="contrada Ceca 2"/>
    <x v="159"/>
    <s v="CAMPOROTONDO DI FIASTRONE"/>
    <m/>
    <s v="yaspo@mail.ru"/>
    <s v="LA CASA SUL FIUME - CAMPOROTONDO DI FIASTRONE"/>
  </r>
  <r>
    <x v="5"/>
    <s v="LA CASA SUL TETTO"/>
    <s v="Via Galiziano 3"/>
    <x v="148"/>
    <s v="POTENZA PICENA"/>
    <m/>
    <s v="fabioaviano76@gmail.com"/>
    <s v="LA CASA SUL TETTO - POTENZA PICENA"/>
  </r>
  <r>
    <x v="0"/>
    <s v="LA CASA SULL' ALBERO"/>
    <s v="via Marina Alta 4"/>
    <x v="41"/>
    <s v="MONTEMARCIANO"/>
    <s v="www.agriturismomarcheok.it"/>
    <s v="distilleria.bio@gmail.com"/>
    <s v="LA CASA SULL' ALBERO - MONTEMARCIANO"/>
  </r>
  <r>
    <x v="0"/>
    <s v="LA CASA SULL'ALBERO"/>
    <s v="via Fonte delle Cannelle 2"/>
    <x v="203"/>
    <s v="MONTE SAN VITO"/>
    <s v="www.agriturismomarcheok.it"/>
    <s v="distilleria.bio@gmail.com"/>
    <s v="LA CASA SULL'ALBERO - MONTE SAN VITO"/>
  </r>
  <r>
    <x v="3"/>
    <s v="LA CASCATA"/>
    <s v="via Roma 58"/>
    <x v="146"/>
    <s v="SEFRO"/>
    <s v="www.camerelacascata.it"/>
    <s v="astolf@libero.it"/>
    <s v="LA CASCATA - SEFRO"/>
  </r>
  <r>
    <x v="0"/>
    <s v="LA CASCINA DEGLI ULIVI"/>
    <s v="via Commenda 4"/>
    <x v="194"/>
    <m/>
    <s v="www.cascinadegliulivi.com"/>
    <s v="info@cascinadegliulivi.com"/>
    <s v="LA CASCINA DEGLI ULIVI - SERVIGLIANO"/>
  </r>
  <r>
    <x v="8"/>
    <s v="LA CASCINA DEI CILIEGI"/>
    <s v="via Piannacciole 4"/>
    <x v="3"/>
    <s v="S. SAVINO-RIPATRANSONE"/>
    <s v="www.lacascinadeiciliegi.com"/>
    <s v="info@lacascinadeiciliegi.com"/>
    <s v="LA CASCINA DEI CILIEGI - RIPATRANSONE"/>
  </r>
  <r>
    <x v="8"/>
    <s v="LA CASCINA DEL POETA"/>
    <s v="contrada castelnuovo 3"/>
    <x v="56"/>
    <s v="RECANATI"/>
    <s v="www.lacascinadelpoeta.it"/>
    <s v="info@lacascinadelpoeta.it"/>
    <s v="LA CASCINA DEL POETA - RECANATI"/>
  </r>
  <r>
    <x v="5"/>
    <s v="LA CASETTA"/>
    <s v="Via SS. Filippo e Giacomo 31"/>
    <x v="151"/>
    <s v="ASCOLI PICENO"/>
    <m/>
    <s v="lacasetta31beb@libero.it"/>
    <s v="LA CASETTA - ASCOLI PICENO"/>
  </r>
  <r>
    <x v="8"/>
    <s v="LA CASETTA AL SOLE"/>
    <s v="via Franile  snc"/>
    <x v="130"/>
    <m/>
    <m/>
    <s v="studioadrianomecozzi@libero.it"/>
    <s v="LA CASETTA AL SOLE - MONTEDINOVE"/>
  </r>
  <r>
    <x v="7"/>
    <s v="LA CASETTA DEL MURATORE GRANDE"/>
    <s v="Viale Carancini 19"/>
    <x v="56"/>
    <s v="RECANATI"/>
    <m/>
    <s v="tinoaconiti@gmail.com"/>
    <s v="LA CASETTA DEL MURATORE GRANDE - RECANATI"/>
  </r>
  <r>
    <x v="7"/>
    <s v="LA CASETTA DEL MURATORE PICCOLO"/>
    <s v="Viale Carancini 19"/>
    <x v="56"/>
    <s v="RECANATI"/>
    <m/>
    <s v="tinoaconiti@gmail.com"/>
    <s v="LA CASETTA DEL MURATORE PICCOLO - RECANATI"/>
  </r>
  <r>
    <x v="5"/>
    <s v="LA CASETTA DELL'ORTO"/>
    <s v="contrada castellarso ete 33"/>
    <x v="179"/>
    <s v="BELMONTE PICENO"/>
    <m/>
    <s v="madeleine_david@hotmail.com"/>
    <s v="LA CASETTA DELL'ORTO - BELMONTE PICENO"/>
  </r>
  <r>
    <x v="7"/>
    <s v="LA CASINA DI MONDAVIO"/>
    <s v="via bramante 5"/>
    <x v="39"/>
    <s v="MONDAVIO"/>
    <m/>
    <s v="info@lacasinadimondavio.it"/>
    <s v="LA CASINA DI MONDAVIO - MONDAVIO"/>
  </r>
  <r>
    <x v="0"/>
    <s v="LA CASTAGNA"/>
    <s v="localita' castagna 17"/>
    <x v="92"/>
    <s v="FIUMINATA"/>
    <s v="www.agriturismolacastagna.com"/>
    <s v="mazzalupi.claudio@gmail.com"/>
    <s v="LA CASTAGNA - FIUMINATA"/>
  </r>
  <r>
    <x v="8"/>
    <s v="LA CASTELLAIA RESORT"/>
    <s v="FRAZ.MOSCANO  62"/>
    <x v="21"/>
    <s v="FABRIANO"/>
    <m/>
    <s v="janus@pec.it"/>
    <s v="LA CASTELLAIA RESORT - FABRIANO"/>
  </r>
  <r>
    <x v="1"/>
    <s v="LA CASTELLANA"/>
    <m/>
    <x v="11"/>
    <s v="SARNANO"/>
    <m/>
    <m/>
    <s v="LA CASTELLANA - SARNANO"/>
  </r>
  <r>
    <x v="0"/>
    <s v="LA CASTELLETTA"/>
    <s v="contrada sant' andrea 17"/>
    <x v="32"/>
    <s v="CUPRA MARITTIMA"/>
    <s v="www.agriturismolacastelletta.com"/>
    <s v="info@agriturismolacastelletta.com"/>
    <s v="LA CASTELLETTA - CUPRA MARITTIMA"/>
  </r>
  <r>
    <x v="0"/>
    <s v="LA CASTELLINA"/>
    <s v="frazione costafiore 29"/>
    <x v="88"/>
    <s v="MUCCIA"/>
    <m/>
    <m/>
    <s v="LA CASTELLINA - MUCCIA"/>
  </r>
  <r>
    <x v="0"/>
    <s v="LA CAVALLINA"/>
    <s v="via mariani 13"/>
    <x v="42"/>
    <s v="CAMERINO"/>
    <s v="www.lacavallina.it"/>
    <s v="agriturismo.lacavallina@gmail.com"/>
    <s v="LA CAVALLINA - CAMERINO"/>
  </r>
  <r>
    <x v="0"/>
    <s v="L'A CECCOLI"/>
    <s v="località Cà Ceccoli 1"/>
    <x v="79"/>
    <s v="località Cà Ceccoli"/>
    <s v="www.laceccoli.com"/>
    <s v="info@laceccoli.com"/>
    <s v="L'A CECCOLI - SASSOFELTRIO"/>
  </r>
  <r>
    <x v="3"/>
    <s v="LA CELESTE DI ELISEI NICOLETTA"/>
    <s v="via Celeste 1"/>
    <x v="17"/>
    <s v="CIVITANOVA MARCHE"/>
    <s v="www.laceleste.it"/>
    <s v="info@laceleste.it"/>
    <s v="LA CELESTE DI ELISEI NICOLETTA - CIVITANOVA MARCHE"/>
  </r>
  <r>
    <x v="8"/>
    <s v="LA CELESTE DI ELISEI NICOLETTA - Country house"/>
    <s v="via Celeste 1"/>
    <x v="17"/>
    <s v="CIVITANOVA MARCHE"/>
    <s v="www.laceleste.it"/>
    <s v="info@laceleste.it"/>
    <s v="LA CELESTE DI ELISEI NICOLETTA - Country house - CIVITANOVA MARCHE"/>
  </r>
  <r>
    <x v="8"/>
    <s v="LA CELLETTA"/>
    <s v="via serra di genga 7"/>
    <x v="1"/>
    <s v="URBINO"/>
    <s v="www.lacelletta.it"/>
    <s v="info@lacelletta.it"/>
    <s v="LA CELLETTA - URBINO"/>
  </r>
  <r>
    <x v="3"/>
    <s v="LA CESA"/>
    <s v="contrada Ferrantini s.n. snc"/>
    <x v="132"/>
    <s v="comtrada Ferrantini"/>
    <s v="www.lacesa.it"/>
    <m/>
    <s v="LA CESA - SAN GINESIO"/>
  </r>
  <r>
    <x v="5"/>
    <s v="LA CHIAVE DI VIOLINO"/>
    <s v="Via dell'Università 14"/>
    <x v="37"/>
    <s v="FERMO"/>
    <m/>
    <s v="valentina_giostra@libero.it"/>
    <s v="LA CHIAVE DI VIOLINO - FERMO"/>
  </r>
  <r>
    <x v="8"/>
    <s v="LA CIMINIERA 1846"/>
    <s v="contrada Santa Caterina 18"/>
    <x v="176"/>
    <s v="STAFFOLO"/>
    <s v="www.laciminiera.it"/>
    <s v="info@laciminiera.it"/>
    <s v="LA CIMINIERA 1846 - STAFFOLO"/>
  </r>
  <r>
    <x v="0"/>
    <s v="LA CIOPPA"/>
    <s v="contrada gualduccio 3"/>
    <x v="132"/>
    <s v="SAN GINESIO"/>
    <s v="www.lacioppa.it"/>
    <s v="info@lacioppa.it"/>
    <s v="LA CIOPPA - SAN GINESIO"/>
  </r>
  <r>
    <x v="8"/>
    <s v="LA CIPOLLA D'ORO"/>
    <s v="contrada san girio 33"/>
    <x v="148"/>
    <s v="POTENZA PICENA"/>
    <s v="www.cipolladoro.it"/>
    <s v="info@cipolladoro.it"/>
    <s v="LA CIPOLLA D'ORO - POTENZA PICENA"/>
  </r>
  <r>
    <x v="4"/>
    <s v="LA CITTA' IDEALE"/>
    <m/>
    <x v="9"/>
    <s v="loc. Marcelli"/>
    <m/>
    <m/>
    <s v="LA CITTA' IDEALE - NUMANA"/>
  </r>
  <r>
    <x v="8"/>
    <s v="LA CITTADELLA"/>
    <m/>
    <x v="153"/>
    <s v="cittadella"/>
    <s v="www.cittadelladeisibillini.it"/>
    <s v="informa@cittadelladeisibillini.it"/>
    <s v="LA CITTADELLA - MONTEMONACO"/>
  </r>
  <r>
    <x v="0"/>
    <s v="LA CITTADELLA"/>
    <s v="localita' cittadella 1"/>
    <x v="153"/>
    <s v="MONTEMONACO"/>
    <s v="www.cittadelladeisibillini.it"/>
    <s v="informa@cittadelladeisibillini.it"/>
    <s v="LA CITTADELLA - MONTEMONACO"/>
  </r>
  <r>
    <x v="5"/>
    <s v="LA COCCINELLA"/>
    <s v="via Spina 17"/>
    <x v="4"/>
    <m/>
    <s v="www.lacoccinellajesi.com"/>
    <s v="bblacoccinellajesi@gmail.com"/>
    <s v="LA COCCINELLA - JESI"/>
  </r>
  <r>
    <x v="5"/>
    <s v="LA COCCINELLA"/>
    <s v="COLLE S.GIOVANNI  5"/>
    <x v="97"/>
    <m/>
    <m/>
    <s v="b.magnan@yahoo.it"/>
    <s v="LA COCCINELLA - MONTE GIBERTO"/>
  </r>
  <r>
    <x v="5"/>
    <s v="LA COCCINELLA"/>
    <s v="Via Rivo 24"/>
    <x v="106"/>
    <s v="MONTE SAN PIETRANGELI"/>
    <m/>
    <m/>
    <s v="LA COCCINELLA - MONTE SAN PIETRANGELI"/>
  </r>
  <r>
    <x v="5"/>
    <s v="LA COCOLLA"/>
    <s v="Via dell'Asilo 6"/>
    <x v="0"/>
    <s v="MACERATA"/>
    <m/>
    <s v="laisfiuza@gmail.com"/>
    <s v="LA COCOLLA - MACERATA"/>
  </r>
  <r>
    <x v="1"/>
    <s v="LA COLLINA"/>
    <s v="VIA SAN GIROLAMO  26"/>
    <x v="15"/>
    <s v="LORETO"/>
    <m/>
    <s v="hotelrist.lacollina@libero.it"/>
    <s v="LA COLLINA - LORETO"/>
  </r>
  <r>
    <x v="5"/>
    <s v="LA COLLINA"/>
    <s v="Via Rivo 42"/>
    <x v="209"/>
    <s v="MONSAMPIETRO MORICO"/>
    <m/>
    <s v="info@lacollina.eu"/>
    <s v="LA COLLINA - MONSAMPIETRO MORICO"/>
  </r>
  <r>
    <x v="0"/>
    <s v="LA COLLINA DEGLI OLIVI"/>
    <s v="VIA MONTE AGUZZO  29"/>
    <x v="85"/>
    <s v="FOSSOMBRONE"/>
    <m/>
    <s v="collinadegliolivi@libero.it"/>
    <s v="LA COLLINA DEGLI OLIVI - FOSSOMBRONE"/>
  </r>
  <r>
    <x v="3"/>
    <s v="LA COLLINA DEGLI OLIVI"/>
    <s v="via Santa Liberata 41"/>
    <x v="160"/>
    <m/>
    <s v="www.lacollinadegliolivi.eu"/>
    <s v="info@lacollinadegliolivi.eu"/>
    <s v="LA COLLINA DEGLI OLIVI - MAIOLATI SPONTINI"/>
  </r>
  <r>
    <x v="0"/>
    <s v="LA COLLINA DEGLI ULIVI"/>
    <s v="contrada Franile 9"/>
    <x v="130"/>
    <s v="MONTEDINOVE"/>
    <m/>
    <s v="collina.degli.ulivi@gmail.com"/>
    <s v="LA COLLINA DEGLI ULIVI - MONTEDINOVE"/>
  </r>
  <r>
    <x v="0"/>
    <s v="LA COLLINA DEI CILIEGI"/>
    <s v="frazione colle altino 7"/>
    <x v="42"/>
    <s v="CAMERINO"/>
    <m/>
    <m/>
    <s v="LA COLLINA DEI CILIEGI - CAMERINO"/>
  </r>
  <r>
    <x v="0"/>
    <s v="LA COLLINA DEI CILIEGI"/>
    <s v="localita' gaglianvecchio 51"/>
    <x v="2"/>
    <s v="SAN SEVERINO MARCHE"/>
    <m/>
    <s v="juriappignanesi@alice.it"/>
    <s v="LA COLLINA DEI CILIEGI - SAN SEVERINO MARCHE"/>
  </r>
  <r>
    <x v="0"/>
    <s v="LA COLLINA DEI CILIEGI"/>
    <m/>
    <x v="37"/>
    <s v="FERMO"/>
    <s v="www.agriturismolacollinadeiciliegi.it"/>
    <s v="info@agriturismolacollinadeiciliegi.it"/>
    <s v="LA COLLINA DEI CILIEGI - FERMO"/>
  </r>
  <r>
    <x v="8"/>
    <s v="LA COLLINA DEL LAGO"/>
    <s v="frazione montignano via della draga 9"/>
    <x v="16"/>
    <s v="SENIGALLIA"/>
    <m/>
    <m/>
    <s v="LA COLLINA DEL LAGO - SENIGALLIA"/>
  </r>
  <r>
    <x v="0"/>
    <s v="LA COLLINA DEL TARTUFO"/>
    <s v="strade Casebianche 73"/>
    <x v="65"/>
    <m/>
    <s v="www.lacollinadeltartufo.it"/>
    <s v="info@lacollinadeltartufo.it"/>
    <s v="LA COLLINA DEL TARTUFO - ROCCAFLUVIONE"/>
  </r>
  <r>
    <x v="0"/>
    <s v="LA COLLINA DELLE STREGHE DI BECCACECI LORENA"/>
    <s v="via San Giorgio 2"/>
    <x v="183"/>
    <s v="loc. Pianello Vallesina"/>
    <s v="www.lacollinadellestreghe.com"/>
    <s v="pierfrancoluigi@virgilio.it"/>
    <s v="LA COLLINA DELLE STREGHE DI BECCACECI LORENA - CASTELBELLINO"/>
  </r>
  <r>
    <x v="2"/>
    <s v="LA COLLINETTA"/>
    <s v="via ca' lupo 27"/>
    <x v="75"/>
    <s v="CAGLI"/>
    <m/>
    <s v="info@residencelacollinetta.com"/>
    <s v="LA COLLINETTA - CAGLI"/>
  </r>
  <r>
    <x v="8"/>
    <s v="LA COLOMBAIA Srl"/>
    <s v="c.da Cardeggiano 10"/>
    <x v="108"/>
    <m/>
    <s v="www.la-colombaia.it"/>
    <s v="info@la-colombaia.it"/>
    <s v="LA COLOMBAIA Srl - APPIGNANO"/>
  </r>
  <r>
    <x v="0"/>
    <s v="LA COLOMBARA"/>
    <s v="strada Frontino 24"/>
    <x v="86"/>
    <m/>
    <m/>
    <m/>
    <s v="LA COLOMBARA - ACQUALAGNA"/>
  </r>
  <r>
    <x v="1"/>
    <s v="LA COLOMBELLA"/>
    <s v="viale Stradone 86"/>
    <x v="153"/>
    <s v="MONTEMONACO"/>
    <m/>
    <s v="lacolombella@sibillini.com"/>
    <s v="LA COLOMBELLA - MONTEMONACO"/>
  </r>
  <r>
    <x v="0"/>
    <s v="LA COLTICCIOLA DI CANCELLIERI AUGUSTO"/>
    <s v="strada cagli pergola 120"/>
    <x v="75"/>
    <s v="CAGLI"/>
    <s v="aziendaagrituristicacancellieri.com"/>
    <s v="cancellieri75@virgilio.it"/>
    <s v="LA COLTICCIOLA DI CANCELLIERI AUGUSTO - CAGLI"/>
  </r>
  <r>
    <x v="8"/>
    <s v="LA COMMENDA"/>
    <s v="via della Commenda 1"/>
    <x v="44"/>
    <s v="OSIMO"/>
    <s v="www.lacommenda.net"/>
    <s v="info@lacommenda.net"/>
    <s v="LA COMMENDA - OSIMO"/>
  </r>
  <r>
    <x v="4"/>
    <s v="LA CONCHIGLIA"/>
    <s v="via Litoranea 7 7"/>
    <x v="9"/>
    <s v="NUMANA"/>
    <m/>
    <m/>
    <s v="LA CONCHIGLIA - NUMANA"/>
  </r>
  <r>
    <x v="4"/>
    <s v="LA CONCHIGLIA"/>
    <s v="viale trieste 1 1"/>
    <x v="12"/>
    <m/>
    <s v="rosalba.rossi@laconchiglia.eu"/>
    <m/>
    <s v="LA CONCHIGLIA - SAN BENEDETTO DEL TRONTO"/>
  </r>
  <r>
    <x v="4"/>
    <s v="LA CONCHIGLIA   di  MELONARI  GIUSTINA"/>
    <s v="lungomare gramsci 1 1"/>
    <x v="47"/>
    <s v="PORTO SAN GIORGIO"/>
    <m/>
    <m/>
    <s v="LA CONCHIGLIA   di  MELONARI  GIUSTINA - PORTO SAN GIORGIO"/>
  </r>
  <r>
    <x v="3"/>
    <s v="LA CONTESA di BERTOZZI MAFALDA"/>
    <s v="loc. Acquaviva 126"/>
    <x v="75"/>
    <s v="ACQUAVIVA"/>
    <s v="www.lacontesa.it"/>
    <s v="info@lacontesa.it"/>
    <s v="LA CONTESA di BERTOZZI MAFALDA - CAGLI"/>
  </r>
  <r>
    <x v="4"/>
    <s v="LA CONTESSA"/>
    <s v="Viale Giacomo Matteotti 145"/>
    <x v="17"/>
    <s v="CIVITANOVA MARCHE"/>
    <s v="infoavallone@studioavallone.it"/>
    <m/>
    <s v="LA CONTESSA - CIVITANOVA MARCHE"/>
  </r>
  <r>
    <x v="1"/>
    <s v="LA CONTRADA"/>
    <s v="contrada rancia 2"/>
    <x v="6"/>
    <s v="TOLENTINO"/>
    <s v="www.lacontradacountryhouse.com"/>
    <s v="lacontrada@lacontradacountryhouse.com"/>
    <s v="LA CONTRADA - TOLENTINO"/>
  </r>
  <r>
    <x v="0"/>
    <s v="LA CONTRADA"/>
    <s v="contrada magazzini 9"/>
    <x v="3"/>
    <s v="RIPATRANSONE"/>
    <s v="www.lacontrada.com"/>
    <s v="info@lacontrada.com"/>
    <s v="LA CONTRADA - RIPATRANSONE"/>
  </r>
  <r>
    <x v="0"/>
    <s v="LA CONTRADA DEL RAGLIO"/>
    <s v="contrada altavilla 2"/>
    <x v="148"/>
    <s v="POTENZA PICENA"/>
    <s v="www.contradadelraglio.it"/>
    <s v="info@contradadelraglio.it"/>
    <s v="LA CONTRADA DEL RAGLIO - POTENZA PICENA"/>
  </r>
  <r>
    <x v="3"/>
    <s v="LA CORTE"/>
    <s v="via Laura Zampeschi 22"/>
    <x v="6"/>
    <m/>
    <m/>
    <s v="info@residencelacorte.eu"/>
    <s v="LA CORTE - TOLENTINO"/>
  </r>
  <r>
    <x v="3"/>
    <s v="LA CORTE DEL GUSTO"/>
    <s v="fraz. Santo Stefano 68"/>
    <x v="18"/>
    <s v="SANTO STEFANO"/>
    <s v="www.lacortedelgusto.com"/>
    <s v="info@lacortedelgusto.com"/>
    <s v="LA CORTE DEL GUSTO - ARCEVIA"/>
  </r>
  <r>
    <x v="8"/>
    <s v="LA CORTE DELLA MINIERA"/>
    <s v="via della miniera 10"/>
    <x v="1"/>
    <s v="URBINO"/>
    <s v="www.cortedellaminiera.it"/>
    <s v="info@cortedellaminiera.it"/>
    <s v="LA CORTE DELLA MINIERA - URBINO"/>
  </r>
  <r>
    <x v="0"/>
    <s v="LA CORTE DI MAREGNANO"/>
    <s v="via Maregnano 11"/>
    <x v="89"/>
    <m/>
    <m/>
    <s v="luca.ansovini@libero.it"/>
    <s v="LA CORTE DI MAREGNANO - CESSAPALOMBO"/>
  </r>
  <r>
    <x v="0"/>
    <s v="LA CORTE SUL LAGO"/>
    <s v="frazione Moscosi 33/41"/>
    <x v="26"/>
    <s v="CINGOLI"/>
    <s v="www.lacortesullago.it"/>
    <s v="info@lacortesullago.it"/>
    <s v="LA CORTE SUL LAGO - CINGOLI"/>
  </r>
  <r>
    <x v="4"/>
    <s v="LA CROISETTE"/>
    <s v="viale trieste 37 37"/>
    <x v="12"/>
    <m/>
    <s v="andrea.conti.5@alice.it"/>
    <m/>
    <s v="LA CROISETTE - SAN BENEDETTO DEL TRONTO"/>
  </r>
  <r>
    <x v="3"/>
    <s v="LA CUMA"/>
    <s v="via Aso 12"/>
    <x v="135"/>
    <m/>
    <m/>
    <s v="liviopizzingrilli@gmail.com"/>
    <s v="LA CUMA - MONTE RINALDO"/>
  </r>
  <r>
    <x v="4"/>
    <s v="LA CUNA"/>
    <s v="viale nazario sauro 1 1"/>
    <x v="32"/>
    <s v="CUPRA MARITTIMA"/>
    <m/>
    <m/>
    <s v="LA CUNA - CUPRA MARITTIMA"/>
  </r>
  <r>
    <x v="0"/>
    <s v="LA CURTIS"/>
    <s v="c.da Lago 120"/>
    <x v="96"/>
    <s v="contrada lago"/>
    <m/>
    <s v="vincecurti@gmail.com"/>
    <s v="LA CURTIS - MONTALTO DELLE MARCHE"/>
  </r>
  <r>
    <x v="5"/>
    <s v="LA DARSENA"/>
    <s v="Via Nazario Sauro 24"/>
    <x v="33"/>
    <s v="FANO"/>
    <m/>
    <s v="daquinox@libero.it"/>
    <s v="LA DARSENA - FANO"/>
  </r>
  <r>
    <x v="3"/>
    <s v="LA DIGA S.N.C. (LUCIANI GIORGIO)"/>
    <s v="contrada croce di casale 50"/>
    <x v="115"/>
    <s v="COMUNANZA"/>
    <m/>
    <m/>
    <s v="LA DIGA S.N.C. (LUCIANI GIORGIO) - COMUNANZA"/>
  </r>
  <r>
    <x v="1"/>
    <s v="LA DILIGENZA"/>
    <s v="piazza del Pino 9"/>
    <x v="61"/>
    <s v="BORGO PACE"/>
    <s v="www.anticalocandaladiligenza.it"/>
    <s v="info@centrobebladiligenza.it"/>
    <s v="LA DILIGENZA - BORGO PACE"/>
  </r>
  <r>
    <x v="5"/>
    <s v="LA DIMORA DEL CAPITANO"/>
    <s v="fogliardi 24"/>
    <x v="21"/>
    <m/>
    <m/>
    <s v="kristinareds88@yahoo.it"/>
    <s v="LA DIMORA DEL CAPITANO - FABRIANO"/>
  </r>
  <r>
    <x v="0"/>
    <s v="LA DIMORA DEL SOLE"/>
    <s v="via san giovanni 8/10"/>
    <x v="216"/>
    <s v="PETRIOLO"/>
    <s v="www.ladimoradelsole.it"/>
    <s v="info@ladimoradelsole.it"/>
    <s v="LA DIMORA DEL SOLE - PETRIOLO"/>
  </r>
  <r>
    <x v="5"/>
    <s v="LA DIMORA DELL'ARCIERE"/>
    <s v="PIAZZA MAZZINI 5"/>
    <x v="42"/>
    <s v="CAMERINO"/>
    <m/>
    <s v="ladimoradellarciere@gmail.com"/>
    <s v="LA DIMORA DELL'ARCIERE - CAMERINO"/>
  </r>
  <r>
    <x v="0"/>
    <s v="LA DISTESA"/>
    <s v="Via Romita 28"/>
    <x v="161"/>
    <s v="CUPRAMONTANA"/>
    <s v="www.ladistesa.it"/>
    <s v="distesa@libero.it"/>
    <s v="LA DISTESA - CUPRAMONTANA"/>
  </r>
  <r>
    <x v="0"/>
    <s v="LA FATTORIA"/>
    <s v="via Colleregnone 6"/>
    <x v="153"/>
    <s v="COLLEREGNONE"/>
    <s v="www.fattoriadeisibillini.com"/>
    <s v="info@fattoriadeisibillini.com"/>
    <s v="LA FATTORIA - MONTEMONACO"/>
  </r>
  <r>
    <x v="5"/>
    <s v="LA FATTORIA DI OTELLO"/>
    <s v="via della Figuretta 8"/>
    <x v="4"/>
    <m/>
    <m/>
    <s v="annetta.pat@libero.it"/>
    <s v="LA FATTORIA DI OTELLO - JESI"/>
  </r>
  <r>
    <x v="0"/>
    <s v="LA FAVELLA"/>
    <s v="contrada Menocchia 54"/>
    <x v="120"/>
    <s v="MONTEFIORE DELL' ASO"/>
    <s v="www.biomarche.com/lafavella"/>
    <s v="favelagr@tin.it"/>
    <s v="LA FAVELLA - MONTEFIORE DELL'ASO"/>
  </r>
  <r>
    <x v="1"/>
    <s v="LA FAZENDA"/>
    <s v="via Nazionale Urbinate, Cappone 201"/>
    <x v="196"/>
    <s v="loc. Colbordolo"/>
    <s v="www.lanuovafazenda.it"/>
    <s v="claudiofalghera@tiscali.it"/>
    <s v="LA FAZENDA - VALLEFOGLIA"/>
  </r>
  <r>
    <x v="0"/>
    <s v="LA FERRAIA"/>
    <s v="strada Casale 10"/>
    <x v="75"/>
    <s v="CAGLI"/>
    <s v="www.laferraia.it"/>
    <s v="info@laferraia.it"/>
    <s v="LA FERRAIA - CAGLI"/>
  </r>
  <r>
    <x v="0"/>
    <s v="LA FILOMENA"/>
    <s v="c.da Collina 11"/>
    <x v="45"/>
    <m/>
    <m/>
    <s v="info@agriturismolafilomena.it"/>
    <s v="LA FILOMENA - MONTEFORTINO"/>
  </r>
  <r>
    <x v="1"/>
    <s v="LA FIORITA"/>
    <s v="localita' Spina di Gualdo 1"/>
    <x v="186"/>
    <s v="CASTELSANTANGELO SUL NERA"/>
    <m/>
    <m/>
    <s v="LA FIORITA - CASTELSANTANGELO SUL NERA"/>
  </r>
  <r>
    <x v="1"/>
    <s v="LA FONTE"/>
    <s v="Via Fonte Magna 33"/>
    <x v="44"/>
    <s v="OSIMO"/>
    <s v="www.hotellafonte.it"/>
    <s v="info@hotellafonte.it"/>
    <s v="LA FONTE - OSIMO"/>
  </r>
  <r>
    <x v="0"/>
    <s v="LA FONTE"/>
    <s v="contrada San Girio 49"/>
    <x v="148"/>
    <s v="POTENZA PICENA"/>
    <m/>
    <s v="agriturismolafonte@hotmail.it"/>
    <s v="LA FONTE - POTENZA PICENA"/>
  </r>
  <r>
    <x v="1"/>
    <s v="LA FONTE"/>
    <s v="via Tesino 72/a"/>
    <x v="30"/>
    <s v="OFFIDA"/>
    <s v="www.hotelristorantelafonte.it"/>
    <s v="info@hotelristorantelafonte.it"/>
    <s v="LA FONTE - OFFIDA"/>
  </r>
  <r>
    <x v="0"/>
    <s v="LA FONTE"/>
    <s v="contrada Fonte 5"/>
    <x v="232"/>
    <s v="PONZANO DI FERMO"/>
    <s v="www.agrifonte.it"/>
    <s v="agrifonte@agrifonte.it"/>
    <s v="LA FONTE - PONZANO DI FERMO"/>
  </r>
  <r>
    <x v="0"/>
    <s v="LA FONTE di CORBELLI CAROLINA RITA"/>
    <s v="frazione rascio  21"/>
    <x v="153"/>
    <s v="MONTEMONACO"/>
    <m/>
    <m/>
    <s v="LA FONTE di CORBELLI CAROLINA RITA - MONTEMONACO"/>
  </r>
  <r>
    <x v="3"/>
    <s v="LA FONTE DI MOSE'"/>
    <s v="Fonte di Mosè 18 18"/>
    <x v="37"/>
    <s v="FERMO"/>
    <s v="WWW.lafontedimose.it"/>
    <s v="info@lafontedimose.it"/>
    <s v="LA FONTE DI MOSE' - FERMO"/>
  </r>
  <r>
    <x v="0"/>
    <s v="LA FORNACE"/>
    <s v="via Bocca Trabaria Ovest 66/74"/>
    <x v="1"/>
    <s v="URBINO"/>
    <m/>
    <s v="cavalentino58@gmail.com - cavalentino@pec.it"/>
    <s v="LA FORNACE - URBINO"/>
  </r>
  <r>
    <x v="8"/>
    <s v="LA GEMMA DI SANT'ELENA"/>
    <s v="contrada Fosso Roberti 4"/>
    <x v="166"/>
    <s v="MORRO D'ALBA"/>
    <m/>
    <s v="info@villasantelena.com"/>
    <s v="LA GEMMA DI SANT'ELENA - MORRO D'ALBA"/>
  </r>
  <r>
    <x v="8"/>
    <s v="LA GIARA di Tenuta Mattei"/>
    <s v="via San Paterniano 18"/>
    <x v="118"/>
    <m/>
    <m/>
    <s v="stefania.palazzesi@gmail.com"/>
    <s v="LA GIARA di Tenuta Mattei - SERRA DE' CONTI"/>
  </r>
  <r>
    <x v="1"/>
    <s v="LA GINESTRA"/>
    <s v="via Furlo 17"/>
    <x v="86"/>
    <s v="ACQUALAGNA"/>
    <s v="www.ginestrafurlo.it"/>
    <s v="info@ginestrafurlo.it"/>
    <s v="LA GINESTRA - ACQUALAGNA"/>
  </r>
  <r>
    <x v="1"/>
    <s v="LA GINESTRA"/>
    <s v="via xxiv Maggio 5"/>
    <x v="169"/>
    <s v="CASTELFIDARDO"/>
    <m/>
    <s v="info@hotellaginestra.com"/>
    <s v="LA GINESTRA - CASTELFIDARDO"/>
  </r>
  <r>
    <x v="5"/>
    <s v="LA GINESTRA"/>
    <s v="CAVE  12"/>
    <x v="8"/>
    <m/>
    <s v="www.laginestrasirolo.it"/>
    <s v="direzione@laginestrasirolo.it"/>
    <s v="LA GINESTRA - SIROLO"/>
  </r>
  <r>
    <x v="1"/>
    <s v="LA GINESTRA"/>
    <s v="via calcagni 2"/>
    <x v="56"/>
    <s v="RECANATI"/>
    <s v="www.hotelginestra.it"/>
    <s v="info@hotelginestra.it"/>
    <s v="LA GINESTRA - RECANATI"/>
  </r>
  <r>
    <x v="2"/>
    <s v="LA GINESTRA HOTEL"/>
    <s v="contrada Coste 2"/>
    <x v="54"/>
    <s v="MONTELPARO"/>
    <s v="www.laginestra.it"/>
    <s v="info@laginestra.it"/>
    <s v="LA GINESTRA HOTEL - MONTELPARO"/>
  </r>
  <r>
    <x v="3"/>
    <s v="LA GIRAVOLTA"/>
    <s v="via G. Campioli 10"/>
    <x v="173"/>
    <m/>
    <s v="www.lagiravolta.eu"/>
    <s v="info@lagiravolta.eu"/>
    <s v="LA GIRAVOLTA - BARCHI"/>
  </r>
  <r>
    <x v="0"/>
    <s v="LA GIUGGIOLA"/>
    <s v="frazione varano 210"/>
    <x v="10"/>
    <s v="VARANO"/>
    <s v="www.lagiuggiola.it"/>
    <s v="giuggiola@lagiuggiola.it"/>
    <s v="LA GIUGGIOLA - ANCONA"/>
  </r>
  <r>
    <x v="0"/>
    <s v="LA GRANCIA"/>
    <s v="C.da Santa Maria in Selva 51"/>
    <x v="139"/>
    <s v="TREIA"/>
    <s v="www.lagrancia.it"/>
    <s v="info@lagrancia.it"/>
    <s v="LA GRANCIA - TREIA"/>
  </r>
  <r>
    <x v="0"/>
    <s v="LA GROTTA"/>
    <s v="VIA SANT'ANGELO IN FERRIANO 16"/>
    <x v="33"/>
    <s v="FANO"/>
    <s v="www.agriturlagrotta.it"/>
    <s v="info@agriturlagrotta.it"/>
    <s v="LA GROTTA - FANO"/>
  </r>
  <r>
    <x v="7"/>
    <s v="LA KUMARI di BISCONTI LEONARDO"/>
    <s v="Via dei Sibillini 1"/>
    <x v="202"/>
    <s v="BOLOGNOLA"/>
    <m/>
    <s v="biscontileonardo@yahoo.it"/>
    <s v="LA KUMARI di BISCONTI LEONARDO - BOLOGNOLA"/>
  </r>
  <r>
    <x v="3"/>
    <s v="LA LAMPARA S.N.C. di BROCCOLO ROBERTO"/>
    <s v="Viale IV Novembre 290"/>
    <x v="17"/>
    <s v="CIVITANOVA MARCHE"/>
    <m/>
    <s v="la.lamparasnc@legalmail.it"/>
    <s v="LA LAMPARA S.N.C. di BROCCOLO ROBERTO - CIVITANOVA MARCHE"/>
  </r>
  <r>
    <x v="4"/>
    <s v="LA LANCETTA"/>
    <m/>
    <x v="23"/>
    <m/>
    <m/>
    <m/>
    <s v="LA LANCETTA - PORTO RECANATI"/>
  </r>
  <r>
    <x v="4"/>
    <s v="LA LANCETTE"/>
    <s v="viale Scipioni 37 37"/>
    <x v="12"/>
    <s v="Lungomare di S.Benedetto"/>
    <s v="franco@lalancette.it"/>
    <s v="www.lalancette.it"/>
    <s v="LA LANCETTE - SAN BENEDETTO DEL TRONTO"/>
  </r>
  <r>
    <x v="4"/>
    <s v="LA LANTERNA"/>
    <s v="piazza miramare 7 7"/>
    <x v="9"/>
    <s v="MARCELLI"/>
    <s v="mauromarce@alice.it"/>
    <m/>
    <s v="LA LANTERNA - NUMANA"/>
  </r>
  <r>
    <x v="0"/>
    <s v="LA LOCANDA DEI COMACINI"/>
    <s v="via san francesco 2"/>
    <x v="2"/>
    <s v="SAN SEVERINO MARCHE"/>
    <s v="www.turismo-marche.com; comacini"/>
    <s v="gilla.c_@virgilio.it; gianna.pistoni@virgilio.it"/>
    <s v="LA LOCANDA DEI COMACINI - SAN SEVERINO MARCHE"/>
  </r>
  <r>
    <x v="1"/>
    <s v="LA LOCANDA DEL BROLIO"/>
    <s v="via G. Mazzini 8"/>
    <x v="24"/>
    <s v="CANTIANO"/>
    <s v="www.locandadelbrolio.it"/>
    <s v="info@locandadelbrolio.it"/>
    <s v="LA LOCANDA DEL BROLIO - CANTIANO"/>
  </r>
  <r>
    <x v="8"/>
    <s v="LA LOCANDA DEL CAVALIERE"/>
    <s v="via gastone corti 48"/>
    <x v="17"/>
    <s v="CIVITANOVA MARCHE"/>
    <s v="www.locandadeicavalieri.com"/>
    <s v="locandadeicavalieri@yahoo.it"/>
    <s v="LA LOCANDA DEL CAVALIERE - CIVITANOVA MARCHE"/>
  </r>
  <r>
    <x v="8"/>
    <s v="LA LOCANDA DELL' ISTRICE"/>
    <s v="frazione rocca d' aiello 1"/>
    <x v="42"/>
    <s v="CAMERINO"/>
    <s v="www.locandadellistrice.it"/>
    <s v="info@locandadellistrice.it"/>
    <s v="LA LOCANDA DELL' ISTRICE - CAMERINO"/>
  </r>
  <r>
    <x v="0"/>
    <s v="LA LOCANDA DELLA ROCCA"/>
    <m/>
    <x v="132"/>
    <s v="loc. Rocca"/>
    <m/>
    <s v="locandadellarocca@gmail.com"/>
    <s v="LA LOCANDA DELLA ROCCA - SAN GINESIO"/>
  </r>
  <r>
    <x v="0"/>
    <s v="LA LOCANDA DI ULISSE"/>
    <m/>
    <x v="153"/>
    <s v="FRAZ. VALLEFIUME"/>
    <s v="www.lalocandadiulisse.it"/>
    <s v="info@lalocandadiulisse.it"/>
    <s v="LA LOCANDA DI ULISSE - MONTEMONACO"/>
  </r>
  <r>
    <x v="3"/>
    <s v="LA LOCOMOTIVA CAFE' DI P. PETRUCCI srl UNIPERSONALE"/>
    <s v="via Don Minzoni 31"/>
    <x v="38"/>
    <m/>
    <s v="www.affittacamerelalocomotiva.it"/>
    <s v="lalocomotiva01@tiscali.it"/>
    <s v="LA LOCOMOTIVA CAFE' DI P. PETRUCCI srl UNIPERSONALE - CHIARAVALLE"/>
  </r>
  <r>
    <x v="3"/>
    <s v="LA LOGGIA"/>
    <s v="via Dante Alighieri 2"/>
    <x v="155"/>
    <s v="GRADARA"/>
    <s v="www.laloggiagradara.it"/>
    <s v="info@laloggiagradara.it"/>
    <s v="LA LOGGIA - GRADARA"/>
  </r>
  <r>
    <x v="0"/>
    <s v="LA LOGGIA"/>
    <s v="via fonte avellana 7"/>
    <x v="70"/>
    <s v="SERRA SANT' ABBONDIO"/>
    <s v="www.agriturismolaloggia.it"/>
    <s v="info@agriturismolaloggia.it"/>
    <s v="LA LOGGIA - SERRA SANT'ABBONDIO"/>
  </r>
  <r>
    <x v="7"/>
    <s v="LA LUCCIOLA 1 DI CORNILS BOY VOLQUART PETER"/>
    <s v="via Pietrone  12"/>
    <x v="161"/>
    <m/>
    <s v="www.lalucciola.de"/>
    <s v="info@lalucciola.de"/>
    <s v="LA LUCCIOLA 1 DI CORNILS BOY VOLQUART PETER - CUPRAMONTANA"/>
  </r>
  <r>
    <x v="7"/>
    <s v="LA LUCCIOLA 2 DI CORNILS MAIKE"/>
    <s v="via Pietrone 12"/>
    <x v="161"/>
    <m/>
    <m/>
    <s v="info@lalucciola.de"/>
    <s v="LA LUCCIOLA 2 DI CORNILS MAIKE - CUPRAMONTANA"/>
  </r>
  <r>
    <x v="1"/>
    <s v="LA LUMA"/>
    <s v="via Cavour 1"/>
    <x v="170"/>
    <s v="MONTECOSARO"/>
    <s v="www.laluma.it"/>
    <s v="info@laluma.it"/>
    <s v="LA LUMA - MONTECOSARO"/>
  </r>
  <r>
    <x v="5"/>
    <s v="LA LUNA DAL BORGO"/>
    <s v="via Rinaldi 4"/>
    <x v="4"/>
    <s v="JESI"/>
    <s v="www.lunadalborgo.it"/>
    <s v="info@lunadalborgo.it"/>
    <s v="LA LUNA DAL BORGO - JESI"/>
  </r>
  <r>
    <x v="7"/>
    <s v="LA LUNA NELL'ORTO"/>
    <s v="via Madonna Rafaneto 18"/>
    <x v="173"/>
    <s v="loc.Rafaneto"/>
    <s v="www.lalunanellorto.it"/>
    <s v="petrabartels@libero.it"/>
    <s v="LA LUNA NELL'ORTO - BARCHI"/>
  </r>
  <r>
    <x v="1"/>
    <s v="LA MAESTA'"/>
    <s v="contrada montedoro 35"/>
    <x v="226"/>
    <s v="URBISAGLIA"/>
    <m/>
    <m/>
    <s v="LA MAESTA' - URBISAGLIA"/>
  </r>
  <r>
    <x v="0"/>
    <s v="LA MANCIANELLA"/>
    <s v="Via Manciano 14/16"/>
    <x v="161"/>
    <s v="CUPRAMONTANA"/>
    <s v="www.lamancianella.it"/>
    <s v="info@lamancianella.it"/>
    <s v="LA MANCIANELLA - CUPRAMONTANA"/>
  </r>
  <r>
    <x v="5"/>
    <s v="LA MANSARDINA"/>
    <s v="Via Agostini 79"/>
    <x v="69"/>
    <s v="PESARO"/>
    <m/>
    <s v="sanjohni@libero.it"/>
    <s v="LA MANSARDINA - PESARO"/>
  </r>
  <r>
    <x v="1"/>
    <s v="LA MARCHIGIANA"/>
    <s v="contrada Campanotico 199"/>
    <x v="11"/>
    <s v="SARNANO"/>
    <s v="www.la-marchigiana.it"/>
    <s v="info@la-marchigiana.it"/>
    <s v="LA MARCHIGIANA - SARNANO"/>
  </r>
  <r>
    <x v="1"/>
    <s v="LA MARINELLA"/>
    <s v="piazza Ferdinando Magellano 2"/>
    <x v="41"/>
    <s v="MONTEMARCIANO"/>
    <s v="www.lamarinella.it"/>
    <s v="info@lamarinella.it"/>
    <s v="LA MARINELLA - MONTEMARCIANO"/>
  </r>
  <r>
    <x v="0"/>
    <s v="LA MATTORA"/>
    <s v="c.da San Marco Vecchio 71/A"/>
    <x v="139"/>
    <s v="TREIA"/>
    <m/>
    <m/>
    <s v="LA MATTORA - TREIA"/>
  </r>
  <r>
    <x v="6"/>
    <s v="LA MEDUSA"/>
    <s v="Lungomare Scarifiotti snc"/>
    <x v="23"/>
    <s v="PORTO RECANATI"/>
    <s v="www.campinglamedusa.it"/>
    <s v="info@campinglamedusa.it"/>
    <s v="LA MEDUSA - PORTO RECANATI"/>
  </r>
  <r>
    <x v="4"/>
    <s v="LA MEDUSA"/>
    <s v="viale trieste 13 13"/>
    <x v="12"/>
    <m/>
    <m/>
    <m/>
    <s v="LA MEDUSA - SAN BENEDETTO DEL TRONTO"/>
  </r>
  <r>
    <x v="7"/>
    <s v="LA MELA ROSA"/>
    <s v="località Villa Caccianebbia 4"/>
    <x v="62"/>
    <s v="località Villa Caccianebbia"/>
    <m/>
    <s v="randpbetts@gmail.com"/>
    <s v="LA MELA ROSA - AMANDOLA"/>
  </r>
  <r>
    <x v="2"/>
    <s v="LA MERIDIANA"/>
    <s v="viale cristoforo colombo 1"/>
    <x v="20"/>
    <s v="MONDOLFO"/>
    <m/>
    <m/>
    <s v="LA MERIDIANA - MONDOLFO"/>
  </r>
  <r>
    <x v="1"/>
    <s v="LA MERIDIANA"/>
    <s v="via urbinate 43"/>
    <x v="1"/>
    <s v="URBINO"/>
    <s v="www.la-meridiana.com"/>
    <s v="meridiana@la-meridiana.com"/>
    <s v="LA MERIDIANA - URBINO"/>
  </r>
  <r>
    <x v="0"/>
    <s v="LA MERIDIANA"/>
    <s v="contrada forti 8"/>
    <x v="182"/>
    <s v="MORESCO"/>
    <s v="www.agrimeridiana.it"/>
    <s v="info@agrimeridiana.it"/>
    <s v="LA MERIDIANA - MORESCO"/>
  </r>
  <r>
    <x v="0"/>
    <s v="LA MERIDIANA 2 - &quot;PALAZZO&quot; di PURCARO VALERIA"/>
    <s v="via bargni 9"/>
    <x v="125"/>
    <s v="SERRUNGARINA"/>
    <m/>
    <m/>
    <s v="LA MERIDIANA 2 - &quot;PALAZZO&quot; di PURCARO VALERIA - SERRUNGARINA"/>
  </r>
  <r>
    <x v="5"/>
    <s v="LA MERLANA"/>
    <s v="Contrada Culmici 15"/>
    <x v="141"/>
    <s v="MORROVALLE"/>
    <m/>
    <s v="b.b.lamerlana@cgn.legalmail.ot"/>
    <s v="LA MERLANA - MORROVALLE"/>
  </r>
  <r>
    <x v="4"/>
    <s v="LA META BEACH DI FERRI MAURO"/>
    <m/>
    <x v="33"/>
    <s v="METAURILIA - FANO"/>
    <s v="bastia71@hotmail.com"/>
    <m/>
    <s v="LA META BEACH DI FERRI MAURO - FANO"/>
  </r>
  <r>
    <x v="3"/>
    <s v="LA MEZZINA"/>
    <s v="C.da Piane d'Ete 1103"/>
    <x v="111"/>
    <m/>
    <m/>
    <s v="lamezzina@libero.it"/>
    <s v="LA MEZZINA - SANT'ELPIDIO A MARE"/>
  </r>
  <r>
    <x v="6"/>
    <s v="LA MIMOSA"/>
    <s v="strada nazionale Adriatica Sud 259"/>
    <x v="33"/>
    <s v="FANO"/>
    <s v="www.campinglamimosa.it"/>
    <s v="info@campinglamimosa.it"/>
    <s v="LA MIMOSA - FANO"/>
  </r>
  <r>
    <x v="7"/>
    <s v="LA MIRABELLA"/>
    <s v="c.da Friano 5"/>
    <x v="62"/>
    <m/>
    <s v="www.lamirabella.com"/>
    <s v="cfeuth@gmail.com"/>
    <s v="LA MIRABELLA - AMANDOLA"/>
  </r>
  <r>
    <x v="0"/>
    <s v="LA MORETTA di EVANGELISTA EDOARDO"/>
    <s v="localita' pretattoni 11"/>
    <x v="45"/>
    <s v="MONTEFORTINO"/>
    <m/>
    <s v="info@lamoretta.eu"/>
    <s v="LA MORETTA di EVANGELISTA EDOARDO - MONTEFORTINO"/>
  </r>
  <r>
    <x v="4"/>
    <s v="LA MOVIDA BEACH DI AVINO ANTONIO"/>
    <s v="via faleria 7 7"/>
    <x v="163"/>
    <s v="PORTO SANT' ELPIDIO"/>
    <m/>
    <m/>
    <s v="LA MOVIDA BEACH DI AVINO ANTONIO - PORTO SANT'ELPIDIO"/>
  </r>
  <r>
    <x v="0"/>
    <s v="LA NATURA DEL MONTE"/>
    <s v="via chiaravallese 85"/>
    <x v="44"/>
    <s v="OSIMO"/>
    <s v="www.lanaturadelmonte.it"/>
    <s v="info@lanaturadelmonte.it"/>
    <s v="LA NATURA DEL MONTE - OSIMO"/>
  </r>
  <r>
    <x v="2"/>
    <s v="LA NAVE"/>
    <s v="lungomare leonardo da vinci n 13 13"/>
    <x v="16"/>
    <s v="SENIGALLIA"/>
    <s v="www.residencelanave.it"/>
    <s v="info@residencelanave.it"/>
    <s v="LA NAVE - SENIGALLIA"/>
  </r>
  <r>
    <x v="0"/>
    <s v="LA NICCHIA ECOLOGICA"/>
    <s v="via roncone 11"/>
    <x v="160"/>
    <s v="MAIOLATI SPONTINI"/>
    <s v="www.lanicchiaecologica.it"/>
    <s v="la_nicchia_ecologica@libero.it"/>
    <s v="LA NICCHIA ECOLOGICA - MAIOLATI SPONTINI"/>
  </r>
  <r>
    <x v="0"/>
    <s v="LA NOCICCHIA"/>
    <s v="via Nocicchia 6"/>
    <x v="41"/>
    <m/>
    <m/>
    <s v="lanocicchia@gmail.com"/>
    <s v="LA NOCICCHIA - MONTEMARCIANO"/>
  </r>
  <r>
    <x v="8"/>
    <s v="LA PALAZZINA"/>
    <m/>
    <x v="100"/>
    <s v="FRONTINO"/>
    <m/>
    <s v="carmen@sistivenanzio.it"/>
    <s v="LA PALAZZINA - FRONTINO"/>
  </r>
  <r>
    <x v="1"/>
    <s v="LA PALAZZINA"/>
    <s v="via Premuda 7"/>
    <x v="12"/>
    <s v="SAN BENEDETTO DEL TRONTO"/>
    <s v="www.palazzinahotel.it"/>
    <s v="info@palazzinahotel.it"/>
    <s v="LA PALAZZINA - SAN BENEDETTO DEL TRONTO"/>
  </r>
  <r>
    <x v="3"/>
    <s v="LA PALMA"/>
    <s v="Via A. de Gasperi  9"/>
    <x v="20"/>
    <s v="MONDOLFO"/>
    <m/>
    <s v="studio.petroni@libero.it"/>
    <s v="LA PALMA - MONDOLFO"/>
  </r>
  <r>
    <x v="7"/>
    <s v="LA PALOMBAIA"/>
    <s v="FRAZIONE PATERNO  51"/>
    <x v="21"/>
    <s v="FABRIANO"/>
    <m/>
    <s v="lapalombaia@postecert.it"/>
    <s v="LA PALOMBAIA - FABRIANO"/>
  </r>
  <r>
    <x v="1"/>
    <s v="LA PERLA"/>
    <s v="via Direttissima del Conero 1 - 3"/>
    <x v="167"/>
    <m/>
    <s v="http://www.perlahotelancona.it"/>
    <s v="info@perlahotelancona.it"/>
    <s v="LA PERLA - CAMERANO"/>
  </r>
  <r>
    <x v="4"/>
    <s v="LA PERLA"/>
    <s v="via litoranea 21 21"/>
    <x v="9"/>
    <s v="NUMANA"/>
    <s v="www.laperlaristorante.it"/>
    <s v="info@laperlaristornte.it"/>
    <s v="LA PERLA - NUMANA"/>
  </r>
  <r>
    <x v="4"/>
    <s v="LA PERLA - Conc. n. 12"/>
    <s v="Viale Nazario Sauro 11-13 11-13"/>
    <x v="32"/>
    <m/>
    <s v="info@hotelaperla.net"/>
    <s v="www.hotelaperla.net"/>
    <s v="LA PERLA - Conc. n. 12 - CUPRA MARITTIMA"/>
  </r>
  <r>
    <x v="4"/>
    <s v="LA PERLA - Conc. n. 13"/>
    <s v="Viale Nazario Sauro 1 1"/>
    <x v="32"/>
    <s v="CUPRA MARITTIMA"/>
    <s v="info@hotelaperla.net"/>
    <s v="www.hotelaperla.net"/>
    <s v="LA PERLA - Conc. n. 13 - CUPRA MARITTIMA"/>
  </r>
  <r>
    <x v="3"/>
    <s v="LA PIAZZA"/>
    <s v="p.zza Matteotti 6"/>
    <x v="75"/>
    <m/>
    <s v="www.casavacanzelapiazza.it"/>
    <s v="info@casavacanzelapiazza.it"/>
    <s v="LA PIAZZA - CAGLI"/>
  </r>
  <r>
    <x v="4"/>
    <s v="LA PICCOLA SPIAGGIA"/>
    <s v="via Litoranea  191"/>
    <x v="9"/>
    <s v="NUMANA"/>
    <m/>
    <m/>
    <s v="LA PICCOLA SPIAGGIA - NUMANA"/>
  </r>
  <r>
    <x v="0"/>
    <s v="LA PIEVE"/>
    <s v="Contrada Latrocella  11"/>
    <x v="133"/>
    <s v="ALTIDONA"/>
    <s v="www.agriturismolapieve.net"/>
    <s v="info@agriturismolapieve.net"/>
    <s v="LA PIEVE - ALTIDONA"/>
  </r>
  <r>
    <x v="1"/>
    <s v="LA PINETA"/>
    <s v="via villa pozzo 132"/>
    <x v="26"/>
    <s v="POZZO"/>
    <m/>
    <s v="lapineta2006@libero.it"/>
    <s v="LA PINETA - CINGOLI"/>
  </r>
  <r>
    <x v="4"/>
    <s v="LA PINETINA"/>
    <s v="via lungomare gramsci sud 1 1"/>
    <x v="47"/>
    <s v="PORTO SAN GIORGIO"/>
    <s v="info@complast.it"/>
    <m/>
    <s v="LA PINETINA - PORTO SAN GIORGIO"/>
  </r>
  <r>
    <x v="5"/>
    <s v="LA PINTA"/>
    <s v="Via Raffaello Sanzio 33"/>
    <x v="4"/>
    <s v="JESI"/>
    <m/>
    <s v="bblapinta@gmail.com"/>
    <s v="LA PINTA - JESI"/>
  </r>
  <r>
    <x v="4"/>
    <s v="LA PLAYA"/>
    <s v="LUNGOMARE 26/A 26/A"/>
    <x v="41"/>
    <s v="MARINA DI MONTEMARCIANO"/>
    <m/>
    <m/>
    <s v="LA PLAYA - MONTEMARCIANO"/>
  </r>
  <r>
    <x v="4"/>
    <s v="LA PLAYA DE' COCOCCIO'"/>
    <s v="strada gabbie 1 1"/>
    <x v="163"/>
    <s v="PORTO SANT' ELPIDIO"/>
    <s v="omsa67@email.it"/>
    <m/>
    <s v="LA PLAYA DE' COCOCCIO' - PORTO SANT'ELPIDIO"/>
  </r>
  <r>
    <x v="0"/>
    <s v="LA POLARINA DI BATTISTI GIUSEPPINA"/>
    <s v="strada castelgagliardo 22"/>
    <x v="101"/>
    <s v="ISOLA DEL PIANO"/>
    <m/>
    <m/>
    <s v="LA POLARINA DI BATTISTI GIUSEPPINA - ISOLA DEL PIANO"/>
  </r>
  <r>
    <x v="3"/>
    <s v="LA PORTELLA di RICCARDI PAOLA"/>
    <s v="Via Damiano Chiesa 16"/>
    <x v="21"/>
    <s v="FABRIANO"/>
    <m/>
    <s v="info@beblaportella.it"/>
    <s v="LA PORTELLA di RICCARDI PAOLA - FABRIANO"/>
  </r>
  <r>
    <x v="4"/>
    <s v="LA PRIMASECCA DI DE FRANCESCO PATRIZIA"/>
    <s v="via cappellini 7 7"/>
    <x v="33"/>
    <s v="FANO"/>
    <m/>
    <m/>
    <s v="LA PRIMASECCA DI DE FRANCESCO PATRIZIA - FANO"/>
  </r>
  <r>
    <x v="0"/>
    <s v="LA PRIMULA"/>
    <m/>
    <x v="153"/>
    <s v="FRAZIONE ARICONI"/>
    <s v="www.laprimula.it"/>
    <s v="laprimula.lago@libero.it"/>
    <s v="LA PRIMULA - MONTEMONACO"/>
  </r>
  <r>
    <x v="3"/>
    <s v="LA PRIORA"/>
    <s v="via francesco cilea 194"/>
    <x v="5"/>
    <s v="GROTTAMMARE"/>
    <m/>
    <m/>
    <s v="LA PRIORA - GROTTAMMARE"/>
  </r>
  <r>
    <x v="4"/>
    <s v="LA PROMENADE"/>
    <m/>
    <x v="12"/>
    <m/>
    <s v="nellotizzoni@insinet.it"/>
    <m/>
    <s v="LA PROMENADE - SAN BENEDETTO DEL TRONTO"/>
  </r>
  <r>
    <x v="0"/>
    <s v="LA QUARTA"/>
    <s v="contrada abbadetta 27"/>
    <x v="37"/>
    <s v="FERMO"/>
    <s v="www.laquarta.it"/>
    <s v="info@laquarta.it"/>
    <s v="LA QUARTA - FERMO"/>
  </r>
  <r>
    <x v="8"/>
    <s v="LA QUERCIA"/>
    <s v="localita' Castreccioni 13"/>
    <x v="26"/>
    <s v="loc.Azzoni"/>
    <s v="www.laquerciacingoli.com"/>
    <s v="lucaman69@mail.com"/>
    <s v="LA QUERCIA - CINGOLI"/>
  </r>
  <r>
    <x v="5"/>
    <s v="LA QUERCIA"/>
    <s v="via Posenzano  11"/>
    <x v="98"/>
    <s v="MONTERUBBIANO"/>
    <s v="www.laquercia-agriturismo.com"/>
    <s v="laradelgatto@libero.it"/>
    <s v="LA QUERCIA - MONTERUBBIANO"/>
  </r>
  <r>
    <x v="0"/>
    <s v="LA QUERCIA"/>
    <m/>
    <x v="165"/>
    <m/>
    <s v="www.laquercia.eu"/>
    <s v="ettoreantolini@gmail.com"/>
    <s v="LA QUERCIA - SANTA VITTORIA IN MATENANO"/>
  </r>
  <r>
    <x v="0"/>
    <s v="LA QUERCIA DEL SAGGIO"/>
    <s v="strada comunale morro d' alba 5"/>
    <x v="16"/>
    <s v="SENIGALLIA"/>
    <s v="www.laquerciadelsaggio.it"/>
    <s v="laquerciadelsaggio@gmail.com"/>
    <s v="LA QUERCIA DEL SAGGIO - SENIGALLIA"/>
  </r>
  <r>
    <x v="0"/>
    <s v="LA QUERCIA DELLA MEMORIA"/>
    <s v="Contrada vallato snc"/>
    <x v="132"/>
    <s v="Contrada Vallato di San Ginesio"/>
    <s v="www.querciadellamemoria.it"/>
    <s v="crediawwf@gmail.com"/>
    <s v="LA QUERCIA DELLA MEMORIA - SAN GINESIO"/>
  </r>
  <r>
    <x v="0"/>
    <s v="LA QUERCIA DI CHECCO"/>
    <s v="via Lapedosa 8"/>
    <x v="130"/>
    <m/>
    <s v="www.laquerciadichecco.it"/>
    <s v="info@laquerciadichecco.it"/>
    <s v="LA QUERCIA DI CHECCO - MONTEDINOVE"/>
  </r>
  <r>
    <x v="8"/>
    <s v="LA RAGOLA"/>
    <s v="via San Bonaventura 8"/>
    <x v="137"/>
    <s v="OSTRA"/>
    <s v="www.ragola.it"/>
    <s v="info@ragola.it"/>
    <s v="LA RAGOLA - OSTRA"/>
  </r>
  <r>
    <x v="8"/>
    <s v="LA RESIDENZA DEGLI ULIVI"/>
    <s v="contrada Valdaso 22"/>
    <x v="55"/>
    <s v="www.leresidenzedegliulivi.com"/>
    <m/>
    <s v="info@leresidenzedegliulivi.com"/>
    <s v="LA RESIDENZA DEGLI ULIVI - CAMPOFILONE"/>
  </r>
  <r>
    <x v="4"/>
    <s v="LA RISACCA"/>
    <s v="viale Alcide de Gasperi 1 1"/>
    <x v="5"/>
    <m/>
    <m/>
    <m/>
    <s v="LA RISACCA - GROTTAMMARE"/>
  </r>
  <r>
    <x v="4"/>
    <s v="LA RISACCA"/>
    <s v="viale europa 100 100"/>
    <x v="163"/>
    <s v="63821 PORTO SANT'ELPIDIO"/>
    <s v="info@larisacca.it"/>
    <m/>
    <s v="LA RISACCA - PORTO SANT'ELPIDIO"/>
  </r>
  <r>
    <x v="8"/>
    <s v="LA RITROVATA"/>
    <s v="VIA GESSARE TARUGO 9"/>
    <x v="140"/>
    <m/>
    <m/>
    <s v="ferdonnini@pec.it; ferdonnini@gmail.com"/>
    <s v="LA RITROVATA - SANT'IPPOLITO"/>
  </r>
  <r>
    <x v="4"/>
    <s v="LA RIVA"/>
    <s v="viale nazario sauro 1 1"/>
    <x v="32"/>
    <s v="CUPRA MARITTIMA"/>
    <s v="ricci_matteo2@virgilio.it"/>
    <m/>
    <s v="LA RIVA - CUPRA MARITTIMA"/>
  </r>
  <r>
    <x v="5"/>
    <s v="LA Ro.Sa."/>
    <s v="via san lorenzo in colpolina 21"/>
    <x v="74"/>
    <s v="FIASTRA"/>
    <s v="www.larosabeb.it"/>
    <s v="sabrina.sim@tiscali.it"/>
    <s v="LA Ro.Sa. - FIASTRA"/>
  </r>
  <r>
    <x v="5"/>
    <s v="LA ROCCA (RICCI  EGIDIO)"/>
    <s v="via della rocca 1"/>
    <x v="63"/>
    <s v="SMERILLO"/>
    <m/>
    <s v="sindaco.smerillo@virgilio.it"/>
    <s v="LA ROCCA (RICCI  EGIDIO) - SMERILLO"/>
  </r>
  <r>
    <x v="1"/>
    <s v="LA ROCCA DEI MALATESTA"/>
    <s v="corso giovanni XXIII 1"/>
    <x v="100"/>
    <s v="FRONTINO"/>
    <s v="www.laroccadeimalatesta.com"/>
    <s v="info@laroccadeimalatesta.com"/>
    <s v="LA ROCCA DEI MALATESTA - FRONTINO"/>
  </r>
  <r>
    <x v="3"/>
    <s v="LA ROCCA di PRENNA FRANCO"/>
    <s v="via clementina 15"/>
    <x v="22"/>
    <s v="FALCONARA MARITTIMA"/>
    <m/>
    <s v="larocca.prenna@gmail.com"/>
    <s v="LA ROCCA di PRENNA FRANCO - FALCONARA MARITTIMA"/>
  </r>
  <r>
    <x v="0"/>
    <s v="LA ROCCA VERDE"/>
    <s v="via Piantate Lunghe 76"/>
    <x v="10"/>
    <s v="loc.Candia"/>
    <s v="www.laroccaverde.it"/>
    <s v="info@laroccaverde.it"/>
    <s v="LA ROCCA VERDE - ANCONA"/>
  </r>
  <r>
    <x v="0"/>
    <s v="LA ROSA"/>
    <s v="via Morola 21"/>
    <x v="52"/>
    <s v="CARTOCETO"/>
    <s v="www.agriturismolarosacartoceto.it"/>
    <s v="info@agriturismolarosacartoceto.it"/>
    <s v="LA ROSA - CARTOCETO"/>
  </r>
  <r>
    <x v="5"/>
    <s v="LA ROSA"/>
    <s v="via Cuna della Chiesa 7"/>
    <x v="21"/>
    <m/>
    <m/>
    <s v="rolando.grimaccia@gmail.com"/>
    <s v="LA ROSA - FABRIANO"/>
  </r>
  <r>
    <x v="5"/>
    <s v="LA ROSA BIANCA"/>
    <s v="Via S. Stefano 17"/>
    <x v="0"/>
    <s v="MACERATA"/>
    <m/>
    <s v="annalisacirilli67@gmail.com"/>
    <s v="LA ROSA BIANCA - MACERATA"/>
  </r>
  <r>
    <x v="5"/>
    <s v="LA ROSA BLU"/>
    <s v="Strada di Stoppato 32"/>
    <x v="69"/>
    <s v="PESARO"/>
    <m/>
    <s v="bblarosablu@virgilio.it"/>
    <s v="LA ROSA BLU - PESARO"/>
  </r>
  <r>
    <x v="0"/>
    <s v="LA ROSA DEI VENTI"/>
    <s v="via Il Casino  1"/>
    <x v="192"/>
    <s v="RIPAMASSANA"/>
    <s v="www.larosadeiventiagriturismo.it"/>
    <s v="rosa-deiventi@virgilio.it"/>
    <s v="LA ROSA DEI VENTI - TAVOLETO"/>
  </r>
  <r>
    <x v="4"/>
    <s v="LA ROSA DEI VENTI"/>
    <s v="via litoranea 213 213"/>
    <x v="9"/>
    <s v="MARCELLI"/>
    <s v="stefano_orlandini@alice.it"/>
    <m/>
    <s v="LA ROSA DEI VENTI - NUMANA"/>
  </r>
  <r>
    <x v="4"/>
    <s v="LA ROSA DEI VENTI"/>
    <m/>
    <x v="148"/>
    <s v="PORTO POTENZA PICENA"/>
    <m/>
    <s v="robertoruggeri71@alice.it"/>
    <s v="LA ROSA DEI VENTI - POTENZA PICENA"/>
  </r>
  <r>
    <x v="3"/>
    <s v="LA ROSA E LA VIOLA"/>
    <s v="Via montevarmine 28"/>
    <x v="122"/>
    <s v="CARASSAI"/>
    <m/>
    <s v="pieroniemanuela@gmail.com"/>
    <s v="LA ROSA E LA VIOLA - CARASSAI"/>
  </r>
  <r>
    <x v="3"/>
    <s v="LA ROSA SCARLATTA"/>
    <s v="largo v. giovannetti 4"/>
    <x v="98"/>
    <s v="MONTERUBBIANO"/>
    <s v="www.rosascarlatta.it"/>
    <s v="info@rosascarlatta.it"/>
    <s v="LA ROSA SCARLATTA - MONTERUBBIANO"/>
  </r>
  <r>
    <x v="0"/>
    <s v="LA ROSA TEA"/>
    <s v="localita' santa cecilia 18"/>
    <x v="80"/>
    <s v="URBANIA"/>
    <s v="www.agriturismolarosatea.it"/>
    <s v="info@agriturismolarosatea.it"/>
    <s v="LA ROSA TEA - URBANIA"/>
  </r>
  <r>
    <x v="4"/>
    <s v="LA ROTONDA"/>
    <s v="Via Delle Nazioni 27"/>
    <x v="23"/>
    <m/>
    <s v="info@chaletlarotonda.it"/>
    <s v="www.chaletlarotonda.it"/>
    <s v="LA ROTONDA - PORTO RECANATI"/>
  </r>
  <r>
    <x v="4"/>
    <s v="LA ROTONDA"/>
    <m/>
    <x v="163"/>
    <m/>
    <m/>
    <m/>
    <s v="LA ROTONDA - PORTO SANT'ELPIDIO"/>
  </r>
  <r>
    <x v="4"/>
    <s v="LA ROTONDA GIGLI"/>
    <s v="Via Capri,29 1 1"/>
    <x v="9"/>
    <s v="MARCELLI"/>
    <s v="rotondagigli@giglihotels.com"/>
    <s v="www.giglihotels.com"/>
    <s v="LA ROTONDA GIGLI - NUMANA"/>
  </r>
  <r>
    <x v="7"/>
    <s v="LA RUPE DEL FALCO"/>
    <s v="strada di Gaviano 12"/>
    <x v="67"/>
    <m/>
    <m/>
    <s v="larupedelfalco@gmail.com"/>
    <s v="LA RUPE DEL FALCO - MONTECICCARDO"/>
  </r>
  <r>
    <x v="3"/>
    <s v="LA RUPE DI SEVERI MARCO &amp; C. S.N.C."/>
    <s v="via montefeltresca 163"/>
    <x v="184"/>
    <s v="PIETRARUBBIA"/>
    <m/>
    <m/>
    <s v="LA RUPE DI SEVERI MARCO &amp; C. S.N.C. - PIETRARUBBIA"/>
  </r>
  <r>
    <x v="3"/>
    <s v="LA SAETTA"/>
    <s v="Via G. Garibaldi 73"/>
    <x v="4"/>
    <s v="JESI"/>
    <m/>
    <s v="vbuari@mail.ru"/>
    <s v="LA SAETTA - JESI"/>
  </r>
  <r>
    <x v="5"/>
    <s v="LA SCAGLIA ROSSA di STEFANIA CICARILLI"/>
    <s v="via cappuccini 5"/>
    <x v="26"/>
    <s v="CINGOLI"/>
    <s v="www.ilfocolarecingoli.it"/>
    <s v="info@ilfocolarecingoli.it"/>
    <s v="LA SCAGLIA ROSSA di STEFANIA CICARILLI - CINGOLI"/>
  </r>
  <r>
    <x v="0"/>
    <s v="LA SCALA DI SETA"/>
    <s v="contrada Molino Vecchio  8"/>
    <x v="148"/>
    <s v="potenza picena"/>
    <s v="www.lascaladiseta.it"/>
    <s v="info@lascaladiseta.it"/>
    <s v="LA SCALA DI SETA - POTENZA PICENA"/>
  </r>
  <r>
    <x v="5"/>
    <s v="LA SCIABBEGA B&amp;B"/>
    <s v="Via E. Gardini 17"/>
    <x v="23"/>
    <s v="PORTO RECANATI"/>
    <s v="www.lasciabbega.it"/>
    <s v="info@lasciabbega.it"/>
    <s v="LA SCIABBEGA B&amp;B - PORTO RECANATI"/>
  </r>
  <r>
    <x v="1"/>
    <s v="LA SELVA"/>
    <s v="via adriatica 36"/>
    <x v="169"/>
    <s v="CASTELFIDARDO"/>
    <m/>
    <s v="hotellaselva@libero.it"/>
    <s v="LA SELVA - CASTELFIDARDO"/>
  </r>
  <r>
    <x v="0"/>
    <s v="LA SELVA"/>
    <s v="c.da Camera 17"/>
    <x v="37"/>
    <m/>
    <s v="www.laselvaagriturismofermo.it"/>
    <s v="info@laselvaagriturismofermo.it"/>
    <s v="LA SELVA - FERMO"/>
  </r>
  <r>
    <x v="4"/>
    <s v="LA SERENELLA"/>
    <s v="viale trieste 1 1"/>
    <x v="12"/>
    <m/>
    <m/>
    <m/>
    <s v="LA SERENELLA - SAN BENEDETTO DEL TRONTO"/>
  </r>
  <r>
    <x v="1"/>
    <s v="LA SFINGE"/>
    <s v="via San Giacomo 48"/>
    <x v="12"/>
    <s v="SAN BENEDETTO DEL TRONTO"/>
    <s v="www.hotellasfinge.com"/>
    <s v="info@hotellasfinge.com"/>
    <s v="LA SFINGE - SAN BENEDETTO DEL TRONTO"/>
  </r>
  <r>
    <x v="1"/>
    <s v="LA SIBILLA"/>
    <s v="frazione Sassotetto 1"/>
    <x v="11"/>
    <s v="SARNANO"/>
    <s v="www.hotelsibilla.com"/>
    <s v="info@hotelsibilla.com"/>
    <s v="LA SIBILLA - SARNANO"/>
  </r>
  <r>
    <x v="0"/>
    <s v="LA SIESTA"/>
    <s v="Contrada San Lorenzo 11"/>
    <x v="139"/>
    <s v="San Lorenzo"/>
    <s v="http://www.farmhouselasiesta.com/it/"/>
    <s v="info@farmhouselasiesta.com"/>
    <s v="LA SIESTA - TREIA"/>
  </r>
  <r>
    <x v="4"/>
    <s v="LA SIRENETTA"/>
    <s v="via litoranea 17 17"/>
    <x v="9"/>
    <s v="NUMANA"/>
    <m/>
    <m/>
    <s v="LA SIRENETTA - NUMANA"/>
  </r>
  <r>
    <x v="4"/>
    <s v="LA SIRENETTA"/>
    <s v="viale iv novembre 1 1"/>
    <x v="17"/>
    <s v="CIVITANOVA MARCHE"/>
    <m/>
    <m/>
    <s v="LA SIRENETTA - CIVITANOVA MARCHE"/>
  </r>
  <r>
    <x v="8"/>
    <s v="LA SORGENTE"/>
    <s v="contrada marezi 16/A"/>
    <x v="73"/>
    <s v="MASSIGNANO"/>
    <s v="www.lasorgente-massignano.it"/>
    <s v="giorgia.pelliccioni@yahoo.it"/>
    <s v="LA SORGENTE - MASSIGNANO"/>
  </r>
  <r>
    <x v="8"/>
    <s v="LA SORGENTE"/>
    <s v="via Acquarola 6"/>
    <x v="3"/>
    <m/>
    <m/>
    <s v="maurideangelis@libero.it"/>
    <s v="LA SORGENTE - RIPATRANSONE"/>
  </r>
  <r>
    <x v="8"/>
    <s v="LA SORGENTE DEL SOLE"/>
    <s v="loc. Stigliano SNC"/>
    <x v="2"/>
    <s v="STIGLIANO"/>
    <s v="www.lasorgentedelsole.com"/>
    <s v="info@lasorgentedelsole.com"/>
    <s v="LA SORGENTE DEL SOLE - SAN SEVERINO MARCHE"/>
  </r>
  <r>
    <x v="4"/>
    <s v="LA SPIAGGETTA"/>
    <s v="via lungomare gramsci sud 1 1"/>
    <x v="47"/>
    <s v="PORTO SAN GIORGIO"/>
    <s v="info@cromplast.it"/>
    <m/>
    <s v="LA SPIAGGETTA - PORTO SAN GIORGIO"/>
  </r>
  <r>
    <x v="4"/>
    <s v="LA SPIAGGIOLA"/>
    <s v="via cristoforo colombo 1 1"/>
    <x v="9"/>
    <s v="NUMANA"/>
    <s v="laspiaggiola@tin.it"/>
    <m/>
    <s v="LA SPIAGGIOLA - NUMANA"/>
  </r>
  <r>
    <x v="0"/>
    <s v="LA SPIGA D'ORO"/>
    <s v="VIA SAN GIROLAMO SN"/>
    <x v="100"/>
    <s v="FRONTINO"/>
    <s v="www.laspigadoro.eu"/>
    <s v="mail@lasipgadoro.eu"/>
    <s v="LA SPIGA D'ORO - FRONTINO"/>
  </r>
  <r>
    <x v="3"/>
    <s v="LA STORIELLA"/>
    <s v="contrada Madonna Manu' 53"/>
    <x v="29"/>
    <s v="LAPEDONA"/>
    <m/>
    <m/>
    <s v="LA STORIELLA - LAPEDONA"/>
  </r>
  <r>
    <x v="8"/>
    <s v="LA TABERNA"/>
    <s v="via Giolitti 23"/>
    <x v="169"/>
    <m/>
    <s v="www.latabernabraceria.it"/>
    <s v="info@latabernabraceria.it"/>
    <s v="LA TABERNA - CASTELFIDARDO"/>
  </r>
  <r>
    <x v="0"/>
    <s v="LA TAMERICE"/>
    <s v="strada Torre Campetto 114"/>
    <x v="16"/>
    <s v="FRAZIONE MONTIGNANO"/>
    <s v="www.agriturismolatamerice.it"/>
    <s v="agriturismo.latamerice@gmail.com"/>
    <s v="LA TAMERICE - SENIGALLIA"/>
  </r>
  <r>
    <x v="8"/>
    <s v="LA TANA DEI LEONI"/>
    <s v="contrada Sant'Egidio 18"/>
    <x v="150"/>
    <s v="contrada Sant'Egidio"/>
    <s v="www.latanadeileoni.it"/>
    <s v="info@latanadeileoni.it"/>
    <s v="LA TANA DEI LEONI - MONSAMPOLO DEL TRONTO"/>
  </r>
  <r>
    <x v="0"/>
    <s v="LA TANA DEL CINGHIALE"/>
    <s v="c.da Monte Radaldo 46"/>
    <x v="165"/>
    <m/>
    <s v="www.latanadelcinghiale.it"/>
    <s v="info@latanadelcinghiale.it"/>
    <s v="LA TANA DEL CINGHIALE - SANTA VITTORIA IN MATENANO"/>
  </r>
  <r>
    <x v="0"/>
    <s v="LA TANA DEL GHIRO"/>
    <s v="via spineto 2"/>
    <x v="118"/>
    <s v="SERRA DE' CONTI"/>
    <m/>
    <s v="appartamenti@latanadelghiro.net"/>
    <s v="LA TANA DEL GHIRO - SERRA DE' CONTI"/>
  </r>
  <r>
    <x v="5"/>
    <s v="LA TANA DEL NANO"/>
    <s v="Via Ragusa 8"/>
    <x v="10"/>
    <s v="ANCONA"/>
    <m/>
    <s v="popi69@libero.it"/>
    <s v="LA TANA DEL NANO - ANCONA"/>
  </r>
  <r>
    <x v="5"/>
    <s v="LA TANA DEL SERPENTE di DESANTIS TIZIANA"/>
    <s v="via Garibaldi 27"/>
    <x v="30"/>
    <s v="Offida - Centro Storico"/>
    <s v="www.latanadelserpente.com"/>
    <s v="tiziana.des@libero.it"/>
    <s v="LA TANA DEL SERPENTE di DESANTIS TIZIANA - OFFIDA"/>
  </r>
  <r>
    <x v="8"/>
    <s v="LA TANA DELLA LEPRE"/>
    <s v="loc. Saltregna 8/A"/>
    <x v="26"/>
    <s v="CINGOLI"/>
    <s v="www.latanadellalepre.com"/>
    <s v="info@latanadellalepre.com"/>
    <s v="LA TANA DELLA LEPRE - CINGOLI"/>
  </r>
  <r>
    <x v="3"/>
    <s v="LA TAVOLA"/>
    <s v="via Litoranea 188/B"/>
    <x v="20"/>
    <s v="MONDOLFO"/>
    <m/>
    <s v="info@eurosistema.191.it"/>
    <s v="LA TAVOLA - MONDOLFO"/>
  </r>
  <r>
    <x v="0"/>
    <s v="LA TAVOLA MARCHE"/>
    <m/>
    <x v="58"/>
    <s v="SANT' ANGELO IN VADO"/>
    <m/>
    <s v="info@latavolamarche.com"/>
    <s v="LA TAVOLA MARCHE - SANT'ANGELO IN VADO"/>
  </r>
  <r>
    <x v="4"/>
    <s v="LA TELLINA"/>
    <s v="lungomare marconi 11 11"/>
    <x v="12"/>
    <m/>
    <m/>
    <m/>
    <s v="LA TELLINA - SAN BENEDETTO DEL TRONTO"/>
  </r>
  <r>
    <x v="0"/>
    <s v="LA TENUTA CA' GIONE DI NUCCI VALERIO E GIANMARCO"/>
    <s v="STRADA SAN MARTINO CASTELL'ONESTO, 41 41"/>
    <x v="75"/>
    <s v="STRADA SAN MARTINO"/>
    <s v="www.tenutacagione.it"/>
    <s v="info@tenutacagione.it"/>
    <s v="LA TENUTA CA' GIONE DI NUCCI VALERIO E GIANMARCO - CAGLI"/>
  </r>
  <r>
    <x v="0"/>
    <s v="LA TENUTA DEL CONTE"/>
    <s v="contrada Camera di Torre 7"/>
    <x v="37"/>
    <s v="FERMO"/>
    <s v="www.latenutadelconte.eu"/>
    <s v="latenutadelconte@alice.it"/>
    <s v="LA TENUTA DEL CONTE - FERMO"/>
  </r>
  <r>
    <x v="0"/>
    <s v="LA TENUTA DEL GIGLIO"/>
    <s v="strada Monteluro 11/m"/>
    <x v="57"/>
    <s v="Monteluro"/>
    <s v="www.tenutadelgiglio.com"/>
    <s v="info@tenutadelgiglio.com"/>
    <s v="LA TENUTA DEL GIGLIO - TAVULLIA"/>
  </r>
  <r>
    <x v="3"/>
    <s v="LA TENUTA DI SANT'ELISABETTA"/>
    <s v="contrada Camera di Fermo 120"/>
    <x v="37"/>
    <s v="FERMO"/>
    <s v="www.tenutasantelisabetta.com"/>
    <s v="info@tenutasantelisabetta.com"/>
    <s v="LA TENUTA DI SANT'ELISABETTA - FERMO"/>
  </r>
  <r>
    <x v="0"/>
    <s v="LA TENUTA SANT'ELISABETTA"/>
    <s v="c.da Camera 120"/>
    <x v="37"/>
    <s v="FERMO"/>
    <s v="www.tenutasantelisabetta.com"/>
    <s v="info@tenutasantelisabetta.com"/>
    <s v="LA TENUTA SANT'ELISABETTA - FERMO"/>
  </r>
  <r>
    <x v="3"/>
    <s v="LA TERRAZZA"/>
    <s v="Via Roma 18"/>
    <x v="231"/>
    <s v="SANTA MARIA NUOVA"/>
    <m/>
    <s v="vbuari@mail.ru"/>
    <s v="LA TERRAZZA - SANTA MARIA NUOVA"/>
  </r>
  <r>
    <x v="1"/>
    <s v="LA TERRAZZA"/>
    <s v="via gioacchino rossini 86"/>
    <x v="148"/>
    <s v="POTENZA PICENA"/>
    <s v="www.hotellaterrazza.com"/>
    <s v="info@hotellaterrazza.com"/>
    <s v="LA TERRAZZA - POTENZA PICENA"/>
  </r>
  <r>
    <x v="5"/>
    <s v="LA TERRAZZA"/>
    <s v="Via Dei Biancospini 3"/>
    <x v="151"/>
    <s v="ASCOLI PICENO"/>
    <m/>
    <s v="agolor@live.it"/>
    <s v="LA TERRAZZA - ASCOLI PICENO"/>
  </r>
  <r>
    <x v="5"/>
    <s v="LA TERRAZZA E LA LUNA"/>
    <s v="Via Dino Angelini 129"/>
    <x v="151"/>
    <s v="ASCOLI PICENO"/>
    <m/>
    <s v="alessandracicchi@gmail.com"/>
    <s v="LA TERRAZZA E LA LUNA - ASCOLI PICENO"/>
  </r>
  <r>
    <x v="4"/>
    <s v="LA TERRAZZA-PRAIA DO SOL"/>
    <s v="via castelfidardo - lungo mare gramsci nord 2 2"/>
    <x v="47"/>
    <s v="PORTO SAN GIORGIO"/>
    <m/>
    <m/>
    <s v="LA TERRAZZA-PRAIA DO SOL - PORTO SAN GIORGIO"/>
  </r>
  <r>
    <x v="8"/>
    <s v="LA TINTORIA"/>
    <s v="via Porta Molino 9"/>
    <x v="80"/>
    <m/>
    <m/>
    <s v="giuditta.bendelli@gmail.com"/>
    <s v="LA TINTORIA - URBANIA"/>
  </r>
  <r>
    <x v="8"/>
    <s v="LA TORRE"/>
    <s v="localita' castello della pieve 1"/>
    <x v="76"/>
    <s v="MERCATELLO SUL METAURO"/>
    <m/>
    <m/>
    <s v="LA TORRE - MERCATELLO SUL METAURO"/>
  </r>
  <r>
    <x v="3"/>
    <s v="LA TORRE CAMERE"/>
    <s v="via della Torre 42"/>
    <x v="9"/>
    <s v="NUMANA"/>
    <s v="latorrecamere.com"/>
    <s v="alessandrabaldoni@hotmail.it"/>
    <s v="LA TORRE CAMERE - NUMANA"/>
  </r>
  <r>
    <x v="1"/>
    <s v="LA TORRE DEL GALLO"/>
    <s v="c.da Sant' Egidio 1"/>
    <x v="3"/>
    <s v="RIPATRANSONE"/>
    <s v="www.torredelgallo.it"/>
    <s v="info@torredelgallo.it"/>
    <s v="LA TORRE DEL GALLO - RIPATRANSONE"/>
  </r>
  <r>
    <x v="3"/>
    <s v="LA TORRETTA SUL BORGO"/>
    <s v="via c. peretti 2"/>
    <x v="5"/>
    <s v="GROTTAMMARE"/>
    <s v="www.latorrettasulborgo.it"/>
    <s v="info@latorrettasulborgo.it"/>
    <s v="LA TORRETTA SUL BORGO - GROTTAMMARE"/>
  </r>
  <r>
    <x v="4"/>
    <s v="LA VACA PACA"/>
    <s v="via faleria 1 1"/>
    <x v="163"/>
    <s v="PORTO SANT' ELPIDIO"/>
    <m/>
    <m/>
    <s v="LA VACA PACA - PORTO SANT'ELPIDIO"/>
  </r>
  <r>
    <x v="0"/>
    <s v="LA VALLE"/>
    <s v="contrada Valle 1"/>
    <x v="89"/>
    <s v="CESSAPALOMBO"/>
    <m/>
    <s v="go.studioottavi@yahoo.it"/>
    <s v="LA VALLE - CESSAPALOMBO"/>
  </r>
  <r>
    <x v="0"/>
    <s v="LA VALLE DEI PICENI"/>
    <m/>
    <x v="130"/>
    <s v="Montedinove"/>
    <m/>
    <m/>
    <s v="LA VALLE DEI PICENI - MONTEDINOVE"/>
  </r>
  <r>
    <x v="8"/>
    <s v="LA VALLE DEL SOLE"/>
    <s v="via fontanelle 8"/>
    <x v="140"/>
    <s v="SANT'IPPOLITO"/>
    <s v="www.lavalledelsole.it"/>
    <s v="info@lavalledelsole.it"/>
    <s v="LA VALLE DEL SOLE - SANT'IPPOLITO"/>
  </r>
  <r>
    <x v="0"/>
    <s v="LA VALLE DEL SOLE"/>
    <s v="SAN LAZZARO 46"/>
    <x v="30"/>
    <s v="Offida"/>
    <s v="www.lavalledelsoleoffida.com"/>
    <s v="valledelsoleoffida@gmail.com"/>
    <s v="LA VALLE DEL SOLE - OFFIDA"/>
  </r>
  <r>
    <x v="8"/>
    <s v="LA VALLE DEL VENTO"/>
    <s v="via monte olivo 12"/>
    <x v="1"/>
    <s v="URBINO"/>
    <s v="www.lavalledelvento.it"/>
    <s v="info@lavalledelvento.it"/>
    <s v="LA VALLE DEL VENTO - URBINO"/>
  </r>
  <r>
    <x v="0"/>
    <s v="LA VALLE DEL VENTO di FARABOLLINI FRANCESCO"/>
    <s v="c.da Vallonica 17"/>
    <x v="139"/>
    <s v="TREIA"/>
    <s v="www.agriturismo-lavalledelvento.it"/>
    <s v="f.farabollini@libero.it"/>
    <s v="LA VALLE DEL VENTO di FARABOLLINI FRANCESCO - TREIA"/>
  </r>
  <r>
    <x v="8"/>
    <s v="LA VALLE DELL'OLMO SCURO"/>
    <s v="VIA PIEVE 7"/>
    <x v="191"/>
    <s v="MONTEGUIDUCCIO"/>
    <s v="www.lavalledellolmoscuro.it"/>
    <s v="info@lavalledellolmoscuro.it"/>
    <s v="LA VALLE DELL'OLMO SCURO - MONTEFELCINO"/>
  </r>
  <r>
    <x v="0"/>
    <s v="LA VALLE DIMENTICATA"/>
    <s v="Loc. Santa Maria in Spinateci 26"/>
    <x v="80"/>
    <s v="Cà Battaglino"/>
    <s v="www.lavalledimenticata.it"/>
    <s v="info@lavalledimenticata.it"/>
    <s v="LA VALLE DIMENTICATA - URBANIA"/>
  </r>
  <r>
    <x v="0"/>
    <s v="LA VALLE VERDE"/>
    <s v="localita' Valledacqua 11"/>
    <x v="35"/>
    <s v="ACQUASANTA TERME"/>
    <m/>
    <s v="agrivalleverde@libero.it"/>
    <s v="LA VALLE VERDE - ACQUASANTA TERME"/>
  </r>
  <r>
    <x v="0"/>
    <s v="LA VECCHIA CANTINA"/>
    <s v="localita' cal medico 17"/>
    <x v="77"/>
    <s v="MONTECALVO IN FOGLIA"/>
    <m/>
    <s v="info@vecchiacantina.it"/>
    <s v="LA VECCHIA CANTINA - MONTECALVO IN FOGLIA"/>
  </r>
  <r>
    <x v="3"/>
    <s v="LA VECCHIA CANTINA"/>
    <s v="via Trebbiantico 1"/>
    <x v="69"/>
    <s v="PESARO"/>
    <m/>
    <s v="lavecchiacantina.pu@gmail.com"/>
    <s v="LA VECCHIA CANTINA - PESARO"/>
  </r>
  <r>
    <x v="1"/>
    <s v="LA VECCHIA FATTORIA"/>
    <s v="via A.Manzoni 19"/>
    <x v="15"/>
    <s v="LORETO"/>
    <s v="www.vecchiafattorialoreto.it"/>
    <s v="lavecchiafattoriasrl@virgilio.it"/>
    <s v="LA VECCHIA FATTORIA - LORETO"/>
  </r>
  <r>
    <x v="0"/>
    <s v="LA VECCHIA FONTE"/>
    <s v="c.da Fonte Penata 7"/>
    <x v="183"/>
    <m/>
    <m/>
    <s v="info@lavecchiafonte.it"/>
    <s v="LA VECCHIA FONTE - CASTELBELLINO"/>
  </r>
  <r>
    <x v="8"/>
    <s v="LA VECCHIA FONTE"/>
    <s v="VIA SPINETE 6"/>
    <x v="185"/>
    <s v="LAGO DI POLVERINA"/>
    <s v="www.lavecchiafonte.net"/>
    <s v="info@lavecchiafonte.net"/>
    <s v="LA VECCHIA FONTE - PIEVEBOVIGLIANA"/>
  </r>
  <r>
    <x v="1"/>
    <s v="LA VECCHIA POSTA"/>
    <s v="piazza Guglielmo Marconi 10"/>
    <x v="142"/>
    <s v="FORCE"/>
    <s v="www.albergolavecchiaposta.it"/>
    <s v="info@albergolavecchiaposta.it"/>
    <s v="LA VECCHIA POSTA - FORCE"/>
  </r>
  <r>
    <x v="5"/>
    <s v="LA VECCHIA SCUOLA"/>
    <s v="Contrada Monocchia 13"/>
    <x v="219"/>
    <s v="MONTEFANO"/>
    <m/>
    <s v="info@lemarchebedandbreakfast.com"/>
    <s v="LA VECCHIA SCUOLA - MONTEFANO"/>
  </r>
  <r>
    <x v="4"/>
    <s v="LA VELA"/>
    <m/>
    <x v="22"/>
    <s v="FALCONARA MARITTIMA"/>
    <s v="zannini.aea@tin.it"/>
    <m/>
    <s v="LA VELA - FALCONARA MARITTIMA"/>
  </r>
  <r>
    <x v="1"/>
    <s v="LA VELA"/>
    <s v="piazzale Nino Bixio 35"/>
    <x v="16"/>
    <s v="SENIGALLIA"/>
    <s v="www.lavelasenigallia.it"/>
    <s v="info@lavelasenigallia.it"/>
    <s v="LA VELA - SENIGALLIA"/>
  </r>
  <r>
    <x v="1"/>
    <s v="LA VERANDA"/>
    <s v="via martiri di cefalonia 5"/>
    <x v="47"/>
    <s v="PORTO SAN GIORGIO"/>
    <m/>
    <m/>
    <s v="LA VERANDA - PORTO SAN GIORGIO"/>
  </r>
  <r>
    <x v="0"/>
    <s v="LA VIA DEL SOLE"/>
    <s v="Contrada Serrette 12"/>
    <x v="197"/>
    <s v="TORRE SAN PATRIZIO"/>
    <s v="www.agriturismolaviadelsole.com"/>
    <s v="marcello.scarpecci@gmail.com"/>
    <s v="LA VIA DEL SOLE - TORRE SAN PATRIZIO"/>
  </r>
  <r>
    <x v="0"/>
    <s v="LA VIA SISTINA"/>
    <m/>
    <x v="96"/>
    <s v="MONTALTO DELLE MARCHE"/>
    <s v="http://www.tenutarecchifranceschini.it/"/>
    <s v="Info@tenutarecchifranceschini.it"/>
    <s v="LA VIA SISTINA - MONTALTO DELLE MARCHE"/>
  </r>
  <r>
    <x v="3"/>
    <s v="LA VILLA AFFITTACAMERE"/>
    <s v="via della villa 20"/>
    <x v="2"/>
    <m/>
    <m/>
    <s v="sandro.teloni@semplicepec.it"/>
    <s v="LA VILLA AFFITTACAMERE - SAN SEVERINO MARCHE"/>
  </r>
  <r>
    <x v="5"/>
    <s v="LA VIOLA"/>
    <s v="Piazzale Cairoli 2"/>
    <x v="16"/>
    <s v="SENIGALLIA"/>
    <m/>
    <s v="bologninifabrizio@libero.it"/>
    <s v="LA VIOLA - SENIGALLIA"/>
  </r>
  <r>
    <x v="0"/>
    <s v="LA VITA E' BELLA"/>
    <m/>
    <x v="21"/>
    <s v="Collegiglioni"/>
    <m/>
    <s v="osteriafricando@libero.it"/>
    <s v="LA VITA E' BELLA - FABRIANO"/>
  </r>
  <r>
    <x v="8"/>
    <s v="LA VITA NUOVA srl"/>
    <s v="via Sant'Amico 52"/>
    <x v="166"/>
    <m/>
    <m/>
    <s v="peter.vigenon@lavitanuova.it"/>
    <s v="LA VITA NUOVA srl - MORRO D'ALBA"/>
  </r>
  <r>
    <x v="0"/>
    <s v="L'ACACIA"/>
    <s v="contrada Vallemarina 1"/>
    <x v="181"/>
    <s v="MONTE VIDON CORRADO"/>
    <m/>
    <s v="selandari.marco@libero.it"/>
    <s v="L'ACACIA - MONTE VIDON CORRADO"/>
  </r>
  <r>
    <x v="0"/>
    <s v="LACRIMARTE"/>
    <s v="Via Roncolina 12"/>
    <x v="131"/>
    <s v="RUSTICO"/>
    <m/>
    <s v="riccardomoroder@gmail.com; lacrimarte@gmail.com"/>
    <s v="LACRIMARTE - POLVERIGI"/>
  </r>
  <r>
    <x v="0"/>
    <s v="LAGA NORD"/>
    <s v="via Umito 53"/>
    <x v="35"/>
    <s v="loc.Umito"/>
    <s v="www.agriturismo-laganord.it"/>
    <s v="agriturismo-laganord@libero.it"/>
    <s v="LAGA NORD - ACQUASANTA TERME"/>
  </r>
  <r>
    <x v="3"/>
    <s v="L'AGAVE"/>
    <s v="via Ascoli Piceno 6"/>
    <x v="9"/>
    <s v="Marcelli"/>
    <m/>
    <s v="info@appartamenti-vacanze-mare-agave.com"/>
    <s v="L'AGAVE - NUMANA"/>
  </r>
  <r>
    <x v="0"/>
    <s v="LAGO LA TROTA"/>
    <s v="c.da Favete snc"/>
    <x v="121"/>
    <m/>
    <m/>
    <s v="zyxgian@gmail.com"/>
    <s v="LAGO LA TROTA - APIRO"/>
  </r>
  <r>
    <x v="5"/>
    <s v="L'AIRONE"/>
    <s v="PORTA PIA 12/A"/>
    <x v="17"/>
    <s v="CIVITANOVA MARCHE"/>
    <s v="www.beblairone.it"/>
    <s v="info@beblairone.it"/>
    <s v="L'AIRONE - CIVITANOVA MARCHE"/>
  </r>
  <r>
    <x v="8"/>
    <s v="L'AIRONE CINERINO"/>
    <m/>
    <x v="185"/>
    <m/>
    <m/>
    <s v="info@aironecinerino.it"/>
    <s v="L'AIRONE CINERINO - PIEVEBOVIGLIANA"/>
  </r>
  <r>
    <x v="0"/>
    <s v="L'ALBORETO SALVATICO"/>
    <s v="contrada Forchiusa 62"/>
    <x v="72"/>
    <s v="SERRA SAN QUIRICO"/>
    <s v="www.lalboretosalvatico.com"/>
    <s v="merciaiait@hotmail.it"/>
    <s v="L'ALBORETO SALVATICO - SERRA SAN QUIRICO"/>
  </r>
  <r>
    <x v="7"/>
    <s v="L'AMORINO"/>
    <s v="via IV novembre 26"/>
    <x v="161"/>
    <s v="CUPRAMONTANA"/>
    <m/>
    <s v="eva.derrer@bluewin.ch"/>
    <s v="L'AMORINO - CUPRAMONTANA"/>
  </r>
  <r>
    <x v="3"/>
    <s v="LAMPARA CIVITANOVA S.N.C. di BROCCOLO UGO"/>
    <s v="Viale IV Novembre 294"/>
    <x v="17"/>
    <s v="CIVITANOVA MARCHE"/>
    <m/>
    <s v="ugo.broccolo@alice.it"/>
    <s v="LAMPARA CIVITANOVA S.N.C. di BROCCOLO UGO - CIVITANOVA MARCHE"/>
  </r>
  <r>
    <x v="4"/>
    <s v="LAMPARA CIVITANOVA S.N.C. di BROCCOLO UGO &amp; C."/>
    <s v="viale iv novembre 290 294"/>
    <x v="17"/>
    <s v="CIVITANOVA MARCHE"/>
    <m/>
    <s v="ugo.broccolo@alice.it"/>
    <s v="LAMPARA CIVITANOVA S.N.C. di BROCCOLO UGO &amp; C. - CIVITANOVA MARCHE"/>
  </r>
  <r>
    <x v="3"/>
    <s v="LANCIANELLO - case appartamenti vacanze"/>
    <s v="via Seppio 7,4"/>
    <x v="48"/>
    <s v="loc. Lancianello"/>
    <s v="www.lancianello.it"/>
    <s v="info@lancianello.it"/>
    <s v="LANCIANELLO - case appartamenti vacanze - PIORACO"/>
  </r>
  <r>
    <x v="4"/>
    <s v="L'ANCORA"/>
    <m/>
    <x v="148"/>
    <s v="PORTO POTENZA PICENA"/>
    <s v="ancora_2009@libero.it"/>
    <m/>
    <s v="L'ANCORA - POTENZA PICENA"/>
  </r>
  <r>
    <x v="4"/>
    <s v="L'ANCORA"/>
    <s v="viale alcide de gasperi 65 65"/>
    <x v="5"/>
    <m/>
    <s v="nicolino.cameli@libero.it"/>
    <m/>
    <s v="L'ANCORA - GROTTAMMARE"/>
  </r>
  <r>
    <x v="7"/>
    <s v="L'ANNESSO"/>
    <s v="via Tortolino 6"/>
    <x v="220"/>
    <m/>
    <m/>
    <s v="margherita1056@libero.it"/>
    <s v="L'ANNESSO - SAN GIORGIO DI PESARO"/>
  </r>
  <r>
    <x v="3"/>
    <s v="LANTERNA BLU"/>
    <s v="s.s. Adriatica 132"/>
    <x v="16"/>
    <m/>
    <s v="www.affittacamerelanternablu.it"/>
    <s v="marco.quattrini@alice.it"/>
    <s v="LANTERNA BLU - SENIGALLIA"/>
  </r>
  <r>
    <x v="5"/>
    <s v="L'ANTICA FONTE"/>
    <s v="Via Fonte 1"/>
    <x v="199"/>
    <s v="SABBIANO"/>
    <m/>
    <s v="fabperozzi@alice.it"/>
    <s v="L'ANTICA FONTE - SPINETOLI"/>
  </r>
  <r>
    <x v="0"/>
    <s v="L'ANTICO  OLIVETO"/>
    <s v="localita' cesolo 126"/>
    <x v="2"/>
    <s v="SAN SEVERINO MARCHE"/>
    <s v="www.anticooliveto.it"/>
    <s v="info@anticooliveto.it"/>
    <s v="L'ANTICO  OLIVETO - SAN SEVERINO MARCHE"/>
  </r>
  <r>
    <x v="0"/>
    <s v="L'ANTICO GUSTO"/>
    <s v="contrada Biordi 12"/>
    <x v="113"/>
    <s v="PENNA SAN GIOVANNI"/>
    <m/>
    <s v="aziendamoretti@tiscalinet.it"/>
    <s v="L'ANTICO GUSTO - PENNA SAN GIOVANNI"/>
  </r>
  <r>
    <x v="8"/>
    <s v="L'ANTICO MULINO"/>
    <s v="via Molini II  7"/>
    <x v="8"/>
    <m/>
    <s v="www.lanticomulino.it"/>
    <s v="info@lanticomulino.it"/>
    <s v="L'ANTICO MULINO - SIROLO"/>
  </r>
  <r>
    <x v="8"/>
    <s v="L'ANTICO POZZO"/>
    <s v="via Ete 70"/>
    <x v="209"/>
    <m/>
    <m/>
    <s v="gianna.squarcia@gmail.com"/>
    <s v="L'ANTICO POZZO - MONSAMPIETRO MORICO"/>
  </r>
  <r>
    <x v="0"/>
    <s v="L'ANTICO ULIVETO"/>
    <s v="contrada Palazzo Rosso 1"/>
    <x v="148"/>
    <s v="POTENZA PICENA"/>
    <s v="www.anticouliveto.com"/>
    <s v="info@anticouliveto.com"/>
    <s v="L'ANTICO ULIVETO - POTENZA PICENA"/>
  </r>
  <r>
    <x v="3"/>
    <s v="L'ANTIGO GRANARO"/>
    <s v="contrada San Luigi 108"/>
    <x v="10"/>
    <s v="GALLIGNANO"/>
    <s v="www.camereantigogranaro.com"/>
    <s v="helene.cb@tiscali.it"/>
    <s v="L'ANTIGO GRANARO - ANCONA"/>
  </r>
  <r>
    <x v="0"/>
    <s v="L'ANTIGO GRANARO di CHEREQUEFOSSE BARSACQ HELENE"/>
    <s v="contrada San Luigi 108"/>
    <x v="10"/>
    <s v="frazione Gallignano"/>
    <s v="www.camereantigogranaro.com"/>
    <s v="helene.cb@tiscali.it"/>
    <s v="L'ANTIGO GRANARO di CHEREQUEFOSSE BARSACQ HELENE - ANCONA"/>
  </r>
  <r>
    <x v="4"/>
    <s v="L'APPRODO"/>
    <s v="via litoranea 201 201"/>
    <x v="9"/>
    <s v="MARCELLI"/>
    <m/>
    <m/>
    <s v="L'APPRODO - NUMANA"/>
  </r>
  <r>
    <x v="4"/>
    <s v="L'APPRODO"/>
    <m/>
    <x v="148"/>
    <s v="PORTO POTENZA PICENA"/>
    <s v="lorenzo7901@alice.it"/>
    <s v="www.stabilimentoapprodo.it"/>
    <s v="L'APPRODO - POTENZA PICENA"/>
  </r>
  <r>
    <x v="3"/>
    <s v="L'APPRODO SRL"/>
    <s v="via Picena 62"/>
    <x v="229"/>
    <s v="RIPE SAN GINESIO"/>
    <m/>
    <s v="lapprodo@me.com"/>
    <s v="L'APPRODO SRL - RIPE SAN GINESIO"/>
  </r>
  <r>
    <x v="8"/>
    <s v="L'ARCA DI SABRINA"/>
    <s v="strada del Cavallo  79"/>
    <x v="16"/>
    <s v="Portone"/>
    <m/>
    <s v="larcadisabrina@sicurezzapostale.it"/>
    <s v="L'ARCA DI SABRINA - SENIGALLIA"/>
  </r>
  <r>
    <x v="0"/>
    <s v="L'ARCOBALENO"/>
    <s v="via torre 10"/>
    <x v="188"/>
    <s v="OFFAGNA"/>
    <s v="www.agriturismo-arcobaleno.org"/>
    <s v="agriturismoarcobaleno@gmail.com"/>
    <s v="L'ARCOBALENO - OFFAGNA"/>
  </r>
  <r>
    <x v="5"/>
    <s v="LARGO FILENI 7"/>
    <s v="Largo Elio Fileni 7"/>
    <x v="12"/>
    <s v="SAN BENEDETTO DEL TRONTO"/>
    <m/>
    <s v="mariapiamascioli@gmail.com"/>
    <s v="LARGO FILENI 7 - SAN BENEDETTO DEL TRONTO"/>
  </r>
  <r>
    <x v="5"/>
    <s v="LATTE E CAFFE'"/>
    <s v="via Dominici 31"/>
    <x v="169"/>
    <m/>
    <m/>
    <s v="info@latteecaffe.it"/>
    <s v="LATTE E CAFFE' - CASTELFIDARDO"/>
  </r>
  <r>
    <x v="1"/>
    <s v="LAURA"/>
    <s v="via giacomo leopardi 25"/>
    <x v="28"/>
    <s v="GABICCE MARE"/>
    <s v="www.hotellaura.it"/>
    <s v="info@hotellaura.it"/>
    <s v="LAURA - GABICCE MARE"/>
  </r>
  <r>
    <x v="7"/>
    <s v="LAURA GIOVAGNOLI"/>
    <s v="viale Paradiso 36"/>
    <x v="174"/>
    <s v="CARPEGNA"/>
    <m/>
    <s v="info@campeggioparadiso.com"/>
    <s v="LAURA GIOVAGNOLI - CARPEGNA"/>
  </r>
  <r>
    <x v="0"/>
    <s v="LAVANDA BLU AGRITURISMO"/>
    <s v="contrada Casali 19"/>
    <x v="122"/>
    <s v="CARASSAI"/>
    <s v="www.lavandablu.com"/>
    <s v="info@lavandablu.com"/>
    <s v="LAVANDA BLU AGRITURISMO - CARASSAI"/>
  </r>
  <r>
    <x v="4"/>
    <s v="LE 3 CARAVELLE"/>
    <s v="viale trieste 33 33"/>
    <x v="12"/>
    <m/>
    <m/>
    <m/>
    <s v="LE 3 CARAVELLE - SAN BENEDETTO DEL TRONTO"/>
  </r>
  <r>
    <x v="4"/>
    <s v="LE ANFORE"/>
    <s v="viale marconi 1 1"/>
    <x v="12"/>
    <m/>
    <s v="alessandro_capriotti@libero.it"/>
    <s v="www.hotelgioia.it"/>
    <s v="LE ANFORE - SAN BENEDETTO DEL TRONTO"/>
  </r>
  <r>
    <x v="12"/>
    <s v="LE BETULLE"/>
    <s v="fraz. Avacelli 260"/>
    <x v="18"/>
    <s v="AVACELLI"/>
    <s v="www.agrituristlebetulle.com"/>
    <s v="info@agrituristlebetulle.com"/>
    <s v="LE BETULLE - ARCEVIA"/>
  </r>
  <r>
    <x v="0"/>
    <s v="LE BETULLE"/>
    <s v="fraz. Avacelli 260"/>
    <x v="18"/>
    <s v="AVACELLI"/>
    <s v="www.agrituristlebetulle.com"/>
    <s v="info@agrituristlebetulle.com"/>
    <s v="LE BETULLE - ARCEVIA"/>
  </r>
  <r>
    <x v="0"/>
    <s v="LE BLANC MATOU"/>
    <s v="via Pieve Cà Marchetto 15"/>
    <x v="123"/>
    <m/>
    <s v="www.leblancmatou.it"/>
    <s v="soffiaostro@yahoo.it"/>
    <s v="LE BLANC MATOU - MACERATA FELTRIA"/>
  </r>
  <r>
    <x v="0"/>
    <s v="LE BORGIANELLE"/>
    <s v="localita' gaglianvecchio 66"/>
    <x v="2"/>
    <s v="SAN SEVERINO MARCHE"/>
    <s v="www.agriturismoleborgianelle.it"/>
    <s v="info@agriturismolaeborgianelle.it"/>
    <s v="LE BORGIANELLE - SAN SEVERINO MARCHE"/>
  </r>
  <r>
    <x v="0"/>
    <s v="LE BRUGNOLETE"/>
    <s v="contrada borghetti 1"/>
    <x v="11"/>
    <s v="SARNANO"/>
    <m/>
    <s v="info@immobiliarevenanzi.it"/>
    <s v="LE BRUGNOLETE - SARNANO"/>
  </r>
  <r>
    <x v="0"/>
    <s v="LE BUCOLICHE"/>
    <m/>
    <x v="44"/>
    <s v="Località Santo Stefano"/>
    <s v="www.lebucoliche.it"/>
    <s v="info@lebucoliche.it"/>
    <s v="LE BUCOLICHE - OSIMO"/>
  </r>
  <r>
    <x v="5"/>
    <s v="LE CASCE"/>
    <s v="BOVIO  36"/>
    <x v="161"/>
    <s v="CUPRAMONTANA"/>
    <s v="www.lecasce.it"/>
    <s v="erry60@hotmail.com"/>
    <s v="LE CASCE - CUPRAMONTANA"/>
  </r>
  <r>
    <x v="8"/>
    <s v="LE CASE"/>
    <s v="contrada mozzavinci 16, 17"/>
    <x v="0"/>
    <s v="MACERATA"/>
    <s v="www.countryhouselecase.it"/>
    <s v="ristorantelecase@tin.it"/>
    <s v="LE CASE - MACERATA"/>
  </r>
  <r>
    <x v="3"/>
    <s v="LE CASE SUL MARE"/>
    <s v="viale scarfiotti 10"/>
    <x v="23"/>
    <s v="PORTO RECANATI"/>
    <m/>
    <m/>
    <s v="LE CASE SUL MARE - PORTO RECANATI"/>
  </r>
  <r>
    <x v="0"/>
    <s v="LE CASELLE"/>
    <s v="localita' Caselle 1"/>
    <x v="76"/>
    <s v="loc.Caselle di Metola"/>
    <m/>
    <s v="cabaronco@libero.it"/>
    <s v="LE CASELLE - MERCATELLO SUL METAURO"/>
  </r>
  <r>
    <x v="3"/>
    <s v="LE CASETTE"/>
    <s v="via G. Mazzini 27"/>
    <x v="4"/>
    <m/>
    <m/>
    <s v="backstagejesi@gmail.com"/>
    <s v="LE CASETTE - JESI"/>
  </r>
  <r>
    <x v="0"/>
    <s v="LE CASETTE"/>
    <s v="via sant' ilario 1"/>
    <x v="74"/>
    <s v="FIASTRA"/>
    <m/>
    <m/>
    <s v="LE CASETTE - FIASTRA"/>
  </r>
  <r>
    <x v="0"/>
    <s v="LE CASTELLA"/>
    <s v="contrada Castelletta 25"/>
    <x v="148"/>
    <s v="POTENZA PICENA"/>
    <s v="www.agriturismolecastella.it"/>
    <s v="info@agriturismolecastella.it"/>
    <s v="LE CASTELLA - POTENZA PICENA"/>
  </r>
  <r>
    <x v="0"/>
    <s v="LE CASTELLARE"/>
    <s v="frazione Colleregnone 1"/>
    <x v="153"/>
    <s v="MONTEMONACO"/>
    <s v="www.lecastellare.it"/>
    <s v="info@lecastellare.it"/>
    <s v="LE CASTELLARE - MONTEMONACO"/>
  </r>
  <r>
    <x v="5"/>
    <s v="LE CERQUELLE"/>
    <s v="via colonna 23"/>
    <x v="1"/>
    <s v="URBINO"/>
    <s v="www.lecerquelle.it"/>
    <s v="antoniocipollini@interfree.it"/>
    <s v="LE CERQUELLE - URBINO"/>
  </r>
  <r>
    <x v="0"/>
    <s v="LE CESANE"/>
    <s v="via Ca' Adelia 7"/>
    <x v="1"/>
    <s v="URBINO"/>
    <s v="www.agriturismolecesane.it"/>
    <s v="frauke.weissang@hotmail.com"/>
    <s v="LE CESANE - URBINO"/>
  </r>
  <r>
    <x v="8"/>
    <s v="LE CIOCCHE"/>
    <m/>
    <x v="31"/>
    <s v="APECCHIO"/>
    <m/>
    <s v="ale_cipi@live.it"/>
    <s v="LE CIOCCHE - APECCHIO"/>
  </r>
  <r>
    <x v="3"/>
    <s v="LE CIVETTE"/>
    <s v="via Morganti 59"/>
    <x v="166"/>
    <m/>
    <s v="www.casavacanzalecivette.it"/>
    <s v="info@casavacanzalecivette.it"/>
    <s v="LE CIVETTE - MORRO D'ALBA"/>
  </r>
  <r>
    <x v="0"/>
    <s v="LE COLLINE"/>
    <s v="via Fondiglie 68"/>
    <x v="158"/>
    <s v="ROSORA"/>
    <s v="www.agriturismolecolline.eu"/>
    <s v="info@agriturismolecolline.eu"/>
    <s v="LE COLLINE - ROSORA"/>
  </r>
  <r>
    <x v="0"/>
    <s v="LE CONELLE"/>
    <s v="fraz. San Ginesio 96"/>
    <x v="18"/>
    <s v="SAN GINESIO"/>
    <s v="www.conelle.it"/>
    <s v="valerio.baciani@tin.it"/>
    <s v="LE CONELLE - ARCEVIA"/>
  </r>
  <r>
    <x v="3"/>
    <s v="LE COPERTELLE"/>
    <s v="via G. Leopardi 03/a"/>
    <x v="72"/>
    <m/>
    <s v="www.lecopertelle.com"/>
    <s v="info@lecopertelle.com"/>
    <s v="LE COPERTELLE - SERRA SAN QUIRICO"/>
  </r>
  <r>
    <x v="0"/>
    <s v="LE COSTE"/>
    <s v="contrada coste 34"/>
    <x v="54"/>
    <s v="MONTELPARO"/>
    <m/>
    <m/>
    <s v="LE COSTE - MONTELPARO"/>
  </r>
  <r>
    <x v="1"/>
    <s v="LE DUE ROSE"/>
    <s v="localita' Rocchetta 41"/>
    <x v="2"/>
    <s v="SAN SEVERINO MARCHE"/>
    <m/>
    <s v="info@le2rose.com"/>
    <s v="LE DUE ROSE - SAN SEVERINO MARCHE"/>
  </r>
  <r>
    <x v="0"/>
    <s v="LE FATE DI SESTINI ELISA"/>
    <s v="LOCALITA' ISOLA SAN BIAGIO 1"/>
    <x v="153"/>
    <s v="MONTEMONACO"/>
    <m/>
    <m/>
    <s v="LE FATE DI SESTINI ELISA - MONTEMONACO"/>
  </r>
  <r>
    <x v="8"/>
    <s v="LE FIABE"/>
    <s v="via Lauretana 19"/>
    <x v="9"/>
    <s v="NUMANA"/>
    <s v="www.giglihotels.com"/>
    <s v="lefiabe@giglihotels.com"/>
    <s v="LE FIABE - NUMANA"/>
  </r>
  <r>
    <x v="5"/>
    <s v="LE FINESTRE SUL CENTRO"/>
    <s v="corso Giacomo Matteotti 18"/>
    <x v="4"/>
    <m/>
    <s v="www.lefinestresulcentro.it"/>
    <s v="lefinestresulcentro@gmail.com"/>
    <s v="LE FINESTRE SUL CENTRO - JESI"/>
  </r>
  <r>
    <x v="8"/>
    <s v="LE FONTANELLE"/>
    <s v="via fontanelle 15"/>
    <x v="140"/>
    <s v="SANT' IPPOLITO"/>
    <m/>
    <s v="info@countryhouselefontanelle.it"/>
    <s v="LE FONTANELLE - SANT'IPPOLITO"/>
  </r>
  <r>
    <x v="0"/>
    <s v="LE FONTANELLE"/>
    <s v="STRADA DELLE FONTANELLE  5"/>
    <x v="10"/>
    <s v="ANCONA"/>
    <m/>
    <s v="lefontanelle2015@gmail.com"/>
    <s v="LE FONTANELLE - ANCONA"/>
  </r>
  <r>
    <x v="3"/>
    <s v="LE FONTANELLE"/>
    <s v="frazione Poggio 78/a"/>
    <x v="10"/>
    <m/>
    <s v="www.latorredelpoggio.it"/>
    <s v="lefontanelle@latorredelpoggio.it"/>
    <s v="LE FONTANELLE - ANCONA"/>
  </r>
  <r>
    <x v="5"/>
    <s v="LE FONTANELLE"/>
    <s v="fraz. Castiglioni 80"/>
    <x v="18"/>
    <s v="CASTIGLIONI"/>
    <s v="http://www.bblefontanelle.eu"/>
    <s v="p.r.sonnia@gmail.com"/>
    <s v="LE FONTANELLE - ARCEVIA"/>
  </r>
  <r>
    <x v="4"/>
    <s v="LE GALL"/>
    <s v="lungomare gramsci 1 1"/>
    <x v="47"/>
    <s v="PORTO SAN GIORGIO"/>
    <m/>
    <m/>
    <s v="LE GALL - PORTO SAN GIORGIO"/>
  </r>
  <r>
    <x v="0"/>
    <s v="LE GRANGE"/>
    <s v="via Marina Seconda 1"/>
    <x v="9"/>
    <s v="NUMANA"/>
    <m/>
    <s v="gioacchini.cristina@libero.it"/>
    <s v="LE GRANGE - NUMANA"/>
  </r>
  <r>
    <x v="1"/>
    <s v="LE GRAZIE"/>
    <s v="contrada grazie fiastra 1"/>
    <x v="27"/>
    <s v="LORO PICENO"/>
    <m/>
    <m/>
    <s v="LE GRAZIE - LORO PICENO"/>
  </r>
  <r>
    <x v="3"/>
    <s v="LE MAGNOLIE"/>
    <s v="via E. Mattei 69"/>
    <x v="144"/>
    <m/>
    <s v="www.residenzalemagnolie.it"/>
    <m/>
    <s v="LE MAGNOLIE - CASTELRAIMONDO"/>
  </r>
  <r>
    <x v="0"/>
    <s v="LE MANDRIOLE"/>
    <s v="via Mandriole 12"/>
    <x v="161"/>
    <s v="CUPRAMONTANA"/>
    <s v="www.lemandriole.it"/>
    <s v="info@lemandriole.it"/>
    <s v="LE MANDRIOLE - CUPRAMONTANA"/>
  </r>
  <r>
    <x v="8"/>
    <s v="Le MaRaClà"/>
    <s v="via Gangalia Bassa 8"/>
    <x v="4"/>
    <s v="gangalia"/>
    <s v="www.lemaracla.it"/>
    <s v="info@lemaracla.it"/>
    <s v="Le MaRaClà - JESI"/>
  </r>
  <r>
    <x v="0"/>
    <s v="LE MARASCHE"/>
    <s v="via della Codarda snc"/>
    <x v="91"/>
    <s v="loc. Percozzone"/>
    <m/>
    <s v="a.barbadoro@teletu.it"/>
    <s v="LE MARASCHE - PERGOLA"/>
  </r>
  <r>
    <x v="8"/>
    <s v="LE MERAVIGLIE COUNTRY-HOUSES"/>
    <s v="contrada santa croce 55"/>
    <x v="56"/>
    <s v="RECANATI"/>
    <s v="www.countryhouselemeraviglie.it"/>
    <s v="lemeraviglie2006@libero.it"/>
    <s v="LE MERAVIGLIE COUNTRY-HOUSES - RECANATI"/>
  </r>
  <r>
    <x v="4"/>
    <s v="LE MIMOSE"/>
    <s v="via faleria 7 15"/>
    <x v="163"/>
    <s v="PORTO SANT' ELPIDIO"/>
    <s v="info@villaggiolemimose.it"/>
    <s v="www.villaggiolemimose.it"/>
    <s v="LE MIMOSE - PORTO SANT'ELPIDIO"/>
  </r>
  <r>
    <x v="12"/>
    <s v="LE MIMOSE"/>
    <s v="via Faleria 15"/>
    <x v="163"/>
    <s v="PORTO SANT' ELPIDIO"/>
    <s v="www.villaggiolemimose.it"/>
    <s v="info@villaggiolemimose.it"/>
    <s v="LE MIMOSE - PORTO SANT'ELPIDIO"/>
  </r>
  <r>
    <x v="0"/>
    <s v="LE MURACCE"/>
    <s v="contrada molino 7"/>
    <x v="104"/>
    <s v="OSTRA VETERE"/>
    <s v="www.agriturismolemurace.it"/>
    <s v="lemuracce@libero.it"/>
    <s v="LE MURACCE - OSTRA VETERE"/>
  </r>
  <r>
    <x v="5"/>
    <s v="LE MUSE DI PARASECOLI CRISTIANO"/>
    <s v="viale marconi 5"/>
    <x v="162"/>
    <m/>
    <m/>
    <s v="bblemuse@alice.it"/>
    <s v="LE MUSE DI PARASECOLI CRISTIANO - MONSANO"/>
  </r>
  <r>
    <x v="3"/>
    <s v="LE NEREIDI APPARTAMENTI"/>
    <s v="via Mediterraneo  10"/>
    <x v="5"/>
    <m/>
    <s v="http://www.appartamenti-grottammare.it/it"/>
    <s v="info@conerohotel.com"/>
    <s v="LE NEREIDI APPARTAMENTI - GROTTAMMARE"/>
  </r>
  <r>
    <x v="3"/>
    <s v="LE NOTE DEL CONERO"/>
    <s v="via del Corbezzolo 6"/>
    <x v="8"/>
    <m/>
    <m/>
    <s v="rosanna.nicoletti@gmail.com"/>
    <s v="LE NOTE DEL CONERO - SIROLO"/>
  </r>
  <r>
    <x v="0"/>
    <s v="LE OREADI"/>
    <s v="frazione isola san biagio 52"/>
    <x v="153"/>
    <s v="MONTEMONACO"/>
    <s v="www.leoreadi.com"/>
    <s v="info@leoreadi.com"/>
    <s v="LE OREADI - MONTEMONACO"/>
  </r>
  <r>
    <x v="4"/>
    <s v="LE PALME"/>
    <m/>
    <x v="22"/>
    <s v="FALCONARA MARITTIMA"/>
    <s v="stabilimento.lepalme@alice.it"/>
    <m/>
    <s v="LE PALME - FALCONARA MARITTIMA"/>
  </r>
  <r>
    <x v="1"/>
    <s v="LE PALME"/>
    <s v="contrada San Pietro 61"/>
    <x v="73"/>
    <s v="MASSIGNANO"/>
    <m/>
    <s v="hotel.lepalme@libero.it"/>
    <s v="LE PALME - MASSIGNANO"/>
  </r>
  <r>
    <x v="0"/>
    <s v="LE PRATOLE"/>
    <s v="c.da Ss Annunziata 1"/>
    <x v="96"/>
    <s v="SS. ANNUNZIATA"/>
    <s v="www.lepratole.it"/>
    <s v="info@lepratole.it"/>
    <s v="LE PRATOLE - MONTALTO DELLE MARCHE"/>
  </r>
  <r>
    <x v="8"/>
    <s v="LE QUADRELLE"/>
    <s v="frazione Rocchetta 51"/>
    <x v="21"/>
    <s v="frazione Rocchetta"/>
    <s v="presidenza@castelvecchio.org"/>
    <s v="www.castelvecchio.org"/>
    <s v="LE QUADRELLE - FABRIANO"/>
  </r>
  <r>
    <x v="8"/>
    <s v="LE QUERCE"/>
    <s v="loc. Calmugnano 103"/>
    <x v="100"/>
    <s v="CALMUGNANO"/>
    <s v="www.locandalequerce.com"/>
    <s v="lequerce32@hotmail.com"/>
    <s v="LE QUERCE - FRONTINO"/>
  </r>
  <r>
    <x v="1"/>
    <s v="LE QUERCE"/>
    <s v="via Umberto Giordano 20"/>
    <x v="16"/>
    <s v="SENIGALLIA"/>
    <s v="www.hotellequerce.com"/>
    <s v="info@hotellequerce.com"/>
    <s v="LE QUERCE - SENIGALLIA"/>
  </r>
  <r>
    <x v="0"/>
    <s v="LE QUERCE"/>
    <s v="contrada forchiusa 65"/>
    <x v="72"/>
    <s v="SERRA SAN QUIRICO"/>
    <s v="www.agriturismolequerce.it"/>
    <s v="info@agriturismolequerce.it"/>
    <s v="LE QUERCE - SERRA SAN QUIRICO"/>
  </r>
  <r>
    <x v="7"/>
    <s v="LE QUERCE"/>
    <s v="Contrada Tesino 11"/>
    <x v="105"/>
    <m/>
    <m/>
    <s v="r.talamonti@alice.it"/>
    <s v="LE QUERCE - COSSIGNANO"/>
  </r>
  <r>
    <x v="8"/>
    <s v="LE QUERCE DEL METAURO"/>
    <s v="ss Bocca Trabaria 73 bis 1"/>
    <x v="76"/>
    <s v="loc.Fosso Porcari"/>
    <s v="www.lequercedelmetauro.it"/>
    <s v="info@lequercedelmetauro.it"/>
    <s v="LE QUERCE DEL METAURO - MERCATELLO SUL METAURO"/>
  </r>
  <r>
    <x v="0"/>
    <s v="LE QUIETE DIMORE"/>
    <s v="Strada delle Campagne  7/1"/>
    <x v="69"/>
    <s v="Novilara"/>
    <s v="www.lequietedimore.it"/>
    <s v="lequietedimore@gmail.com"/>
    <s v="LE QUIETE DIMORE - PESARO"/>
  </r>
  <r>
    <x v="4"/>
    <s v="LE RAGAZZE"/>
    <s v="via flaminia 551 551"/>
    <x v="22"/>
    <s v="FALCONARA MARITTIMA"/>
    <s v="leragazze16@libero.it"/>
    <m/>
    <s v="LE RAGAZZE - FALCONARA MARITTIMA"/>
  </r>
  <r>
    <x v="8"/>
    <s v="LE RIPE DI BELIGNI IVO"/>
    <m/>
    <x v="75"/>
    <s v="fraz. Cà Rio"/>
    <m/>
    <m/>
    <s v="LE RIPE DI BELIGNI IVO - CAGLI"/>
  </r>
  <r>
    <x v="5"/>
    <s v="LE RONDINI"/>
    <s v="contrada cerreto 20"/>
    <x v="132"/>
    <s v="SAN GINESIO"/>
    <s v="www.lerondinidisanginesio.it"/>
    <s v="info@lerondinidisanginesio.it"/>
    <s v="LE RONDINI - SAN GINESIO"/>
  </r>
  <r>
    <x v="5"/>
    <s v="LE ROSE B&amp;B"/>
    <s v="VIA GAUDENTI 5"/>
    <x v="8"/>
    <s v="SIROLO"/>
    <s v="www.lerosesirolo.it"/>
    <s v="info@lerosesirolo.it"/>
    <s v="LE ROSE B&amp;B - SIROLO"/>
  </r>
  <r>
    <x v="0"/>
    <s v="LE ROSE E I BAMBU"/>
    <s v="c.da Giardino 1"/>
    <x v="148"/>
    <s v="POTENZA PICENA"/>
    <s v="www.lerosebambu.weebly.com"/>
    <s v="info@lerosebambu.com"/>
    <s v="LE ROSE E I BAMBU - POTENZA PICENA"/>
  </r>
  <r>
    <x v="0"/>
    <s v="LE ROVERELLE"/>
    <s v="localita' feggiano 12"/>
    <x v="107"/>
    <s v="GAGLIOLE"/>
    <m/>
    <m/>
    <s v="LE ROVERELLE - GAGLIOLE"/>
  </r>
  <r>
    <x v="4"/>
    <s v="LE SIRENETTE"/>
    <s v="viale alcide de gasperi 1 1"/>
    <x v="5"/>
    <m/>
    <s v="firstlady@libero.it"/>
    <m/>
    <s v="LE SIRENETTE - GROTTAMMARE"/>
  </r>
  <r>
    <x v="0"/>
    <s v="LE SOFORE"/>
    <s v="localita' sant' andrea 1"/>
    <x v="33"/>
    <s v="FANO"/>
    <s v="www.agriturismolesofore.it"/>
    <s v="info@agriturismolesofore.it"/>
    <s v="LE SOFORE - FANO"/>
  </r>
  <r>
    <x v="0"/>
    <s v="LE SORGENTI"/>
    <s v="frazione lago castel trotino 1"/>
    <x v="151"/>
    <s v="ASCOLI PICENO"/>
    <s v="www.agriturismolesorgenti.org"/>
    <s v="info@agriturismolesorgenti.org"/>
    <s v="LE SORGENTI - ASCOLI PICENO"/>
  </r>
  <r>
    <x v="3"/>
    <s v="LE STAGIONI DEL CONERO (STURBA CRISTIANA)"/>
    <s v="via Flaminia 96"/>
    <x v="9"/>
    <s v="NUMANA"/>
    <s v="www.stagionidelconero.it"/>
    <s v="info@stagionidelconero.it"/>
    <s v="LE STAGIONI DEL CONERO (STURBA CRISTIANA) - NUMANA"/>
  </r>
  <r>
    <x v="3"/>
    <s v="LE STANZE DI CLOTILDE"/>
    <s v="via purgotti 64-66"/>
    <x v="75"/>
    <s v="CAGLI"/>
    <m/>
    <s v="info@bonclericihouse.it"/>
    <s v="LE STANZE DI CLOTILDE - CAGLI"/>
  </r>
  <r>
    <x v="3"/>
    <s v="LE STANZE DI ROSA"/>
    <s v="via Lombardia 42"/>
    <x v="162"/>
    <m/>
    <m/>
    <s v="claudiacocciarini@outlook.it"/>
    <s v="LE STANZE DI ROSA - MONSANO"/>
  </r>
  <r>
    <x v="0"/>
    <s v="LE TAMERICI"/>
    <s v="c.da Carreggiano 4"/>
    <x v="139"/>
    <m/>
    <m/>
    <s v="maco.fx@libero.it"/>
    <s v="LE TAMERICI - TREIA"/>
  </r>
  <r>
    <x v="4"/>
    <s v="LE TERRAZZE"/>
    <s v="viale alcide de gasperi 40 40"/>
    <x v="5"/>
    <m/>
    <s v="leterrazze@libero.it"/>
    <s v="www.orovacanze.it"/>
    <s v="LE TERRAZZE - GROTTAMMARE"/>
  </r>
  <r>
    <x v="0"/>
    <s v="LE TERRE DI MALUK"/>
    <s v="via Piana di Cardinale 37"/>
    <x v="203"/>
    <s v="loc.Cozze di Monte San Vito"/>
    <s v="www.leterredimaluk.it"/>
    <s v="info@leterredimaluk.it"/>
    <s v="LE TERRE DI MALUK - MONTE SAN VITO"/>
  </r>
  <r>
    <x v="0"/>
    <s v="LE TOFE"/>
    <s v="frazione tofe 1"/>
    <x v="153"/>
    <s v="MONTEMONACO"/>
    <m/>
    <m/>
    <s v="LE TOFE - MONTEMONACO"/>
  </r>
  <r>
    <x v="3"/>
    <s v="LE TORRI"/>
    <s v="via Saffi 12"/>
    <x v="10"/>
    <s v="Ancona"/>
    <m/>
    <s v="letorriaffittacamere@libero.it"/>
    <s v="LE TORRI - ANCONA"/>
  </r>
  <r>
    <x v="0"/>
    <s v="LE TORRICELLE"/>
    <s v="FRAZIONE PIRLO 1"/>
    <x v="78"/>
    <s v="PIANDIMELETO"/>
    <m/>
    <m/>
    <s v="LE TORRICELLE - PIANDIMELETO"/>
  </r>
  <r>
    <x v="3"/>
    <s v="LE TRE QUERCE"/>
    <s v="via Vallone 2"/>
    <x v="144"/>
    <m/>
    <s v="http://letrequerce.wordpress.com/"/>
    <s v="gmassei@gmail.com"/>
    <s v="LE TRE QUERCE - CASTELRAIMONDO"/>
  </r>
  <r>
    <x v="5"/>
    <s v="LE VALLICELLE"/>
    <s v="contrada Collezampone 23"/>
    <x v="116"/>
    <s v="SANT' ANGELO IN PONTANO"/>
    <s v="www.levallicelle.com"/>
    <s v="levallicelle@libero.it"/>
    <s v="LE VALLICELLE - SANT'ANGELO IN PONTANO"/>
  </r>
  <r>
    <x v="3"/>
    <s v="LE VARANGOLE"/>
    <s v="fraz. Caudino 50"/>
    <x v="18"/>
    <s v="CAUDINO"/>
    <s v="www.casavacanzalevarangole.it"/>
    <s v="casavacanzalevarangole@gmail.com"/>
    <s v="LE VARANGOLE - ARCEVIA"/>
  </r>
  <r>
    <x v="0"/>
    <s v="LE VERGARE"/>
    <s v="via Traversa Massa 3"/>
    <x v="188"/>
    <s v="OFFAGNA"/>
    <s v="www.agriturismolevergare.com"/>
    <s v="agriturismolevergare@alice.it"/>
    <s v="LE VERGARE - OFFAGNA"/>
  </r>
  <r>
    <x v="0"/>
    <s v="LE VOCI DEL SILENZIO"/>
    <m/>
    <x v="76"/>
    <s v="loc.Cal Bianchino"/>
    <m/>
    <s v="levocidelsilenzio@libero.it"/>
    <s v="LE VOCI DEL SILENZIO - MERCATELLO SUL METAURO"/>
  </r>
  <r>
    <x v="7"/>
    <s v="LEA CORALLONI"/>
    <s v="via Baldi  60"/>
    <x v="69"/>
    <m/>
    <m/>
    <s v="paola.vi@fastwebnet.it"/>
    <s v="LEA CORALLONI - PESARO"/>
  </r>
  <r>
    <x v="6"/>
    <s v="LED ZEPPELIN"/>
    <s v="c.da Boccabianca 5"/>
    <x v="32"/>
    <s v="CUPRA MARITTIMA"/>
    <s v="www.campingledzeppelin.it"/>
    <s v="info@campingledzeppelin.it"/>
    <s v="LED ZEPPELIN - CUPRA MARITTIMA"/>
  </r>
  <r>
    <x v="6"/>
    <s v="LED ZEPPELIN (BIS)"/>
    <s v="c.da Boccabianca 5"/>
    <x v="32"/>
    <s v="CUPRA MARITTIMA"/>
    <s v="www.campingledzeppelin.it"/>
    <s v="info@campingledzeppelin.it"/>
    <s v="LED ZEPPELIN (BIS) - CUPRA MARITTIMA"/>
  </r>
  <r>
    <x v="5"/>
    <s v="L'EDERA"/>
    <s v="via Camillo Benso Conte di Cavour 185"/>
    <x v="163"/>
    <s v="PORTO SANT' ELPIDIO"/>
    <s v="www.bedeandbreakfastedera.com"/>
    <s v="bedandbreakfastedera@virgilio.it"/>
    <s v="L'EDERA - PORTO SANT'ELPIDIO"/>
  </r>
  <r>
    <x v="3"/>
    <s v="LELI FIORENZO"/>
    <s v="via circonvallazione del lago 19"/>
    <x v="74"/>
    <s v="FIASTRA"/>
    <m/>
    <s v="osteriadellago19@gmail.com"/>
    <s v="LELI FIORENZO - FIASTRA"/>
  </r>
  <r>
    <x v="5"/>
    <s v="LEMON B&amp;B"/>
    <s v="contrada monte carrello 1"/>
    <x v="150"/>
    <s v="MONSAMPOLO DEL TRONTO"/>
    <s v="amadio.carlini@gmail.com"/>
    <m/>
    <s v="LEMON B&amp;B - MONSAMPOLO DEL TRONTO"/>
  </r>
  <r>
    <x v="7"/>
    <s v="LENCI LORENZA"/>
    <s v="viale degli Eroi 33"/>
    <x v="60"/>
    <m/>
    <m/>
    <s v="manuela.lenci@virgilio.it"/>
    <s v="LENCI LORENZA - CORINALDO"/>
  </r>
  <r>
    <x v="1"/>
    <s v="LEON D'ORO"/>
    <s v="Via Flaminia 213"/>
    <x v="86"/>
    <s v="ACQUALAGNA"/>
    <m/>
    <m/>
    <s v="LEON D'ORO - ACQUALAGNA"/>
  </r>
  <r>
    <x v="7"/>
    <s v="LEONARDI CLAUDIO"/>
    <s v="via G. Pascoli 12"/>
    <x v="28"/>
    <m/>
    <m/>
    <m/>
    <s v="LEONARDI CLAUDIO - GABICCE MARE"/>
  </r>
  <r>
    <x v="7"/>
    <s v="LEONARDI FABIO"/>
    <s v="via Trento 34,36"/>
    <x v="28"/>
    <m/>
    <m/>
    <m/>
    <s v="LEONARDI FABIO - GABICCE MARE"/>
  </r>
  <r>
    <x v="5"/>
    <s v="LEONARDI GUIDO"/>
    <s v="via montefeltresca 118"/>
    <x v="184"/>
    <s v="PIETRARUBBIA"/>
    <m/>
    <m/>
    <s v="LEONARDI GUIDO - PIETRARUBBIA"/>
  </r>
  <r>
    <x v="7"/>
    <s v="LEONARDI VENERINO"/>
    <s v="via Trento 34,38"/>
    <x v="28"/>
    <m/>
    <m/>
    <m/>
    <s v="LEONARDI VENERINO - GABICCE MARE"/>
  </r>
  <r>
    <x v="1"/>
    <s v="LEONARDO DA VINCI"/>
    <m/>
    <x v="69"/>
    <m/>
    <m/>
    <m/>
    <s v="LEONARDO DA VINCI - PESARO"/>
  </r>
  <r>
    <x v="3"/>
    <s v="L'EREMO AFFITTACAMERE"/>
    <s v="via Prelato 14"/>
    <x v="33"/>
    <s v="FANO"/>
    <m/>
    <s v="carnaroli.m@libero.it"/>
    <s v="L'EREMO AFFITTACAMERE - FANO"/>
  </r>
  <r>
    <x v="4"/>
    <s v="LES PARASOLS"/>
    <s v="via Litoranea 23 23"/>
    <x v="9"/>
    <s v="MARCELLI"/>
    <s v="superroberto67@hotmail.com"/>
    <m/>
    <s v="LES PARASOLS - NUMANA"/>
  </r>
  <r>
    <x v="4"/>
    <s v="L'ETOILE"/>
    <s v="viale Europa 35 35"/>
    <x v="12"/>
    <m/>
    <m/>
    <m/>
    <s v="L'ETOILE - SAN BENEDETTO DEL TRONTO"/>
  </r>
  <r>
    <x v="7"/>
    <s v="LETTINA PAMELA"/>
    <s v="IV NOVEMBRE 9"/>
    <x v="148"/>
    <m/>
    <m/>
    <s v="casastelladimare15@gmail.com"/>
    <s v="LETTINA PAMELA - POTENZA PICENA"/>
  </r>
  <r>
    <x v="3"/>
    <s v="LETTO E RILETTO"/>
    <s v="via v. bachelet 33"/>
    <x v="109"/>
    <s v="MONTECASSIANO"/>
    <s v="www.lettoeriletto.com"/>
    <s v="info@lettoeriletto.com"/>
    <s v="LETTO E RILETTO - MONTECASSIANO"/>
  </r>
  <r>
    <x v="0"/>
    <s v="LEVANDARA"/>
    <s v="C.DA LAVANDARA  9"/>
    <x v="37"/>
    <s v="Fermo"/>
    <s v="levandara.it"/>
    <m/>
    <s v="LEVANDARA - FERMO"/>
  </r>
  <r>
    <x v="3"/>
    <s v="LIANA"/>
    <s v="viale Trieste  102"/>
    <x v="69"/>
    <m/>
    <m/>
    <s v="info@hotelnautilus.it"/>
    <s v="LIANA - PESARO"/>
  </r>
  <r>
    <x v="6"/>
    <s v="LIANA"/>
    <s v="lungomare leonardo da vinci 54"/>
    <x v="16"/>
    <s v="SENIGALLIA"/>
    <s v="www.campingliana.it"/>
    <s v="info@campingliana.it"/>
    <s v="LIANA - SENIGALLIA"/>
  </r>
  <r>
    <x v="5"/>
    <s v="LIBERATI PAOLA"/>
    <s v="via nazionale 129"/>
    <x v="37"/>
    <s v="FERMO"/>
    <m/>
    <s v="paola.liberati@libero.it"/>
    <s v="LIBERATI PAOLA - FERMO"/>
  </r>
  <r>
    <x v="1"/>
    <s v="LIDIA"/>
    <s v="via Giacomo Matteotti 7"/>
    <x v="53"/>
    <s v="MERGO"/>
    <s v="www.hotellidia.it"/>
    <s v="info@hotellidia.it"/>
    <s v="LIDIA - MERGO"/>
  </r>
  <r>
    <x v="1"/>
    <s v="LIDO"/>
    <s v="via armando diaz 6"/>
    <x v="28"/>
    <s v="GABICCE MARE"/>
    <s v="www.lidohotel.org"/>
    <s v="lido@gabiccemare.com"/>
    <s v="LIDO - GABICCE MARE"/>
  </r>
  <r>
    <x v="1"/>
    <s v="LIDO"/>
    <s v="via Dante Alighieri 131"/>
    <x v="148"/>
    <s v="POTENZA PICENA"/>
    <m/>
    <s v="lido.hotel@tiscali.it"/>
    <s v="LIDO - POTENZA PICENA"/>
  </r>
  <r>
    <x v="4"/>
    <s v="LIDO 3 DI GAMBINI GIANFRANCA &amp; C. S.A.S."/>
    <s v="via c. simonetti 7 7"/>
    <x v="33"/>
    <s v="FANO"/>
    <s v="lidodifano@alice.it"/>
    <m/>
    <s v="LIDO 3 DI GAMBINI GIANFRANCA &amp; C. S.A.S. - FANO"/>
  </r>
  <r>
    <x v="6"/>
    <s v="LIDO ASOLA"/>
    <s v="piazza Antonio Gramsci 1"/>
    <x v="148"/>
    <s v="POTENZA PICENA"/>
    <s v="www.campinglidoasola.it"/>
    <s v="paolapolverigiani@libero.it"/>
    <s v="LIDO ASOLA - POTENZA PICENA"/>
  </r>
  <r>
    <x v="4"/>
    <s v="LIDO AZZURRO"/>
    <s v="via cristoforo colombo 1 1"/>
    <x v="22"/>
    <s v="FALCONARA MARITTIMA"/>
    <s v="d.farano@gmail.com"/>
    <m/>
    <s v="LIDO AZZURRO - FALCONARA MARITTIMA"/>
  </r>
  <r>
    <x v="4"/>
    <s v="LIDO AZZURRO"/>
    <s v="via marina 116 116/A"/>
    <x v="41"/>
    <s v="MARINA DI MONTEMARCIANO"/>
    <m/>
    <m/>
    <s v="LIDO AZZURRO - MONTEMARCIANO"/>
  </r>
  <r>
    <x v="4"/>
    <s v="LIDO AZZURRO"/>
    <s v="lungomare marconi 41 41"/>
    <x v="12"/>
    <m/>
    <s v="piersac@alice.it"/>
    <m/>
    <s v="LIDO AZZURRO - SAN BENEDETTO DEL TRONTO"/>
  </r>
  <r>
    <x v="4"/>
    <s v="LIDO AZZURRO N 11"/>
    <s v="via litoranea 3/A 3/A"/>
    <x v="9"/>
    <s v="NUMANA"/>
    <m/>
    <m/>
    <s v="LIDO AZZURRO N 11 - NUMANA"/>
  </r>
  <r>
    <x v="4"/>
    <s v="LIDO BAGNI N° 82"/>
    <s v="lungomare alighieri 82 82"/>
    <x v="16"/>
    <s v="SENIGALLIA"/>
    <m/>
    <s v="robyangletti@libero.it"/>
    <s v="LIDO BAGNI N° 82 - SENIGALLIA"/>
  </r>
  <r>
    <x v="4"/>
    <s v="LIDO CRISTALLO"/>
    <s v="Lungomare Piermanni 6"/>
    <x v="17"/>
    <s v="CIVITANOVA MARCHE"/>
    <m/>
    <m/>
    <s v="LIDO CRISTALLO - CIVITANOVA MARCHE"/>
  </r>
  <r>
    <x v="4"/>
    <s v="LIDO DELLA POLIZIA - N. 36"/>
    <s v="viale iv novembre 1 1"/>
    <x v="17"/>
    <s v="CIVITANOVA MARCHE"/>
    <m/>
    <m/>
    <s v="LIDO DELLA POLIZIA - N. 36 - CIVITANOVA MARCHE"/>
  </r>
  <r>
    <x v="4"/>
    <s v="LIDO LA BUSSOLA"/>
    <s v="Spiaggia Zona Disco snc snc"/>
    <x v="22"/>
    <s v="FALCONARA MARITTIMA"/>
    <m/>
    <m/>
    <s v="LIDO LA BUSSOLA - FALCONARA MARITTIMA"/>
  </r>
  <r>
    <x v="4"/>
    <s v="LIDO SABBIA D'OR"/>
    <m/>
    <x v="23"/>
    <m/>
    <m/>
    <m/>
    <s v="LIDO SABBIA D'OR - PORTO RECANATI"/>
  </r>
  <r>
    <x v="4"/>
    <s v="LIDO SABBIADORO"/>
    <s v="VIALE EUROPA 29 29"/>
    <x v="12"/>
    <m/>
    <m/>
    <m/>
    <s v="LIDO SABBIADORO - SAN BENEDETTO DEL TRONTO"/>
  </r>
  <r>
    <x v="7"/>
    <s v="LIERA LAURA"/>
    <s v="Via V. Veneto 11"/>
    <x v="196"/>
    <s v="VALLEFOGLIA"/>
    <m/>
    <s v="laura.liera@teletu.it"/>
    <s v="LIERA LAURA - VALLEFOGLIA"/>
  </r>
  <r>
    <x v="5"/>
    <s v="LIETI COLLI BED&amp;BREAKFAST"/>
    <s v="via Montarice 49"/>
    <x v="23"/>
    <s v="PORTO RECANATI"/>
    <s v="www.lieticolli.com"/>
    <s v="info@lieticolli.com"/>
    <s v="LIETI COLLI BED&amp;BREAKFAST - PORTO RECANATI"/>
  </r>
  <r>
    <x v="1"/>
    <s v="LIFE HOTEL"/>
    <s v="Piazza delle Vele 22"/>
    <x v="23"/>
    <s v="lungomare"/>
    <s v="www.Life-hotel.it"/>
    <s v="info@life-hotel.it"/>
    <s v="LIFE HOTEL - PORTO RECANATI"/>
  </r>
  <r>
    <x v="5"/>
    <s v="LILLANANNA BED AND BREAKFAST"/>
    <s v="via Sibillini 73"/>
    <x v="163"/>
    <s v="Cretarola"/>
    <s v="http://www.lillananna.it/"/>
    <s v="staff@lillananna.it"/>
    <s v="LILLANANNA BED AND BREAKFAST - PORTO SANT'ELPIDIO"/>
  </r>
  <r>
    <x v="3"/>
    <s v="LILLIPUT"/>
    <s v="via La Pace 17"/>
    <x v="46"/>
    <m/>
    <m/>
    <s v="info@officinatonialdo.com"/>
    <s v="LILLIPUT - SASSOFERRATO"/>
  </r>
  <r>
    <x v="1"/>
    <s v="LILLY"/>
    <s v="Via faa' di bruno 22"/>
    <x v="20"/>
    <s v="MONDOLFO"/>
    <m/>
    <m/>
    <s v="LILLY - MONDOLFO"/>
  </r>
  <r>
    <x v="4"/>
    <s v="L'ILY BEACH - BAGNI N° 36"/>
    <s v="lungomare mameli 1 1"/>
    <x v="16"/>
    <s v="SENIGALLIA"/>
    <m/>
    <m/>
    <s v="L'ILY BEACH - BAGNI N° 36 - SENIGALLIA"/>
  </r>
  <r>
    <x v="0"/>
    <s v="L'INCANTO DEI SIBILLINI"/>
    <m/>
    <x v="89"/>
    <m/>
    <s v="www.incantodeisibillini.it"/>
    <m/>
    <s v="L'INCANTO DEI SIBILLINI - CESSAPALOMBO"/>
  </r>
  <r>
    <x v="0"/>
    <s v="L'INCONTRO"/>
    <s v="contrada san lorenzo 63"/>
    <x v="43"/>
    <s v="MONTEFALCONE APPENNINO"/>
    <m/>
    <m/>
    <s v="L'INCONTRO - MONTEFALCONE APPENNINO"/>
  </r>
  <r>
    <x v="5"/>
    <s v="L'INFINITO"/>
    <s v="Via Marte 3"/>
    <x v="110"/>
    <s v="MOMBAROCCIO"/>
    <s v="www.lavandainfinito.com"/>
    <s v="info@lavandainfinito.com"/>
    <s v="L'INFINITO - MOMBAROCCIO"/>
  </r>
  <r>
    <x v="8"/>
    <s v="L'INFINITO"/>
    <s v="via fornace 4"/>
    <x v="118"/>
    <s v="SERRA DE' CONTI"/>
    <m/>
    <s v="info@linfinitocountry.it"/>
    <s v="L'INFINITO - SERRA DE' CONTI"/>
  </r>
  <r>
    <x v="8"/>
    <s v="LIOLA'"/>
    <s v="localita' Piane Potenza 9"/>
    <x v="109"/>
    <s v="MONTECASSIANO"/>
    <m/>
    <s v="g.chiacchiera@sincomas.it"/>
    <s v="LIOLA' - MONTECASSIANO"/>
  </r>
  <r>
    <x v="7"/>
    <s v="LIPPOLIS LAURA"/>
    <s v="Via G. Passeri 49"/>
    <x v="69"/>
    <s v="PESARO"/>
    <m/>
    <m/>
    <s v="LIPPOLIS LAURA - PESARO"/>
  </r>
  <r>
    <x v="4"/>
    <s v="LISETTA"/>
    <m/>
    <x v="23"/>
    <m/>
    <m/>
    <m/>
    <s v="LISETTA - PORTO RECANATI"/>
  </r>
  <r>
    <x v="8"/>
    <s v="L'ISOLA CHE NON C'E'"/>
    <s v="frazione sappanico 146"/>
    <x v="10"/>
    <s v="ANCONA"/>
    <s v="www.ch-lisolachenonce.it"/>
    <s v="info@ch-lisolachenonce.it"/>
    <s v="L'ISOLA CHE NON C'E' - ANCONA"/>
  </r>
  <r>
    <x v="0"/>
    <s v="L'ISOLA CHE NON C'E'"/>
    <s v="contrada Malvasia 1"/>
    <x v="106"/>
    <m/>
    <s v="www.isolachenonce.eu"/>
    <s v="info@isolachenonce.eu"/>
    <s v="L'ISOLA CHE NON C'E' - MONTE SAN PIETRANGELI"/>
  </r>
  <r>
    <x v="0"/>
    <s v="L'ISOLA CHE NON C'ERA"/>
    <s v="loc. Isola 58"/>
    <x v="2"/>
    <m/>
    <s v="www.lisolachenoncera.eu"/>
    <s v="info@lisolachenoncera.eu"/>
    <s v="L'ISOLA CHE NON C'ERA - SAN SEVERINO MARCHE"/>
  </r>
  <r>
    <x v="4"/>
    <s v="LO SCOGLIO"/>
    <m/>
    <x v="148"/>
    <s v="POTENZA PICENA"/>
    <m/>
    <m/>
    <s v="LO SCOGLIO - POTENZA PICENA"/>
  </r>
  <r>
    <x v="4"/>
    <s v="LO SCOGLIO"/>
    <s v="viale alcide de gasperi 23 23"/>
    <x v="5"/>
    <m/>
    <s v="loscoglio@tin.it"/>
    <m/>
    <s v="LO SCOGLIO - GROTTAMMARE"/>
  </r>
  <r>
    <x v="0"/>
    <s v="LO SCOIATTOLO"/>
    <s v="contrada maltignano 9"/>
    <x v="51"/>
    <s v="PETRITOLI"/>
    <s v="www.agriturismoloscoiattolo.it"/>
    <s v="agriturismoloscoiattolo@alice.it"/>
    <s v="LO SCOIATTOLO - PETRITOLI"/>
  </r>
  <r>
    <x v="0"/>
    <s v="LO SGORZOLO"/>
    <s v="frazione Montesecco 66"/>
    <x v="91"/>
    <s v="PERGOLA"/>
    <s v="www.losgorzolo.it"/>
    <s v="info@losgorzolo.it"/>
    <s v="LO SGORZOLO - PERGOLA"/>
  </r>
  <r>
    <x v="1"/>
    <s v="LO SQUALO"/>
    <s v="via Guglielmo Marconi 71"/>
    <x v="5"/>
    <s v="GROTTAMMARE"/>
    <s v="www.hotellosqualo.it"/>
    <s v="info@hotellosqualo.it"/>
    <s v="LO SQUALO - GROTTAMMARE"/>
  </r>
  <r>
    <x v="4"/>
    <s v="LO STORIONE"/>
    <s v="lungomare gramsci 1 1"/>
    <x v="47"/>
    <s v="PORTO SAN GIORGIO"/>
    <m/>
    <m/>
    <s v="LO STORIONE - PORTO SAN GIORGIO"/>
  </r>
  <r>
    <x v="0"/>
    <s v="LO ZAFFERANO"/>
    <s v="Capo Cervara 20"/>
    <x v="49"/>
    <s v="FEMATRE"/>
    <m/>
    <m/>
    <s v="LO ZAFFERANO - VISSO"/>
  </r>
  <r>
    <x v="4"/>
    <s v="L'OASI"/>
    <s v="Lungomare Piermanni 14"/>
    <x v="17"/>
    <s v="CIVITANOVA MARCHE"/>
    <s v="info@loasi.com"/>
    <s v="http://www.ristorantespecialitapesce.com/"/>
    <s v="L'OASI - CIVITANOVA MARCHE"/>
  </r>
  <r>
    <x v="0"/>
    <s v="L'OASI DI PIERINO"/>
    <s v="via Molino Nuovo 1"/>
    <x v="232"/>
    <s v="PONZANO DI FERMO"/>
    <m/>
    <s v="loasidipierino@libero.it"/>
    <s v="L'OASI DI PIERINO - PONZANO DI FERMO"/>
  </r>
  <r>
    <x v="3"/>
    <s v="LOCANDA AL CIRCOLO IPPICO"/>
    <s v="via Jesi 19"/>
    <x v="137"/>
    <s v="OSTRA"/>
    <m/>
    <s v="locandacircoloippicosas@legalmail.it"/>
    <s v="LOCANDA AL CIRCOLO IPPICO - OSTRA"/>
  </r>
  <r>
    <x v="8"/>
    <s v="LOCANDA BORGOGNINA"/>
    <s v="via Borgognina 31"/>
    <x v="52"/>
    <m/>
    <s v="www.locandaborgognina.it"/>
    <s v="locandaborgognina@libero.it"/>
    <s v="LOCANDA BORGOGNINA - CARTOCETO"/>
  </r>
  <r>
    <x v="3"/>
    <s v="LOCANDA CAFFE' LE LOGGE"/>
    <s v="corso Alessandro Giannelli 34"/>
    <x v="226"/>
    <s v="URBISAGLIA"/>
    <s v="www.locandalelogge.it"/>
    <s v="info@locandalelogge.it"/>
    <s v="LOCANDA CAFFE' LE LOGGE - URBISAGLIA"/>
  </r>
  <r>
    <x v="8"/>
    <s v="LOCANDA CASA VALMA"/>
    <s v="fraz. Costa 123"/>
    <x v="18"/>
    <s v="COSTA"/>
    <s v="www.locandacasavalma.com"/>
    <s v="locandacasavalma@gmail.com"/>
    <s v="LOCANDA CASA VALMA - ARCEVIA"/>
  </r>
  <r>
    <x v="1"/>
    <s v="LOCANDA DA CIACCI"/>
    <s v="via roma 105"/>
    <x v="189"/>
    <s v="PETRIANO"/>
    <m/>
    <m/>
    <s v="LOCANDA DA CIACCI - PETRIANO"/>
  </r>
  <r>
    <x v="3"/>
    <s v="LOCANDA DEI SACCHI"/>
    <s v="corso Bencivenni 6"/>
    <x v="76"/>
    <s v="MERCATELLO SUL METAURO"/>
    <s v="www.locandasacchi.it"/>
    <s v="sacchiumberto@virgilio.it"/>
    <s v="LOCANDA DEI SACCHI - MERCATELLO SUL METAURO"/>
  </r>
  <r>
    <x v="8"/>
    <s v="LOCANDA DEL BORGO"/>
    <m/>
    <x v="195"/>
    <m/>
    <s v="www.villasanmartino-countryhouse.it"/>
    <s v="info@villasanmartino-countryhouse.it"/>
    <s v="LOCANDA DEL BORGO - SALTARA"/>
  </r>
  <r>
    <x v="3"/>
    <s v="LOCANDA DEL CASTELLO"/>
    <s v="piazzale della Rocca 5"/>
    <x v="138"/>
    <s v="FRONTONE"/>
    <s v="www.locandadelcastello.it"/>
    <s v="locandadelcastello@liberto.it"/>
    <s v="LOCANDA DEL CASTELLO - FRONTONE"/>
  </r>
  <r>
    <x v="3"/>
    <s v="LOCANDA DEL GRILLO"/>
    <s v="frazione rocchetta 72"/>
    <x v="21"/>
    <s v="FABRIANO"/>
    <s v="www.marchesedelgrillo.com"/>
    <s v="info@marchesedelgrillo.com"/>
    <s v="LOCANDA DEL GRILLO - FABRIANO"/>
  </r>
  <r>
    <x v="5"/>
    <s v="LOCANDA DEL MUSONE"/>
    <s v="via ernesto che guevara 56"/>
    <x v="169"/>
    <s v="CASTELFIDARDO"/>
    <s v="www.lalocandadelmusone.it"/>
    <s v="informazioni@lalocandadelmusone.it"/>
    <s v="LOCANDA DEL MUSONE - CASTELFIDARDO"/>
  </r>
  <r>
    <x v="3"/>
    <s v="LOCANDA DEL TAVOLO MATTO"/>
    <s v="contrada torrenova 35"/>
    <x v="148"/>
    <s v="POTENZA PICENA"/>
    <s v="www.tavolomatto.it"/>
    <s v="tavolomatto@alice.it"/>
    <s v="LOCANDA DEL TAVOLO MATTO - POTENZA PICENA"/>
  </r>
  <r>
    <x v="0"/>
    <s v="LOCANDA DEL TORCHIETTO di NICOLINI PATRIZIA"/>
    <s v="c.da Girola 11"/>
    <x v="37"/>
    <s v="FERMO"/>
    <s v="www.locandadeltorchietto.com"/>
    <s v="info@locandadeltorchietto.com"/>
    <s v="LOCANDA DEL TORCHIETTO di NICOLINI PATRIZIA - FERMO"/>
  </r>
  <r>
    <x v="1"/>
    <s v="LOCANDA DELLA RAVIGNANA"/>
    <s v="PRIMO MAGGIO s.n.c."/>
    <x v="83"/>
    <m/>
    <s v="www.locandadellaravignana.it"/>
    <s v="alessandra@studiospallacci.it"/>
    <s v="LOCANDA DELLA RAVIGNANA - FRATTE ROSA"/>
  </r>
  <r>
    <x v="0"/>
    <s v="LOCANDA DELLA VALLE NUOVA"/>
    <s v="LA CAPPELLA 14"/>
    <x v="152"/>
    <s v="Fermignano"/>
    <s v="http://vallenuova.it"/>
    <s v="info@vallenuova.it"/>
    <s v="LOCANDA DELLA VALLE NUOVA - FERMIGNANO"/>
  </r>
  <r>
    <x v="0"/>
    <s v="LOCANDA DELLE SALINE"/>
    <s v="via saline 9"/>
    <x v="50"/>
    <s v="CAMERATA PICENA"/>
    <s v="www.agriturismolesaline.it"/>
    <s v="locandadellesaline@libero.it"/>
    <s v="LOCANDA DELLE SALINE - CAMERATA PICENA"/>
  </r>
  <r>
    <x v="3"/>
    <s v="LOCANDA DELLO SCOIATTOLO"/>
    <m/>
    <x v="43"/>
    <s v="MONTEFALCONE APPENNINO"/>
    <m/>
    <m/>
    <s v="LOCANDA DELLO SCOIATTOLO - MONTEFALCONE APPENNINO"/>
  </r>
  <r>
    <x v="0"/>
    <s v="LOCANDA FONTEZOPPA"/>
    <s v="contrada san domenico 38"/>
    <x v="17"/>
    <s v="CIVITANOVA MARCHE"/>
    <s v="www.locandafontezoppa.com"/>
    <s v="info@locandafontezoppa.com"/>
    <s v="LOCANDA FONTEZOPPA - CIVITANOVA MARCHE"/>
  </r>
  <r>
    <x v="8"/>
    <s v="LOCANDA LA BRECCIA"/>
    <s v="strada delle caminate 43"/>
    <x v="94"/>
    <s v="SAN COSTANZO"/>
    <s v="www.locandalabreccia.com"/>
    <s v="info@locandalabreccia.com"/>
    <s v="LOCANDA LA BRECCIA - SAN COSTANZO"/>
  </r>
  <r>
    <x v="0"/>
    <s v="LOCANDA MONTELIPPO"/>
    <s v="via Canarecchia 31"/>
    <x v="196"/>
    <s v="info@montelippo.it"/>
    <s v="www.montelippo.it"/>
    <s v="info@montelippo.it"/>
    <s v="LOCANDA MONTELIPPO - VALLEFOGLIA"/>
  </r>
  <r>
    <x v="8"/>
    <s v="LOCANDA NEMOROSA"/>
    <m/>
    <x v="81"/>
    <m/>
    <s v="www.locandanemorosa.it"/>
    <s v="info@locandanemorosa.it"/>
    <s v="LOCANDA NEMOROSA - MONTECAROTTO"/>
  </r>
  <r>
    <x v="8"/>
    <s v="LOCANDA SAN FRANCESCO COUNTRY HOUSE di ANNA BETTARELLI"/>
    <s v="Contrada Sabbionare 1"/>
    <x v="81"/>
    <s v="MONTECAROTTO"/>
    <s v="www.locandasanfrancesco.eu"/>
    <s v="locandasanfrancesco@gmx.com; alepacheco@hotmail.it"/>
    <s v="LOCANDA SAN FRANCESCO COUNTRY HOUSE di ANNA BETTARELLI - MONTECAROTTO"/>
  </r>
  <r>
    <x v="0"/>
    <s v="LOCANDA SAN ROCCO"/>
    <s v="Collaiello 2"/>
    <x v="107"/>
    <s v="Frazione Collaiello"/>
    <m/>
    <s v="locandasanrocco@libero.it"/>
    <s v="LOCANDA SAN ROCCO - GAGLIOLE"/>
  </r>
  <r>
    <x v="3"/>
    <s v="LOCANDA SANTA MUSTIOLA"/>
    <s v="localita' santa mustiola 1"/>
    <x v="147"/>
    <s v="PEGLIO"/>
    <m/>
    <m/>
    <s v="LOCANDA SANTA MUSTIOLA - PEGLIO"/>
  </r>
  <r>
    <x v="3"/>
    <s v="LOCANDA STOP"/>
    <s v="via Yuri Gagarin 24"/>
    <x v="69"/>
    <s v="PESARO"/>
    <m/>
    <m/>
    <s v="LOCANDA STOP - PESARO"/>
  </r>
  <r>
    <x v="8"/>
    <s v="LOCANDA STRADA DELLA MARINA"/>
    <s v="strada della marina 265"/>
    <x v="16"/>
    <s v="SENIGALLIA"/>
    <m/>
    <s v="astro.gest_@libero.it"/>
    <s v="LOCANDA STRADA DELLA MARINA - SENIGALLIA"/>
  </r>
  <r>
    <x v="3"/>
    <s v="LOCANDA TAVERNA DA IVO"/>
    <s v="via vittorio veneto 14"/>
    <x v="21"/>
    <s v="FABRIANO"/>
    <m/>
    <s v="tavernadaivo@tiscali.it"/>
    <s v="LOCANDA TAVERNA DA IVO - FABRIANO"/>
  </r>
  <r>
    <x v="3"/>
    <s v="LOCANDA TYPO"/>
    <s v="strada delle Marche 116"/>
    <x v="69"/>
    <m/>
    <s v="www.typolocanda.it; www.typolocanda.com"/>
    <s v="info@typolocanda.it"/>
    <s v="LOCANDA TYPO - PESARO"/>
  </r>
  <r>
    <x v="5"/>
    <s v="L'OLIVO"/>
    <m/>
    <x v="167"/>
    <m/>
    <m/>
    <m/>
    <s v="L'OLIVO - CAMERANO"/>
  </r>
  <r>
    <x v="0"/>
    <s v="L'OMBRA DELLE QUERCE di BORRONI AURELIO"/>
    <m/>
    <x v="89"/>
    <s v="CONTRADA CASIGLIANO"/>
    <m/>
    <s v="aurelioborroni@alice.it"/>
    <s v="L'OMBRA DELLE QUERCE di BORRONI AURELIO - CESSAPALOMBO"/>
  </r>
  <r>
    <x v="0"/>
    <s v="L'ONCIA"/>
    <m/>
    <x v="75"/>
    <s v="loc. Ca' Serra"/>
    <m/>
    <s v="zio.mele@libero.it"/>
    <s v="L'ONCIA - CAGLI"/>
  </r>
  <r>
    <x v="3"/>
    <s v="LOR.CYN. di RENZONI SILVIO &amp; C. S.A.S"/>
    <s v="via vanvitelli 39"/>
    <x v="33"/>
    <s v="FANO"/>
    <m/>
    <s v="cristina@studioghiandoni.it"/>
    <s v="LOR.CYN. di RENZONI SILVIO &amp; C. S.A.S - FANO"/>
  </r>
  <r>
    <x v="7"/>
    <s v="LORENZETTI ANTONELLA"/>
    <s v="Via Moscatelli 20"/>
    <x v="18"/>
    <s v="ARCEVIA"/>
    <m/>
    <m/>
    <s v="LORENZETTI ANTONELLA - ARCEVIA"/>
  </r>
  <r>
    <x v="4"/>
    <s v="LORENZO"/>
    <m/>
    <x v="23"/>
    <m/>
    <s v="lorenzo@portorecanatiblog.it"/>
    <m/>
    <s v="LORENZO - PORTO RECANATI"/>
  </r>
  <r>
    <x v="1"/>
    <s v="LORETO"/>
    <s v="c.so Boccalini 60"/>
    <x v="15"/>
    <s v="LORETO"/>
    <s v="www.loretohotel.it"/>
    <s v="hotelloreto@libero.it"/>
    <s v="LORETO - LORETO"/>
  </r>
  <r>
    <x v="3"/>
    <s v="L'ORIZZONTE"/>
    <s v="via Metauro 22"/>
    <x v="147"/>
    <s v="PEGLIO"/>
    <s v="www.orizzontepeglio.it"/>
    <s v="info@orizzontepeglio.it"/>
    <s v="L'ORIZZONTE - PEGLIO"/>
  </r>
  <r>
    <x v="4"/>
    <s v="LOTTO N.2"/>
    <m/>
    <x v="73"/>
    <s v="MARINA DI MASSIGNANO"/>
    <m/>
    <m/>
    <s v="LOTTO N.2 - MASSIGNANO"/>
  </r>
  <r>
    <x v="4"/>
    <s v="LOTTO N.3"/>
    <m/>
    <x v="73"/>
    <s v="MARINA DI MASSIGNANO"/>
    <m/>
    <m/>
    <s v="LOTTO N.3 - MASSIGNANO"/>
  </r>
  <r>
    <x v="4"/>
    <s v="LOTTO N.4"/>
    <m/>
    <x v="73"/>
    <s v="MARINA DI MASSIGNANO"/>
    <m/>
    <m/>
    <s v="LOTTO N.4 - MASSIGNANO"/>
  </r>
  <r>
    <x v="7"/>
    <s v="LOVANIO BELARDINELLI"/>
    <s v="fraz. Loretello 21"/>
    <x v="18"/>
    <s v="LORETELLO"/>
    <m/>
    <s v="lovanio.belardinelli@unicredit.eu"/>
    <s v="LOVANIO BELARDINELLI - ARCEVIA"/>
  </r>
  <r>
    <x v="5"/>
    <s v="LU CUCCELO' HOUSE"/>
    <s v="via Don Augusto Camei  3"/>
    <x v="3"/>
    <m/>
    <m/>
    <s v="info@lucuccelo.it"/>
    <s v="LU CUCCELO' HOUSE - RIPATRANSONE"/>
  </r>
  <r>
    <x v="5"/>
    <s v="LU GRILLO HOLIDAY"/>
    <s v="Via Poggio San Gaetano 19"/>
    <x v="190"/>
    <s v="MAGLIANO DI TENNA"/>
    <s v="lugrilloholiday.altervista.org"/>
    <s v="barbaravita@hotmail.com"/>
    <s v="LU GRILLO HOLIDAY - MAGLIANO DI TENNA"/>
  </r>
  <r>
    <x v="7"/>
    <s v="LUCA GIUSEPPE GENTILE"/>
    <s v="corso Vittorio Emanuele 2"/>
    <x v="151"/>
    <m/>
    <m/>
    <s v="lucagentile@email.it"/>
    <s v="LUCA GIUSEPPE GENTILE - ASCOLI PICENO"/>
  </r>
  <r>
    <x v="0"/>
    <s v="LUCANGELI VIRGILIO"/>
    <s v="Via Ventura 129"/>
    <x v="0"/>
    <s v="MACERATA"/>
    <m/>
    <s v="virgiliolucangeli@libero.it"/>
    <s v="LUCANGELI VIRGILIO - MACERATA"/>
  </r>
  <r>
    <x v="8"/>
    <s v="LUCARAIA"/>
    <s v="localita' Lucaraia 1"/>
    <x v="31"/>
    <s v="APECCHIO"/>
    <m/>
    <s v="lpraziendaagricola@gmail.com"/>
    <s v="LUCARAIA - APECCHIO"/>
  </r>
  <r>
    <x v="7"/>
    <s v="LUCESOLE MAILA"/>
    <s v="Via Castelfidardo 19"/>
    <x v="9"/>
    <s v="MARCELLI"/>
    <m/>
    <s v="lucesole@hotmail.com"/>
    <s v="LUCESOLE MAILA - NUMANA"/>
  </r>
  <r>
    <x v="7"/>
    <s v="LUCHETTI EMILIO"/>
    <m/>
    <x v="206"/>
    <m/>
    <m/>
    <m/>
    <s v="LUCHETTI EMILIO - MOGLIANO"/>
  </r>
  <r>
    <x v="1"/>
    <s v="LUCIA"/>
    <s v="lungomare leonardo da vinci 91"/>
    <x v="16"/>
    <s v="SENIGALLIA"/>
    <s v="www.albergolucia.net"/>
    <s v="info@albergolucia.net"/>
    <s v="LUCIA - SENIGALLIA"/>
  </r>
  <r>
    <x v="7"/>
    <s v="LUCIA GATTI"/>
    <s v="viale Carducci 147"/>
    <x v="20"/>
    <s v="marotta"/>
    <m/>
    <s v="lucia-gatti@alice.it"/>
    <s v="LUCIA GATTI - MONDOLFO"/>
  </r>
  <r>
    <x v="7"/>
    <s v="LUCIA PELLEI"/>
    <s v="via Macelli 8"/>
    <x v="30"/>
    <m/>
    <m/>
    <s v="l.pellei.arch@gmail.com"/>
    <s v="LUCIA PELLEI - OFFIDA"/>
  </r>
  <r>
    <x v="5"/>
    <s v="Lucrezia &amp; Cesare Borgia di Sandro Marchionni"/>
    <s v="via cameraldo 38"/>
    <x v="93"/>
    <s v="SERRAPETRONA"/>
    <m/>
    <s v="lucreziacesareborgia@libero.it"/>
    <s v="Lucrezia &amp; Cesare Borgia di Sandro Marchionni - SERRAPETRONA"/>
  </r>
  <r>
    <x v="4"/>
    <s v="LUIGI XIV - RE SOLE"/>
    <s v="Viale IV Novembre 32"/>
    <x v="17"/>
    <s v="CIVITANOVA MARCHE"/>
    <m/>
    <m/>
    <s v="LUIGI XIV - RE SOLE - CIVITANOVA MARCHE"/>
  </r>
  <r>
    <x v="5"/>
    <s v="LULICANDA"/>
    <s v="Via Scornabecco 82"/>
    <x v="16"/>
    <s v="SCAPEZZANO"/>
    <m/>
    <s v="lulicanda@gmail.com"/>
    <s v="LULICANDA - SENIGALLIA"/>
  </r>
  <r>
    <x v="5"/>
    <s v="L'ULIVETO"/>
    <s v="Via San Girolamo  70"/>
    <x v="37"/>
    <s v="FERMO"/>
    <m/>
    <m/>
    <s v="L'ULIVETO - FERMO"/>
  </r>
  <r>
    <x v="0"/>
    <s v="L'ULIVO"/>
    <s v="via tufi 14"/>
    <x v="160"/>
    <s v="MAIOLATI SPONTINI"/>
    <s v="www.agriturismolulivo.com"/>
    <s v="info@agriturismolulivo.com"/>
    <s v="L'ULIVO - MAIOLATI SPONTINI"/>
  </r>
  <r>
    <x v="0"/>
    <s v="L'ULIVO DI NONNO PIZZU'"/>
    <s v="c.da Fonte Balzana 6"/>
    <x v="29"/>
    <s v="LAPEDONA"/>
    <m/>
    <s v="lucianatiberi@alice.it"/>
    <s v="L'ULIVO DI NONNO PIZZU' - LAPEDONA"/>
  </r>
  <r>
    <x v="1"/>
    <s v="LUMINARI"/>
    <s v="corso Giacomo Matteotti 14"/>
    <x v="38"/>
    <s v="CHIARAVALLE"/>
    <s v="www.albergoluminari.it"/>
    <s v="info@albergoluminari.it"/>
    <s v="LUMINARI - CHIARAVALLE"/>
  </r>
  <r>
    <x v="4"/>
    <s v="LUNA ROSSA SNC"/>
    <m/>
    <x v="163"/>
    <m/>
    <m/>
    <m/>
    <s v="LUNA ROSSA SNC - PORTO SANT'ELPIDIO"/>
  </r>
  <r>
    <x v="5"/>
    <s v="LUNAZZURRA"/>
    <s v="via A. Caro 31"/>
    <x v="16"/>
    <s v="SENIGALLIA"/>
    <s v="https://sites.google.com/site/bblunazzurrasenigallia/"/>
    <s v="lunazzurra.b.b@gmail.com"/>
    <s v="LUNAZZURRA - SENIGALLIA"/>
  </r>
  <r>
    <x v="1"/>
    <s v="M GLAMOUR HOTEL"/>
    <s v="via Panoramica 4-6"/>
    <x v="28"/>
    <s v="GABICCE MARE"/>
    <s v="www.michelacci.com"/>
    <s v="info@michelacci.com"/>
    <s v="M GLAMOUR HOTEL - GABICCE MARE"/>
  </r>
  <r>
    <x v="0"/>
    <s v="M.E.S. - AZIENDA AGRICOLA DI CICCHESE PAOLA"/>
    <s v="contrada san savino 57"/>
    <x v="51"/>
    <s v="PETRITOLI"/>
    <s v="www.agribiomes.it"/>
    <s v="info@agribiomes.it"/>
    <s v="M.E.S. - AZIENDA AGRICOLA DI CICCHESE PAOLA - PETRITOLI"/>
  </r>
  <r>
    <x v="7"/>
    <s v="MACCARI DANILO"/>
    <s v="via Lucio Domizio Aureliano 12"/>
    <x v="33"/>
    <m/>
    <m/>
    <s v="danilo.maccari@gmail.com"/>
    <s v="MACCARI DANILO - FANO"/>
  </r>
  <r>
    <x v="4"/>
    <s v="MADAME"/>
    <s v="VIA LUNGOMARE 61/D 61/D"/>
    <x v="41"/>
    <s v="MARINA DI MONTEMARCIANO"/>
    <m/>
    <m/>
    <s v="MADAME - MONTEMARCIANO"/>
  </r>
  <r>
    <x v="1"/>
    <s v="MADISON"/>
    <s v="via circonvallazione 14"/>
    <x v="28"/>
    <s v="GABICCE MARE"/>
    <s v="www.hotel-madison.it"/>
    <s v="madison@hotel-madison.it"/>
    <s v="MADISON - GABICCE MARE"/>
  </r>
  <r>
    <x v="9"/>
    <s v="MADONNA DEL SS. SACRAMENTO"/>
    <s v="via Tagliamento 9"/>
    <x v="12"/>
    <s v="SAN BENEDETTO DEL TRONTO"/>
    <s v="www.casaperferiesbt.eu"/>
    <s v="casa.per.ferie@libero.it"/>
    <s v="MADONNA DEL SS. SACRAMENTO - SAN BENEDETTO DEL TRONTO"/>
  </r>
  <r>
    <x v="0"/>
    <s v="MADONNA DEL VECCHIO MORO"/>
    <s v="via Nazario Sauro 1"/>
    <x v="218"/>
    <s v="CERRETO D' ESI"/>
    <m/>
    <s v="re.baldoni@tiscali.it"/>
    <s v="MADONNA DEL VECCHIO MORO - CERRETO D'ESI"/>
  </r>
  <r>
    <x v="7"/>
    <s v="MAGGIOLI GIULIANA"/>
    <s v="via Ferretto 6"/>
    <x v="33"/>
    <s v="loc. Ferretto"/>
    <m/>
    <m/>
    <s v="MAGGIOLI GIULIANA - FANO"/>
  </r>
  <r>
    <x v="7"/>
    <s v="MAGGIOLI GIUSEPPE E SERAFINI DORIANA"/>
    <m/>
    <x v="75"/>
    <m/>
    <m/>
    <s v="info@dream-holidays.it"/>
    <s v="MAGGIOLI GIUSEPPE E SERAFINI DORIANA - CAGLI"/>
  </r>
  <r>
    <x v="7"/>
    <s v="MAGI MARIA APP.TO VIA ARIOSTO"/>
    <s v="Via Ariosto 2"/>
    <x v="16"/>
    <s v="SENIGALLIA"/>
    <m/>
    <s v="livi55@libero.it"/>
    <s v="MAGI MARIA APP.TO VIA ARIOSTO - SENIGALLIA"/>
  </r>
  <r>
    <x v="7"/>
    <s v="MAGI MARIA APP.TO VIA FOGAZZARO"/>
    <s v="Via Fogazzaro 3"/>
    <x v="16"/>
    <s v="SENIGALLIA"/>
    <m/>
    <s v="livi55@libero.it"/>
    <s v="MAGI MARIA APP.TO VIA FOGAZZARO - SENIGALLIA"/>
  </r>
  <r>
    <x v="7"/>
    <s v="MAGI MARIA GRAZIA"/>
    <s v="Via Zara 18"/>
    <x v="69"/>
    <s v="PESARO"/>
    <m/>
    <s v="info@immobiliaretriestepesaro.it"/>
    <s v="MAGI MARIA GRAZIA - PESARO"/>
  </r>
  <r>
    <x v="1"/>
    <s v="MAGRINI DELLA GENGA"/>
    <s v="localita' Bivio Pandolfi 6"/>
    <x v="112"/>
    <s v="GENGA"/>
    <s v="www.albergomagrini.it"/>
    <s v="info@albergomagrini.it"/>
    <s v="MAGRINI DELLA GENGA - GENGA"/>
  </r>
  <r>
    <x v="7"/>
    <s v="MAGRINI INES"/>
    <s v="Via della Marina 34"/>
    <x v="33"/>
    <s v="FANO"/>
    <m/>
    <s v="ghinocelani@email.it"/>
    <s v="MAGRINI INES - FANO"/>
  </r>
  <r>
    <x v="7"/>
    <s v="MAIOLATESI GIAMPAOLO"/>
    <s v="Via Pierelli 33"/>
    <x v="16"/>
    <s v="SENIGALLIA"/>
    <m/>
    <s v="affittiestivi@belenchia.com"/>
    <s v="MAIOLATESI GIAMPAOLO - SENIGALLIA"/>
  </r>
  <r>
    <x v="3"/>
    <s v="MAISON 022"/>
    <s v="VIA COPPETELLA 14"/>
    <x v="4"/>
    <s v="JESI"/>
    <m/>
    <s v="booking@maison022.it"/>
    <s v="MAISON 022 - JESI"/>
  </r>
  <r>
    <x v="5"/>
    <s v="MAISON DIAMANTI"/>
    <s v="Via Roma 134"/>
    <x v="168"/>
    <s v="CASTEL DI LAMA"/>
    <m/>
    <s v="diamantimassimo@tin.it"/>
    <s v="MAISON DIAMANTI - CASTEL DI LAMA"/>
  </r>
  <r>
    <x v="1"/>
    <s v="MAJESTIC"/>
    <s v="viale Balneare 10"/>
    <x v="28"/>
    <s v="GABICCE MARE"/>
    <s v="www.majestichotel.it"/>
    <s v="majestic@gabiccemare.com"/>
    <s v="MAJESTIC - GABICCE MARE"/>
  </r>
  <r>
    <x v="1"/>
    <s v="MAJESTIC"/>
    <s v="lungomare Alighieri 124"/>
    <x v="16"/>
    <s v="SENIGALLIA"/>
    <s v="www.hmajestic.com"/>
    <s v="info@hmajestic.com"/>
    <s v="MAJESTIC - SENIGALLIA"/>
  </r>
  <r>
    <x v="1"/>
    <s v="MAJESTIC DIPENDENZA"/>
    <s v="viale balneare 10"/>
    <x v="28"/>
    <s v="GABICCE MARE"/>
    <s v="www.majestichotel.it"/>
    <s v="majestic@gabiccemare.com"/>
    <s v="MAJESTIC DIPENDENZA - GABICCE MARE"/>
  </r>
  <r>
    <x v="1"/>
    <s v="MAJORCA"/>
    <s v="via Primo Maggio 107"/>
    <x v="28"/>
    <s v="GABICCE MARE"/>
    <s v="www.majorcagabicce.com"/>
    <s v="info@majorcagabicce.com"/>
    <s v="MAJORCA - GABICCE MARE"/>
  </r>
  <r>
    <x v="8"/>
    <s v="MALATESTA MAISON"/>
    <s v="via Montaiate 65"/>
    <x v="91"/>
    <m/>
    <m/>
    <s v="contact@malatesta-maison.com"/>
    <s v="MALATESTA MAISON - PERGOLA"/>
  </r>
  <r>
    <x v="8"/>
    <s v="MALAVOLPE"/>
    <s v="contrada poggio 78"/>
    <x v="11"/>
    <s v="SARNANO"/>
    <m/>
    <m/>
    <s v="MALAVOLPE - SARNANO"/>
  </r>
  <r>
    <x v="5"/>
    <s v="MALAVOLTA MARTINA"/>
    <s v="Contrada Montecamauro 55"/>
    <x v="55"/>
    <s v="CAMPOFILONE"/>
    <m/>
    <s v="vinciguerralorenzo@yahoo.it"/>
    <s v="MALAVOLTA MARTINA - CAMPOFILONE"/>
  </r>
  <r>
    <x v="4"/>
    <s v="MALIBU"/>
    <m/>
    <x v="12"/>
    <m/>
    <s v="sebastianisilvio@gmail.com"/>
    <m/>
    <s v="MALIBU - SAN BENEDETTO DEL TRONTO"/>
  </r>
  <r>
    <x v="8"/>
    <s v="MALVIANO RESORT"/>
    <s v="via malviano b 5"/>
    <x v="203"/>
    <s v="MONTE SAN VITO"/>
    <s v="www.malviano.com"/>
    <s v="info@malviano.com"/>
    <s v="MALVIANO RESORT - MONTE SAN VITO"/>
  </r>
  <r>
    <x v="4"/>
    <s v="MAMA LULU' VILLAGE"/>
    <s v="viale Alcide de Gasperi 42 42"/>
    <x v="5"/>
    <m/>
    <m/>
    <m/>
    <s v="MAMA LULU' VILLAGE - GROTTAMMARE"/>
  </r>
  <r>
    <x v="1"/>
    <s v="MANCINELLI LUCIANO"/>
    <s v="piazza Ottaviano Petrucci 5"/>
    <x v="85"/>
    <s v="FOSSOMBRONE"/>
    <s v="www.albergomancinelli.it"/>
    <s v="mancinelli52@libero.it"/>
    <s v="MANCINELLI LUCIANO - FOSSOMBRONE"/>
  </r>
  <r>
    <x v="3"/>
    <s v="MANCINELLI MAURO"/>
    <s v="via mario torresi 113"/>
    <x v="10"/>
    <s v="ANCONA"/>
    <m/>
    <s v="mancinellimauro@libero.it"/>
    <s v="MANCINELLI MAURO - ANCONA"/>
  </r>
  <r>
    <x v="7"/>
    <s v="MANCINELLI SERENELLA"/>
    <s v="Via L. D. Aureliano 17"/>
    <x v="33"/>
    <s v="FANO"/>
    <m/>
    <s v="serimancinelli31@gmail.com"/>
    <s v="MANCINELLI SERENELLA - FANO"/>
  </r>
  <r>
    <x v="7"/>
    <s v="MANCINI MARIA GRAZIA"/>
    <m/>
    <x v="148"/>
    <s v="POTENZA PICENA"/>
    <m/>
    <m/>
    <s v="MANCINI MARIA GRAZIA - POTENZA PICENA"/>
  </r>
  <r>
    <x v="7"/>
    <s v="MANCINI MAURO"/>
    <s v="Lungomare D. Alighieri 22/B"/>
    <x v="16"/>
    <s v="SENIGALLIA"/>
    <m/>
    <s v="affittiestivi@belenchia.com"/>
    <s v="MANCINI MAURO - SENIGALLIA"/>
  </r>
  <r>
    <x v="7"/>
    <s v="MANFREDI VIVIANA"/>
    <s v="Via Mondolfo 22"/>
    <x v="16"/>
    <s v="SENIGALLIA"/>
    <m/>
    <m/>
    <s v="MANFREDI VIVIANA - SENIGALLIA"/>
  </r>
  <r>
    <x v="7"/>
    <s v="MANIERI PRIMO"/>
    <s v="Via VI strada Cesano 11"/>
    <x v="16"/>
    <s v="SENIGALLIA"/>
    <m/>
    <s v="elegant@tin.it"/>
    <s v="MANIERI PRIMO - SENIGALLIA"/>
  </r>
  <r>
    <x v="7"/>
    <s v="MANIZZA MARCO"/>
    <s v="Via Trieste 16"/>
    <x v="16"/>
    <s v="SENIGALLIA"/>
    <m/>
    <s v="affittiestivi@belenchia.com"/>
    <s v="MANIZZA MARCO - SENIGALLIA"/>
  </r>
  <r>
    <x v="7"/>
    <s v="MANLIO TULLIANI AGOSTINI"/>
    <s v="c.da Valle 1"/>
    <x v="128"/>
    <m/>
    <m/>
    <s v="tulliani@montiazzurri.com"/>
    <s v="MANLIO TULLIANI AGOSTINI - GUALDO"/>
  </r>
  <r>
    <x v="7"/>
    <s v="MANNOZZI SERGIO"/>
    <s v="SAN NICOLA  33"/>
    <x v="116"/>
    <m/>
    <m/>
    <s v="mannozzi.s@libero.it"/>
    <s v="MANNOZZI SERGIO - SANT'ANGELO IN PONTANO"/>
  </r>
  <r>
    <x v="7"/>
    <s v="MANZI CONCETTA"/>
    <s v="Via Gramsci 6"/>
    <x v="148"/>
    <s v="POTENZA PICENA"/>
    <m/>
    <m/>
    <s v="MANZI CONCETTA - POTENZA PICENA"/>
  </r>
  <r>
    <x v="4"/>
    <s v="MARAKAIBO"/>
    <s v="lungomare gramsci 1 1"/>
    <x v="47"/>
    <s v="PORTO SAN GIORGIO"/>
    <s v="chalet_marakaibo@alice.it"/>
    <m/>
    <s v="MARAKAIBO - PORTO SAN GIORGIO"/>
  </r>
  <r>
    <x v="1"/>
    <s v="MARANO"/>
    <s v="via adriatica nord 84"/>
    <x v="32"/>
    <s v="CUPRA MARITTIMA"/>
    <s v="www.cupramarittima.com/marano"/>
    <s v="maranhotel@libero.it"/>
    <s v="MARANO - CUPRA MARITTIMA"/>
  </r>
  <r>
    <x v="7"/>
    <s v="MARCANTONI ALBERTO"/>
    <s v="Lungomare Mameli 93"/>
    <x v="16"/>
    <s v="SENIGALLIA"/>
    <m/>
    <s v="affittiestivi@belenchia.com"/>
    <s v="MARCANTONI ALBERTO - SENIGALLIA"/>
  </r>
  <r>
    <x v="4"/>
    <s v="MARCELLI"/>
    <s v="via litoranea 202 202"/>
    <x v="9"/>
    <s v="MARCELLI"/>
    <m/>
    <m/>
    <s v="MARCELLI - NUMANA"/>
  </r>
  <r>
    <x v="3"/>
    <s v="MARCELLI MIRANDA"/>
    <s v="via Amalfi 13"/>
    <x v="9"/>
    <s v="NUMANA"/>
    <m/>
    <s v="cicconi.romina@alice.it"/>
    <s v="MARCELLI MIRANDA - NUMANA"/>
  </r>
  <r>
    <x v="4"/>
    <s v="MARCELLO &amp; WALTER S.N.C"/>
    <s v="via Nino Bixio  18/a"/>
    <x v="22"/>
    <s v="FALCONARA MARITTIMA"/>
    <s v="valtercremonesi90@gmail.com"/>
    <s v="www.bagnimarcelloevalter.it"/>
    <s v="MARCELLO &amp; WALTER S.N.C - FALCONARA MARITTIMA"/>
  </r>
  <r>
    <x v="5"/>
    <s v="MARCHE B&amp;B"/>
    <s v="via Orti 18"/>
    <x v="13"/>
    <m/>
    <s v="http://www.marche-beb.it/"/>
    <s v="defa@email.it"/>
    <s v="MARCHE B&amp;B - BELVEDERE OSTRENSE"/>
  </r>
  <r>
    <x v="7"/>
    <s v="MARCHEGIANI PAOLO"/>
    <s v="Lungomare Italia 30/A"/>
    <x v="16"/>
    <s v="SENIGALLIA"/>
    <m/>
    <s v="affittiestivi@belenchia.com"/>
    <s v="MARCHEGIANI PAOLO - SENIGALLIA"/>
  </r>
  <r>
    <x v="3"/>
    <s v="MARCHEHOLIDAY - CASALE DEGLI ULIVI"/>
    <s v="strada San Gregorio 1"/>
    <x v="86"/>
    <s v="loc.Ca Donnino"/>
    <s v="www.marcheholiday.it/ulivi"/>
    <s v="info@marcheholiday.it"/>
    <s v="MARCHEHOLIDAY - CASALE DEGLI ULIVI - ACQUALAGNA"/>
  </r>
  <r>
    <x v="0"/>
    <s v="MARCHELIFE di MAZZONI PAOLO"/>
    <s v="Valle Oscura  3"/>
    <x v="47"/>
    <s v="PORTO SAN GIORGIO"/>
    <s v="www.marchelife.it"/>
    <s v="info@marchelife.it"/>
    <s v="MARCHELIFE di MAZZONI PAOLO - PORTO SAN GIORGIO"/>
  </r>
  <r>
    <x v="7"/>
    <s v="MARCHETTI ALESSANDRA"/>
    <s v="LUNGOMARE LEONARDO DA VINCI 21/a"/>
    <x v="16"/>
    <s v="SENIGALLIA"/>
    <m/>
    <s v="senigallia@confcommerciomarchecentrali.it"/>
    <s v="MARCHETTI ALESSANDRA - SENIGALLIA"/>
  </r>
  <r>
    <x v="7"/>
    <s v="MARCHETTI GIULIA"/>
    <s v="via Milano 8"/>
    <x v="9"/>
    <m/>
    <m/>
    <m/>
    <s v="MARCHETTI GIULIA - NUMANA"/>
  </r>
  <r>
    <x v="7"/>
    <s v="MARCHETTI LORENZA"/>
    <s v="via Fossato 37/b"/>
    <x v="86"/>
    <m/>
    <m/>
    <s v="thomas.clementi@hotmail.it"/>
    <s v="MARCHETTI LORENZA - ACQUALAGNA"/>
  </r>
  <r>
    <x v="0"/>
    <s v="MARCHETTI TOMMASO"/>
    <m/>
    <x v="32"/>
    <s v="Cupra Marittima"/>
    <s v="http://users.skynet.be/fa242092/farmhouse/farmHouseIt.html"/>
    <s v="ettoretommasomarchetti@gmail.com"/>
    <s v="MARCHETTI TOMMASO - CUPRA MARITTIMA"/>
  </r>
  <r>
    <x v="7"/>
    <s v="MARCHIONNI GIUSEPPINA"/>
    <s v="via S. Tomani Amiani 33"/>
    <x v="33"/>
    <m/>
    <m/>
    <m/>
    <s v="MARCHIONNI GIUSEPPINA - FANO"/>
  </r>
  <r>
    <x v="7"/>
    <s v="MARCO KINDT"/>
    <s v="via Sant' Anna 46"/>
    <x v="33"/>
    <s v="Fenile di Fano"/>
    <m/>
    <s v="marco.kindt@gmail.com"/>
    <s v="MARCO KINDT - FANO"/>
  </r>
  <r>
    <x v="1"/>
    <s v="MARCONI"/>
    <s v="viale Alcide de Gasperi 6"/>
    <x v="5"/>
    <s v="GROTTAMMARE"/>
    <m/>
    <s v="marconi.hotel@alice.it"/>
    <s v="MARCONI - GROTTAMMARE"/>
  </r>
  <r>
    <x v="0"/>
    <s v="MARCONI KATIA"/>
    <s v="via del Carmine 53"/>
    <x v="10"/>
    <m/>
    <m/>
    <s v="carlo.cap@alice.it"/>
    <s v="MARCONI KATIA - ANCONA"/>
  </r>
  <r>
    <x v="1"/>
    <s v="MARE"/>
    <s v="lungomare cristoforo colombo 20"/>
    <x v="33"/>
    <s v="FANO"/>
    <m/>
    <m/>
    <s v="MARE - FANO"/>
  </r>
  <r>
    <x v="3"/>
    <s v="MARE'"/>
    <s v="via del Gelso 15"/>
    <x v="8"/>
    <m/>
    <m/>
    <s v="info@maresirolo.it"/>
    <s v="MARE' - SIROLO"/>
  </r>
  <r>
    <x v="4"/>
    <s v="MARE MARANO"/>
    <s v="viale nazario sauro 7 7"/>
    <x v="32"/>
    <s v="CUPRA MARITTIMA"/>
    <s v="maranhotel@ibero.it"/>
    <s v="www.cupramarittima.com/marano"/>
    <s v="MARE MARANO - CUPRA MARITTIMA"/>
  </r>
  <r>
    <x v="6"/>
    <s v="MARE VERDE"/>
    <s v="lungomare Leonardo da Vinci 95"/>
    <x v="16"/>
    <s v="SENIGALLIA"/>
    <m/>
    <m/>
    <s v="MARE VERDE - SENIGALLIA"/>
  </r>
  <r>
    <x v="4"/>
    <s v="MAREBELLO"/>
    <s v="lungomare piermanni 1 1"/>
    <x v="17"/>
    <s v="CIVITANOVA MARCHE"/>
    <m/>
    <m/>
    <s v="MAREBELLO - CIVITANOVA MARCHE"/>
  </r>
  <r>
    <x v="6"/>
    <s v="MAREBLU'"/>
    <s v="strada nazionale adriatica sud 203"/>
    <x v="33"/>
    <s v="FANO"/>
    <s v="www.campingmareblu.net"/>
    <s v="info@campingmareblu.net"/>
    <s v="MAREBLU' - FANO"/>
  </r>
  <r>
    <x v="1"/>
    <s v="MAREBLU'"/>
    <s v="lungomare mameli 50"/>
    <x v="16"/>
    <s v="SENIGALLIA"/>
    <s v="www.hotel-mareblu.it"/>
    <s v="info@hotel-mareblu.it"/>
    <s v="MAREBLU' - SENIGALLIA"/>
  </r>
  <r>
    <x v="2"/>
    <s v="MAREMONTI"/>
    <s v="Via Nino Bixio 1"/>
    <x v="28"/>
    <s v="GABICCE MARE"/>
    <s v="www.michelacci.com"/>
    <s v="info@michelacci.com"/>
    <s v="MAREMONTI - GABICCE MARE"/>
  </r>
  <r>
    <x v="5"/>
    <s v="MARGARITA MARACCHINI"/>
    <s v="frazione Serrabernacchia 5"/>
    <x v="163"/>
    <s v="frazione Serrabernacchia"/>
    <m/>
    <s v="info@casavacanzegenga.it"/>
    <s v="MARGARITA MARACCHINI - PORTO SANT'ELPIDIO"/>
  </r>
  <r>
    <x v="5"/>
    <s v="MARGGRAF MARY CECILIA"/>
    <s v="frazione costa san severo 8"/>
    <x v="42"/>
    <s v="CAMERINO"/>
    <s v="www.costasansevero.it"/>
    <s v="ulimary@costasansevero.com"/>
    <s v="MARGGRAF MARY CECILIA - CAMERINO"/>
  </r>
  <r>
    <x v="1"/>
    <s v="MARIA"/>
    <s v="via Belvedere 5"/>
    <x v="33"/>
    <s v="TORRETTE di FANO"/>
    <s v="www.hotelwerther.com"/>
    <s v="pensionemaria@email.it"/>
    <s v="MARIA - FANO"/>
  </r>
  <r>
    <x v="9"/>
    <s v="MARIA IMMACOLATA"/>
    <s v="via Kennedy 13"/>
    <x v="151"/>
    <s v="ASCOLI PICENO"/>
    <m/>
    <m/>
    <s v="MARIA IMMACOLATA - ASCOLI PICENO"/>
  </r>
  <r>
    <x v="9"/>
    <s v="MARIA IMMACOLATA"/>
    <s v="via Sabotino 15"/>
    <x v="32"/>
    <s v="CUPRA MARITTIMA"/>
    <s v="www.mariaimmacolataresort.it"/>
    <s v="casa-mariaimmacolata@libero.it"/>
    <s v="MARIA IMMACOLATA - CUPRA MARITTIMA"/>
  </r>
  <r>
    <x v="9"/>
    <s v="MARIA IMMACOLATA"/>
    <s v="via tonale 11"/>
    <x v="12"/>
    <s v="SAN BENEDETTO DEL TRONTO"/>
    <m/>
    <s v="mariaimmacolatasbt@libero.it"/>
    <s v="MARIA IMMACOLATA - SAN BENEDETTO DEL TRONTO"/>
  </r>
  <r>
    <x v="7"/>
    <s v="MARIA LUISA SGALLA"/>
    <s v="via Ferrucci 8"/>
    <x v="10"/>
    <m/>
    <m/>
    <s v="odontosos@yahoo.it"/>
    <s v="MARIA LUISA SGALLA - ANCONA"/>
  </r>
  <r>
    <x v="7"/>
    <s v="MARIA LUISA SGALLA"/>
    <s v="via Ferrucci 8"/>
    <x v="10"/>
    <m/>
    <m/>
    <s v="odontosos@yahoo.it"/>
    <s v="MARIA LUISA SGALLA - ANCONA"/>
  </r>
  <r>
    <x v="4"/>
    <s v="MARINA"/>
    <s v="viale Adriatico 15"/>
    <x v="33"/>
    <m/>
    <s v="info@hotelmarinafano.it_x000a_"/>
    <s v="www.hotelmarinafano.it_x000a_"/>
    <s v="MARINA - FANO"/>
  </r>
  <r>
    <x v="4"/>
    <s v="MARINA DI NICO'"/>
    <s v="via San Giacomo 69 69"/>
    <x v="12"/>
    <m/>
    <m/>
    <m/>
    <s v="MARINA DI NICO' - SAN BENEDETTO DEL TRONTO"/>
  </r>
  <r>
    <x v="4"/>
    <s v="MARINAI"/>
    <s v="viale nazario sauro 1 1"/>
    <x v="32"/>
    <s v="CUPRA MARITTIMA"/>
    <s v="aria7676@hotmail.it"/>
    <m/>
    <s v="MARINAI - CUPRA MARITTIMA"/>
  </r>
  <r>
    <x v="1"/>
    <s v="MARINELLA"/>
    <s v="strada nazionale adriatica nord 107"/>
    <x v="33"/>
    <s v="FANO"/>
    <s v="www.hotelristorantemarinella.it"/>
    <s v="info@hotelristorantemarinella.it"/>
    <s v="MARINELLA - FANO"/>
  </r>
  <r>
    <x v="1"/>
    <s v="MARINELLA"/>
    <s v="via Vittorio Veneto 127"/>
    <x v="28"/>
    <s v="GABICCE MARE"/>
    <s v="www.hotel-marinella.it"/>
    <s v="info@hotel-marinella.it"/>
    <s v="MARINELLA - GABICCE MARE"/>
  </r>
  <r>
    <x v="6"/>
    <s v="MARINELLA"/>
    <s v="strada Nazionale Adriatica Nord 242"/>
    <x v="69"/>
    <s v="PESARO"/>
    <s v="www.campingmarinella.it"/>
    <s v="info@campingmarinella.it"/>
    <s v="MARINELLA - PESARO"/>
  </r>
  <r>
    <x v="7"/>
    <s v="MARINELLI MARCELLA APP.TO PIANO 1°"/>
    <m/>
    <x v="148"/>
    <m/>
    <m/>
    <m/>
    <s v="MARINELLI MARCELLA APP.TO PIANO 1° - POTENZA PICENA"/>
  </r>
  <r>
    <x v="7"/>
    <s v="MARINELLI MARCELLA APP.TO PIANO 2°"/>
    <s v="Via Dante Alighieri 57"/>
    <x v="148"/>
    <s v="POTENZA PICENA"/>
    <m/>
    <m/>
    <s v="MARINELLI MARCELLA APP.TO PIANO 2° - POTENZA PICENA"/>
  </r>
  <r>
    <x v="4"/>
    <s v="MARINELLO"/>
    <m/>
    <x v="23"/>
    <s v="PORTO RECANATI"/>
    <m/>
    <m/>
    <s v="MARINELLO - PORTO RECANATI"/>
  </r>
  <r>
    <x v="7"/>
    <s v="MARINI MARIA GRAZIA"/>
    <s v="via Damiano Chiesa 50"/>
    <x v="33"/>
    <m/>
    <m/>
    <m/>
    <s v="MARINI MARIA GRAZIA - FANO"/>
  </r>
  <r>
    <x v="7"/>
    <s v="MARINO'S APARTHOTEL"/>
    <s v="P.ZZA DELLE VELE 14"/>
    <x v="23"/>
    <s v="PORTO RECANATI"/>
    <s v="www.aparthotelitaly.com"/>
    <s v="info@aparthotelitaly.com"/>
    <s v="MARINO'S APARTHOTEL - PORTO RECANATI"/>
  </r>
  <r>
    <x v="1"/>
    <s v="MARIO"/>
    <s v="via Alessandro Volta 190"/>
    <x v="12"/>
    <s v="SAN BENEDETTO DEL TRONTO"/>
    <s v="www.hotel-mario.com"/>
    <s v="info@hotel-mario.com"/>
    <s v="MARIO - SAN BENEDETTO DEL TRONTO"/>
  </r>
  <r>
    <x v="3"/>
    <s v="MARIO AL BORGO &quot;LU MEDECHE PICCIONE&quot; GUEST HOUSE"/>
    <s v="via Labirinto 11"/>
    <x v="12"/>
    <m/>
    <s v="www.marioalborgo.it"/>
    <s v="piccionigraziano@libero.it"/>
    <s v="MARIO AL BORGO &quot;LU MEDECHE PICCIONE&quot; GUEST HOUSE - SAN BENEDETTO DEL TRONTO"/>
  </r>
  <r>
    <x v="7"/>
    <s v="MARIO D'AGATA"/>
    <s v="via F. Magnanini 2"/>
    <x v="33"/>
    <m/>
    <m/>
    <s v="dadaump@gmail.com"/>
    <s v="MARIO D'AGATA - FANO"/>
  </r>
  <r>
    <x v="3"/>
    <s v="MARIPOSA"/>
    <s v="via Sotto Granarola 1/3"/>
    <x v="155"/>
    <s v="GRADARA"/>
    <m/>
    <s v="mari.maffei@virgilio.it"/>
    <s v="MARIPOSA - GRADARA"/>
  </r>
  <r>
    <x v="4"/>
    <s v="MARISOL"/>
    <s v="via litoranea 1 1"/>
    <x v="9"/>
    <s v="MARCELLI"/>
    <m/>
    <m/>
    <s v="MARISOL - NUMANA"/>
  </r>
  <r>
    <x v="7"/>
    <s v="MARMUGI MAURO"/>
    <s v="Via Mameli 242/B"/>
    <x v="16"/>
    <s v="SENIGALLIA"/>
    <m/>
    <s v="info@dimoraimmobiliare.it"/>
    <s v="MARMUGI MAURO - SENIGALLIA"/>
  </r>
  <r>
    <x v="6"/>
    <s v="MAROTTA"/>
    <s v="viale cristoforo colombo 132"/>
    <x v="20"/>
    <s v="MONDOLFO"/>
    <s v="www.campingmarotta.it"/>
    <s v="info@campingmarotta.it"/>
    <s v="MAROTTA - MONDOLFO"/>
  </r>
  <r>
    <x v="7"/>
    <s v="MARTA SORA"/>
    <s v="via Verdi 16"/>
    <x v="20"/>
    <m/>
    <m/>
    <s v="martasora@hotmail.it"/>
    <s v="MARTA SORA - MONDOLFO"/>
  </r>
  <r>
    <x v="0"/>
    <s v="MARTELLETTO"/>
    <s v="Certine 12"/>
    <x v="72"/>
    <s v="CERTINE"/>
    <s v="www.martelletto.it"/>
    <s v="info@martelletto.it"/>
    <s v="MARTELLETTO - SERRA SAN QUIRICO"/>
  </r>
  <r>
    <x v="7"/>
    <s v="MARTINELLI MIRCO"/>
    <s v="Tommasi 6"/>
    <x v="69"/>
    <m/>
    <m/>
    <s v="info@immobiliaretriestepesaro.it"/>
    <s v="MARTINELLI MIRCO - PESARO"/>
  </r>
  <r>
    <x v="3"/>
    <s v="MARY AL TRAMONTO ROSSO"/>
    <s v="via Pergolesi 2/B"/>
    <x v="57"/>
    <s v="PU"/>
    <s v="maryaltramontorosso.jimdo.com"/>
    <s v="alberto.bartolucci@adriatic.net"/>
    <s v="MARY AL TRAMONTO ROSSO - TAVULLIA"/>
  </r>
  <r>
    <x v="0"/>
    <s v="MASS-HANS VALDIFIORI di CIPRIANI"/>
    <s v="Via Torre di Murazzano snc"/>
    <x v="46"/>
    <s v="TORRE DI MURAZZANO"/>
    <m/>
    <s v="info@valdifiori.nl"/>
    <s v="MASS-HANS VALDIFIORI di CIPRIANI - SASSOFERRATO"/>
  </r>
  <r>
    <x v="1"/>
    <s v="MASSI"/>
    <s v="piazzale Rosa Morandi 10"/>
    <x v="16"/>
    <s v="SENIGALLIA"/>
    <s v="www.italiaabc.it"/>
    <s v="hotelmassi@virgilio.it"/>
    <s v="MASSI - SENIGALLIA"/>
  </r>
  <r>
    <x v="0"/>
    <s v="MASSI PATRIZIO"/>
    <s v="Via San Lazzaro 145"/>
    <x v="30"/>
    <s v="OFFIDA"/>
    <m/>
    <s v="mollteo@alice.it"/>
    <s v="MASSI PATRIZIO - OFFIDA"/>
  </r>
  <r>
    <x v="7"/>
    <s v="MASTRANGELO DARIO"/>
    <s v="via Trieste 2"/>
    <x v="28"/>
    <m/>
    <m/>
    <m/>
    <s v="MASTRANGELO DARIO - GABICCE MARE"/>
  </r>
  <r>
    <x v="1"/>
    <s v="MASTRO MARINO"/>
    <s v="Piazzale XX Settembre 33"/>
    <x v="21"/>
    <s v="FABRIANO"/>
    <m/>
    <s v="info@hotelmastromarino.it"/>
    <s v="MASTRO MARINO - FABRIANO"/>
  </r>
  <r>
    <x v="4"/>
    <s v="MATADOR"/>
    <s v="viale trieste 1 1"/>
    <x v="163"/>
    <s v="PESARO"/>
    <m/>
    <m/>
    <s v="MATADOR - PORTO SANT'ELPIDIO"/>
  </r>
  <r>
    <x v="4"/>
    <s v="MATEPAYA CLUB"/>
    <m/>
    <x v="222"/>
    <m/>
    <m/>
    <m/>
    <s v="MATEPAYA CLUB - PEDASO"/>
  </r>
  <r>
    <x v="4"/>
    <s v="MATILDA"/>
    <s v="lungomare Gramsci  1 1"/>
    <x v="47"/>
    <m/>
    <s v="info@ristorantematilda.com"/>
    <s v="www.matildaristorante.com"/>
    <s v="MATILDA - PORTO SAN GIORGIO"/>
  </r>
  <r>
    <x v="7"/>
    <s v="MATTIOLI MAURO APP.TO VIALE TRENTO"/>
    <s v="Viale Trento  190"/>
    <x v="69"/>
    <s v="PESARO"/>
    <m/>
    <s v="info@immobiliaretriestepesaro.it"/>
    <s v="MATTIOLI MAURO APP.TO VIALE TRENTO - PESARO"/>
  </r>
  <r>
    <x v="7"/>
    <s v="MATTIOLI MAURO APP.TO VIALE VITTORIA"/>
    <s v="Viale Vittoria  155"/>
    <x v="69"/>
    <s v="PESARO"/>
    <m/>
    <s v="info@immobiliaretriestepesaro.it"/>
    <s v="MATTIOLI MAURO APP.TO VIALE VITTORIA - PESARO"/>
  </r>
  <r>
    <x v="7"/>
    <s v="MATTOLI MARIA"/>
    <s v="Via Puglie  7"/>
    <x v="16"/>
    <s v="SENIGALLIA"/>
    <m/>
    <s v="affittiestivi@belenchia.com"/>
    <s v="MATTOLI MARIA - SENIGALLIA"/>
  </r>
  <r>
    <x v="4"/>
    <s v="MAUNA LOA"/>
    <s v="via lungomare fermano 1 1"/>
    <x v="37"/>
    <s v="PORTO SAN GIORGIO"/>
    <m/>
    <m/>
    <s v="MAUNA LOA - FERMO"/>
  </r>
  <r>
    <x v="3"/>
    <s v="MAURIZIO MACELLARI"/>
    <s v="VIA DE PINETO 1"/>
    <x v="17"/>
    <m/>
    <m/>
    <s v="mauriziomacellari64@gmail.com"/>
    <s v="MAURIZIO MACELLARI - CIVITANOVA MARCHE"/>
  </r>
  <r>
    <x v="3"/>
    <s v="MAURIZIO RADI"/>
    <s v="strada Stroppato 18/b"/>
    <x v="57"/>
    <m/>
    <m/>
    <s v="giorgi@koruspartners.it"/>
    <s v="MAURIZIO RADI - TAVULLIA"/>
  </r>
  <r>
    <x v="7"/>
    <s v="MAURO MANCINI"/>
    <s v="Via B. Buozzi 10"/>
    <x v="16"/>
    <s v="SENIGALLIA"/>
    <m/>
    <s v="mauro_mancini@hotmail.it"/>
    <s v="MAURO MANCINI - SENIGALLIA"/>
  </r>
  <r>
    <x v="2"/>
    <s v="MAVIP RESIDENCE"/>
    <s v="via Sgambati 8"/>
    <x v="12"/>
    <s v="san benedetto del tronto"/>
    <s v="www.mavipresidence.it"/>
    <s v="info@mavip.it"/>
    <s v="MAVIP RESIDENCE - SAN BENEDETTO DEL TRONTO"/>
  </r>
  <r>
    <x v="1"/>
    <s v="MAXIM"/>
    <s v="via Circonvallazione 12"/>
    <x v="28"/>
    <s v="GABICCE MARE"/>
    <s v="www.maximhotel.it"/>
    <s v="maxim@gabiccemare.com"/>
    <s v="MAXIM - GABICCE MARE"/>
  </r>
  <r>
    <x v="7"/>
    <s v="MAY PATRICIA HELEN ROXBURGH"/>
    <s v="c.da Morrone  5"/>
    <x v="128"/>
    <s v="c.da Morrone"/>
    <m/>
    <s v="pattinay@live.co.uk"/>
    <s v="MAY PATRICIA HELEN ROXBURGH - GUALDO"/>
  </r>
  <r>
    <x v="5"/>
    <s v="MAZZAMURELLO"/>
    <s v="Contrada Acquaviva SNC"/>
    <x v="90"/>
    <s v="GARUFO"/>
    <s v="www.mazzamurello.it"/>
    <s v="gaortali@gmail.com"/>
    <s v="MAZZAMURELLO - CALDAROLA"/>
  </r>
  <r>
    <x v="7"/>
    <s v="MAZZANTI ELENA APP.TO VIA BASILICATA"/>
    <s v="Via Rieti  50"/>
    <x v="16"/>
    <s v="SENIGALLIA"/>
    <m/>
    <s v="affittiestivi@belenchia.com"/>
    <s v="MAZZANTI ELENA APP.TO VIA BASILICATA - SENIGALLIA"/>
  </r>
  <r>
    <x v="7"/>
    <s v="MAZZANTI ELENA APP.TO VIA RIETI"/>
    <s v="Via Rieti 50"/>
    <x v="16"/>
    <s v="SENIGALLIA"/>
    <m/>
    <s v="affittiestivi@belenchia.com"/>
    <s v="MAZZANTI ELENA APP.TO VIA RIETI - SENIGALLIA"/>
  </r>
  <r>
    <x v="7"/>
    <s v="MAZZANTI GIANFRANCO"/>
    <s v="Via Bari  1/A"/>
    <x v="16"/>
    <s v="SENIGALLIA"/>
    <m/>
    <s v="affittiestivi@belenchia.com"/>
    <s v="MAZZANTI GIANFRANCO - SENIGALLIA"/>
  </r>
  <r>
    <x v="7"/>
    <s v="MAZZAOLA ANGELO"/>
    <s v="VIA L'AQUILA  9"/>
    <x v="16"/>
    <s v="SENIGALLIA"/>
    <m/>
    <s v="affittiestivi@belenchia.com"/>
    <s v="MAZZAOLA ANGELO - SENIGALLIA"/>
  </r>
  <r>
    <x v="7"/>
    <s v="MAZZARINI DANILO"/>
    <s v="Via Raffaello Sanzio 203/2E"/>
    <x v="16"/>
    <s v="SENIGALLIA"/>
    <m/>
    <s v="danilomazzarini@alice.it"/>
    <s v="MAZZARINI DANILO - SENIGALLIA"/>
  </r>
  <r>
    <x v="7"/>
    <s v="MECOCCI ANDREA"/>
    <s v="Via Terza Strada 47/A"/>
    <x v="16"/>
    <s v="SENIGALLIA"/>
    <m/>
    <s v="info@dimoraimmobiliare.it"/>
    <s v="MECOCCI ANDREA - SENIGALLIA"/>
  </r>
  <r>
    <x v="1"/>
    <s v="MEDITERRANEO"/>
    <s v="viale Trieste 199"/>
    <x v="69"/>
    <s v="PESARO"/>
    <s v="www.hmed.it"/>
    <s v="info@hmed.it"/>
    <s v="MEDITERRANEO - PESARO"/>
  </r>
  <r>
    <x v="2"/>
    <s v="MEDITERRANEO"/>
    <s v="via dei Mille 56"/>
    <x v="12"/>
    <s v="SAN BENEDETTO DEL TRONTO"/>
    <s v="www.residencemediterraneo.it"/>
    <s v="info@residencemediterraneo.it"/>
    <s v="MEDITERRANEO - SAN BENEDETTO DEL TRONTO"/>
  </r>
  <r>
    <x v="4"/>
    <s v="MEDUSA SABBIA D'OR"/>
    <m/>
    <x v="23"/>
    <m/>
    <m/>
    <m/>
    <s v="MEDUSA SABBIA D'OR - PORTO RECANATI"/>
  </r>
  <r>
    <x v="2"/>
    <s v="MEETING"/>
    <s v="via panoramica 13"/>
    <x v="28"/>
    <s v="GABICCE MARE"/>
    <s v="www.residencemeeting.it"/>
    <s v="info@residencemeeting.it"/>
    <s v="MEETING - GABICCE MARE"/>
  </r>
  <r>
    <x v="1"/>
    <s v="MEETING"/>
    <s v="localita' santa maria del piano 107"/>
    <x v="80"/>
    <s v="URBANIA"/>
    <m/>
    <m/>
    <s v="MEETING - URBANIA"/>
  </r>
  <r>
    <x v="7"/>
    <s v="MENACCINI DIEGO"/>
    <s v="VIA NAZARIO SAURO 22"/>
    <x v="33"/>
    <s v="FANO"/>
    <m/>
    <s v="r.andrea@sed84.com"/>
    <s v="MENACCINI DIEGO - FANO"/>
  </r>
  <r>
    <x v="7"/>
    <s v="MENCACCINI BRUNO"/>
    <s v="via della Marina 40"/>
    <x v="33"/>
    <m/>
    <m/>
    <s v="r.andrea@sed84.com"/>
    <s v="MENCACCINI BRUNO - FANO"/>
  </r>
  <r>
    <x v="7"/>
    <s v="MENCHETTI ARTIDORO"/>
    <s v="Via Belluzzi 5"/>
    <x v="69"/>
    <s v="PESARO"/>
    <m/>
    <m/>
    <s v="MENCHETTI ARTIDORO - PESARO"/>
  </r>
  <r>
    <x v="3"/>
    <s v="MENCUCCI CARLO"/>
    <s v="Via Ugo Bassi  15/a"/>
    <x v="16"/>
    <s v="SENIGALLIA"/>
    <m/>
    <s v="carlo.mencucci@teletu.it"/>
    <s v="MENCUCCI CARLO - SENIGALLIA"/>
  </r>
  <r>
    <x v="3"/>
    <s v="MENGANI GRAZIELLA"/>
    <s v="via giovanni xxiii 6"/>
    <x v="8"/>
    <s v="SIROLO"/>
    <m/>
    <m/>
    <s v="MENGANI GRAZIELLA - SIROLO"/>
  </r>
  <r>
    <x v="5"/>
    <s v="MERAVILLA"/>
    <s v="Frazione Castagneti 54"/>
    <x v="151"/>
    <s v="CASTAGNETI"/>
    <m/>
    <s v="cannellagianluca@libero.it"/>
    <s v="MERAVILLA - ASCOLI PICENO"/>
  </r>
  <r>
    <x v="7"/>
    <s v="MERCANTI ENRICA"/>
    <s v="Contrada Forchiusa 99"/>
    <x v="72"/>
    <s v="SERRA SAN QUIRICO"/>
    <m/>
    <s v="gilberto.sorci@libero.it"/>
    <s v="MERCANTI ENRICA - SERRA SAN QUIRICO"/>
  </r>
  <r>
    <x v="7"/>
    <s v="MERCURI ROSANNA"/>
    <s v="Via Lazio 14"/>
    <x v="148"/>
    <s v="POTENZA PICENA"/>
    <m/>
    <m/>
    <s v="MERCURI ROSANNA - POTENZA PICENA"/>
  </r>
  <r>
    <x v="3"/>
    <s v="MERENDERO"/>
    <s v="VIA IACHINI 94"/>
    <x v="111"/>
    <s v="CASETTE D'ETE DI SANT'ELPIDIO A MARE (FM)"/>
    <s v="www.ilmerendero.com"/>
    <s v="mail@ilmerendero.com"/>
    <s v="MERENDERO - SANT'ELPIDIO A MARE"/>
  </r>
  <r>
    <x v="7"/>
    <s v="MERI CANTORI"/>
    <s v="via Colle Piceno 24"/>
    <x v="9"/>
    <m/>
    <m/>
    <s v="antonello.baldini@gmail.com"/>
    <s v="MERI CANTORI - NUMANA"/>
  </r>
  <r>
    <x v="0"/>
    <s v="MERLINO"/>
    <s v="frazione Mezzanotte 29"/>
    <x v="91"/>
    <s v="PERGOLA"/>
    <s v="www.agriturismomerlino.it"/>
    <s v="info@agriturismomerlino.it"/>
    <s v="MERLINO - PERGOLA"/>
  </r>
  <r>
    <x v="1"/>
    <s v="METAURO"/>
    <s v="via Flaminia 278"/>
    <x v="195"/>
    <s v="Calcinelli di Saltara"/>
    <s v="www.albergometauro.com"/>
    <s v="info@albergometauro.com"/>
    <s v="METAURO - SALTARA"/>
  </r>
  <r>
    <x v="1"/>
    <s v="METROPOL"/>
    <s v="via cristoforo colombo 3"/>
    <x v="69"/>
    <s v="PESARO"/>
    <s v="www.hotelmetropol.it"/>
    <s v="info@hotelmetropol.it"/>
    <s v="METROPOL - PESARO"/>
  </r>
  <r>
    <x v="1"/>
    <s v="METROPOL"/>
    <s v="lungomare leonardo da vinci 11"/>
    <x v="16"/>
    <s v="SENIGALLIA"/>
    <s v="www.hotelmetropolsenigallia.it  e  com"/>
    <s v="info@hotelmetropolsenigallia.it"/>
    <s v="METROPOL - SENIGALLIA"/>
  </r>
  <r>
    <x v="1"/>
    <s v="MEUBLE' LA SPIAGGIOLA"/>
    <s v="via cristoforo colombo  12"/>
    <x v="9"/>
    <s v="NUMANA"/>
    <s v="www.laspiaggiola.it"/>
    <s v="info@laspiaggiola.it"/>
    <s v="MEUBLE' LA SPIAGGIOLA - NUMANA"/>
  </r>
  <r>
    <x v="7"/>
    <s v="MEZZASOMA RITA"/>
    <s v="AMENDOLA 12/A"/>
    <x v="148"/>
    <m/>
    <m/>
    <m/>
    <s v="MEZZASOMA RITA - POTENZA PICENA"/>
  </r>
  <r>
    <x v="7"/>
    <s v="MEZZOBAIOCCO APPARTAMENTO"/>
    <s v="via San Rocco 17"/>
    <x v="2"/>
    <m/>
    <m/>
    <s v="mezzobaioccosanseverino@gmail.com"/>
    <s v="MEZZOBAIOCCO APPARTAMENTO - SAN SEVERINO MARCHE"/>
  </r>
  <r>
    <x v="7"/>
    <s v="MEZZOLANI FILIPPO"/>
    <s v="Via Mosca 6"/>
    <x v="69"/>
    <s v="PESARO"/>
    <m/>
    <s v="info@immobiliaretriestepesaro.it"/>
    <s v="MEZZOLANI FILIPPO - PESARO"/>
  </r>
  <r>
    <x v="7"/>
    <s v="MICCI LAMBERTO"/>
    <s v="Via Strada terza 34/C"/>
    <x v="16"/>
    <s v="SENIGALLIA"/>
    <m/>
    <s v="lamberto_micci@libero.it"/>
    <s v="MICCI LAMBERTO - SENIGALLIA"/>
  </r>
  <r>
    <x v="7"/>
    <s v="MICHAEL JAMES ANDREWS"/>
    <s v="c.da Vallenzuolo 12"/>
    <x v="229"/>
    <m/>
    <m/>
    <s v="cathnmikeandrews@gmail.com"/>
    <s v="MICHAEL JAMES ANDREWS - RIPE SAN GINESIO"/>
  </r>
  <r>
    <x v="7"/>
    <s v="MICHELINI DINO"/>
    <s v="via Cesare Battisti 67"/>
    <x v="28"/>
    <m/>
    <m/>
    <m/>
    <s v="MICHELINI DINO - GABICCE MARE"/>
  </r>
  <r>
    <x v="1"/>
    <s v="MILANO"/>
    <s v="via Montebello 1/a"/>
    <x v="10"/>
    <s v="ANCONA"/>
    <m/>
    <s v="info@hotelmilano-hm.it"/>
    <s v="MILANO - ANCONA"/>
  </r>
  <r>
    <x v="4"/>
    <s v="MILLE LIRE"/>
    <s v="via Lepanto 48/a 48/a"/>
    <x v="23"/>
    <m/>
    <s v="chaletmillelire@gmail.com"/>
    <m/>
    <s v="MILLE LIRE - PORTO RECANATI"/>
  </r>
  <r>
    <x v="0"/>
    <s v="MILLE QUERCE SRL"/>
    <s v="Contrada San Martino 21"/>
    <x v="97"/>
    <s v="MONTE GIBERTO"/>
    <s v="http://millequerce.it/"/>
    <s v="bosio.fulvia@gmail.com"/>
    <s v="MILLE QUERCE SRL - MONTE GIBERTO"/>
  </r>
  <r>
    <x v="4"/>
    <s v="MIMOSA"/>
    <m/>
    <x v="5"/>
    <m/>
    <m/>
    <m/>
    <s v="MIMOSA - GROTTAMMARE"/>
  </r>
  <r>
    <x v="4"/>
    <s v="MINONDA"/>
    <s v="via lungomare gramsci sud 1 1"/>
    <x v="47"/>
    <s v="PORTO SAN GIORGIO"/>
    <s v="minonda@hoteltimone.com"/>
    <m/>
    <s v="MINONDA - PORTO SAN GIORGIO"/>
  </r>
  <r>
    <x v="4"/>
    <s v="MINU'"/>
    <s v="via faleria 34 34"/>
    <x v="163"/>
    <s v="PORTO SANT' ELPIDIO"/>
    <m/>
    <m/>
    <s v="MINU' - PORTO SANT'ELPIDIO"/>
  </r>
  <r>
    <x v="6"/>
    <s v="MIRAGE"/>
    <s v="via Aprutina, c.da San Biagio 1"/>
    <x v="133"/>
    <s v="ALTIDONA"/>
    <s v="www.centrovacanzemirage.it"/>
    <s v="info@centrovacanzemirage.it"/>
    <s v="MIRAGE - ALTIDONA"/>
  </r>
  <r>
    <x v="4"/>
    <s v="MIRAGE"/>
    <m/>
    <x v="133"/>
    <m/>
    <s v="info@centrovacanzemirage.it"/>
    <s v="www.centrovacanzemirage.it"/>
    <s v="MIRAGE - ALTIDONA"/>
  </r>
  <r>
    <x v="1"/>
    <s v="MIRAMARE"/>
    <s v="via vittorio veneto 163"/>
    <x v="28"/>
    <s v="GABICCE MARE"/>
    <s v="www.miramarehtl.com"/>
    <s v="info@miramarehtl.com"/>
    <s v="MIRAMARE - GABICCE MARE"/>
  </r>
  <r>
    <x v="1"/>
    <s v="MIRAMARE"/>
    <s v="Via Damiano Chiesa 15"/>
    <x v="20"/>
    <s v="MONDOLFO"/>
    <s v="www.hotel-miramare.com"/>
    <s v="info@hotel-miramare.com"/>
    <s v="MIRAMARE - MONDOLFO"/>
  </r>
  <r>
    <x v="1"/>
    <s v="MIRAMARE"/>
    <s v="via marina ardizia 158"/>
    <x v="69"/>
    <s v="PESARO"/>
    <m/>
    <s v="infohotelmiramare@gmail.com"/>
    <s v="MIRAMARE - PESARO"/>
  </r>
  <r>
    <x v="4"/>
    <s v="MIRAMARE"/>
    <s v="via Litoranea 131 131"/>
    <x v="9"/>
    <s v="Marcelli"/>
    <s v="alessandro.nobis85@yahoo.it"/>
    <m/>
    <s v="MIRAMARE - NUMANA"/>
  </r>
  <r>
    <x v="1"/>
    <s v="MIRAMARE"/>
    <s v="viale Giacomo Matteotti 1"/>
    <x v="17"/>
    <s v="CIVITANOVA MARCHE"/>
    <s v="www.miramarecivitanova.com"/>
    <s v="info@miramarecivitanova.com"/>
    <s v="MIRAMARE - CIVITANOVA MARCHE"/>
  </r>
  <r>
    <x v="4"/>
    <s v="MIRAMARE BEACH"/>
    <s v="viale trieste 1 1"/>
    <x v="12"/>
    <m/>
    <m/>
    <m/>
    <s v="MIRAMARE BEACH - SAN BENEDETTO DEL TRONTO"/>
  </r>
  <r>
    <x v="1"/>
    <s v="MIRAMARE INN"/>
    <s v="via faa' di bruno 48"/>
    <x v="20"/>
    <s v="MONDOLFO"/>
    <s v="www.hotel-miramare.com"/>
    <s v="info@hotel-miramare.com"/>
    <s v="MIRAMARE INN - MONDOLFO"/>
  </r>
  <r>
    <x v="4"/>
    <s v="MIRCO ED ALE"/>
    <s v="via dei mille 1 1"/>
    <x v="22"/>
    <s v="FALCONARA MARITTIMA"/>
    <m/>
    <m/>
    <s v="MIRCO ED ALE - FALCONARA MARITTIMA"/>
  </r>
  <r>
    <x v="7"/>
    <s v="MIRCO MANCINELLI"/>
    <s v="via Lamaticci 5"/>
    <x v="10"/>
    <m/>
    <m/>
    <s v="mircomancinelli@libero.it"/>
    <s v="MIRCO MANCINELLI - ANCONA"/>
  </r>
  <r>
    <x v="4"/>
    <s v="MIRRO'"/>
    <s v="Lungomare Piermanni 8"/>
    <x v="17"/>
    <s v="CIVITANOVA MARCHE"/>
    <m/>
    <m/>
    <s v="MIRRO' - CIVITANOVA MARCHE"/>
  </r>
  <r>
    <x v="0"/>
    <s v="MIRYAM"/>
    <m/>
    <x v="132"/>
    <m/>
    <m/>
    <m/>
    <s v="MIRYAM - SAN GINESIO"/>
  </r>
  <r>
    <x v="7"/>
    <s v="MOBILI ALICE"/>
    <s v="Via Alvata 55"/>
    <x v="148"/>
    <s v="POTENZA PICENA"/>
    <m/>
    <m/>
    <s v="MOBILI ALICE - POTENZA PICENA"/>
  </r>
  <r>
    <x v="4"/>
    <s v="MOBY DYCK"/>
    <s v="viale trieste 1 1"/>
    <x v="163"/>
    <m/>
    <m/>
    <m/>
    <s v="MOBY DYCK - PORTO SANT'ELPIDIO"/>
  </r>
  <r>
    <x v="1"/>
    <s v="MOCAMBO"/>
    <s v="via domenico cimarosa 4"/>
    <x v="12"/>
    <s v="SAN BENEDETTO DEL TRONTO"/>
    <s v="www.hotelmocambo.it"/>
    <s v="info@hotelmocambo.it"/>
    <s v="MOCAMBO - SAN BENEDETTO DEL TRONTO"/>
  </r>
  <r>
    <x v="7"/>
    <s v="MOCK HARRY"/>
    <s v="LOCALITA' SAN GIOVANNI IN VENCARETO 60"/>
    <x v="94"/>
    <s v="SAN GIOVANNI IN VENCARETO"/>
    <m/>
    <s v="robertacastellani@libero.it"/>
    <s v="MOCK HARRY - SAN COSTANZO"/>
  </r>
  <r>
    <x v="8"/>
    <s v="MOLINO ALBANI"/>
    <s v="via Montecalende 55"/>
    <x v="1"/>
    <s v="URBINO"/>
    <m/>
    <s v="v_lem@hotmail.it"/>
    <s v="MOLINO ALBANI - URBINO"/>
  </r>
  <r>
    <x v="0"/>
    <s v="MOLINO DEL TRIFOGLIO"/>
    <s v="localita' repuglie 17"/>
    <x v="1"/>
    <s v="URBINO"/>
    <m/>
    <m/>
    <s v="MOLINO DEL TRIFOGLIO - URBINO"/>
  </r>
  <r>
    <x v="8"/>
    <s v="MOLINO MONACELLI COUNTRY HOUSE"/>
    <s v="località Fenile  88"/>
    <x v="33"/>
    <s v="località Fenile"/>
    <s v="www.molinomonacelli.it"/>
    <s v="info@molinomonacelli.it; ludochan@hotmail.it"/>
    <s v="MOLINO MONACELLI COUNTRY HOUSE - FANO"/>
  </r>
  <r>
    <x v="5"/>
    <s v="MOLINO VECCHIO"/>
    <s v="fraz. Castiglioni 70"/>
    <x v="18"/>
    <s v="CASTIGLIONI"/>
    <s v="www.castiglionidiarcevia.it/molino"/>
    <s v="kurt.luks@gmail.com"/>
    <s v="MOLINO VECCHIO - ARCEVIA"/>
  </r>
  <r>
    <x v="9"/>
    <s v="MONASTERO DELLE BENEDETTINE DI S. LIBERATORE"/>
    <s v="via Santo Stefano 58"/>
    <x v="186"/>
    <m/>
    <m/>
    <s v="sbp.castello@yahoo.it"/>
    <s v="MONASTERO DELLE BENEDETTINE DI S. LIBERATORE - CASTELSANTANGELO SUL NERA"/>
  </r>
  <r>
    <x v="1"/>
    <s v="MONDIAL"/>
    <s v="viale Europa 2"/>
    <x v="23"/>
    <s v="PORTO RECANATI"/>
    <s v="www.mondialhotel.com"/>
    <s v="mondial@mondialhotel.com"/>
    <s v="MONDIAL - PORTO RECANATI"/>
  </r>
  <r>
    <x v="4"/>
    <s v="MONELLO"/>
    <m/>
    <x v="12"/>
    <m/>
    <m/>
    <m/>
    <s v="MONELLO - SAN BENEDETTO DEL TRONTO"/>
  </r>
  <r>
    <x v="3"/>
    <s v="MONS MAJOR RELAIS"/>
    <s v="via delle Mura 16 31"/>
    <x v="211"/>
    <s v="Montemaggiore al Metauro"/>
    <s v="www.monsmajor.it"/>
    <s v="info@monsmajor.it"/>
    <s v="MONS MAJOR RELAIS - MONTEMAGGIORE AL METAURO"/>
  </r>
  <r>
    <x v="9"/>
    <s v="MONS. GIORGIO TERRUZZI"/>
    <s v="frazione Foce 4"/>
    <x v="112"/>
    <s v="GENGA"/>
    <m/>
    <m/>
    <s v="MONS. GIORGIO TERRUZZI - GENGA"/>
  </r>
  <r>
    <x v="7"/>
    <s v="MONTANARI FRANCO"/>
    <s v="Via Panzini 28/E"/>
    <x v="20"/>
    <s v="MONDOLFO"/>
    <m/>
    <m/>
    <s v="MONTANARI FRANCO - MONDOLFO"/>
  </r>
  <r>
    <x v="7"/>
    <s v="MONTANARI LEONELLO"/>
    <s v="VIA FAA DI BRUNO 118"/>
    <x v="33"/>
    <s v="FANO"/>
    <m/>
    <m/>
    <s v="MONTANARI LEONELLO - FANO"/>
  </r>
  <r>
    <x v="7"/>
    <s v="MONTANARI MARZIO"/>
    <s v="VIA FAA' DI BRUNO 118"/>
    <x v="33"/>
    <s v="FANO"/>
    <m/>
    <s v="marzio.montanari@libero.it"/>
    <s v="MONTANARI MARZIO - FANO"/>
  </r>
  <r>
    <x v="0"/>
    <s v="MONTE ANDREA"/>
    <s v="C.da San Venanzo 2"/>
    <x v="82"/>
    <m/>
    <m/>
    <m/>
    <s v="MONTE ANDREA - CASTIGNANO"/>
  </r>
  <r>
    <x v="1"/>
    <s v="MONTE BOVE"/>
    <m/>
    <x v="201"/>
    <s v="USSITA"/>
    <m/>
    <s v="montebovenori@gmail.com"/>
    <s v="MONTE BOVE - USSITA"/>
  </r>
  <r>
    <x v="0"/>
    <s v="MONTE DESERTO"/>
    <s v="via monticelli 15"/>
    <x v="134"/>
    <s v="CASTELPLANIO"/>
    <s v="www.montedeserto.it"/>
    <s v="chiedi@montedeserto.it"/>
    <s v="MONTE DESERTO - CASTELPLANIO"/>
  </r>
  <r>
    <x v="6"/>
    <s v="MONTE PRATA"/>
    <m/>
    <x v="186"/>
    <s v="SCHIANCETO"/>
    <s v="www.campingmonteprata.it"/>
    <s v="info@campingmonteprata.it"/>
    <s v="MONTE PRATA - CASTELSANTANGELO SUL NERA"/>
  </r>
  <r>
    <x v="5"/>
    <s v="MONTECCHIESI LUCIANO VIA GRAMSCI 10/B"/>
    <s v="Via Gramsci 10/B"/>
    <x v="231"/>
    <s v="SANTA MARIA NUOVA"/>
    <m/>
    <s v="montecchiesiluciano@yahoo.it"/>
    <s v="MONTECCHIESI LUCIANO VIA GRAMSCI 10/B - SANTA MARIA NUOVA"/>
  </r>
  <r>
    <x v="5"/>
    <s v="MONTECCHIESI LUCIANO VIA GRAMSCI 12"/>
    <s v="Via Gramsci 12"/>
    <x v="231"/>
    <s v="SANTA MARIA NUOVA"/>
    <m/>
    <s v="montecchiesiluciano@yahoo.it"/>
    <s v="MONTECCHIESI LUCIANO VIA GRAMSCI 12 - SANTA MARIA NUOVA"/>
  </r>
  <r>
    <x v="5"/>
    <s v="MONTEFELTRO"/>
    <s v="via del forno 1"/>
    <x v="1"/>
    <s v="URBINO"/>
    <s v="www.bbmontefeltro.it"/>
    <s v="info@bbmontefeltro.it"/>
    <s v="MONTEFELTRO - URBINO"/>
  </r>
  <r>
    <x v="0"/>
    <s v="MONTEFIORE"/>
    <s v="fraz. Nidastore 85"/>
    <x v="18"/>
    <s v="NIDASTORE"/>
    <s v="www.agriturismomontefiore.com"/>
    <s v="mg.politi@tiscali.it"/>
    <s v="MONTEFIORE - ARCEVIA"/>
  </r>
  <r>
    <x v="1"/>
    <s v="MONTENERONE"/>
    <s v="localita' Pian di Trebbio 81"/>
    <x v="31"/>
    <s v="APECCHIO"/>
    <s v="www.hotelmontenerone.it"/>
    <s v="info@hotelmontenerone.it"/>
    <s v="MONTENERONE - APECCHIO"/>
  </r>
  <r>
    <x v="1"/>
    <s v="MONTENERONE"/>
    <s v="via Roma 30"/>
    <x v="25"/>
    <s v="PIOBBICO"/>
    <m/>
    <s v="lorenzoni.alfredo@libero.it"/>
    <s v="MONTENERONE - PIOBBICO"/>
  </r>
  <r>
    <x v="0"/>
    <s v="MONTEROLO"/>
    <s v="loc. Monterolo 65"/>
    <x v="91"/>
    <s v="PERGOLA"/>
    <m/>
    <m/>
    <s v="MONTEROLO - PERGOLA"/>
  </r>
  <r>
    <x v="7"/>
    <s v="MONTESARCHIO MARIO"/>
    <s v="via A. Cappellini 68"/>
    <x v="33"/>
    <m/>
    <m/>
    <m/>
    <s v="MONTESARCHIO MARIO - FANO"/>
  </r>
  <r>
    <x v="7"/>
    <s v="MONTESI FRANCESCA"/>
    <s v="Via Corta di Serripola 63"/>
    <x v="2"/>
    <s v="SAN SEVERINO MARCHE"/>
    <m/>
    <s v="francescamontesi@libero.it"/>
    <s v="MONTESI FRANCESCA - SAN SEVERINO MARCHE"/>
  </r>
  <r>
    <x v="5"/>
    <s v="MONTI ROBERTO"/>
    <s v="Via Erasmo Mari 59/i"/>
    <x v="151"/>
    <s v="ASCOLI PICENO"/>
    <m/>
    <m/>
    <s v="MONTI ROBERTO - ASCOLI PICENO"/>
  </r>
  <r>
    <x v="7"/>
    <s v="MONTIRONI ELIO"/>
    <s v="via Carducci 133"/>
    <x v="20"/>
    <m/>
    <m/>
    <m/>
    <s v="MONTIRONI ELIO - MONDOLFO"/>
  </r>
  <r>
    <x v="7"/>
    <s v="MORELLI PEPPINO"/>
    <s v="via Lago di Albano 12"/>
    <x v="33"/>
    <m/>
    <m/>
    <s v="inesistente@regione.marche.it"/>
    <s v="MORELLI PEPPINO - FANO"/>
  </r>
  <r>
    <x v="3"/>
    <s v="MORESCO COUNTRY HOUSE LA VALLE DELL'ARCOBALENO"/>
    <s v="Via Montefiore Corta SNC"/>
    <x v="182"/>
    <s v="MORESCO"/>
    <m/>
    <s v="st.santarelli@gmail.com"/>
    <s v="MORESCO COUNTRY HOUSE LA VALLE DELL'ARCOBALENO - MORESCO"/>
  </r>
  <r>
    <x v="1"/>
    <s v="MORETTI"/>
    <s v="via raffaello sanzio 82"/>
    <x v="16"/>
    <s v="SENIGALLIA"/>
    <s v="www.hotelmoretti.com"/>
    <s v="info@hotelmoretti.com"/>
    <s v="MORETTI - SENIGALLIA"/>
  </r>
  <r>
    <x v="8"/>
    <s v="MORETTI COUNTRY HOUSE"/>
    <s v="contrada Piane Chienti 257"/>
    <x v="17"/>
    <s v="civitanova marche"/>
    <s v="www.moretticountryhouse.com"/>
    <s v="agata@moretticountryhouse.com"/>
    <s v="MORETTI COUNTRY HOUSE - CIVITANOVA MARCHE"/>
  </r>
  <r>
    <x v="7"/>
    <s v="MORGANTI VALTER"/>
    <s v="Lungomare Mameli 9"/>
    <x v="16"/>
    <s v="SENIGALLIA"/>
    <m/>
    <s v="valter.morganti@tin.it"/>
    <s v="MORGANTI VALTER - SENIGALLIA"/>
  </r>
  <r>
    <x v="7"/>
    <s v="MORI GIANCARLO APP.TO MAMELI 112 (1)"/>
    <s v="Lungomare Mameli 112"/>
    <x v="16"/>
    <s v="SENIGALLIA"/>
    <m/>
    <s v="carlobelli2013@gmail.com"/>
    <s v="MORI GIANCARLO APP.TO MAMELI 112 (1) - SENIGALLIA"/>
  </r>
  <r>
    <x v="7"/>
    <s v="MORI GIANCARLO APP.TO MAMELI 112 (2)"/>
    <s v="Lungomare Mameli 112"/>
    <x v="16"/>
    <s v="SENIGALLIA"/>
    <m/>
    <s v="carlobelli2013@gmail.com"/>
    <s v="MORI GIANCARLO APP.TO MAMELI 112 (2) - SENIGALLIA"/>
  </r>
  <r>
    <x v="7"/>
    <s v="MORI GIANCARLO APP.TO MAMELI 113"/>
    <s v="Lungomare Mameli 113"/>
    <x v="16"/>
    <s v="SENIGALLIA"/>
    <m/>
    <s v="carlobelli2013@gmail.com"/>
    <s v="MORI GIANCARLO APP.TO MAMELI 113 - SENIGALLIA"/>
  </r>
  <r>
    <x v="5"/>
    <s v="MORNING GLORY"/>
    <s v="Via G. Annibaldi 15"/>
    <x v="161"/>
    <s v="CUPRAMONTANA"/>
    <m/>
    <s v="morning@email.it"/>
    <s v="MORNING GLORY - CUPRAMONTANA"/>
  </r>
  <r>
    <x v="1"/>
    <s v="MOROBELLO"/>
    <s v="via Serra 27"/>
    <x v="193"/>
    <s v="SAN MARCELLO"/>
    <s v="www.morobello.it"/>
    <s v="info@morobello.it"/>
    <s v="MOROBELLO - SAN MARCELLO"/>
  </r>
  <r>
    <x v="7"/>
    <s v="MORONI GIANCARLO"/>
    <s v="Via Fratti-Scapezzano 30"/>
    <x v="16"/>
    <s v="SENIGALLIA"/>
    <m/>
    <s v="moroni.tataio@libero.it"/>
    <s v="MORONI GIANCARLO - SENIGALLIA"/>
  </r>
  <r>
    <x v="7"/>
    <s v="MORUZZI SARA (APP. N. 45)"/>
    <s v="Via Pergolesi 45"/>
    <x v="16"/>
    <s v="SENIGALLIA"/>
    <m/>
    <s v="sguzzo60@gmail.com"/>
    <s v="MORUZZI SARA (APP. N. 45) - SENIGALLIA"/>
  </r>
  <r>
    <x v="7"/>
    <s v="MORUZZI SARA (APP. N. 51)"/>
    <s v="Via Pergolesi  51"/>
    <x v="16"/>
    <s v="SENIGALLIA"/>
    <m/>
    <s v="sguzzo60@gmail.com"/>
    <s v="MORUZZI SARA (APP. N. 51) - SENIGALLIA"/>
  </r>
  <r>
    <x v="7"/>
    <s v="MORUZZI SARA (APP. N. 53)"/>
    <s v="Via Pergolesi 53"/>
    <x v="16"/>
    <s v="SENIGALLIA"/>
    <m/>
    <s v="sguzzo60@gmail.com"/>
    <s v="MORUZZI SARA (APP. N. 53) - SENIGALLIA"/>
  </r>
  <r>
    <x v="7"/>
    <s v="MOSCA GABRIELLA"/>
    <s v="strada Santa Lucia 1"/>
    <x v="69"/>
    <m/>
    <m/>
    <s v="ga.mosca@libero.it"/>
    <s v="MOSCA GABRIELLA - PESARO"/>
  </r>
  <r>
    <x v="3"/>
    <s v="MOSCATELLI PAOLO"/>
    <s v="via Antonio Fratti 17"/>
    <x v="22"/>
    <s v="FALCONARA MARITTIMA"/>
    <m/>
    <m/>
    <s v="MOSCATELLI PAOLO - FALCONARA MARITTIMA"/>
  </r>
  <r>
    <x v="4"/>
    <s v="MOSQUITO"/>
    <m/>
    <x v="148"/>
    <s v="POTENZA PICENA"/>
    <m/>
    <m/>
    <s v="MOSQUITO - POTENZA PICENA"/>
  </r>
  <r>
    <x v="3"/>
    <s v="MOTOR MOTEL"/>
    <s v="Asse Nord Sud 1"/>
    <x v="10"/>
    <s v="loc.Colleverde presso Stazione di Servizio Q8"/>
    <m/>
    <s v="adolfopedroso@gmail.com"/>
    <s v="MOTOR MOTEL - ANCONA"/>
  </r>
  <r>
    <x v="7"/>
    <s v="MUGIANESI DAVID"/>
    <s v="VIA DI VITTORIO 77"/>
    <x v="20"/>
    <s v="MONDOLFO"/>
    <m/>
    <m/>
    <s v="MUGIANESI DAVID - MONDOLFO"/>
  </r>
  <r>
    <x v="3"/>
    <s v="MULINO DELLE MONACHE SRL"/>
    <s v="via Mulino delle Marche 1"/>
    <x v="123"/>
    <m/>
    <m/>
    <s v="studiogragnani@studiogragnani.it"/>
    <s v="MULINO DELLE MONACHE SRL - MACERATA FELTRIA"/>
  </r>
  <r>
    <x v="1"/>
    <s v="MY HOTEL MEUBLE' GARNI'"/>
    <s v="via Redipuglia 18"/>
    <x v="28"/>
    <m/>
    <s v="www.myhotelgabicce.it"/>
    <s v="info@myhotelgabicce.it"/>
    <s v="MY HOTEL MEUBLE' GARNI' - GABICCE MARE"/>
  </r>
  <r>
    <x v="4"/>
    <s v="MYM"/>
    <s v="Lungomare Piermanni 10/A"/>
    <x v="17"/>
    <s v="CIVITANOVA MARCHE"/>
    <m/>
    <s v="http://www.myspace.com/mymdiscoclub#sthash.QODVKk1"/>
    <s v="MYM - CIVITANOVA MARCHE"/>
  </r>
  <r>
    <x v="7"/>
    <s v="NADIA CHIAPPA"/>
    <s v="via Borgo di Sotto 3"/>
    <x v="60"/>
    <m/>
    <m/>
    <m/>
    <s v="NADIA CHIAPPA - CORINALDO"/>
  </r>
  <r>
    <x v="7"/>
    <s v="NADIA ROSSI"/>
    <s v="via Medaglia d'Oro 18"/>
    <x v="28"/>
    <m/>
    <m/>
    <s v="rnadia73.nr@gmail.com; alan.grassi@alice.it"/>
    <s v="NADIA ROSSI - GABICCE MARE"/>
  </r>
  <r>
    <x v="4"/>
    <s v="NAOMI"/>
    <s v="via lungomare 1 1"/>
    <x v="41"/>
    <s v="MARINA DI MONTEMARCIANO"/>
    <m/>
    <m/>
    <s v="NAOMI - MONTEMARCIANO"/>
  </r>
  <r>
    <x v="1"/>
    <s v="NAPOLEON"/>
    <s v="via vittorio veneto 151"/>
    <x v="28"/>
    <s v="GABICCE MARE"/>
    <s v="www.hotel-napoleon.it"/>
    <s v="napoleon@hotel-napoleon.it"/>
    <s v="NAPOLEON - GABICCE MARE"/>
  </r>
  <r>
    <x v="7"/>
    <s v="NARDINI BRUNO"/>
    <s v="via Vanvitelli 27"/>
    <x v="33"/>
    <m/>
    <m/>
    <m/>
    <s v="NARDINI BRUNO - FANO"/>
  </r>
  <r>
    <x v="7"/>
    <s v="NATALINI DINA"/>
    <s v="Garibaldi 28"/>
    <x v="148"/>
    <s v="POTENZA PICENA"/>
    <m/>
    <m/>
    <s v="NATALINI DINA - POTENZA PICENA"/>
  </r>
  <r>
    <x v="7"/>
    <s v="NATALINI ROBERTA"/>
    <s v="Via Rossini 91"/>
    <x v="148"/>
    <s v="POTENZA PICENA"/>
    <m/>
    <m/>
    <s v="NATALINI ROBERTA - POTENZA PICENA"/>
  </r>
  <r>
    <x v="5"/>
    <s v="NATURA E PROFUMI ...ED ANCHE SAPORI"/>
    <s v="localita' Domo 17"/>
    <x v="26"/>
    <s v="CINGOLI"/>
    <m/>
    <m/>
    <s v="NATURA E PROFUMI ...ED ANCHE SAPORI - CINGOLI"/>
  </r>
  <r>
    <x v="1"/>
    <s v="NAUHOME DEPENDANCE HOTEL NAUTILUS"/>
    <s v="viale Trieste 26"/>
    <x v="69"/>
    <s v="PESARO"/>
    <s v="www.nautiluspesaro.edenhotels.it"/>
    <s v="info@hotelnautilus.it"/>
    <s v="NAUHOME DEPENDANCE HOTEL NAUTILUS - PESARO"/>
  </r>
  <r>
    <x v="1"/>
    <s v="NAUTILUS"/>
    <s v="viale Trieste 30"/>
    <x v="69"/>
    <s v="PESARO"/>
    <s v="www.nautiluspesaro.edenhotels.it"/>
    <s v="info.nautilus@edenhotels.it"/>
    <s v="NAUTILUS - PESARO"/>
  </r>
  <r>
    <x v="2"/>
    <s v="NAZIONALE RESIDENCE"/>
    <s v="via Camillo Benso Conte di Cavour 231"/>
    <x v="163"/>
    <s v="PORTO SANT' ELPIDIO"/>
    <s v="www.nazionaleresidence.it/residence"/>
    <s v="info@nazionaleresidence.it"/>
    <s v="NAZIONALE RESIDENCE - PORTO SANT'ELPIDIO"/>
  </r>
  <r>
    <x v="4"/>
    <s v="NEDIO"/>
    <s v="via San Giacomo 53 53"/>
    <x v="12"/>
    <m/>
    <m/>
    <m/>
    <s v="NEDIO - SAN BENEDETTO DEL TRONTO"/>
  </r>
  <r>
    <x v="1"/>
    <s v="NENE'"/>
    <s v="via biancalana- STRADA ROSSA  39"/>
    <x v="1"/>
    <s v="URBINO"/>
    <s v="www.neneurbino.com"/>
    <s v="nene@neneurbino.com"/>
    <s v="NENE' - URBINO"/>
  </r>
  <r>
    <x v="4"/>
    <s v="NENETTA"/>
    <m/>
    <x v="23"/>
    <s v="PORTO RECANATI"/>
    <m/>
    <m/>
    <s v="NENETTA - PORTO RECANATI"/>
  </r>
  <r>
    <x v="4"/>
    <s v="NERO DI SEPPIA-ALMOSI SOC.COOP."/>
    <s v="via cristoforo colombo 1 1"/>
    <x v="22"/>
    <s v="FALCONARA MARITTIMA"/>
    <s v="nerodiseppia.an@gmail.com"/>
    <m/>
    <s v="NERO DI SEPPIA-ALMOSI SOC.COOP. - FALCONARA MARITTIMA"/>
  </r>
  <r>
    <x v="4"/>
    <s v="NERO DI SOLE"/>
    <s v="lungomare mameli 1 1"/>
    <x v="163"/>
    <s v="SENIGALLIA"/>
    <m/>
    <m/>
    <s v="NERO DI SOLE - PORTO SANT'ELPIDIO"/>
  </r>
  <r>
    <x v="7"/>
    <s v="NESPECA SILVIO"/>
    <s v="borgo Leopardi 30-4 30"/>
    <x v="30"/>
    <m/>
    <m/>
    <s v="paolo@nespeca.it"/>
    <s v="NESPECA SILVIO - OFFIDA"/>
  </r>
  <r>
    <x v="7"/>
    <s v="NESPECA SILVIO"/>
    <s v="borgo Leopardi 35-B 35/b"/>
    <x v="30"/>
    <m/>
    <m/>
    <s v="paolo@nespeca.it"/>
    <s v="NESPECA SILVIO - OFFIDA"/>
  </r>
  <r>
    <x v="4"/>
    <s v="NETTUNO"/>
    <s v="viale Cristoforo Colombo  1"/>
    <x v="20"/>
    <s v="MAROTTA"/>
    <s v="www.bardeitritonispiaggianettuno.com"/>
    <s v="cesaretonelli86@gmail.com"/>
    <s v="NETTUNO - MONDOLFO"/>
  </r>
  <r>
    <x v="1"/>
    <s v="NETTUNO"/>
    <s v="lungomare leonardo da vinci 19"/>
    <x v="16"/>
    <s v="SENIGALLIA"/>
    <s v="www.hotelnettuno.org"/>
    <s v="info@hotelnettuno.org"/>
    <s v="NETTUNO - SENIGALLIA"/>
  </r>
  <r>
    <x v="4"/>
    <s v="NETTUNO"/>
    <m/>
    <x v="148"/>
    <s v="PORTO POTENZA PICENA"/>
    <m/>
    <m/>
    <s v="NETTUNO - POTENZA PICENA"/>
  </r>
  <r>
    <x v="4"/>
    <s v="NETTUNO"/>
    <s v="San Giacomo 37"/>
    <x v="12"/>
    <m/>
    <s v="info@hotelposeidon.it"/>
    <s v="www.hotelposeidon.it"/>
    <s v="NETTUNO - SAN BENEDETTO DEL TRONTO"/>
  </r>
  <r>
    <x v="1"/>
    <s v="NETTUNO"/>
    <s v="via san giacomo 37"/>
    <x v="12"/>
    <s v="SAN BENEDETTO DEL TRONTO"/>
    <s v="www.hotelposeidon.it"/>
    <s v="info@hotelposeidon.it"/>
    <s v="NETTUNO - SAN BENEDETTO DEL TRONTO"/>
  </r>
  <r>
    <x v="4"/>
    <s v="NEW TROPICAL"/>
    <s v="via palombina vecchia 1 1"/>
    <x v="22"/>
    <s v="FALCONARA MARITTIMA"/>
    <m/>
    <m/>
    <s v="NEW TROPICAL - FALCONARA MARITTIMA"/>
  </r>
  <r>
    <x v="1"/>
    <s v="NH ANCONA"/>
    <s v="via Rupi di via XXIX Settembre 14"/>
    <x v="10"/>
    <s v="ANCONA"/>
    <s v="www.nh-hotels.it"/>
    <s v="nhancona@nh-hotels.com"/>
    <s v="NH ANCONA - ANCONA"/>
  </r>
  <r>
    <x v="1"/>
    <s v="NIAGARA"/>
    <s v="via Damiano Chiesa 22"/>
    <x v="20"/>
    <s v="MONDOLFO"/>
    <s v="www.hotelniagaramarotta.com"/>
    <s v="hotelniagaramarotta@gmail.com"/>
    <s v="NIAGARA - MONDOLFO"/>
  </r>
  <r>
    <x v="5"/>
    <s v="NIDASTORE"/>
    <s v="fraz. Nidastore 11"/>
    <x v="18"/>
    <s v="NIDASTORE"/>
    <s v="www.nidastore.jimdo.com"/>
    <s v="s.rocchetti@libero.it"/>
    <s v="NIDASTORE - ARCEVIA"/>
  </r>
  <r>
    <x v="4"/>
    <s v="NINA"/>
    <s v="localita' ponte nina 1 1"/>
    <x v="55"/>
    <s v="PONTE NINA"/>
    <m/>
    <m/>
    <s v="NINA - CAMPOFILONE"/>
  </r>
  <r>
    <x v="4"/>
    <s v="NOA'"/>
    <s v="viale alcide de gasperi 1 1"/>
    <x v="5"/>
    <m/>
    <m/>
    <m/>
    <s v="NOA' - GROTTAMMARE"/>
  </r>
  <r>
    <x v="1"/>
    <s v="NOBEL"/>
    <s v="via vittorio veneto 99"/>
    <x v="28"/>
    <s v="GABICCE MARE"/>
    <s v="www.hotelnobel.it"/>
    <s v="info@hotelnobel.it"/>
    <s v="NOBEL - GABICCE MARE"/>
  </r>
  <r>
    <x v="7"/>
    <s v="NODEN ROSEMARY DIANA MARSHALL"/>
    <m/>
    <x v="89"/>
    <m/>
    <m/>
    <m/>
    <s v="NODEN ROSEMARY DIANA MARSHALL - CESSAPALOMBO"/>
  </r>
  <r>
    <x v="0"/>
    <s v="NON TI SCORDAR DI ME"/>
    <s v="c.da Castelletta 65"/>
    <x v="17"/>
    <m/>
    <m/>
    <s v="chiaramarchionni@virgilio.it"/>
    <s v="NON TI SCORDAR DI ME - CIVITANOVA MARCHE"/>
  </r>
  <r>
    <x v="4"/>
    <s v="NONNO FERRUCCIO"/>
    <m/>
    <x v="23"/>
    <m/>
    <m/>
    <m/>
    <s v="NONNO FERRUCCIO - PORTO RECANATI"/>
  </r>
  <r>
    <x v="4"/>
    <s v="NORD EST"/>
    <s v="viale alcide de gasperi 23 23"/>
    <x v="5"/>
    <m/>
    <s v="acfirst@hotmail.it"/>
    <m/>
    <s v="NORD EST - GROTTAMMARE"/>
  </r>
  <r>
    <x v="4"/>
    <s v="NORD MARINE BAGNI N° 16"/>
    <s v="lungomare mameli 1 1"/>
    <x v="16"/>
    <s v="SENIGALLIA"/>
    <m/>
    <m/>
    <s v="NORD MARINE BAGNI N° 16 - SENIGALLIA"/>
  </r>
  <r>
    <x v="1"/>
    <s v="NORD OVEST"/>
    <s v="via Rimini 1"/>
    <x v="212"/>
    <s v="MONTE GRIMANO TERME"/>
    <s v="www.hotelnordovest.it"/>
    <s v="info@hotelnordovest.it"/>
    <s v="NORD OVEST - MONTE GRIMANO TERME"/>
  </r>
  <r>
    <x v="1"/>
    <s v="NORMA"/>
    <s v="frazione poggio san romualdo 1"/>
    <x v="21"/>
    <s v="FABRIANO"/>
    <s v="www.albergonorma.it"/>
    <s v="info@albergonorma.it"/>
    <s v="NORMA - FABRIANO"/>
  </r>
  <r>
    <x v="5"/>
    <s v="NOTE DI JESI"/>
    <s v="RINALDI 6"/>
    <x v="4"/>
    <s v="JESI"/>
    <m/>
    <s v="c.ferretti9@gmail.com"/>
    <s v="NOTE DI JESI - JESI"/>
  </r>
  <r>
    <x v="5"/>
    <s v="NOTTI SULLE MURA"/>
    <s v="via degli Spaldi 16"/>
    <x v="4"/>
    <s v="JESI"/>
    <s v="www.nottisullemura.it"/>
    <s v="info@nottisullemura.it"/>
    <s v="NOTTI SULLE MURA - JESI"/>
  </r>
  <r>
    <x v="4"/>
    <s v="NOVE NOVE"/>
    <s v="via lungomare fermano 1 1"/>
    <x v="37"/>
    <s v="PORTO SAN GIORGIO"/>
    <m/>
    <m/>
    <s v="NOVE NOVE - FERMO"/>
  </r>
  <r>
    <x v="7"/>
    <s v="NOVELLO GUIDO"/>
    <s v="via Lungomare 65"/>
    <x v="41"/>
    <m/>
    <m/>
    <m/>
    <s v="NOVELLO GUIDO - MONTEMARCIANO"/>
  </r>
  <r>
    <x v="4"/>
    <s v="NUMANA BLU"/>
    <s v="via litoranea 227 227"/>
    <x v="9"/>
    <s v="MARCELLI"/>
    <s v="info@numanablubalneare.it"/>
    <s v="www.numanablubalneare.it"/>
    <s v="NUMANA BLU - NUMANA"/>
  </r>
  <r>
    <x v="8"/>
    <s v="NUMERO7"/>
    <s v="localita' Saltregna 7"/>
    <x v="26"/>
    <s v="CINGOLI"/>
    <s v="www.numero7.eu"/>
    <s v="numero7.cingoli@hotmail.com"/>
    <s v="NUMERO7 - CINGOLI"/>
  </r>
  <r>
    <x v="1"/>
    <s v="NUOVO FIORE"/>
    <s v="via Edmondo de Amicis 25"/>
    <x v="28"/>
    <s v="GABICCE MARE"/>
    <s v="www.gabiccemare.com/nuovofiore"/>
    <s v="nuovofiore@gabiccemare.com"/>
    <s v="NUOVO FIORE - GABICCE MARE"/>
  </r>
  <r>
    <x v="1"/>
    <s v="NUOVO FIORE DIPENDENZA"/>
    <s v="via Edmondo De Amicis 18"/>
    <x v="28"/>
    <s v="GABICCE MARE"/>
    <s v="www.gabiccemare.com/nuovofiore"/>
    <s v="nuovofiore@gabiccemare.com"/>
    <s v="NUOVO FIORE DIPENDENZA - GABICCE MARE"/>
  </r>
  <r>
    <x v="6"/>
    <s v="NUOVO NATURAL VILLAGE"/>
    <m/>
    <x v="148"/>
    <s v="C.da Torrenova 1"/>
    <s v="www.nuovonaturalvillage.com"/>
    <s v="info@nuovonaturalvillage.com"/>
    <s v="NUOVO NATURAL VILLAGE - POTENZA PICENA"/>
  </r>
  <r>
    <x v="7"/>
    <s v="O' DONNELL LAURA"/>
    <s v="Via dei Partigiani 34"/>
    <x v="69"/>
    <s v="PESARO"/>
    <m/>
    <s v="info@immobiliaretriestepesaro.it"/>
    <s v="O' DONNELL LAURA - PESARO"/>
  </r>
  <r>
    <x v="1"/>
    <s v="OASI"/>
    <s v="via stelle di mare  10"/>
    <x v="33"/>
    <s v="FANO"/>
    <s v="www.hoteloasitorrette.it"/>
    <s v="info@hoteloasitorrette.it"/>
    <s v="OASI - FANO"/>
  </r>
  <r>
    <x v="4"/>
    <s v="OASI"/>
    <s v="via Flaminia 1 1"/>
    <x v="10"/>
    <s v="PALOMBINA NUOVA"/>
    <s v="dado1984_fg@libero.it"/>
    <s v="davidefratti1984@gmail.com"/>
    <s v="OASI - ANCONA"/>
  </r>
  <r>
    <x v="4"/>
    <s v="OASI"/>
    <m/>
    <x v="23"/>
    <m/>
    <m/>
    <m/>
    <s v="OASI - PORTO RECANATI"/>
  </r>
  <r>
    <x v="0"/>
    <s v="OASI BIOLOGICA"/>
    <s v="contrada del Pignotto 1"/>
    <x v="130"/>
    <s v="MONTEDINOVE"/>
    <s v="www.oasibiologica.it"/>
    <s v="info@oasibiologica.it"/>
    <s v="OASI BIOLOGICA - MONTEDINOVE"/>
  </r>
  <r>
    <x v="0"/>
    <s v="OASI DEGLI ANGELI"/>
    <s v="contrada sant' egidio 50"/>
    <x v="32"/>
    <s v="CUPRA MARITTIMA"/>
    <m/>
    <m/>
    <s v="OASI DEGLI ANGELI - CUPRA MARITTIMA"/>
  </r>
  <r>
    <x v="5"/>
    <s v="OASI DELLA PACE"/>
    <s v="LOC. CA' PANDOLFO 30"/>
    <x v="152"/>
    <s v="FRAZ. SAN SILVESTRO"/>
    <m/>
    <m/>
    <s v="OASI DELLA PACE - FERMIGNANO"/>
  </r>
  <r>
    <x v="4"/>
    <s v="OASI DI CUPRA"/>
    <s v="via romita 70 70"/>
    <x v="32"/>
    <s v="CUPRAMONTANA"/>
    <m/>
    <m/>
    <s v="OASI DI CUPRA - CUPRA MARITTIMA"/>
  </r>
  <r>
    <x v="1"/>
    <s v="OASI DI CUPRA"/>
    <s v="viale giuseppe romita 70"/>
    <x v="32"/>
    <s v="CUPRA MARITTIMA"/>
    <m/>
    <m/>
    <s v="OASI DI CUPRA - CUPRA MARITTIMA"/>
  </r>
  <r>
    <x v="3"/>
    <s v="OASI MARE"/>
    <s v="via recanati 11"/>
    <x v="9"/>
    <s v="NUMANA"/>
    <s v="www.oasimare.com"/>
    <s v="oasimare@alice.it"/>
    <s v="OASI MARE - NUMANA"/>
  </r>
  <r>
    <x v="14"/>
    <s v="OASI SAN BENEDETTO"/>
    <s v="via dell' Abbazia 13"/>
    <x v="61"/>
    <s v="BORGO PACE"/>
    <m/>
    <s v="trabaria@libero.it"/>
    <s v="OASI SAN BENEDETTO - BORGO PACE"/>
  </r>
  <r>
    <x v="5"/>
    <s v="OASI VERDE"/>
    <s v="COSTA DI FAGNANO 5"/>
    <x v="69"/>
    <s v="PESARO"/>
    <m/>
    <s v="valentinapascucci@gmail.com"/>
    <s v="OASI VERDE - PESARO"/>
  </r>
  <r>
    <x v="3"/>
    <s v="OCEANO RESIDENCE"/>
    <s v="via r. zandonai 13"/>
    <x v="12"/>
    <s v="SAN BENEDETTO DEL TRONTO"/>
    <m/>
    <s v="spinozzialessandro@libero.it"/>
    <s v="OCEANO RESIDENCE - SAN BENEDETTO DEL TRONTO"/>
  </r>
  <r>
    <x v="4"/>
    <s v="OHANA BEACH SNC di MESSICO M. &amp; PETRACCINI S."/>
    <m/>
    <x v="10"/>
    <m/>
    <m/>
    <m/>
    <s v="OHANA BEACH SNC di MESSICO M. &amp; PETRACCINI S. - ANCONA"/>
  </r>
  <r>
    <x v="8"/>
    <s v="OLD HOUSE"/>
    <s v="contrada marcoaldi 53 53"/>
    <x v="113"/>
    <s v="PENNA SAN GIOVANNI"/>
    <s v="www.oldcountryhouse.it"/>
    <s v="info@oldcountryhouse.it"/>
    <s v="OLD HOUSE - PENNA SAN GIOVANNI"/>
  </r>
  <r>
    <x v="1"/>
    <s v="OLIMPO"/>
    <s v="viale europa 78"/>
    <x v="12"/>
    <s v="SAN BENEDETTO DEL TRONTO"/>
    <s v="www.hotelolimpo.com"/>
    <s v="info@hotelolimpo.com"/>
    <s v="OLIMPO - SAN BENEDETTO DEL TRONTO"/>
  </r>
  <r>
    <x v="7"/>
    <s v="OLIVA GIULIA"/>
    <s v="TRENTO 13"/>
    <x v="33"/>
    <m/>
    <m/>
    <s v="luigicanestrari49@gmail.com"/>
    <s v="OLIVA GIULIA - FANO"/>
  </r>
  <r>
    <x v="5"/>
    <s v="OLIVIERI SAMANTHA"/>
    <s v="Via Gorizia  8"/>
    <x v="151"/>
    <s v="ASCOLI PICENO"/>
    <m/>
    <s v="o.sam@libero.it"/>
    <s v="OLIVIERI SAMANTHA - ASCOLI PICENO"/>
  </r>
  <r>
    <x v="4"/>
    <s v="OLLIE CLUB - BAGNI N° 120"/>
    <s v="lungomare leonardo da vinci 1 1"/>
    <x v="16"/>
    <s v="SENIGALLIA"/>
    <m/>
    <m/>
    <s v="OLLIE CLUB - BAGNI N° 120 - SENIGALLIA"/>
  </r>
  <r>
    <x v="0"/>
    <s v="OLTRE LA SIEPE"/>
    <s v="via villa d' aria 16"/>
    <x v="93"/>
    <s v="SERRAPETRONA"/>
    <m/>
    <s v="oltrelasiepe@tiscali.it"/>
    <s v="OLTRE LA SIEPE - SERRAPETRONA"/>
  </r>
  <r>
    <x v="3"/>
    <s v="OLTREMARE CASA PER VACANZE"/>
    <s v="via Domenico Cimarosa 5"/>
    <x v="12"/>
    <s v="SAN BENEDETTO DEL TRONTO"/>
    <s v="www.residenceoltremare.com"/>
    <s v="info@residencemediterraneo.it"/>
    <s v="OLTREMARE CASA PER VACANZE - SAN BENEDETTO DEL TRONTO"/>
  </r>
  <r>
    <x v="1"/>
    <s v="OLYMPIA"/>
    <s v="via del porto 41"/>
    <x v="28"/>
    <s v="GABICCE MARE"/>
    <s v="www.olimpiagabicce.com"/>
    <s v="info@olimpiagabicce.com"/>
    <s v="OLYMPIA - GABICCE MARE"/>
  </r>
  <r>
    <x v="1"/>
    <s v="OLYMPIA"/>
    <s v="lungomare leonardo da vinci 1"/>
    <x v="16"/>
    <s v="SENIGALLIA"/>
    <s v="www.hotelolympiasenigallia.it"/>
    <s v="info@hotelolympiasenigallia.it"/>
    <s v="OLYMPIA - SENIGALLIA"/>
  </r>
  <r>
    <x v="7"/>
    <s v="OMICCIOLI ALESSANDRO"/>
    <s v="VIA G.FATTORI 3"/>
    <x v="33"/>
    <m/>
    <m/>
    <s v="aleomiccioli@alice.it"/>
    <s v="OMICCIOLI ALESSANDRO - FANO"/>
  </r>
  <r>
    <x v="7"/>
    <s v="OMICCIOLI FRANCESCO"/>
    <s v="via Roncosanbaccio 114"/>
    <x v="33"/>
    <m/>
    <m/>
    <s v="pieromic@hotmail.com"/>
    <s v="OMICCIOLI FRANCESCO - FANO"/>
  </r>
  <r>
    <x v="7"/>
    <s v="OMICCIOLI PIERINO"/>
    <s v="via Simonetti 47"/>
    <x v="33"/>
    <m/>
    <m/>
    <s v="pieromic@hotmail.com"/>
    <s v="OMICCIOLI PIERINO - FANO"/>
  </r>
  <r>
    <x v="7"/>
    <s v="OMINETTI ROBERTO"/>
    <s v="Via Alvata 192"/>
    <x v="148"/>
    <s v="POTENZA PICENA"/>
    <m/>
    <s v="roberto.ominetti@gmail.com"/>
    <s v="OMINETTI ROBERTO - POTENZA PICENA"/>
  </r>
  <r>
    <x v="6"/>
    <s v="ONDA BLU"/>
    <s v="lungomare leonardo da vinci 75"/>
    <x v="16"/>
    <s v="SENIGALLIA"/>
    <m/>
    <s v="baruccarenato@gmail.com"/>
    <s v="ONDA BLU - SENIGALLIA"/>
  </r>
  <r>
    <x v="4"/>
    <s v="ONDA BLU"/>
    <s v="Lungomare Piermanni 16"/>
    <x v="17"/>
    <s v="CIVITANOVA MARCHE"/>
    <m/>
    <m/>
    <s v="ONDA BLU - CIVITANOVA MARCHE"/>
  </r>
  <r>
    <x v="6"/>
    <s v="ONDA VERDE"/>
    <s v="Usodimare (Lungomare Fermano) S/N"/>
    <x v="37"/>
    <s v="LIDO DI FERMO"/>
    <s v="www.ondaverde.info"/>
    <s v="info@ondaverde.info"/>
    <s v="ONDA VERDE - FERMO"/>
  </r>
  <r>
    <x v="7"/>
    <s v="OPERA ARTE SRL"/>
    <s v="via Garibaldi 200"/>
    <x v="23"/>
    <m/>
    <m/>
    <s v="info@operaarte.it"/>
    <s v="OPERA ARTE SRL - PORTO RECANATI"/>
  </r>
  <r>
    <x v="3"/>
    <s v="OPERA ARTE SUITE APARTMENTS"/>
    <s v="Garibaldi 167"/>
    <x v="23"/>
    <s v="PORTO RECANATI"/>
    <m/>
    <s v="info@operaarte.it"/>
    <s v="OPERA ARTE SUITE APARTMENTS - PORTO RECANATI"/>
  </r>
  <r>
    <x v="7"/>
    <s v="ORAZI MILENA"/>
    <s v="viale Carducci 129/a"/>
    <x v="20"/>
    <m/>
    <m/>
    <s v="milena.orazi@libero.it"/>
    <s v="ORAZI MILENA - MONDOLFO"/>
  </r>
  <r>
    <x v="4"/>
    <s v="ORCA DA MINGE'"/>
    <s v="viale Scipioni 35 35"/>
    <x v="12"/>
    <m/>
    <s v="giciaba@hotmail.com"/>
    <m/>
    <s v="ORCA DA MINGE' - SAN BENEDETTO DEL TRONTO"/>
  </r>
  <r>
    <x v="7"/>
    <s v="ORCIANI MARSINO"/>
    <s v="Via Trieste 10"/>
    <x v="33"/>
    <s v="FANO"/>
    <m/>
    <m/>
    <s v="ORCIANI MARSINO - FANO"/>
  </r>
  <r>
    <x v="7"/>
    <s v="ORDONSELLI SEVERINO"/>
    <s v="via Stelle di Mare 13"/>
    <x v="33"/>
    <m/>
    <m/>
    <s v="eurolightillumina@gmail.com"/>
    <s v="ORDONSELLI SEVERINO - FANO"/>
  </r>
  <r>
    <x v="1"/>
    <s v="ORFEO"/>
    <s v="Corso Giacomo Matteotti 5"/>
    <x v="33"/>
    <s v="FANO"/>
    <s v="www.hotelorfeo-fano.it"/>
    <s v="info@hotelorfeo.it"/>
    <s v="ORFEO - FANO"/>
  </r>
  <r>
    <x v="4"/>
    <s v="ORLANDO"/>
    <s v="via litoranea 205 205"/>
    <x v="9"/>
    <s v="MARCELLI"/>
    <s v="micuccimedardo2008@libero.it"/>
    <m/>
    <s v="ORLANDO - NUMANA"/>
  </r>
  <r>
    <x v="4"/>
    <s v="ORLANDO BARABANI"/>
    <m/>
    <x v="23"/>
    <m/>
    <m/>
    <m/>
    <s v="ORLANDO BARABANI - PORTO RECANATI"/>
  </r>
  <r>
    <x v="1"/>
    <s v="OSCAR &amp; AMORINA"/>
    <s v="via Faleriense Ovest 27"/>
    <x v="103"/>
    <s v="MONTEGIORGIO"/>
    <s v="www.oscareamorina.it"/>
    <s v="info@oscareamorina.it"/>
    <s v="OSCAR &amp; AMORINA - MONTEGIORGIO"/>
  </r>
  <r>
    <x v="8"/>
    <s v="OSTARIA LA PERGOLA"/>
    <s v="viale alcide de gasperi 4"/>
    <x v="91"/>
    <s v="PERGOLA"/>
    <m/>
    <s v="info@studiopasqui.com"/>
    <s v="OSTARIA LA PERGOLA - PERGOLA"/>
  </r>
  <r>
    <x v="10"/>
    <s v="OSTELLO ASILO RICCI"/>
    <s v="via dell' Asilo 36"/>
    <x v="0"/>
    <s v="MACERATA"/>
    <s v="www.meridiana.mc.it"/>
    <s v="ostelloasiloricci@meridiana.mc.it"/>
    <s v="OSTELLO ASILO RICCI - MACERATA"/>
  </r>
  <r>
    <x v="10"/>
    <s v="OSTELLO DEI LONGOBARDI"/>
    <s v="via dei Soderini, 26 26"/>
    <x v="151"/>
    <s v="ASCOLI PICENO"/>
    <s v="www.ostelloascoli.it"/>
    <s v="longobardoascoli@libero.it"/>
    <s v="OSTELLO DEI LONGOBARDI - ASCOLI PICENO"/>
  </r>
  <r>
    <x v="10"/>
    <s v="OSTELLO DELLA GIOVENTU'"/>
    <s v="via Rio Maggio 1"/>
    <x v="174"/>
    <s v="CARPEGNA"/>
    <m/>
    <m/>
    <s v="OSTELLO DELLA GIOVENTU' - CARPEGNA"/>
  </r>
  <r>
    <x v="10"/>
    <s v="OSTELLO DELLA GIOVENTU'"/>
    <s v="via Alberici 1"/>
    <x v="140"/>
    <s v="SANT' IPPOLITO"/>
    <s v="www.lamacina.it"/>
    <s v="valerio@lamacina.it"/>
    <s v="OSTELLO DELLA GIOVENTU' - SANT'IPPOLITO"/>
  </r>
  <r>
    <x v="10"/>
    <s v="OSTELLO DELLA GIOVENTU'"/>
    <s v="Viale dello Sport 60"/>
    <x v="12"/>
    <s v="SAN BENEDETTO DEL TRONTO"/>
    <s v="http://www.ostellosanbenedettodeltronto.it/"/>
    <s v="ostellosbt@gmail.com"/>
    <s v="OSTELLO DELLA GIOVENTU' - SAN BENEDETTO DEL TRONTO"/>
  </r>
  <r>
    <x v="10"/>
    <s v="OSTELLO DELLA GIOVENTU' LA CHIUSURA (CUCCHIARINI ALDO LORIS)"/>
    <s v="via dante alighieri 1"/>
    <x v="31"/>
    <s v="APECCHIO"/>
    <m/>
    <s v="cooplamacina@info-net.it"/>
    <s v="OSTELLO DELLA GIOVENTU' LA CHIUSURA (CUCCHIARINI ALDO LORIS) - APECCHIO"/>
  </r>
  <r>
    <x v="10"/>
    <s v="OSTELLO DELLA GIOVENTU' PARCO COLLE ELISA AMATORI"/>
    <s v="Via Elisa Amatori 2"/>
    <x v="161"/>
    <s v="CUPRAMONTANA"/>
    <m/>
    <s v="info@caffeimperialejesi.it"/>
    <s v="OSTELLO DELLA GIOVENTU' PARCO COLLE ELISA AMATORI - CUPRAMONTANA"/>
  </r>
  <r>
    <x v="10"/>
    <s v="OSTELLO DI CAGNANO"/>
    <s v="frazione Cagnano 1"/>
    <x v="35"/>
    <s v="ACQUASANTA TERME"/>
    <s v="http://www.coloniacagnano.it/"/>
    <s v="parrocchiasgennaro@libero.it"/>
    <s v="OSTELLO DI CAGNANO - ACQUASANTA TERME"/>
  </r>
  <r>
    <x v="10"/>
    <s v="OSTELLO DON ORIONE"/>
    <s v="Via IV Novembre 47"/>
    <x v="33"/>
    <m/>
    <s v="www.donorionefano.it"/>
    <m/>
    <s v="OSTELLO DON ORIONE - FANO"/>
  </r>
  <r>
    <x v="10"/>
    <s v="OSTELLO GRASSANO"/>
    <s v="frazione Castellina 1"/>
    <x v="123"/>
    <s v="loc. Grassano"/>
    <s v="www.tuttipertuttiaps.com"/>
    <s v="tuttipertuttips@libero.it"/>
    <s v="OSTELLO GRASSANO - MACERATA FELTRIA"/>
  </r>
  <r>
    <x v="10"/>
    <s v="OSTELLO IL VOLTO SANTO"/>
    <s v="frazione Coldellanoce 8"/>
    <x v="46"/>
    <s v="SASSOFERRATO"/>
    <s v="www.cadnet.marche.it/coldellanoce"/>
    <m/>
    <s v="OSTELLO IL VOLTO SANTO - SASSOFERRATO"/>
  </r>
  <r>
    <x v="10"/>
    <s v="OSTELLO LE DUNE"/>
    <s v="lungomare Leonardo da Vinci 6"/>
    <x v="16"/>
    <s v="SENIGALLIA"/>
    <s v="www.uisp.it/senigallia"/>
    <s v="senigallia@uisp.it"/>
    <s v="OSTELLO LE DUNE - SENIGALLIA"/>
  </r>
  <r>
    <x v="10"/>
    <s v="OSTELLO PER LA GIOVENTU'"/>
    <s v="via dell' Abbazia 40"/>
    <x v="61"/>
    <s v="LAMOLI"/>
    <m/>
    <s v="lamoli@oasisanbenedetto.it"/>
    <s v="OSTELLO PER LA GIOVENTU' - BORGO PACE"/>
  </r>
  <r>
    <x v="10"/>
    <s v="OSTELLO PER LA GIOVENTU'"/>
    <s v="via Cassara 1"/>
    <x v="139"/>
    <m/>
    <s v="www.hotelgrimalditreia.it"/>
    <s v="info@hotelgrimalditreia.it"/>
    <s v="OSTELLO PER LA GIOVENTU' - TREIA"/>
  </r>
  <r>
    <x v="10"/>
    <s v="OSTELLO PER LA GIOVENTU'"/>
    <s v="via Umberto I 1"/>
    <x v="207"/>
    <s v="ROTELLA"/>
    <s v="www.ostellodellascensione.it"/>
    <s v="info@ostellodellascensione.it"/>
    <s v="OSTELLO PER LA GIOVENTU' - ROTELLA"/>
  </r>
  <r>
    <x v="10"/>
    <s v="OSTELLO PER LA GIOVENTU' ANCONA"/>
    <s v="via Lamaticci 7"/>
    <x v="10"/>
    <s v="ANCONA"/>
    <s v=" www.ostelloancona.it"/>
    <s v="ancona@aighostels.com"/>
    <s v="OSTELLO PER LA GIOVENTU' ANCONA - ANCONA"/>
  </r>
  <r>
    <x v="10"/>
    <s v="OSTELLO PER LA GIOVENTU' COLORITO"/>
    <m/>
    <x v="201"/>
    <s v="COLORITO - USSITA"/>
    <m/>
    <m/>
    <s v="OSTELLO PER LA GIOVENTU' COLORITO - USSITA"/>
  </r>
  <r>
    <x v="10"/>
    <s v="OSTELLO SAN GIOVANNI BATTISTA"/>
    <s v="via del mercato 4"/>
    <x v="24"/>
    <s v="CANTIANO"/>
    <s v="www.lamacina.it"/>
    <s v="valerio@lamacina.it"/>
    <s v="OSTELLO SAN GIOVANNI BATTISTA - CANTIANO"/>
  </r>
  <r>
    <x v="10"/>
    <s v="OSTELLO SAN MARCO"/>
    <m/>
    <x v="151"/>
    <s v="Colle SAN MARCO"/>
    <s v="http://www.pioistituto.it/san%20marco/index.htm"/>
    <s v="istitutoscuore@pioistituto.it"/>
    <s v="OSTELLO SAN MARCO - ASCOLI PICENO"/>
  </r>
  <r>
    <x v="10"/>
    <s v="OSTELLO SANTA MARIA IN LAPIDE"/>
    <s v="frazione Santa Maria in Lapide 4"/>
    <x v="84"/>
    <s v="MONTEGALLO"/>
    <m/>
    <m/>
    <s v="OSTELLO SANTA MARIA IN LAPIDE - MONTEGALLO"/>
  </r>
  <r>
    <x v="0"/>
    <s v="OSTERIA DEL LAGO"/>
    <s v="contrada Santo Stefano 13"/>
    <x v="71"/>
    <s v="MONTE SAN MARTINO"/>
    <s v="www.dimensionenatura.org"/>
    <s v="info@dimensionenatura.org"/>
    <s v="OSTERIA DEL LAGO - MONTE SAN MARTINO"/>
  </r>
  <r>
    <x v="4"/>
    <s v="'OTELLO' di MORENA SCANSANI"/>
    <s v="piazza evangelista torricelli 19 19"/>
    <x v="10"/>
    <s v="PALOMBINA NUOVA"/>
    <s v="mauro.bottone@fastwebnet.it"/>
    <s v="stabilimento.otello@gmail.com"/>
    <s v="'OTELLO' di MORENA SCANSANI - ANCONA"/>
  </r>
  <r>
    <x v="7"/>
    <s v="O'VIV"/>
    <s v="contrada Zazza 22"/>
    <x v="128"/>
    <s v="Gualdo"/>
    <s v="www.villanumoviv.com"/>
    <s v="marleen@villanumoviv.com; marleentijdeman@me.com"/>
    <s v="O'VIV - GUALDO"/>
  </r>
  <r>
    <x v="3"/>
    <s v="P.A.E.A DI SILENZI ADELE &amp; C. - S.N.C."/>
    <s v="viale beato giovanni 11"/>
    <x v="113"/>
    <s v="PENNA SAN GIOVANNI"/>
    <m/>
    <m/>
    <s v="P.A.E.A DI SILENZI ADELE &amp; C. - S.N.C. - PENNA SAN GIOVANNI"/>
  </r>
  <r>
    <x v="7"/>
    <s v="PACCALONI GIOVANNI"/>
    <s v="Via Vittorio Alfieri 5"/>
    <x v="148"/>
    <s v="POTENZA PICENA"/>
    <m/>
    <m/>
    <s v="PACCALONI GIOVANNI - POTENZA PICENA"/>
  </r>
  <r>
    <x v="3"/>
    <s v="PACIFIC BLUE"/>
    <s v="via De Gasperi 40"/>
    <x v="23"/>
    <m/>
    <s v="info@pacificblue.it"/>
    <s v="annarombini@alice.it"/>
    <s v="PACIFIC BLUE - PORTO RECANATI"/>
  </r>
  <r>
    <x v="7"/>
    <s v="PACINI MARIA GABRIELLA"/>
    <s v="LOCALITA' PARAVENTO 84"/>
    <x v="75"/>
    <s v="LOCALITA' PARAVENTO"/>
    <m/>
    <s v="lincantosullavalle@gmail.com"/>
    <s v="PACINI MARIA GABRIELLA - CAGLI"/>
  </r>
  <r>
    <x v="7"/>
    <s v="PAGNINI GILBERTO"/>
    <s v="via Trieste 2"/>
    <x v="28"/>
    <m/>
    <m/>
    <m/>
    <s v="PAGNINI GILBERTO - GABICCE MARE"/>
  </r>
  <r>
    <x v="7"/>
    <s v="PAGNONI GIULIANA"/>
    <m/>
    <x v="33"/>
    <m/>
    <m/>
    <s v="mauroc@email.it"/>
    <s v="PAGNONI GIULIANA - FANO"/>
  </r>
  <r>
    <x v="4"/>
    <s v="PAGODA BEACH"/>
    <s v="viale Rinascimento 21 21"/>
    <x v="12"/>
    <m/>
    <m/>
    <m/>
    <s v="PAGODA BEACH - SAN BENEDETTO DEL TRONTO"/>
  </r>
  <r>
    <x v="1"/>
    <s v="PALACE DEL CONERO"/>
    <s v="via grandi 6"/>
    <x v="44"/>
    <s v="OSIMO"/>
    <s v="www.hpconero.it"/>
    <s v="info@hpconero.it"/>
    <s v="PALACE DEL CONERO - OSIMO"/>
  </r>
  <r>
    <x v="1"/>
    <s v="PALAZZI"/>
    <s v="via Panoramica 31"/>
    <x v="28"/>
    <s v="GABICCE MARE"/>
    <s v="www.hotelpalazzi.com"/>
    <s v="info@hotelpalazzi.com"/>
    <s v="PALAZZI - GABICCE MARE"/>
  </r>
  <r>
    <x v="7"/>
    <s v="PALAZZI FLORIANA"/>
    <s v="Strana Nazionale Adriatica sud 129/b"/>
    <x v="33"/>
    <s v="Metaurilia"/>
    <m/>
    <s v="floriana.palazzi@libero.it"/>
    <s v="PALAZZI FLORIANA - FANO"/>
  </r>
  <r>
    <x v="7"/>
    <s v="PALAZZI GIUSEPPINA"/>
    <s v="via Cavour 15"/>
    <x v="28"/>
    <m/>
    <m/>
    <m/>
    <s v="PALAZZI GIUSEPPINA - GABICCE MARE"/>
  </r>
  <r>
    <x v="3"/>
    <s v="PALAZZO BENTIVOGLIO"/>
    <s v="via Bentivoglio 14"/>
    <x v="46"/>
    <m/>
    <s v="http://palazzobentivoglio.blogspot.it"/>
    <s v="palazzobentivoglio@gmail.com"/>
    <s v="PALAZZO BENTIVOGLIO - SASSOFERRATO"/>
  </r>
  <r>
    <x v="8"/>
    <s v="PALAZZO BONFRANCESCHI RESIDENZA D'EPOCA"/>
    <m/>
    <x v="124"/>
    <s v="Centro storico"/>
    <s v="www.palazzobonfranceschi.it"/>
    <s v="palazzobonfranceschi@gmail.com"/>
    <s v="PALAZZO BONFRANCESCHI RESIDENZA D'EPOCA - BELFORTE DEL CHIENTI"/>
  </r>
  <r>
    <x v="1"/>
    <s v="PALAZZO CARRADORI"/>
    <s v="via della Vittoria 7"/>
    <x v="219"/>
    <s v="MONTEFANO"/>
    <s v="www.palazzocarradori.com"/>
    <s v="info@palazzocarradori.com"/>
    <s v="PALAZZO CARRADORI - MONTEFANO"/>
  </r>
  <r>
    <x v="1"/>
    <s v="PALAZZO DEI MERCANTI"/>
    <s v="corso Trento e Trieste 35"/>
    <x v="151"/>
    <s v="Ascoli Piceno"/>
    <s v="www.palazzodeimercanti.it"/>
    <s v="info@palazzodeimercanti.it"/>
    <s v="PALAZZO DEI MERCANTI - ASCOLI PICENO"/>
  </r>
  <r>
    <x v="7"/>
    <s v="PALAZZO GALANTI"/>
    <s v="largo a. n. bernabei 1"/>
    <x v="105"/>
    <s v="COSSIGNANO"/>
    <s v="www.palazzogalanti.it"/>
    <s v="info@palazzogalanti.it"/>
    <s v="PALAZZO GALANTI - COSSIGNANO"/>
  </r>
  <r>
    <x v="8"/>
    <s v="PALAZZO GENTILI SUITES, APARTMENTS, WELLNESS &amp; SPA"/>
    <s v="Piazza del Popolo 33"/>
    <x v="2"/>
    <s v="SAN SEVERINO MARCHE"/>
    <s v="www.palazzogentili.it"/>
    <s v="info@palazzogentili.it"/>
    <s v="PALAZZO GENTILI SUITES, APARTMENTS, WELLNESS &amp; SPA - SAN SEVERINO MARCHE"/>
  </r>
  <r>
    <x v="8"/>
    <s v="PALAZZO MORICHELLI D'ALTEMPS"/>
    <s v="corso Scipione Gentili 37"/>
    <x v="132"/>
    <m/>
    <s v="www.palazzomorichellidaltemps.it"/>
    <s v="info@palazzomorichelli.it"/>
    <s v="PALAZZO MORICHELLI D'ALTEMPS - SAN GINESIO"/>
  </r>
  <r>
    <x v="1"/>
    <s v="PALAZZO PASCALI ART HOTEL"/>
    <s v="piazza santa caterina 1"/>
    <x v="115"/>
    <s v="COMUNANZA"/>
    <s v="www.palazzopascali.com"/>
    <s v="info@palazzopascali.com"/>
    <s v="PALAZZO PASCALI ART HOTEL - COMUNANZA"/>
  </r>
  <r>
    <x v="5"/>
    <s v="PALAZZO PUCCI B&amp;B"/>
    <s v="via della Sapienza 6"/>
    <x v="37"/>
    <m/>
    <s v="www.palazzopuccibb.com"/>
    <s v="info@palazzopuccibb.com"/>
    <s v="PALAZZO PUCCI B&amp;B - FERMO"/>
  </r>
  <r>
    <x v="1"/>
    <s v="PALAZZO RICCUCCI"/>
    <s v="via Palazzo snc"/>
    <x v="180"/>
    <m/>
    <s v="www.palazzoriccucci.com"/>
    <s v="info@palazzoriccucci.com"/>
    <s v="PALAZZO RICCUCCI - MONTAPPONE"/>
  </r>
  <r>
    <x v="8"/>
    <s v="PALAZZO ROTATI"/>
    <s v="via Nolfi 49"/>
    <x v="33"/>
    <m/>
    <s v="www.palazzorotati.com"/>
    <s v="info@palazzorotati.com"/>
    <s v="PALAZZO ROTATI - FANO"/>
  </r>
  <r>
    <x v="1"/>
    <s v="PALAZZO RUSCHIONI"/>
    <s v="via San Francesco 22"/>
    <x v="167"/>
    <m/>
    <s v="www.palazzoruschioni.it"/>
    <s v="info@palazzoruschioni.it"/>
    <s v="PALAZZO RUSCHIONI - CAMERANO"/>
  </r>
  <r>
    <x v="8"/>
    <s v="PALAZZO SIMONELLI"/>
    <s v="contrada tribbio 1"/>
    <x v="89"/>
    <s v="CESSAPALOMBO"/>
    <s v="www.palazzosimonelli.it"/>
    <s v="info@palazzosimonelli.it"/>
    <s v="PALAZZO SIMONELLI - CESSAPALOMBO"/>
  </r>
  <r>
    <x v="4"/>
    <s v="PALM BEACH"/>
    <s v="strada nazionale adriatica sud 1 1"/>
    <x v="33"/>
    <s v="FANO"/>
    <m/>
    <m/>
    <s v="PALM BEACH - FANO"/>
  </r>
  <r>
    <x v="4"/>
    <s v="PALM BEACH"/>
    <m/>
    <x v="23"/>
    <s v="PORTO RECANATI"/>
    <m/>
    <m/>
    <s v="PALM BEACH - PORTO RECANATI"/>
  </r>
  <r>
    <x v="1"/>
    <s v="PALMENSIS HOTEL RESIDENCE"/>
    <s v="Via Stazione  56"/>
    <x v="37"/>
    <s v="FERMO"/>
    <m/>
    <s v="info@palmensis.it"/>
    <s v="PALMENSIS HOTEL RESIDENCE - FERMO"/>
  </r>
  <r>
    <x v="7"/>
    <s v="PALMIERI MANILA"/>
    <s v="Antonelli e Tebaldi 46"/>
    <x v="148"/>
    <s v="POTENZA PICENA"/>
    <m/>
    <m/>
    <s v="PALMIERI MANILA - POTENZA PICENA"/>
  </r>
  <r>
    <x v="0"/>
    <s v="PANCOTTI ALESSANDRO"/>
    <s v="strada san michele molinello 1"/>
    <x v="16"/>
    <s v="SCAPEZZANO"/>
    <m/>
    <s v="a.pancotti@alice.it"/>
    <s v="PANCOTTI ALESSANDRO - SENIGALLIA"/>
  </r>
  <r>
    <x v="7"/>
    <s v="PANCOTTI LUCA"/>
    <s v="Via Solferino 14"/>
    <x v="16"/>
    <s v="SENIGALLIA"/>
    <m/>
    <s v="avv.lucapancotti@trianieassociati.it"/>
    <s v="PANCOTTI LUCA - SENIGALLIA"/>
  </r>
  <r>
    <x v="7"/>
    <s v="PANELLA GIANLUCA"/>
    <s v="Via Gaspare Spontini 3"/>
    <x v="12"/>
    <s v="SAN BENEDETTO DELTRONTO"/>
    <m/>
    <s v="irenepazzaglia@studiodps.it"/>
    <s v="PANELLA GIANLUCA - SAN BENEDETTO DEL TRONTO"/>
  </r>
  <r>
    <x v="7"/>
    <s v="PANICONI PIERLUIGI"/>
    <s v="MONTECANEPINO 147"/>
    <x v="148"/>
    <m/>
    <m/>
    <s v="raffaela.parrucchieria@alice.it"/>
    <s v="PANICONI PIERLUIGI - POTENZA PICENA"/>
  </r>
  <r>
    <x v="6"/>
    <s v="PANORAMA"/>
    <s v="strada Brisighella 1"/>
    <x v="69"/>
    <s v="PESARO"/>
    <s v="www.campingpanorama.it"/>
    <s v="info@campingpanorama.it"/>
    <s v="PANORAMA - PESARO"/>
  </r>
  <r>
    <x v="1"/>
    <s v="PANORAMA"/>
    <s v="via del colle 7"/>
    <x v="144"/>
    <s v="CRISPIERO"/>
    <m/>
    <s v="hotelpanorama2006@libero.it; panorama81@libero.it"/>
    <s v="PANORAMA - CASTELRAIMONDO"/>
  </r>
  <r>
    <x v="4"/>
    <s v="PAOLA"/>
    <m/>
    <x v="23"/>
    <m/>
    <m/>
    <m/>
    <s v="PAOLA - PORTO RECANATI"/>
  </r>
  <r>
    <x v="7"/>
    <s v="PAOLA FRONTINI"/>
    <s v="via dei Tigli 7"/>
    <x v="9"/>
    <m/>
    <m/>
    <s v="info@ergoart.it"/>
    <s v="PAOLA FRONTINI - NUMANA"/>
  </r>
  <r>
    <x v="7"/>
    <s v="PAOLETTI MAURA"/>
    <s v="via N. Sauro 208"/>
    <x v="33"/>
    <m/>
    <m/>
    <s v="pieromic@hotmail.com"/>
    <s v="PAOLETTI MAURA - FANO"/>
  </r>
  <r>
    <x v="4"/>
    <s v="PAOLINELLI MICHELE"/>
    <s v="viale cristoforo colombo 1 1"/>
    <x v="20"/>
    <s v="MAROTTA"/>
    <m/>
    <m/>
    <s v="PAOLINELLI MICHELE - MONDOLFO"/>
  </r>
  <r>
    <x v="7"/>
    <s v="PAOLO CANGINI"/>
    <s v="loc. Acquaviva 25"/>
    <x v="75"/>
    <m/>
    <m/>
    <m/>
    <s v="PAOLO CANGINI - CAGLI"/>
  </r>
  <r>
    <x v="7"/>
    <s v="PAOLO TALLEI"/>
    <s v="via Colli 128"/>
    <x v="93"/>
    <m/>
    <m/>
    <s v="paolotallei@gmail.com"/>
    <s v="PAOLO TALLEI - SERRAPETRONA"/>
  </r>
  <r>
    <x v="3"/>
    <s v="PAOLUCCI ENZO"/>
    <s v="via Nicolo' Pellipario 8"/>
    <x v="1"/>
    <s v="URBINO"/>
    <m/>
    <m/>
    <s v="PAOLUCCI ENZO - URBINO"/>
  </r>
  <r>
    <x v="7"/>
    <s v="PAONE MARCO"/>
    <s v="Viale Trento 60"/>
    <x v="69"/>
    <s v="PESARO"/>
    <m/>
    <s v="immobiliare@adriamar.net"/>
    <s v="PAONE MARCO - PESARO"/>
  </r>
  <r>
    <x v="4"/>
    <s v="PAPA ORSO"/>
    <s v="viale giuseppe romita 1 1"/>
    <x v="32"/>
    <s v="CUPRA MARITTIMA"/>
    <s v="marcomariam@teletu.it"/>
    <m/>
    <s v="PAPA ORSO - CUPRA MARITTIMA"/>
  </r>
  <r>
    <x v="7"/>
    <s v="PAPINI PAPI ORNELLA"/>
    <s v="Via Cristoforo Colombo 62"/>
    <x v="20"/>
    <s v="MONDOLFO"/>
    <m/>
    <m/>
    <s v="PAPINI PAPI ORNELLA - MONDOLFO"/>
  </r>
  <r>
    <x v="1"/>
    <s v="PARADISE"/>
    <s v="viale adriatico 126"/>
    <x v="33"/>
    <s v="FANO"/>
    <s v="www.hotel-paradise.it"/>
    <s v="info@hotel-paradise.it"/>
    <s v="PARADISE - FANO"/>
  </r>
  <r>
    <x v="1"/>
    <s v="PARADISE"/>
    <s v="via Santa Maria in Potenza 30A"/>
    <x v="23"/>
    <s v="PORTO RECANATI"/>
    <s v="www.paradisevacanze.com"/>
    <s v="info@paradisevacanze.com"/>
    <s v="PARADISE - PORTO RECANATI"/>
  </r>
  <r>
    <x v="6"/>
    <s v="PARADISE"/>
    <s v="contrada santa maria in potenza 30A"/>
    <x v="23"/>
    <s v="PORTO RECANATI"/>
    <s v="http://www.paradisevacanze.com"/>
    <s v="info@paradisevacanze.com"/>
    <s v="PARADISE - PORTO RECANATI"/>
  </r>
  <r>
    <x v="4"/>
    <s v="PARADISE BEACH"/>
    <s v="via lungomare fermano 1 1"/>
    <x v="37"/>
    <s v="PORTO SAN GIORGIO"/>
    <m/>
    <m/>
    <s v="PARADISE BEACH - FERMO"/>
  </r>
  <r>
    <x v="4"/>
    <s v="PARADISE BEACH N 20"/>
    <s v="viale Trieste 20 20"/>
    <x v="69"/>
    <s v="PESARO"/>
    <m/>
    <m/>
    <s v="PARADISE BEACH N 20 - PESARO"/>
  </r>
  <r>
    <x v="6"/>
    <s v="PARADISO"/>
    <s v="viale Paradiso 36"/>
    <x v="174"/>
    <s v="CARPEGNA"/>
    <s v="www.campeggioparadisocarpegna.com"/>
    <s v="info@campeggioparadiso.com"/>
    <s v="PARADISO - CARPEGNA"/>
  </r>
  <r>
    <x v="6"/>
    <s v="PARADISO"/>
    <s v="strada delle rive del faro 1"/>
    <x v="69"/>
    <s v="PESARO"/>
    <s v="www.campingparadiso.it"/>
    <s v="info@campingparadiso.it"/>
    <s v="PARADISO - PESARO"/>
  </r>
  <r>
    <x v="1"/>
    <s v="PARADISO"/>
    <s v="viale Alcide de Gasperi 130"/>
    <x v="5"/>
    <s v="GROTTAMMARE"/>
    <s v="www.paradisogrottammare.it"/>
    <s v="info@paradisogrottammare.it"/>
    <s v="PARADISO - GROTTAMMARE"/>
  </r>
  <r>
    <x v="12"/>
    <s v="PARADISO"/>
    <s v="c.da Marina Palmense 1"/>
    <x v="37"/>
    <s v="FERMO"/>
    <s v="www.paradisocamping.it"/>
    <s v="info@paradisocamping.it"/>
    <s v="PARADISO - FERMO"/>
  </r>
  <r>
    <x v="1"/>
    <s v="PARCO"/>
    <s v="via Virgilio 2"/>
    <x v="12"/>
    <s v="SAN BENEDETTO DEL TRONTO"/>
    <s v="www.hparco.it"/>
    <s v="info@hparco.it"/>
    <s v="PARCO - SAN BENEDETTO DEL TRONTO"/>
  </r>
  <r>
    <x v="4"/>
    <s v="PARCO DEI PRINCIPI"/>
    <s v="viale alcide de gasperi 1 1"/>
    <x v="5"/>
    <m/>
    <m/>
    <m/>
    <s v="PARCO DEI PRINCIPI - GROTTAMMARE"/>
  </r>
  <r>
    <x v="8"/>
    <s v="PARCO DEI TIGLI"/>
    <s v="Via Piane di Morro 68"/>
    <x v="204"/>
    <s v="FOLIGNANO"/>
    <s v="www.parcodeitigli.it"/>
    <s v="info@parcodeitigli.it"/>
    <s v="PARCO DEI TIGLI - FOLIGNANO"/>
  </r>
  <r>
    <x v="1"/>
    <s v="PARCO DEL LAGO"/>
    <s v="via San Francesco 1"/>
    <x v="164"/>
    <s v="MONTECOPIOLO"/>
    <s v="www.parco-del-lago.com"/>
    <s v="parcodellago@inwind.it"/>
    <s v="PARCO DEL LAGO - MONTECOPIOLO"/>
  </r>
  <r>
    <x v="1"/>
    <s v="PARCO DEL LAGO DIPENDENZA"/>
    <s v="via San Francesco 1"/>
    <x v="164"/>
    <s v="MONTECOPIOLO"/>
    <s v="www.parco-del-lago.com"/>
    <s v="parcodellago@inwind.it"/>
    <s v="PARCO DEL LAGO DIPENDENZA - MONTECOPIOLO"/>
  </r>
  <r>
    <x v="8"/>
    <s v="PARCO DUCALE"/>
    <m/>
    <x v="80"/>
    <s v="PARCO - URBANIA"/>
    <s v="www.ilparcoducale.it"/>
    <s v="info@ilparcoducale.it"/>
    <s v="PARCO DUCALE - URBANIA"/>
  </r>
  <r>
    <x v="11"/>
    <s v="PARCO ELEUTERI"/>
    <m/>
    <x v="99"/>
    <s v="MURA DEL CENTRO STORICO"/>
    <m/>
    <m/>
    <s v="PARCO ELEUTERI - MONTELUPONE"/>
  </r>
  <r>
    <x v="0"/>
    <s v="PARCO GALEANO"/>
    <m/>
    <x v="51"/>
    <m/>
    <s v="www.parcogaleano.it"/>
    <s v="info@parcogaleano.it"/>
    <s v="PARCO GALEANO - PETRITOLI"/>
  </r>
  <r>
    <x v="1"/>
    <s v="PARCO HOTEL"/>
    <s v="viale Dante 41"/>
    <x v="126"/>
    <s v="POLLENZA"/>
    <s v="www.gruppogiustozzihotels.it"/>
    <s v="info@parcohotel.it"/>
    <s v="PARCO HOTEL - POLLENZA"/>
  </r>
  <r>
    <x v="1"/>
    <s v="PARIS MEUBLE' GARNI'"/>
    <s v="via Cesare Battisti 78"/>
    <x v="28"/>
    <s v="GABICCE MARE"/>
    <s v="www.gabiccemare.com/paris"/>
    <m/>
    <s v="PARIS MEUBLE' GARNI' - GABICCE MARE"/>
  </r>
  <r>
    <x v="1"/>
    <s v="PARK HOTEL ARCEVIA"/>
    <s v="via Roma 5"/>
    <x v="18"/>
    <s v="ARCEVIA"/>
    <s v="www.parkhotelarcevia.it"/>
    <s v="info@parkhotelarcevia.it"/>
    <s v="PARK HOTEL ARCEVIA - ARCEVIA"/>
  </r>
  <r>
    <x v="7"/>
    <s v="PARNASO"/>
    <s v="Rua del Parnaso 14"/>
    <x v="151"/>
    <s v="centro storico di Ascoli Piceno"/>
    <s v="www.parnaso.eu"/>
    <s v="info@parnaso.eu"/>
    <s v="PARNASO - ASCOLI PICENO"/>
  </r>
  <r>
    <x v="3"/>
    <s v="PAROLO CARLA AURELIA"/>
    <s v="via nicolo' pellipario 31"/>
    <x v="1"/>
    <s v="URBINO"/>
    <m/>
    <m/>
    <s v="PAROLO CARLA AURELIA - URBINO"/>
  </r>
  <r>
    <x v="7"/>
    <s v="PASCALI TEA"/>
    <s v="VIA MAZZINI 13"/>
    <x v="37"/>
    <m/>
    <m/>
    <s v="thea.pascali@libero.it"/>
    <s v="PASCALI TEA - FERMO"/>
  </r>
  <r>
    <x v="7"/>
    <s v="PASQUALI ENZO"/>
    <s v="Contrada Fosso a Mare 32"/>
    <x v="148"/>
    <m/>
    <s v="www.casalepiccoloparadiso.it"/>
    <s v="info@casalepiccoloparadiso.it"/>
    <s v="PASQUALI ENZO - POTENZA PICENA"/>
  </r>
  <r>
    <x v="7"/>
    <s v="PATRICK TORIGLIONI DEL CASSERO NISBETT"/>
    <s v="c.da Sant'Antonio 13"/>
    <x v="206"/>
    <s v="MOGLIANO"/>
    <m/>
    <s v="patricktdelcnisbett@outlook.com"/>
    <s v="PATRICK TORIGLIONI DEL CASSERO NISBETT - MOGLIANO"/>
  </r>
  <r>
    <x v="7"/>
    <s v="PATRIGNANELLI GIANNI"/>
    <s v="VIALE C. COLOMBO 133"/>
    <x v="20"/>
    <s v="MONDOLFO"/>
    <m/>
    <s v="patrignanellig@gmail.com"/>
    <s v="PATRIGNANELLI GIANNI - MONDOLFO"/>
  </r>
  <r>
    <x v="7"/>
    <s v="PATRIGNANELLI LAURETTA"/>
    <s v="VIALE C. COLOMBO 131"/>
    <x v="20"/>
    <s v="MONDOLFO"/>
    <m/>
    <s v="patrignanellig@gmail.com"/>
    <s v="PATRIGNANELLI LAURETTA - MONDOLFO"/>
  </r>
  <r>
    <x v="7"/>
    <s v="PATRIK LIVI"/>
    <s v="strada Nazionale Adriatica Nord 103"/>
    <x v="33"/>
    <m/>
    <m/>
    <s v="patlivi@tin.it"/>
    <s v="PATRIK LIVI - FANO"/>
  </r>
  <r>
    <x v="3"/>
    <s v="PATRIZIA ROOM"/>
    <s v="Via della Carriera 26"/>
    <x v="37"/>
    <s v="FERMO"/>
    <m/>
    <s v="patlibe66@vodafone.it"/>
    <s v="PATRIZIA ROOM - FERMO"/>
  </r>
  <r>
    <x v="7"/>
    <s v="PAVONI LUCIO"/>
    <s v="via Don Minzoni, 66 66/a"/>
    <x v="75"/>
    <m/>
    <m/>
    <s v="lucia.pavoni.18@gmail.com"/>
    <s v="PAVONI LUCIO - CAGLI"/>
  </r>
  <r>
    <x v="4"/>
    <s v="PECCATO SOLO D'ESTATE"/>
    <s v="viale alcide de gasperi 1 1"/>
    <x v="5"/>
    <m/>
    <m/>
    <m/>
    <s v="PECCATO SOLO D'ESTATE - GROTTAMMARE"/>
  </r>
  <r>
    <x v="7"/>
    <s v="PELLEGRINI ANTONELLA"/>
    <s v="Via del Perugino 7"/>
    <x v="33"/>
    <s v="FANO"/>
    <m/>
    <s v="simo610@libero.it"/>
    <s v="PELLEGRINI ANTONELLA - FANO"/>
  </r>
  <r>
    <x v="13"/>
    <s v="PENSIONATO MARIA IMMACOLATA"/>
    <s v="via giuseppe mazzini 36"/>
    <x v="1"/>
    <s v="URBINO"/>
    <m/>
    <s v="mpvurbino@tiscali.it"/>
    <s v="PENSIONATO MARIA IMMACOLATA - URBINO"/>
  </r>
  <r>
    <x v="9"/>
    <s v="PENSIONATO UNIVERSITARIO DON BOSCO"/>
    <s v="corso carlo alberto 77"/>
    <x v="10"/>
    <s v="ANCONA"/>
    <m/>
    <s v="pasquale.orlandi@salesianiadriatica.it"/>
    <s v="PENSIONATO UNIVERSITARIO DON BOSCO - ANCONA"/>
  </r>
  <r>
    <x v="3"/>
    <s v="PENSIONE DEGLI ULIVI"/>
    <s v="via Garda 43"/>
    <x v="163"/>
    <s v="PORTO SANT' ELPIDIO"/>
    <s v="www.pensionedegliulivi.it"/>
    <s v="info@pensionedegliulivi.it"/>
    <s v="PENSIONE DEGLI ULIVI - PORTO SANT'ELPIDIO"/>
  </r>
  <r>
    <x v="1"/>
    <s v="PENSIONE LICIA"/>
    <s v="lungomare leonardo da vinci 50"/>
    <x v="16"/>
    <s v="SENIGALLIA"/>
    <s v="www.pensionelicia.it"/>
    <s v="pensione-licia@libero.it"/>
    <s v="PENSIONE LICIA - SENIGALLIA"/>
  </r>
  <r>
    <x v="1"/>
    <s v="PENSIONE MIRAMARE"/>
    <s v="via Cagliata 44"/>
    <x v="5"/>
    <s v="GROTTAMMARE"/>
    <m/>
    <s v="daniele.ubaldi@tin.it"/>
    <s v="PENSIONE MIRAMARE - GROTTAMMARE"/>
  </r>
  <r>
    <x v="1"/>
    <s v="PENSIONE PIEMONTE"/>
    <s v="viale Asdrubali 70"/>
    <x v="15"/>
    <m/>
    <s v="www.pensionepiemonte.it"/>
    <s v="info@pensionepiemonte.it"/>
    <s v="PENSIONE PIEMONTE - LORETO"/>
  </r>
  <r>
    <x v="2"/>
    <s v="PENSIONE RESIDENCE PATRIZIA"/>
    <s v="via Minniti 10"/>
    <x v="32"/>
    <s v="CUPRA MARITTIMA"/>
    <s v="www.residencepatrizia.it"/>
    <s v="info@residencepatrizia.it"/>
    <s v="PENSIONE RESIDENCE PATRIZIA - CUPRA MARITTIMA"/>
  </r>
  <r>
    <x v="1"/>
    <s v="PENSIONE RISTORANTE CASTELLO"/>
    <s v="via Castello 67"/>
    <x v="32"/>
    <s v="CUPRA MARITTIMA"/>
    <m/>
    <s v="castello.hotelristorante@gmail.com"/>
    <s v="PENSIONE RISTORANTE CASTELLO - CUPRA MARITTIMA"/>
  </r>
  <r>
    <x v="1"/>
    <s v="PENSIONE RISTORANTE DA CHECCO"/>
    <s v="via porta marina 5"/>
    <x v="98"/>
    <s v="MONTERUBBIANO"/>
    <m/>
    <m/>
    <s v="PENSIONE RISTORANTE DA CHECCO - MONTERUBBIANO"/>
  </r>
  <r>
    <x v="1"/>
    <s v="PENSIONE VERDE"/>
    <s v="via Giacomo Matteotti 24"/>
    <x v="222"/>
    <s v="PEDASO"/>
    <s v="www.pensioneverde.it"/>
    <s v="info@pensioneverde.it"/>
    <s v="PENSIONE VERDE - PEDASO"/>
  </r>
  <r>
    <x v="4"/>
    <s v="PEPE NERO (PAGLIARICCIO SILVIA)"/>
    <s v="via faleria 1 1"/>
    <x v="163"/>
    <s v="PORTO SANT' ELPIDIO"/>
    <s v="andrea@pepenerovillagebeach.it"/>
    <s v="www.pepenerovillagebeach.it"/>
    <s v="PEPE NERO (PAGLIARICCIO SILVIA) - PORTO SANT'ELPIDIO"/>
  </r>
  <r>
    <x v="4"/>
    <s v="PEPENERO (ANDREA DI SANTO)"/>
    <s v="via faleria 1 1"/>
    <x v="163"/>
    <s v="PORTO SANT' ELPIDIO"/>
    <s v="andrea@pepenerovillagebeach.it"/>
    <s v="www.pepenerovillagebeach.it"/>
    <s v="PEPENERO (ANDREA DI SANTO) - PORTO SANT'ELPIDIO"/>
  </r>
  <r>
    <x v="8"/>
    <s v="PER BACCO"/>
    <s v="viale dell' artigianato 26"/>
    <x v="20"/>
    <s v="MONDOLFO"/>
    <s v="WWW.COUNTRYHOUSEPERBACCO.IT"/>
    <s v="INFO@COUNTRYHOUSEPERBACCO.IT"/>
    <s v="PER BACCO - MONDOLFO"/>
  </r>
  <r>
    <x v="3"/>
    <s v="PERBACCO"/>
    <s v="via monsignor luigi scipioni 7"/>
    <x v="25"/>
    <s v="PIOBBICO"/>
    <s v="www.perbaccochevacanze.it"/>
    <s v="info@perbaccochevacanze.it"/>
    <s v="PERBACCO - PIOBBICO"/>
  </r>
  <r>
    <x v="7"/>
    <s v="PERINI CATIUSCIA"/>
    <s v="VIA C. COLOMBO 134"/>
    <x v="20"/>
    <s v="MONDOLFO"/>
    <m/>
    <m/>
    <s v="PERINI CATIUSCIA - MONDOLFO"/>
  </r>
  <r>
    <x v="1"/>
    <s v="PERLA"/>
    <s v="via trento 5"/>
    <x v="28"/>
    <s v="GABICCE MARE"/>
    <s v="www.hotel-perla.it"/>
    <s v="info@hotel-perla.it"/>
    <s v="PERLA - GABICCE MARE"/>
  </r>
  <r>
    <x v="1"/>
    <s v="PERLA"/>
    <s v="lungomare Leonardo da Vinci 22"/>
    <x v="16"/>
    <s v="SENIGALLIA"/>
    <s v="www.hotel-perla.net"/>
    <s v="hotelperla2003@libero.it"/>
    <s v="PERLA - SENIGALLIA"/>
  </r>
  <r>
    <x v="1"/>
    <s v="PERSICO"/>
    <s v="v.le Rinascimento 5"/>
    <x v="12"/>
    <s v="SAN BENEDETTO DEL TRONTO"/>
    <s v="www.hotelpersico.com"/>
    <s v="info@hotelpersico.com"/>
    <s v="PERSICO - SAN BENEDETTO DEL TRONTO"/>
  </r>
  <r>
    <x v="1"/>
    <s v="PERTICARI"/>
    <s v="viale zara 67"/>
    <x v="69"/>
    <s v="PESARO"/>
    <s v="www.hotelperticari.com"/>
    <s v="info@hotelperticari.com"/>
    <s v="PERTICARI - PESARO"/>
  </r>
  <r>
    <x v="7"/>
    <s v="PERUGINI FIORENZO"/>
    <s v="contrada Margani 37"/>
    <x v="11"/>
    <m/>
    <m/>
    <s v="info@villadelleacacie.it"/>
    <s v="PERUGINI FIORENZO - SARNANO"/>
  </r>
  <r>
    <x v="7"/>
    <s v="PESCHKE MARTIN MICHAEL ERNST"/>
    <s v="strada provinciale Peglio San Donato 17"/>
    <x v="1"/>
    <m/>
    <s v="www.capiero.it"/>
    <s v="email.capiero@googlemail.com"/>
    <s v="PESCHKE MARTIN MICHAEL ERNST - URBINO"/>
  </r>
  <r>
    <x v="1"/>
    <s v="PETIT"/>
    <s v="VIALE RINASCIMENTO  113"/>
    <x v="12"/>
    <s v="SAN BENEDETTO DEL TRONTO"/>
    <s v="www.petithotel.info"/>
    <s v="petit@petithotel.info"/>
    <s v="PETIT - SAN BENEDETTO DEL TRONTO"/>
  </r>
  <r>
    <x v="4"/>
    <s v="PETIT HOTEL"/>
    <m/>
    <x v="12"/>
    <m/>
    <s v="petit@petithotel.info"/>
    <s v="www.petithotel.info"/>
    <s v="PETIT HOTEL - SAN BENEDETTO DEL TRONTO"/>
  </r>
  <r>
    <x v="8"/>
    <s v="PIAGGE DEL SOLE"/>
    <s v="contrada costa 4"/>
    <x v="81"/>
    <s v="MONTECAROTTO"/>
    <s v="www.piaggedelsole.it"/>
    <s v="info@piaggedelsole.it"/>
    <s v="PIAGGE DEL SOLE - MONTECAROTTO"/>
  </r>
  <r>
    <x v="6"/>
    <s v="PIAN DEI PRATI"/>
    <m/>
    <x v="100"/>
    <s v="FRONTINO"/>
    <s v="www.campingpiandeiprati.com"/>
    <s v="info@campingpiandeiprati.com"/>
    <s v="PIAN DEI PRATI - FRONTINO"/>
  </r>
  <r>
    <x v="0"/>
    <s v="PIAN DI GIANO"/>
    <s v="C.da Chiaravalle 51/A"/>
    <x v="139"/>
    <s v="TREIA"/>
    <m/>
    <m/>
    <s v="PIAN DI GIANO - TREIA"/>
  </r>
  <r>
    <x v="7"/>
    <s v="PIANELLI SUSI MARIA"/>
    <s v="Via R. Sanzio  223"/>
    <x v="16"/>
    <s v="SENIGALLIA"/>
    <m/>
    <s v="susy.pianelli@libero.it"/>
    <s v="PIANELLI SUSI MARIA - SENIGALLIA"/>
  </r>
  <r>
    <x v="8"/>
    <s v="PIANTABETE"/>
    <s v="localita' Osteria Nuova 1"/>
    <x v="115"/>
    <s v="COMUNANZA"/>
    <s v="www.piantabete.it"/>
    <s v="info@piantabete.it"/>
    <s v="PIANTABETE - COMUNANZA"/>
  </r>
  <r>
    <x v="7"/>
    <s v="PIAZZOLLA ADRIANA"/>
    <s v="Via Vivaldi 4"/>
    <x v="16"/>
    <s v="SENIGALLIA"/>
    <m/>
    <s v="affittiestivi@belenchia.com"/>
    <s v="PIAZZOLLA ADRIANA - SENIGALLIA"/>
  </r>
  <r>
    <x v="4"/>
    <s v="PICCHIO BEACH - BAGNI N° 7/8"/>
    <m/>
    <x v="22"/>
    <s v="FALCONARA MARITTIMA"/>
    <s v="www.picchiobeach.it"/>
    <s v="picchiobeach@gmail.com"/>
    <s v="PICCHIO BEACH - BAGNI N° 7/8 - FALCONARA MARITTIMA"/>
  </r>
  <r>
    <x v="8"/>
    <s v="PICCOLO EDEN"/>
    <s v="via marche 50"/>
    <x v="162"/>
    <s v="MONSANO"/>
    <m/>
    <s v="piccolo.eden.country.house@gmail.com"/>
    <s v="PICCOLO EDEN - MONSANO"/>
  </r>
  <r>
    <x v="1"/>
    <s v="PICCOLO HOTEL SAN CRISTOFORO"/>
    <s v="via Cesanense 132"/>
    <x v="143"/>
    <s v="loc. Castelvecchio"/>
    <s v="www.piccolohotelsancristoforo.com"/>
    <s v="info@piccolohotelsancristoforo.com"/>
    <s v="PICCOLO HOTEL SAN CRISTOFORO - MONTE PORZIO"/>
  </r>
  <r>
    <x v="7"/>
    <s v="PICCOLO ISTRICE"/>
    <s v="FRAZIONE PATERNO 191"/>
    <x v="10"/>
    <m/>
    <s v="www.latanadellistrice.it"/>
    <s v="info@latanadellistrice.it"/>
    <s v="PICCOLO ISTRICE - ANCONA"/>
  </r>
  <r>
    <x v="4"/>
    <s v="PICCOLO LIDO"/>
    <s v="viale Scipioni 47 47"/>
    <x v="12"/>
    <m/>
    <s v="vporte@tin.it"/>
    <m/>
    <s v="PICCOLO LIDO - SAN BENEDETTO DEL TRONTO"/>
  </r>
  <r>
    <x v="0"/>
    <s v="PICCOLO RANCH"/>
    <s v="fraz. San Pietro in Musio 48/A"/>
    <x v="18"/>
    <s v="SAN PIETRO IN MUSIO"/>
    <s v="www.piccoloranch.com"/>
    <s v="piccoloranch@puntomedia.it"/>
    <s v="PICCOLO RANCH - ARCEVIA"/>
  </r>
  <r>
    <x v="1"/>
    <s v="PICENO"/>
    <s v="via sauro 132"/>
    <x v="47"/>
    <s v="PORTO SAN GIORGIO"/>
    <m/>
    <s v="hotelpiceno@libero.it"/>
    <s v="PICENO - PORTO SAN GIORGIO"/>
  </r>
  <r>
    <x v="5"/>
    <s v="PICENO SUITE"/>
    <s v="Frazione Pescara 186"/>
    <x v="151"/>
    <s v="ASCOLI PICENO"/>
    <m/>
    <m/>
    <s v="PICENO SUITE - ASCOLI PICENO"/>
  </r>
  <r>
    <x v="7"/>
    <s v="PIERALISI GIANNA"/>
    <s v="Via Lungomare Alighieri  28"/>
    <x v="16"/>
    <s v="SENIGALLIA"/>
    <m/>
    <s v="affittiestivi@belenchia.com"/>
    <s v="PIERALISI GIANNA - SENIGALLIA"/>
  </r>
  <r>
    <x v="7"/>
    <s v="PIERANTONELLI MARCO APP.TO 1"/>
    <s v="Contrada Testino 187"/>
    <x v="30"/>
    <m/>
    <m/>
    <s v="marcopierantonelli@yahoo.it"/>
    <s v="PIERANTONELLI MARCO APP.TO 1 - OFFIDA"/>
  </r>
  <r>
    <x v="7"/>
    <s v="PIERANTONELLI MARCO APP.TO 2"/>
    <s v="Contrada Testino 187"/>
    <x v="30"/>
    <s v="OFFIDA"/>
    <m/>
    <s v="marcopierantonelli@yahoo.it"/>
    <s v="PIERANTONELLI MARCO APP.TO 2 - OFFIDA"/>
  </r>
  <r>
    <x v="7"/>
    <s v="PIERANTONI GABRIELLA"/>
    <s v="VIA PUGLIE 7"/>
    <x v="16"/>
    <s v="SENIGALLIA"/>
    <m/>
    <s v="affittiestivi@belenchia.com"/>
    <s v="PIERANTONI GABRIELLA - SENIGALLIA"/>
  </r>
  <r>
    <x v="7"/>
    <s v="PIERANTONI ROBERTO"/>
    <s v="Via Macerata 40"/>
    <x v="9"/>
    <s v="NUMANA"/>
    <m/>
    <s v="roberto.pierantoni@gmail.com"/>
    <s v="PIERANTONI ROBERTO - NUMANA"/>
  </r>
  <r>
    <x v="7"/>
    <s v="PIERETTI SILVIA"/>
    <s v="LAGO DI PILATO 5"/>
    <x v="33"/>
    <m/>
    <m/>
    <s v="inesistente@regione.marche.it"/>
    <s v="PIERETTI SILVIA - FANO"/>
  </r>
  <r>
    <x v="3"/>
    <s v="PIERGALLINI RITA"/>
    <s v="Alcide De Gasperi 120"/>
    <x v="5"/>
    <s v="GROTTAMMARE"/>
    <m/>
    <s v="pl.massi@gmail.com"/>
    <s v="PIERGALLINI RITA - GROTTAMMARE"/>
  </r>
  <r>
    <x v="7"/>
    <s v="PIERGENTILI EMANUELA"/>
    <s v="Via Podesti 133"/>
    <x v="16"/>
    <s v="SENIGALLIA"/>
    <m/>
    <s v="emanuela.piergentili@interno.it"/>
    <s v="PIERGENTILI EMANUELA - SENIGALLIA"/>
  </r>
  <r>
    <x v="7"/>
    <s v="PIERMATTEI CLAUDIA"/>
    <s v="Via Napoli 85"/>
    <x v="69"/>
    <s v="PESARO"/>
    <m/>
    <s v="info@immobiliaretriestepesaro.it"/>
    <s v="PIERMATTEI CLAUDIA - PESARO"/>
  </r>
  <r>
    <x v="1"/>
    <s v="PIERO DELLA FRANCESCA"/>
    <s v="viale federico comandino 53"/>
    <x v="1"/>
    <s v="URBINO"/>
    <s v="www.hotelpierodellafrancesca.net"/>
    <s v="info@hotelpierodellafrancesca.net"/>
    <s v="PIERO DELLA FRANCESCA - URBINO"/>
  </r>
  <r>
    <x v="7"/>
    <s v="PIERPAOLI GIUSEPPA"/>
    <s v="VIA PERGOLESE 172"/>
    <x v="20"/>
    <s v="MONDOLFO"/>
    <m/>
    <m/>
    <s v="PIERPAOLI GIUSEPPA - MONDOLFO"/>
  </r>
  <r>
    <x v="0"/>
    <s v="PIETRA MAULA AGRITURISMO"/>
    <s v="Loc. Stroppigliosi 9"/>
    <x v="144"/>
    <s v="STROPPIGLIOSI"/>
    <s v="www.pietramaula.it"/>
    <s v="info@pietramaula.it"/>
    <s v="PIETRA MAULA AGRITURISMO - CASTELRAIMONDO"/>
  </r>
  <r>
    <x v="0"/>
    <s v="PIETRA ROSA"/>
    <s v="via Monte Polo 132"/>
    <x v="1"/>
    <s v="URBINO"/>
    <s v="www.pietrarosa.it"/>
    <s v="info@pietrarosa.it"/>
    <s v="PIETRA ROSA - URBINO"/>
  </r>
  <r>
    <x v="4"/>
    <s v="PIETRO"/>
    <s v="lungomare marconi 1 1"/>
    <x v="12"/>
    <m/>
    <m/>
    <m/>
    <s v="PIETRO - SAN BENEDETTO DEL TRONTO"/>
  </r>
  <r>
    <x v="3"/>
    <s v="PIEVE DEGLI ACINELLI"/>
    <m/>
    <x v="25"/>
    <s v="Acinelli"/>
    <s v="www.pievedegliacinelli.net"/>
    <s v="info@pievedegliacinelli.net"/>
    <s v="PIEVE DEGLI ACINELLI - PIOBBICO"/>
  </r>
  <r>
    <x v="0"/>
    <s v="PIEVE DEL COLLE"/>
    <s v="strada pieve del colle 1"/>
    <x v="80"/>
    <s v="URBANIA"/>
    <s v="www.pievedelcolle.com"/>
    <s v="info@pievedelcolle.com"/>
    <s v="PIEVE DEL COLLE - URBANIA"/>
  </r>
  <r>
    <x v="7"/>
    <s v="PIGHIN FRANCESCA"/>
    <s v="via Delle Vele 4"/>
    <x v="33"/>
    <m/>
    <m/>
    <m/>
    <s v="PIGHIN FRANCESCA - FANO"/>
  </r>
  <r>
    <x v="1"/>
    <s v="PINA"/>
    <s v="via Roma 25"/>
    <x v="106"/>
    <s v="MONTE SAN PIETRANGELI"/>
    <m/>
    <s v="hotelpinasas@virgilio.it"/>
    <s v="PINA - MONTE SAN PIETRANGELI"/>
  </r>
  <r>
    <x v="6"/>
    <s v="PINETA"/>
    <s v="via ca' mignone 5"/>
    <x v="1"/>
    <s v="URBINO"/>
    <s v="www.camping-pineta-urbino.it"/>
    <s v="campeggiopinetaurbino@email.it"/>
    <s v="PINETA - URBINO"/>
  </r>
  <r>
    <x v="1"/>
    <s v="PINETA"/>
    <s v="via Cassolo 6"/>
    <x v="162"/>
    <s v="MONSANO"/>
    <s v="http://www.pinetahotel.net"/>
    <s v="info@pinetahotel.net"/>
    <s v="PINETA - MONSANO"/>
  </r>
  <r>
    <x v="6"/>
    <s v="PINETA"/>
    <s v="viale della repubblica 3"/>
    <x v="23"/>
    <s v="PORTO RECANATI"/>
    <s v="www.pinetacamping.it"/>
    <s v="info@pinetacamping.it"/>
    <s v="PINETA - PORTO RECANATI"/>
  </r>
  <r>
    <x v="1"/>
    <s v="PINETA"/>
    <s v="via dei Mille 103"/>
    <x v="12"/>
    <s v="SAN BENEDETTO DEL TRONTO"/>
    <s v="www.hotel-pineta.it"/>
    <s v="info@hotel-pineta.it"/>
    <s v="PINETA - SAN BENEDETTO DEL TRONTO"/>
  </r>
  <r>
    <x v="8"/>
    <s v="PINETA COUNTRY HOUSE"/>
    <s v="localita' serripola 22"/>
    <x v="2"/>
    <s v="SERRIPOLA"/>
    <s v="www.pinetacountryhouse.it"/>
    <s v="info@pinetacountryhouse.it"/>
    <s v="PINETA COUNTRY HOUSE - SAN SEVERINO MARCHE"/>
  </r>
  <r>
    <x v="4"/>
    <s v="PINGUINO"/>
    <s v="viale Rinascimento 6 6"/>
    <x v="12"/>
    <m/>
    <s v="addolorata.bizzarri@alice.it"/>
    <m/>
    <s v="PINGUINO - SAN BENEDETTO DEL TRONTO"/>
  </r>
  <r>
    <x v="3"/>
    <s v="PINO NERO"/>
    <s v="via Brenta 1"/>
    <x v="2"/>
    <s v="loc. Serripola"/>
    <s v="www.pinonero.it"/>
    <s v="info@pinonero.it"/>
    <s v="PINO NERO - SAN SEVERINO MARCHE"/>
  </r>
  <r>
    <x v="1"/>
    <s v="PINTURA"/>
    <s v="piazzale pintura 1"/>
    <x v="202"/>
    <s v="PINTURA DI BOLOGNOLA"/>
    <m/>
    <m/>
    <s v="PINTURA - BOLOGNOLA"/>
  </r>
  <r>
    <x v="7"/>
    <s v="PIO BRACCO"/>
    <s v="San Paterniano 36"/>
    <x v="75"/>
    <s v="SMIRRA"/>
    <s v="www.lamaestade.it"/>
    <s v="explorer@teletu.it ; piobracco@alice.it"/>
    <s v="PIO BRACCO - CAGLI"/>
  </r>
  <r>
    <x v="3"/>
    <s v="PIT LANE"/>
    <s v="PALMIRO TOGLIATTI  137"/>
    <x v="30"/>
    <s v="OFFIDA"/>
    <m/>
    <s v="tfs.tarquini@libero.it"/>
    <s v="PIT LANE - OFFIDA"/>
  </r>
  <r>
    <x v="4"/>
    <s v="PITER"/>
    <s v="Via Pastrengo 46"/>
    <x v="23"/>
    <m/>
    <m/>
    <m/>
    <s v="PITER - PORTO RECANATI"/>
  </r>
  <r>
    <x v="1"/>
    <s v="PITINUM"/>
    <s v="via giacomo matteotti 16"/>
    <x v="123"/>
    <s v="MACERATA FELTRIA"/>
    <s v="www.pitinum.com"/>
    <s v="info@pitinum.com"/>
    <s v="PITINUM - MACERATA FELTRIA"/>
  </r>
  <r>
    <x v="4"/>
    <s v="PIZZACCIA ON THE BEACH"/>
    <m/>
    <x v="5"/>
    <m/>
    <m/>
    <m/>
    <s v="PIZZACCIA ON THE BEACH - GROTTAMMARE"/>
  </r>
  <r>
    <x v="6"/>
    <s v="PLAYA"/>
    <s v="lungomare leonardo da vinci 72"/>
    <x v="16"/>
    <s v="SENIGALLIA"/>
    <m/>
    <s v="baruccarenato@gmail.com"/>
    <s v="PLAYA - SENIGALLIA"/>
  </r>
  <r>
    <x v="4"/>
    <s v="PLAYA BOCACHICA"/>
    <m/>
    <x v="148"/>
    <s v="PORTO POTENZA PICENA"/>
    <m/>
    <m/>
    <s v="PLAYA BOCACHICA - POTENZA PICENA"/>
  </r>
  <r>
    <x v="4"/>
    <s v="PLAYA DORADA"/>
    <m/>
    <x v="163"/>
    <m/>
    <m/>
    <m/>
    <s v="PLAYA DORADA - PORTO SANT'ELPIDIO"/>
  </r>
  <r>
    <x v="1"/>
    <s v="PLAYA PRINCIPE RESORT"/>
    <s v="via Buonincontri 65"/>
    <x v="33"/>
    <s v="FANO"/>
    <s v="www.hotelplayaprincipe.it"/>
    <s v="info@hotelplayaprincipe.it"/>
    <s v="PLAYA PRINCIPE RESORT - FANO"/>
  </r>
  <r>
    <x v="1"/>
    <s v="PLAZA"/>
    <s v="viale Cairoli 114"/>
    <x v="33"/>
    <s v="FANO"/>
    <s v="www.plazahotelfano.it"/>
    <s v="info@plazahotelfano.it"/>
    <s v="PLAZA - FANO"/>
  </r>
  <r>
    <x v="1"/>
    <s v="PLAZA"/>
    <s v="via circonvallazione 8"/>
    <x v="28"/>
    <s v="GABICCE MARE"/>
    <s v="www.hotelplazagabiccemare.com"/>
    <m/>
    <s v="PLAZA - GABICCE MARE"/>
  </r>
  <r>
    <x v="1"/>
    <s v="PLAZA"/>
    <s v="viale trieste 45"/>
    <x v="69"/>
    <s v="PESARO"/>
    <s v="www.hotelplaza.pu.it"/>
    <s v="info@hotelplaza.pu.it"/>
    <s v="PLAZA - PESARO"/>
  </r>
  <r>
    <x v="0"/>
    <s v="POGGIO AGLI ULIVI"/>
    <s v="Frazione Montesicuro 215"/>
    <x v="10"/>
    <s v="ANCONA"/>
    <s v="www.poggioagliulivi.com"/>
    <s v="info@poggioagliulivi.com"/>
    <s v="POGGIO AGLI ULIVI - ANCONA"/>
  </r>
  <r>
    <x v="8"/>
    <s v="POGGIO ANTICO"/>
    <s v="via Malviano b 1"/>
    <x v="203"/>
    <s v="MONTE SAN VITO"/>
    <s v="www.poggio-antico.com"/>
    <s v="info@muchele.com"/>
    <s v="POGGIO ANTICO - MONTE SAN VITO"/>
  </r>
  <r>
    <x v="3"/>
    <s v="POGGIO DEI PRUGNOLI di MARINA ARCANGELI"/>
    <s v="loc.la Marcella Strada provinciale Tavoleto 31"/>
    <x v="1"/>
    <s v="URBINO"/>
    <s v="www.poggiodeiprugnoli.it"/>
    <s v="info@poggiodeiprugnoli.it"/>
    <s v="POGGIO DEI PRUGNOLI di MARINA ARCANGELI - URBINO"/>
  </r>
  <r>
    <x v="0"/>
    <s v="POGGIO DEL CONERO"/>
    <s v="fraz. Poggio 112"/>
    <x v="10"/>
    <s v="Poggio di Ancona"/>
    <s v="www.poggiodelconero.com"/>
    <s v="info@poggiodelconero.com"/>
    <s v="POGGIO DEL CONERO - ANCONA"/>
  </r>
  <r>
    <x v="0"/>
    <s v="POGGIO MONTALI"/>
    <s v="via Fontestate 6"/>
    <x v="136"/>
    <m/>
    <s v="www.poggiomontali.it"/>
    <s v="aziendaagricola@poggiomontali.it"/>
    <s v="POGGIO MONTALI - MONTE ROBERTO"/>
  </r>
  <r>
    <x v="0"/>
    <s v="POMO D'ORO"/>
    <s v="contrada San Pietro 6"/>
    <x v="197"/>
    <m/>
    <s v="www.agriturismopomodoro.com"/>
    <s v="info@agriturismopomodoro.com"/>
    <s v="POMO D'ORO - TORRE SAN PATRIZIO"/>
  </r>
  <r>
    <x v="7"/>
    <s v="PORFIDO LUIGI"/>
    <s v="Lungomare Mameli  265"/>
    <x v="16"/>
    <s v="SENIGALLIA"/>
    <m/>
    <s v="affittiestivi@belenchia.com"/>
    <s v="PORFIDO LUIGI - SENIGALLIA"/>
  </r>
  <r>
    <x v="3"/>
    <s v="PORTA MAZZINI"/>
    <s v="via Castelfidardo 2"/>
    <x v="4"/>
    <s v="JESI"/>
    <s v="www.portamazzini.it"/>
    <s v="portamazzini2015@libero.it"/>
    <s v="PORTA MAZZINI - JESI"/>
  </r>
  <r>
    <x v="5"/>
    <s v="PORTA SANTA LUCIA"/>
    <s v="CORSO MARCONI 48"/>
    <x v="37"/>
    <s v="FERMO"/>
    <s v="www.portasantaluciafermo.it"/>
    <s v="pina.rubinetti@gmail.com"/>
    <s v="PORTA SANTA LUCIA - FERMO"/>
  </r>
  <r>
    <x v="1"/>
    <s v="POSEIDON"/>
    <s v="via san giacomo 34"/>
    <x v="12"/>
    <s v="SAN BENEDETTO DEL TRONTO"/>
    <s v="www.hotelposeidon.it"/>
    <s v="info@hotelposeidon.it"/>
    <s v="POSEIDON - SAN BENEDETTO DEL TRONTO"/>
  </r>
  <r>
    <x v="1"/>
    <s v="POSILLIPO"/>
    <s v="viale dell' orizzonte 1"/>
    <x v="28"/>
    <s v="GABICCE MARE"/>
    <s v="www.hotelposillipo.com"/>
    <s v="info@hotelposillipo.com"/>
    <s v="POSILLIPO - GABICCE MARE"/>
  </r>
  <r>
    <x v="8"/>
    <s v="POSTIGLIONE DELLA CASTELLETTA"/>
    <s v="localita' Lioni 20"/>
    <x v="26"/>
    <s v="CINGOLI"/>
    <s v="www.postiglionecountryhouse.com"/>
    <s v="postiglionec@email.it"/>
    <s v="POSTIGLIONE DELLA CASTELLETTA - CINGOLI"/>
  </r>
  <r>
    <x v="8"/>
    <s v="POZZO NUOVO"/>
    <s v="via della miniera 6"/>
    <x v="1"/>
    <s v="URBINO"/>
    <m/>
    <m/>
    <s v="POZZO NUOVO - URBINO"/>
  </r>
  <r>
    <x v="0"/>
    <s v="PRATELLI SEI"/>
    <s v="contrada Pratelli 6"/>
    <x v="158"/>
    <s v="ROSORA"/>
    <s v="www.pratellisei.com"/>
    <s v="info@pratellisei.com"/>
    <s v="PRATELLI SEI - ROSORA"/>
  </r>
  <r>
    <x v="1"/>
    <s v="PRATER"/>
    <s v="via Malta 18"/>
    <x v="5"/>
    <s v="GROTTAMMARE"/>
    <s v="www.hotelprater.it"/>
    <s v="info@hotelprater.it"/>
    <s v="PRATER - GROTTAMMARE"/>
  </r>
  <r>
    <x v="1"/>
    <s v="PRESIDENT"/>
    <s v="via San Francesco 14"/>
    <x v="12"/>
    <s v="SAN BENEDETTO DEL TRONTO"/>
    <s v="www.hpresident.it"/>
    <s v="info@hpresident.it"/>
    <s v="PRESIDENT - SAN BENEDETTO DEL TRONTO"/>
  </r>
  <r>
    <x v="3"/>
    <s v="PRIMA COLONNA DEL LOGGIATO"/>
    <s v="Piazza del Popolo 9"/>
    <x v="37"/>
    <s v="FERMO"/>
    <s v="www.primacolonna.it"/>
    <s v="luzi.francesco@gmail.com"/>
    <s v="PRIMA COLONNA DEL LOGGIATO - FERMO"/>
  </r>
  <r>
    <x v="1"/>
    <s v="PRIMAVERA"/>
    <s v="lungomare Mameli 136"/>
    <x v="16"/>
    <s v="SENIGALLIA"/>
    <s v="www.albergoprimaverasenigallia.it"/>
    <s v="info@albergoprimaverasenigallia.it"/>
    <s v="PRIMAVERA - SENIGALLIA"/>
  </r>
  <r>
    <x v="7"/>
    <s v="PRIMAVERA MARIA"/>
    <s v="via Bellavista 9"/>
    <x v="28"/>
    <m/>
    <m/>
    <m/>
    <s v="PRIMAVERA MARIA - GABICCE MARE"/>
  </r>
  <r>
    <x v="7"/>
    <s v="PRIMAVERA MARIELLA"/>
    <s v="Via Raffaele Jozzino 1"/>
    <x v="33"/>
    <s v="FANO"/>
    <m/>
    <s v="mariellaboiani@yahoo.it"/>
    <s v="PRIMAVERA MARIELLA - FANO"/>
  </r>
  <r>
    <x v="1"/>
    <s v="PRIMO SOLE"/>
    <s v="contrada San Michele 10"/>
    <x v="32"/>
    <s v="CUPRA MARITTIMA"/>
    <s v="cupramarittima.com/primosole/"/>
    <s v="primosole@siscom.it"/>
    <s v="PRIMO SOLE - CUPRA MARITTIMA"/>
  </r>
  <r>
    <x v="1"/>
    <s v="PRINCIPE"/>
    <s v="via circonvallazione 24"/>
    <x v="28"/>
    <s v="GABICCE MARE"/>
    <s v="www.hotelprincipegabicce.com"/>
    <s v="info@hotelprincipegabicce.com"/>
    <s v="PRINCIPE - GABICCE MARE"/>
  </r>
  <r>
    <x v="7"/>
    <s v="PRINCIPI EMILIANO"/>
    <s v="Piazza Andrea Doria 2"/>
    <x v="16"/>
    <s v="SENIGALLIA"/>
    <m/>
    <s v="affittiestivi@belenchia.com"/>
    <s v="PRINCIPI EMILIANO - SENIGALLIA"/>
  </r>
  <r>
    <x v="7"/>
    <s v="PRINCIPI LEONARDO"/>
    <s v="Via Gramsci 29"/>
    <x v="16"/>
    <s v="SENIGALLIA"/>
    <m/>
    <s v="affittiestivi@belenchia.com"/>
    <s v="PRINCIPI LEONARDO - SENIGALLIA"/>
  </r>
  <r>
    <x v="5"/>
    <s v="PRINCIPIA CHARMING SUITE"/>
    <s v="Delle sette soglie  12"/>
    <x v="151"/>
    <s v="ASCOLI PICENO"/>
    <m/>
    <m/>
    <s v="PRINCIPIA CHARMING SUITE - ASCOLI PICENO"/>
  </r>
  <r>
    <x v="7"/>
    <s v="PRIOLI ANTONIO"/>
    <s v="via Trento 19"/>
    <x v="28"/>
    <m/>
    <m/>
    <m/>
    <s v="PRIOLI ANTONIO - GABICCE MARE"/>
  </r>
  <r>
    <x v="1"/>
    <s v="PROGRESSO"/>
    <s v="viale Trieste 40"/>
    <x v="12"/>
    <s v="SAN BENEDETTO DEL TRONTO"/>
    <s v="www.hotelprogresso.it"/>
    <s v="info@hotelprogresso.it"/>
    <s v="PROGRESSO - SAN BENEDETTO DEL TRONTO"/>
  </r>
  <r>
    <x v="1"/>
    <s v="PROMENADE"/>
    <s v="viale mare 15"/>
    <x v="28"/>
    <s v="GABICCE MARE"/>
    <s v="www.hpromenade.it"/>
    <s v="info@hpromenade.it"/>
    <s v="PROMENADE - GABICCE MARE"/>
  </r>
  <r>
    <x v="1"/>
    <s v="PROMENADE"/>
    <s v="viale Trieste 25"/>
    <x v="163"/>
    <s v="lungomare centro"/>
    <s v="www.promenadehotel.it"/>
    <s v="info@promenadehotel.it"/>
    <s v="PROMENADE - PORTO SANT'ELPIDIO"/>
  </r>
  <r>
    <x v="7"/>
    <s v="PURIFICO MAURIZIO"/>
    <s v="LUCANIA 12"/>
    <x v="148"/>
    <m/>
    <m/>
    <s v="silviamace@libero.it"/>
    <s v="PURIFICO MAURIZIO - POTENZA PICENA"/>
  </r>
  <r>
    <x v="1"/>
    <s v="QUADRIFOGLIO"/>
    <s v="via Pasubio 160"/>
    <x v="12"/>
    <s v="SAN BENEDETTO DEL TRONTO"/>
    <s v="www.fata.it"/>
    <s v="quadrifoglio@fata.it"/>
    <s v="QUADRIFOGLIO - SAN BENEDETTO DEL TRONTO"/>
  </r>
  <r>
    <x v="4"/>
    <s v="QUADRIFOGLIO BEACH"/>
    <s v="lungomare gramsci 1 1"/>
    <x v="47"/>
    <s v="PORTO SAN GIORGIO"/>
    <s v="cescoru@virgilio.it"/>
    <m/>
    <s v="QUADRIFOGLIO BEACH - PORTO SAN GIORGIO"/>
  </r>
  <r>
    <x v="7"/>
    <s v="QUADRINI LORENZA PAOLA"/>
    <s v="Via Bologna  2/B"/>
    <x v="16"/>
    <s v="SENIGALLIA"/>
    <m/>
    <s v="affittiestivi@belenchia.com"/>
    <s v="QUADRINI LORENZA PAOLA - SENIGALLIA"/>
  </r>
  <r>
    <x v="6"/>
    <s v="QUATTRO CERCHI"/>
    <s v="via Lungomare Fermano 8"/>
    <x v="37"/>
    <s v="FERMO"/>
    <s v="www.camping4cerchi.com"/>
    <s v="4cerchi@camping.it"/>
    <s v="QUATTRO CERCHI - FERMO"/>
  </r>
  <r>
    <x v="1"/>
    <s v="QUATTRO RUOTE"/>
    <s v="via Fratelli Rosselli 173"/>
    <x v="47"/>
    <s v="PORTO SAN GIORGIO"/>
    <m/>
    <s v="r4ruote@libero.it"/>
    <s v="QUATTRO RUOTE - PORTO SAN GIORGIO"/>
  </r>
  <r>
    <x v="3"/>
    <s v="QUATTRO STAGIONI"/>
    <s v="via Caminate 75"/>
    <x v="33"/>
    <m/>
    <m/>
    <s v="ramonanecsoi@gmail.com"/>
    <s v="QUATTRO STAGIONI - FANO"/>
  </r>
  <r>
    <x v="3"/>
    <s v="QUINTILI MARIA CANDIDA"/>
    <m/>
    <x v="37"/>
    <m/>
    <m/>
    <m/>
    <s v="QUINTILI MARIA CANDIDA - FERMO"/>
  </r>
  <r>
    <x v="7"/>
    <s v="RADI MILENA"/>
    <s v="Via Faeto 7"/>
    <x v="75"/>
    <s v="FRONTONE"/>
    <m/>
    <s v="milenaradi7@gmail.com"/>
    <s v="RADI MILENA - CAGLI"/>
  </r>
  <r>
    <x v="4"/>
    <s v="RADIONAVE"/>
    <m/>
    <x v="163"/>
    <m/>
    <s v="mercurifrancesco@tiscali.it"/>
    <m/>
    <s v="RADIONAVE - PORTO SANT'ELPIDIO"/>
  </r>
  <r>
    <x v="5"/>
    <s v="RAFFAELLO"/>
    <s v="viale Polidoro Virgili 13"/>
    <x v="1"/>
    <s v="URBINO"/>
    <s v="www.bbraffaello.com"/>
    <s v="bbraffaello@gmail.com"/>
    <s v="RAFFAELLO - URBINO"/>
  </r>
  <r>
    <x v="8"/>
    <s v="RAFFAELLO RESIDENCE"/>
    <s v="via G. Leopardi 34"/>
    <x v="46"/>
    <m/>
    <s v="www.raffaelloresidence.it"/>
    <s v="info@raffaelloresidence.it"/>
    <s v="RAFFAELLO RESIDENCE - SASSOFERRATO"/>
  </r>
  <r>
    <x v="4"/>
    <s v="RAFFYCLA"/>
    <s v="via spagnoli 1 1"/>
    <x v="22"/>
    <s v="FALCONARA MARITTIMA"/>
    <m/>
    <m/>
    <s v="RAFFYCLA - FALCONARA MARITTIMA"/>
  </r>
  <r>
    <x v="8"/>
    <s v="RAGGIO DI LUCE"/>
    <s v="strada Marrone 9"/>
    <x v="57"/>
    <s v="TAVULLIA"/>
    <s v="www.raggiodiluce.info"/>
    <s v="info@raggiodiluce.info"/>
    <s v="RAGGIO DI LUCE - TAVULLIA"/>
  </r>
  <r>
    <x v="6"/>
    <s v="RAGGIO DI LUNA"/>
    <s v="lungomare leonardo da vinci 60"/>
    <x v="16"/>
    <s v="SENIGALLIA"/>
    <m/>
    <m/>
    <s v="RAGGIO DI LUNA - SENIGALLIA"/>
  </r>
  <r>
    <x v="0"/>
    <s v="RAGGIO DI SOLE"/>
    <s v="localita' acquaviva 1"/>
    <x v="75"/>
    <s v="CAGLI"/>
    <m/>
    <m/>
    <s v="RAGGIO DI SOLE - CAGLI"/>
  </r>
  <r>
    <x v="3"/>
    <s v="RAGNI GIUSEPPE"/>
    <s v="Via del Porto 42"/>
    <x v="9"/>
    <s v="NUMANA"/>
    <s v="www.affitticonero.com"/>
    <s v="gragni@ragnisirolo.it"/>
    <s v="RAGNI GIUSEPPE - NUMANA"/>
  </r>
  <r>
    <x v="4"/>
    <s v="RAGNO VERDE"/>
    <s v="viale Alcide de Gasperi  1"/>
    <x v="5"/>
    <m/>
    <m/>
    <s v="winisa@tin.it"/>
    <s v="RAGNO VERDE - GROTTAMMARE"/>
  </r>
  <r>
    <x v="0"/>
    <s v="RANCO"/>
    <m/>
    <x v="85"/>
    <s v="FOSSOMBRONE"/>
    <s v="IN ALLESTIMENTO"/>
    <s v="INFO.RANCO@LIBERO.IT"/>
    <s v="RANCO - FOSSOMBRONE"/>
  </r>
  <r>
    <x v="0"/>
    <s v="RANCO DI SOPRA"/>
    <s v="strada caimarini 79"/>
    <x v="75"/>
    <s v="CAGLI"/>
    <s v="www.rancodisopra.it"/>
    <s v="info@rancodisopra.it"/>
    <s v="RANCO DI SOPRA - CAGLI"/>
  </r>
  <r>
    <x v="3"/>
    <s v="RANCO FABBRO"/>
    <m/>
    <x v="61"/>
    <s v="PARCHIULE"/>
    <m/>
    <s v="prenotazioni@lamacina.it"/>
    <s v="RANCO FABBRO - BORGO PACE"/>
  </r>
  <r>
    <x v="4"/>
    <s v="RAPHAEL BEACH"/>
    <s v="LUNGOMARE PIERMANNI 2"/>
    <x v="17"/>
    <m/>
    <s v="info@raphaelbeach.com"/>
    <s v="www.raphaelbeach.com"/>
    <s v="RAPHAEL BEACH - CIVITANOVA MARCHE"/>
  </r>
  <r>
    <x v="5"/>
    <s v="RAYO DE SOL"/>
    <s v="Via Pietro Ranieri 22/D"/>
    <x v="10"/>
    <s v="ANCONA"/>
    <m/>
    <s v="guaba.teresa@libero.it"/>
    <s v="RAYO DE SOL - ANCONA"/>
  </r>
  <r>
    <x v="4"/>
    <s v="RE SOLE"/>
    <s v="viale Trieste 1 1"/>
    <x v="69"/>
    <s v="Levante"/>
    <m/>
    <m/>
    <s v="RE SOLE - PESARO"/>
  </r>
  <r>
    <x v="7"/>
    <s v="RE VINCENZO"/>
    <s v="Piacenza 47"/>
    <x v="148"/>
    <s v="POTENZA PICENA"/>
    <m/>
    <m/>
    <s v="RE VINCENZO - POTENZA PICENA"/>
  </r>
  <r>
    <x v="5"/>
    <s v="REDGEKKO B&amp;B"/>
    <s v="STRADA DI MEZZO 61"/>
    <x v="94"/>
    <s v="SAN COSTANZO"/>
    <s v="www.redgekko.onweb.it"/>
    <s v="bbredgekko@gmail.com"/>
    <s v="REDGEKKO B&amp;B - SAN COSTANZO"/>
  </r>
  <r>
    <x v="1"/>
    <s v="REGENT"/>
    <s v="via antonio gramsci 31"/>
    <x v="12"/>
    <s v="SAN BENEDETTO DEL TRONTO"/>
    <s v="www.hotelregent.it"/>
    <s v="info@hotelregent.it"/>
    <s v="REGENT - SAN BENEDETTO DEL TRONTO"/>
  </r>
  <r>
    <x v="1"/>
    <s v="REGINA"/>
    <s v="lungomare Alighieri 5"/>
    <x v="16"/>
    <s v="SENIGALLIA"/>
    <s v="www.albergoregina.it"/>
    <s v="info@albergoregina.it"/>
    <s v="REGINA - SENIGALLIA"/>
  </r>
  <r>
    <x v="6"/>
    <s v="REGINA"/>
    <m/>
    <x v="148"/>
    <s v="PORTO POTENZA PICENA"/>
    <s v="www.campingregina.it"/>
    <s v="info@campingregina.it"/>
    <s v="REGINA - POTENZA PICENA"/>
  </r>
  <r>
    <x v="6"/>
    <s v="REGINA 2°"/>
    <s v="viale delle Nazioni 1"/>
    <x v="23"/>
    <s v="PORTO RECANATI"/>
    <m/>
    <s v="info@pinetacamping.it"/>
    <s v="REGINA 2° - PORTO RECANATI"/>
  </r>
  <r>
    <x v="4"/>
    <s v="REGINA BEACH DI BACCHIOCCHI SILVIA E CIACCI SIRIANA"/>
    <m/>
    <x v="33"/>
    <s v="METAURILIA - FANO"/>
    <m/>
    <m/>
    <s v="REGINA BEACH DI BACCHIOCCHI SILVIA E CIACCI SIRIANA - FANO"/>
  </r>
  <r>
    <x v="5"/>
    <s v="REILLYS B&amp;B"/>
    <s v="via Nicolo 14"/>
    <x v="81"/>
    <m/>
    <m/>
    <s v="reillysinitaly@yahoo.ie"/>
    <s v="REILLYS B&amp;B - MONTECAROTTO"/>
  </r>
  <r>
    <x v="5"/>
    <s v="RELAIS CHAMBRE"/>
    <s v="Piazzetta Garibaldi 32"/>
    <x v="169"/>
    <m/>
    <s v="www.relaischambre.com"/>
    <s v="info@relaischambre.com"/>
    <s v="RELAIS CHAMBRE - CASTELFIDARDO"/>
  </r>
  <r>
    <x v="1"/>
    <s v="RELAIS CONCORDE"/>
    <s v="via G.Parini 34"/>
    <x v="5"/>
    <s v="GROTTAMMARE"/>
    <s v="www.relaisconcorde.it"/>
    <s v="info@relaisconcorde.it"/>
    <s v="RELAIS CONCORDE - GROTTAMMARE"/>
  </r>
  <r>
    <x v="1"/>
    <s v="RELAIS DEL BORGO HOTEL &amp; SPA"/>
    <s v="via Solferino 4"/>
    <x v="176"/>
    <s v="STAFFOLO"/>
    <s v="www.relaisdelborgo.com"/>
    <s v="info@relaisdelborgo.it"/>
    <s v="RELAIS DEL BORGO HOTEL &amp; SPA - STAFFOLO"/>
  </r>
  <r>
    <x v="3"/>
    <s v="RELAIS DRUDA"/>
    <s v="Atanagi 37"/>
    <x v="75"/>
    <s v="CAGLI"/>
    <m/>
    <m/>
    <s v="RELAIS DRUDA - CAGLI"/>
  </r>
  <r>
    <x v="3"/>
    <s v="RELAIS SERRA ALTA"/>
    <s v="via Serra Alta 28"/>
    <x v="152"/>
    <m/>
    <s v="www.serraalta.it"/>
    <s v="info@serraalta.it"/>
    <s v="RELAIS SERRA ALTA - FERMIGNANO"/>
  </r>
  <r>
    <x v="1"/>
    <s v="RELAIS VALCASTAGNO"/>
    <s v="via Monte Freddo 12"/>
    <x v="8"/>
    <m/>
    <s v="www.valcastagno.it"/>
    <s v="info@valcastagno.it"/>
    <s v="RELAIS VALCASTAGNO - SIROLO"/>
  </r>
  <r>
    <x v="8"/>
    <s v="RELAIS VILLA FORNARI"/>
    <s v="localita' calvie 2"/>
    <x v="42"/>
    <s v="CAMERINO"/>
    <s v="www.villafornari.it"/>
    <s v="info@villafornari.it"/>
    <s v="RELAIS VILLA FORNARI - CAMERINO"/>
  </r>
  <r>
    <x v="1"/>
    <s v="RELAX"/>
    <s v="via a. tibullo 2"/>
    <x v="12"/>
    <s v="SAN BENEDETTO DEL TRONTO"/>
    <s v="www.hotel-relax.it"/>
    <s v="info@hotel-relax.it"/>
    <s v="RELAX - SAN BENEDETTO DEL TRONTO"/>
  </r>
  <r>
    <x v="7"/>
    <s v="RENATA PAOLINI"/>
    <s v="via Montacuto 43"/>
    <x v="10"/>
    <m/>
    <m/>
    <s v="paolinirenata@gmail.com"/>
    <s v="RENATA PAOLINI - ANCONA"/>
  </r>
  <r>
    <x v="6"/>
    <s v="RENO"/>
    <s v="via Morricone 7"/>
    <x v="8"/>
    <s v="SIROLO"/>
    <m/>
    <s v="info@campingreno.eu"/>
    <s v="RENO - SIROLO"/>
  </r>
  <r>
    <x v="4"/>
    <s v="RENO'S 54"/>
    <s v="viale Scipioni 21"/>
    <x v="12"/>
    <m/>
    <m/>
    <m/>
    <s v="RENO'S 54 - SAN BENEDETTO DEL TRONTO"/>
  </r>
  <r>
    <x v="3"/>
    <s v="RENTAL ROOMS ANTONELLA di ANTONELLA SERAFINI"/>
    <s v="via Balducci 5"/>
    <x v="57"/>
    <s v="TAVULLIA"/>
    <m/>
    <s v="rentalroomsantonella@gmail.com"/>
    <s v="RENTAL ROOMS ANTONELLA di ANTONELLA SERAFINI - TAVULLIA"/>
  </r>
  <r>
    <x v="3"/>
    <s v="RESIDENCE ABBAZIA"/>
    <s v="viale Trento 147"/>
    <x v="69"/>
    <s v="PESARO - 61121"/>
    <m/>
    <s v="abbazia.residhotel@libero.it"/>
    <s v="RESIDENCE ABBAZIA - PESARO"/>
  </r>
  <r>
    <x v="3"/>
    <s v="RESIDENCE ALEXANDER"/>
    <s v="via P. Mascagni 3"/>
    <x v="12"/>
    <s v="SAN BENEDETTO DEL TRONTO"/>
    <s v="www.residencealexander.it"/>
    <s v="sergio@residencealexander.it"/>
    <s v="RESIDENCE ALEXANDER - SAN BENEDETTO DEL TRONTO"/>
  </r>
  <r>
    <x v="2"/>
    <s v="RESIDENCE AMERICA"/>
    <s v="lungomare Alighieri 84"/>
    <x v="16"/>
    <m/>
    <m/>
    <s v="studio.verdini@libero.it"/>
    <s v="RESIDENCE AMERICA - SENIGALLIA"/>
  </r>
  <r>
    <x v="3"/>
    <s v="RESIDENCE ANCONA"/>
    <s v="lungomare Vanvitelli 6"/>
    <x v="10"/>
    <m/>
    <s v="www.residenceancona.it"/>
    <s v="palace.ancona@libero.it"/>
    <s v="RESIDENCE ANCONA - ANCONA"/>
  </r>
  <r>
    <x v="3"/>
    <s v="RESIDENCE ARIANNA"/>
    <s v="Viale Pietro Mascagni 84"/>
    <x v="69"/>
    <s v="PESARO"/>
    <s v="www.residencearianna.it"/>
    <s v="info@residencearianna.it"/>
    <s v="RESIDENCE ARIANNA - PESARO"/>
  </r>
  <r>
    <x v="7"/>
    <s v="RESIDENCE AZZURRO"/>
    <s v="via Redipuglia 62"/>
    <x v="28"/>
    <m/>
    <m/>
    <m/>
    <s v="RESIDENCE AZZURRO - GABICCE MARE"/>
  </r>
  <r>
    <x v="3"/>
    <s v="RESIDENCE AZZURRO"/>
    <s v="c.da Montecantino 83"/>
    <x v="73"/>
    <s v="MASSIGNANO"/>
    <s v="www.residenceclubazzurro.it"/>
    <s v="info@residenceclubazzurro.it"/>
    <s v="RESIDENCE AZZURRO - MASSIGNANO"/>
  </r>
  <r>
    <x v="2"/>
    <s v="RESIDENCE BEACH RESIDENCE"/>
    <s v="via Vittorio Veneto 180"/>
    <x v="28"/>
    <m/>
    <s v="www.beachresidence.it/"/>
    <s v="info@beachresidence.it"/>
    <s v="RESIDENCE BEACH RESIDENCE - GABICCE MARE"/>
  </r>
  <r>
    <x v="2"/>
    <s v="RESIDENCE BEAURIVAGE"/>
    <s v="viale Europa 94"/>
    <x v="12"/>
    <s v="SAN BENEDETTO DEL TRONTO"/>
    <s v="www.residencebeaurivage.it"/>
    <s v="info@residencebeaurivage.it"/>
    <s v="RESIDENCE BEAURIVAGE - SAN BENEDETTO DEL TRONTO"/>
  </r>
  <r>
    <x v="2"/>
    <s v="RESIDENCE BOOMERANG"/>
    <s v="via gaspare spontini 2"/>
    <x v="12"/>
    <s v="SAN BENEDETTO DEL TRONTO"/>
    <s v="www.residenceboomerang.it"/>
    <s v="info@residenceboomerang.it"/>
    <s v="RESIDENCE BOOMERANG - SAN BENEDETTO DEL TRONTO"/>
  </r>
  <r>
    <x v="3"/>
    <s v="RESIDENCE BORGO DA MARE"/>
    <s v="via Allegretti 13"/>
    <x v="14"/>
    <m/>
    <s v="www.borgodamare.it"/>
    <s v="info@borgodamare.it"/>
    <s v="RESIDENCE BORGO DA MARE - MONTEPRANDONE"/>
  </r>
  <r>
    <x v="3"/>
    <s v="RESIDENCE BREZZA DI MARE"/>
    <s v="via dei laureati 119"/>
    <x v="12"/>
    <s v="SAN BENEDETTO DEL TRONTO"/>
    <s v="www.brezzadimare.com"/>
    <s v="info@brezzadimare.com"/>
    <s v="RESIDENCE BREZZA DI MARE - SAN BENEDETTO DEL TRONTO"/>
  </r>
  <r>
    <x v="3"/>
    <s v="RESIDENCE CAMPANELLI"/>
    <s v="via G. Properzi  175"/>
    <x v="47"/>
    <m/>
    <m/>
    <s v="ristorantecampanelli@virgilio.it"/>
    <s v="RESIDENCE CAMPANELLI - PORTO SAN GIORGIO"/>
  </r>
  <r>
    <x v="2"/>
    <s v="RESIDENCE CASABIANCA"/>
    <s v="Via riva del pescatore 15"/>
    <x v="37"/>
    <s v="FERMO"/>
    <s v="www.residencecasabianca.eu"/>
    <s v="info@residencecasabianca.eu"/>
    <s v="RESIDENCE CASABIANCA - FERMO"/>
  </r>
  <r>
    <x v="3"/>
    <s v="RESIDENCE CASALE DEL CONERO"/>
    <s v="via scossicci 32"/>
    <x v="23"/>
    <s v="PORTO RECANATI"/>
    <s v="www.casaledelconero.it"/>
    <s v="info@casaledelconero.it"/>
    <s v="RESIDENCE CASALE DEL CONERO - PORTO RECANATI"/>
  </r>
  <r>
    <x v="2"/>
    <s v="RESIDENCE CITTA' IDEALE"/>
    <s v="strada provinciale 9 Feltresca 85"/>
    <x v="1"/>
    <s v="URBINO"/>
    <m/>
    <s v="info@residencecittaideale.it"/>
    <s v="RESIDENCE CITTA' IDEALE - URBINO"/>
  </r>
  <r>
    <x v="2"/>
    <s v="RESIDENCE CONTINENTAL RESORT"/>
    <s v="via primo maggio 4"/>
    <x v="28"/>
    <s v="GABICCE MARE"/>
    <m/>
    <s v="info@residencecontinental.it"/>
    <s v="RESIDENCE CONTINENTAL RESORT - GABICCE MARE"/>
  </r>
  <r>
    <x v="2"/>
    <s v="RESIDENCE COSTA SMERALDA"/>
    <s v="Via Malta 16"/>
    <x v="5"/>
    <s v="GROTTAMMARE"/>
    <s v="www.costasmeraldaresidence.it"/>
    <s v="info@costasmeraldaresidence.it"/>
    <s v="RESIDENCE COSTA SMERALDA - GROTTAMMARE"/>
  </r>
  <r>
    <x v="2"/>
    <s v="RESIDENCE CRIRO'"/>
    <s v="via delle Scienze 4"/>
    <x v="37"/>
    <s v="LOCALITA' MARINA PALMENSE"/>
    <s v="www.residencecriro.it"/>
    <s v="info@residencecriro.it"/>
    <s v="RESIDENCE CRIRO' - FERMO"/>
  </r>
  <r>
    <x v="3"/>
    <s v="RESIDENCE DANUBIO"/>
    <s v="via dei mille 91"/>
    <x v="12"/>
    <s v="SAN BENEDETTO DEL TRONTO"/>
    <s v="www.residencedanubio.com"/>
    <s v="info@residencedanubio.com"/>
    <s v="RESIDENCE DANUBIO - SAN BENEDETTO DEL TRONTO"/>
  </r>
  <r>
    <x v="3"/>
    <s v="RESIDENCE DEGLI ARANCI"/>
    <s v="via degli Aranci 1"/>
    <x v="10"/>
    <s v="ANCONA"/>
    <s v="www.residencedegliaranci.com"/>
    <s v="info@residencedegliaranci.com"/>
    <s v="RESIDENCE DEGLI ARANCI - ANCONA"/>
  </r>
  <r>
    <x v="2"/>
    <s v="RESIDENCE DEI MILLE"/>
    <s v="viale Rinascimento, 35 1"/>
    <x v="12"/>
    <s v="SAN BENEDETTO DEL TRONTO"/>
    <s v="www.residencedeimille.it"/>
    <s v="info@centroitalia.com"/>
    <s v="RESIDENCE DEI MILLE - SAN BENEDETTO DEL TRONTO"/>
  </r>
  <r>
    <x v="3"/>
    <s v="RESIDENCE DOLCE VITA - PERAZZOLI GEOM. GIANNI S.N.C."/>
    <s v="via Grazia Deledda 10"/>
    <x v="12"/>
    <s v="SAN BENEDETTO DEL TRONTO"/>
    <s v="www.residencedolcevita.it"/>
    <s v="info@residencedolcevita.it"/>
    <s v="RESIDENCE DOLCE VITA - PERAZZOLI GEOM. GIANNI S.N.C. - SAN BENEDETTO DEL TRONTO"/>
  </r>
  <r>
    <x v="3"/>
    <s v="RESIDENCE DOLCEMARE"/>
    <s v="via R. Zandonai 3"/>
    <x v="12"/>
    <s v="SAN BENEDETTO DEL TRONTO"/>
    <s v="www.residencedolcemare.it"/>
    <s v="info@residencedolcemare.it"/>
    <s v="RESIDENCE DOLCEMARE - SAN BENEDETTO DEL TRONTO"/>
  </r>
  <r>
    <x v="2"/>
    <s v="RESIDENCE ELISA"/>
    <s v="viale Europa 72/74"/>
    <x v="12"/>
    <s v="SAN BENEDETTO DEL TRONTO"/>
    <s v="www.residenceelisa.it"/>
    <s v="info@residenceelisa.it"/>
    <s v="RESIDENCE ELISA - SAN BENEDETTO DEL TRONTO"/>
  </r>
  <r>
    <x v="3"/>
    <s v="RESIDENCE ELLE"/>
    <s v="lungomare Rinascimento 73"/>
    <x v="12"/>
    <s v="SAN BENEDETTO DEL TRONTO"/>
    <s v="www.residenceelle.it"/>
    <s v="info@residenceelle.it"/>
    <s v="RESIDENCE ELLE - SAN BENEDETTO DEL TRONTO"/>
  </r>
  <r>
    <x v="3"/>
    <s v="RESIDENCE EXECUTIVE"/>
    <s v="piazzale della Liberta' 9"/>
    <x v="10"/>
    <s v="ANCONA"/>
    <s v="www.executive-residence.it"/>
    <s v="info@executive-residence.it"/>
    <s v="RESIDENCE EXECUTIVE - ANCONA"/>
  </r>
  <r>
    <x v="3"/>
    <s v="RESIDENCE GIGLI"/>
    <s v="via Ischia 40"/>
    <x v="9"/>
    <s v="NUMANA"/>
    <m/>
    <s v="info@giglihotels.com"/>
    <s v="RESIDENCE GIGLI - NUMANA"/>
  </r>
  <r>
    <x v="3"/>
    <s v="RESIDENCE GLI ULIVI di SILVESTRI ROSINA"/>
    <s v="via 234 snc"/>
    <x v="151"/>
    <s v="frazione Villa S. Antonio"/>
    <m/>
    <s v="info@residencegliulivi.it"/>
    <s v="RESIDENCE GLI ULIVI di SILVESTRI ROSINA - ASCOLI PICENO"/>
  </r>
  <r>
    <x v="3"/>
    <s v="RESIDENCE GRAZIELLA di BOTTEI MARIA GRAZIA"/>
    <s v="piazzale della Vittoria 17"/>
    <x v="92"/>
    <s v="FIUMINATA"/>
    <m/>
    <m/>
    <s v="RESIDENCE GRAZIELLA di BOTTEI MARIA GRAZIA - FIUMINATA"/>
  </r>
  <r>
    <x v="3"/>
    <s v="RESIDENCE HAWAI - MASCITTI UMBERTO"/>
    <s v="via A.Ponchielli 4"/>
    <x v="12"/>
    <s v="SAN BENEDETTO DEL TRONTO"/>
    <m/>
    <m/>
    <s v="RESIDENCE HAWAI - MASCITTI UMBERTO - SAN BENEDETTO DEL TRONTO"/>
  </r>
  <r>
    <x v="3"/>
    <s v="RESIDENCE HOTEL BIANCHI VINCENZO"/>
    <s v="via garibaldi 3"/>
    <x v="23"/>
    <s v="PORTO RECANATI"/>
    <s v="www.hotelbianchi.it"/>
    <s v="info@hotelbianchi.com"/>
    <s v="RESIDENCE HOTEL BIANCHI VINCENZO - PORTO RECANATI"/>
  </r>
  <r>
    <x v="3"/>
    <s v="RESIDENCE HOTEL SAN MICHELE"/>
    <s v="via Amaducci 51"/>
    <x v="174"/>
    <s v="Carpegna"/>
    <s v="www.hotelsmichele.com"/>
    <s v="info@euromtour.it"/>
    <s v="RESIDENCE HOTEL SAN MICHELE - CARPEGNA"/>
  </r>
  <r>
    <x v="3"/>
    <s v="RESIDENCE I GIRASOLI"/>
    <s v="frazione San Marcello 24"/>
    <x v="42"/>
    <s v="CAMERINO"/>
    <s v="www.residenceigirasoli.it"/>
    <s v="info@residenceigirasoli.it"/>
    <s v="RESIDENCE I GIRASOLI - CAMERINO"/>
  </r>
  <r>
    <x v="3"/>
    <s v="RESIDENCE IL CONERO 2"/>
    <s v="via del Conero 29"/>
    <x v="9"/>
    <m/>
    <s v="www.hotelresidenceilconero.it"/>
    <s v="info@hotelresidenceilconero.it"/>
    <s v="RESIDENCE IL CONERO 2 - NUMANA"/>
  </r>
  <r>
    <x v="3"/>
    <s v="RESIDENCE IL GLICINE"/>
    <s v="viale S. Baglioni 19"/>
    <x v="11"/>
    <s v="SARNANO"/>
    <s v="www.residenceilglicine.com"/>
    <s v="info@residenceilglicine.com"/>
    <s v="RESIDENCE IL GLICINE - SARNANO"/>
  </r>
  <r>
    <x v="3"/>
    <s v="RESIDENCE IL GLICINE - VIA DEL COLLE"/>
    <s v="via del Colle 31"/>
    <x v="11"/>
    <s v="SARNANO"/>
    <s v="www.residenceilglicine.com"/>
    <s v="info@residenceilglicine.com"/>
    <s v="RESIDENCE IL GLICINE - VIA DEL COLLE - SARNANO"/>
  </r>
  <r>
    <x v="2"/>
    <s v="RESIDENCE IL LAURO"/>
    <s v="viale Rinascimento 57"/>
    <x v="12"/>
    <s v="SAN BENEDETTO DEL TRONTO"/>
    <s v="www.residencedeimille.it"/>
    <s v="raffaelalau@tiscali.it"/>
    <s v="RESIDENCE IL LAURO - SAN BENEDETTO DEL TRONTO"/>
  </r>
  <r>
    <x v="3"/>
    <s v="RESIDENCE IL SERAFINO"/>
    <s v="via Oberdan 198/A"/>
    <x v="11"/>
    <m/>
    <m/>
    <s v="euroimmobiliare.98@libero.it"/>
    <s v="RESIDENCE IL SERAFINO - SARNANO"/>
  </r>
  <r>
    <x v="3"/>
    <s v="RESIDENCE IMPERIAL"/>
    <s v="via Indipendenza 25"/>
    <x v="12"/>
    <s v="SAN BENEDETTO DEL TRONTO"/>
    <s v="www.residenceimperial.it"/>
    <s v="info@hotelimperial.it"/>
    <s v="RESIDENCE IMPERIAL - SAN BENEDETTO DEL TRONTO"/>
  </r>
  <r>
    <x v="3"/>
    <s v="RESIDENCE JUNIOR"/>
    <s v="via Torrioni 5"/>
    <x v="10"/>
    <s v="ANCONA"/>
    <s v="www.residencedegliaranci.com"/>
    <s v="info@residencedegliaranci.com"/>
    <s v="RESIDENCE JUNIOR - ANCONA"/>
  </r>
  <r>
    <x v="3"/>
    <s v="RESIDENCE LA GINESTRA"/>
    <s v="via castelfidardo 49"/>
    <x v="9"/>
    <s v="NUMANA"/>
    <s v="www.residencenumana.com"/>
    <s v="info@residencenumana.com"/>
    <s v="RESIDENCE LA GINESTRA - NUMANA"/>
  </r>
  <r>
    <x v="3"/>
    <s v="RESIDENCE L'AGAVE"/>
    <s v="c.da Fonte Trufo 12"/>
    <x v="73"/>
    <s v="loc.Massignano"/>
    <m/>
    <s v="info@agave-residence.it"/>
    <s v="RESIDENCE L'AGAVE - MASSIGNANO"/>
  </r>
  <r>
    <x v="3"/>
    <s v="RESIDENCE LAS VEGAS"/>
    <s v="via V. Tedeschi 5"/>
    <x v="12"/>
    <s v="SAN BENEDETTO DEL TRONTO"/>
    <s v="www.centroitalia.com"/>
    <s v="info@centroitalia.com"/>
    <s v="RESIDENCE LAS VEGAS - SAN BENEDETTO DEL TRONTO"/>
  </r>
  <r>
    <x v="3"/>
    <s v="RESIDENCE LE ALI DEL CONERO"/>
    <s v="via Ischia 36"/>
    <x v="9"/>
    <s v="loc. Marcelli di Numana"/>
    <s v="www.lealidelconero.com"/>
    <s v="info@lealidelconero.com"/>
    <s v="RESIDENCE LE ALI DEL CONERO - NUMANA"/>
  </r>
  <r>
    <x v="3"/>
    <s v="RESIDENCE LE PALME"/>
    <s v="Via Ischia  68/72A"/>
    <x v="9"/>
    <s v="MARCELLI"/>
    <s v="www.residencelepalme.com"/>
    <s v="info@residencelepalme.com"/>
    <s v="RESIDENCE LE PALME - NUMANA"/>
  </r>
  <r>
    <x v="2"/>
    <s v="RESIDENCE LE PALME"/>
    <s v="lungomare Alcide de Gasperi 160"/>
    <x v="5"/>
    <s v="GROTTAMMARE"/>
    <s v="www.residencelepalme.it"/>
    <s v="info@residencelepalme.it"/>
    <s v="RESIDENCE LE PALME - GROTTAMMARE"/>
  </r>
  <r>
    <x v="3"/>
    <s v="RESIDENCE LE TERRAZZE di FILIPPETTI  GIULIANA"/>
    <s v="via Cippo 38"/>
    <x v="174"/>
    <s v="CARPEGNA"/>
    <s v="www.leterrazzecarpegna.it"/>
    <s v="info@leterrazzecarpegna.it"/>
    <s v="RESIDENCE LE TERRAZZE di FILIPPETTI  GIULIANA - CARPEGNA"/>
  </r>
  <r>
    <x v="3"/>
    <s v="RESIDENCE LIDO AZZURRO (EMANUELA TORRESI)"/>
    <s v="via Costa Verde 2"/>
    <x v="9"/>
    <s v="Marcelli di Numana"/>
    <m/>
    <s v="info@lidoazzurronumana.it"/>
    <s v="RESIDENCE LIDO AZZURRO (EMANUELA TORRESI) - NUMANA"/>
  </r>
  <r>
    <x v="3"/>
    <s v="RESIDENCE MADISON VILLAGE"/>
    <s v="via giovanni verga 39"/>
    <x v="0"/>
    <s v="MACERATA"/>
    <s v="www.madisonvillage.it"/>
    <s v="info@madisonvillage.it"/>
    <s v="RESIDENCE MADISON VILLAGE - MACERATA"/>
  </r>
  <r>
    <x v="2"/>
    <s v="RESIDENCE MAJESTIC"/>
    <s v="via Giovanni XXIII 37"/>
    <x v="12"/>
    <s v="SAN BENEDETTO DEL TRONTO"/>
    <s v="www.residencehotelmajestic.it"/>
    <s v="info@residencehotelmajestic.it"/>
    <s v="RESIDENCE MAJESTIC - SAN BENEDETTO DEL TRONTO"/>
  </r>
  <r>
    <x v="3"/>
    <s v="RESIDENCE MARCELLI"/>
    <s v="via Rimini 6"/>
    <x v="9"/>
    <s v="NUMANA"/>
    <m/>
    <s v="info@residencemarcelli.it"/>
    <s v="RESIDENCE MARCELLI - NUMANA"/>
  </r>
  <r>
    <x v="12"/>
    <s v="RESIDENCE MARE"/>
    <s v="via Ugo La Malfa 19"/>
    <x v="37"/>
    <s v="FERMO"/>
    <s v="www.residencemare.com"/>
    <s v="info@residencemare.com"/>
    <s v="RESIDENCE MARE - FERMO"/>
  </r>
  <r>
    <x v="3"/>
    <s v="RESIDENCE MARE VERDE (FERRO GIOVANNI FRANCESCO &amp; C. S.A.S)"/>
    <s v="via umberto giordano 44"/>
    <x v="16"/>
    <s v="SENIGALLIA"/>
    <s v="www.mareverde.it"/>
    <s v="info@mareverde.it - mareverde@netpec.net"/>
    <s v="RESIDENCE MARE VERDE (FERRO GIOVANNI FRANCESCO &amp; C. S.A.S) - SENIGALLIA"/>
  </r>
  <r>
    <x v="2"/>
    <s v="RESIDENCE MAREAMARE"/>
    <s v="viale lungomare Repubblica 14"/>
    <x v="5"/>
    <s v="GROTTAMMARE"/>
    <s v="www.mareamareresidence.it"/>
    <s v="info@mareamareresidence.it"/>
    <s v="RESIDENCE MAREAMARE - GROTTAMMARE"/>
  </r>
  <r>
    <x v="3"/>
    <s v="RESIDENCE MEDITERRANEO 2"/>
    <s v="via dei Mille 77"/>
    <x v="12"/>
    <s v="SAN BENEDETTO DEL TRONTO"/>
    <s v="www.residencemediterraneo.it"/>
    <s v="info@residencemediterraneo.it"/>
    <s v="RESIDENCE MEDITERRANEO 2 - SAN BENEDETTO DEL TRONTO"/>
  </r>
  <r>
    <x v="2"/>
    <s v="RESIDENCE MENTANA"/>
    <s v="via Mentana 30"/>
    <x v="12"/>
    <s v="SAN BENEDETTO DEL TRONTO"/>
    <m/>
    <s v="residencementanasbt@libero.it"/>
    <s v="RESIDENCE MENTANA - SAN BENEDETTO DEL TRONTO"/>
  </r>
  <r>
    <x v="2"/>
    <s v="RESIDENCE MICHELANGELO"/>
    <s v="Viale Rinascimento  27"/>
    <x v="12"/>
    <s v="SAN BENEDETTO DEL TRONTO"/>
    <s v="www.residencemichelangelo.it"/>
    <s v="info@residencemichelangelo.it"/>
    <s v="RESIDENCE MICHELANGELO - SAN BENEDETTO DEL TRONTO"/>
  </r>
  <r>
    <x v="2"/>
    <s v="RESIDENCE OASI"/>
    <s v="via Marco Biagi 1"/>
    <x v="176"/>
    <s v="LOCALITA'  COSTE - STAFFOLO"/>
    <s v="www.oasistaffolo.it"/>
    <s v="oasi.srl@libero.it"/>
    <s v="RESIDENCE OASI - STAFFOLO"/>
  </r>
  <r>
    <x v="2"/>
    <s v="RESIDENCE OLTREMARE"/>
    <s v="via Domenico Cimarosa 5"/>
    <x v="12"/>
    <s v="SAN BENEDETTO DEL TRONTO"/>
    <s v="www.residenceoltremare.com"/>
    <s v="info@residencemediterraneo.it"/>
    <s v="RESIDENCE OLTREMARE - SAN BENEDETTO DEL TRONTO"/>
  </r>
  <r>
    <x v="3"/>
    <s v="RESIDENCE POCKET BEACH"/>
    <s v="via francia 9"/>
    <x v="23"/>
    <s v="PORTO RECANATI"/>
    <s v="www.residencepocketbeach.it"/>
    <s v="residencepocketbeach@gmail.com"/>
    <s v="RESIDENCE POCKET BEACH - PORTO RECANATI"/>
  </r>
  <r>
    <x v="3"/>
    <s v="RESIDENCE PRESTIGE"/>
    <s v="via cappellini 90"/>
    <x v="33"/>
    <s v="FANO"/>
    <s v="www.hotel-prestige.com"/>
    <s v="info@hotel-prestige.com"/>
    <s v="RESIDENCE PRESTIGE - FANO"/>
  </r>
  <r>
    <x v="3"/>
    <s v="RESIDENCE SAINT TROPEZ"/>
    <s v="via Litoranea 132"/>
    <x v="9"/>
    <s v="NUMANA"/>
    <s v="www.agenziaimmobiliarearbuatti.com"/>
    <s v="antoine.arbuatti@tiscali.it"/>
    <s v="RESIDENCE SAINT TROPEZ - NUMANA"/>
  </r>
  <r>
    <x v="2"/>
    <s v="RESIDENCE SAN MARINO"/>
    <s v="via san marino 2"/>
    <x v="222"/>
    <s v="PEDASO"/>
    <m/>
    <s v="valterossi@alice.it"/>
    <s v="RESIDENCE SAN MARINO - PEDASO"/>
  </r>
  <r>
    <x v="2"/>
    <s v="RESIDENCE SEASIDE"/>
    <s v="Via dei Mille 127"/>
    <x v="12"/>
    <s v="SAN BENEDETTO DEL TRONTO"/>
    <m/>
    <s v="info@seaside.it"/>
    <s v="RESIDENCE SEASIDE - SAN BENEDETTO DEL TRONTO"/>
  </r>
  <r>
    <x v="2"/>
    <s v="RESIDENCE SENBHOTEL 1"/>
    <s v="viale Bonopera 32"/>
    <x v="16"/>
    <m/>
    <s v="www.senbhotel.it"/>
    <s v="info@senbhotel.it"/>
    <s v="RESIDENCE SENBHOTEL 1 - SENIGALLIA"/>
  </r>
  <r>
    <x v="2"/>
    <s v="RESIDENCE SENBHOTEL 2"/>
    <s v="via Bonopera 32"/>
    <x v="16"/>
    <m/>
    <s v="www.senbhotel.it"/>
    <s v="info@senbhotel.it"/>
    <s v="RESIDENCE SENBHOTEL 2 - SENIGALLIA"/>
  </r>
  <r>
    <x v="2"/>
    <s v="RESIDENCE SETTEBELLO di ANGELLOTTI LEOPOLDO"/>
    <s v="via dei Mille 21/23"/>
    <x v="12"/>
    <m/>
    <s v="www.residencesettebello.it"/>
    <s v="info@residencesettebello.it"/>
    <s v="RESIDENCE SETTEBELLO di ANGELLOTTI LEOPOLDO - SAN BENEDETTO DEL TRONTO"/>
  </r>
  <r>
    <x v="3"/>
    <s v="RESIDENCE SOLE DEL CONERO"/>
    <s v="frazione varano 383"/>
    <x v="10"/>
    <s v="ANCONA"/>
    <s v="www.residencesoledelconero.com"/>
    <s v="info@residencesoledelconero.com"/>
    <s v="RESIDENCE SOLE DEL CONERO - ANCONA"/>
  </r>
  <r>
    <x v="3"/>
    <s v="RESIDENCE TAORMINA"/>
    <s v="via g. battista pergolesi 30"/>
    <x v="12"/>
    <s v="SAN BENEDETTO DEL TRONTO"/>
    <s v="www.hoteltaormina.it"/>
    <s v="info@hoteltaormina.it"/>
    <s v="RESIDENCE TAORMINA - SAN BENEDETTO DEL TRONTO"/>
  </r>
  <r>
    <x v="3"/>
    <s v="RESIDENCE TORRE DEL SASSO"/>
    <s v="localita' via stratta 1"/>
    <x v="75"/>
    <s v="CAGLI"/>
    <m/>
    <m/>
    <s v="RESIDENCE TORRE DEL SASSO - CAGLI"/>
  </r>
  <r>
    <x v="3"/>
    <s v="RESIDENCE TRE TORRI"/>
    <s v="via Torino 4"/>
    <x v="151"/>
    <s v="ASCOLI PICENO"/>
    <m/>
    <s v="gruppo-brandimarte@libero.it"/>
    <s v="RESIDENCE TRE TORRI - ASCOLI PICENO"/>
  </r>
  <r>
    <x v="3"/>
    <s v="RESIDENCE VANVITELLI"/>
    <s v="vicolo della serpe 2"/>
    <x v="10"/>
    <s v="ANCONA"/>
    <s v="www.residencevanvitelli.it"/>
    <s v="info@residencevanvitelli.it"/>
    <s v="RESIDENCE VANVITELLI - ANCONA"/>
  </r>
  <r>
    <x v="9"/>
    <s v="RESIDENCE VENANZINA PENNESI"/>
    <m/>
    <x v="42"/>
    <s v="CAMERINO"/>
    <m/>
    <m/>
    <s v="RESIDENCE VENANZINA PENNESI - CAMERINO"/>
  </r>
  <r>
    <x v="3"/>
    <s v="RESIDENCE VILLA CLAUDIA"/>
    <s v="via scossicci 17"/>
    <x v="23"/>
    <s v="PORTO RECANATI"/>
    <m/>
    <s v="info@villa-claudia.com"/>
    <s v="RESIDENCE VILLA CLAUDIA - PORTO RECANATI"/>
  </r>
  <r>
    <x v="5"/>
    <s v="RESIDENZA AMBROGI LUXURY B&amp;B"/>
    <s v="Piazzale Roma 1/A"/>
    <x v="1"/>
    <s v="URBINO"/>
    <s v="www.residenzambrogi.com"/>
    <s v="info@residenzambrogi.com"/>
    <s v="RESIDENZA AMBROGI LUXURY B&amp;B - URBINO"/>
  </r>
  <r>
    <x v="7"/>
    <s v="RESIDENZA AURORA"/>
    <s v="via della Fiera 1"/>
    <x v="155"/>
    <m/>
    <m/>
    <s v="info@appartamentigradara.com"/>
    <s v="RESIDENZA AURORA - GRADARA"/>
  </r>
  <r>
    <x v="9"/>
    <s v="RESIDENZA BONGIOVANNI"/>
    <s v="via b. bongiovanni 13"/>
    <x v="42"/>
    <s v="CAMERINO"/>
    <m/>
    <m/>
    <s v="RESIDENZA BONGIOVANNI - CAMERINO"/>
  </r>
  <r>
    <x v="3"/>
    <s v="RESIDENZA CASTELLETTA"/>
    <s v="Località Castelletta 108/A"/>
    <x v="21"/>
    <s v="CASTELLETTA"/>
    <m/>
    <s v="info@ilchirottero.it"/>
    <s v="RESIDENZA CASTELLETTA - FABRIANO"/>
  </r>
  <r>
    <x v="2"/>
    <s v="RESIDENZA DEI CAPITANI"/>
    <s v="via dei Tibaldeschi 3"/>
    <x v="151"/>
    <s v="ASCOLI PICENO"/>
    <s v="www.palazzoguiderocchi.com"/>
    <s v="info@palazzoguiderocchi.com"/>
    <s v="RESIDENZA DEI CAPITANI - ASCOLI PICENO"/>
  </r>
  <r>
    <x v="3"/>
    <s v="RESIDENZA DEL BORGO"/>
    <s v="piazza Umberto I 7"/>
    <x v="229"/>
    <m/>
    <m/>
    <s v="plan.habitat@libero.it"/>
    <s v="RESIDENZA DEL BORGO - RIPE SAN GINESIO"/>
  </r>
  <r>
    <x v="1"/>
    <s v="RESIDENZA DEL GRAND HOTEL MICHELACCI"/>
    <s v="Via Panoramica 6"/>
    <x v="28"/>
    <s v="GABICCE MARE"/>
    <s v="www.michelacci.com"/>
    <s v="info@michelacci.com"/>
    <s v="RESIDENZA DEL GRAND HOTEL MICHELACCI - GABICCE MARE"/>
  </r>
  <r>
    <x v="3"/>
    <s v="RESIDENZA DELLO SQUERO"/>
    <s v="Via dello squero 22/A"/>
    <x v="33"/>
    <m/>
    <s v="www.losquero-bb.it"/>
    <s v="info@losquero-bb.it"/>
    <s v="RESIDENZA DELLO SQUERO - FANO"/>
  </r>
  <r>
    <x v="3"/>
    <s v="RESIDENZA ECOLOGICA CASABIANCA"/>
    <s v="via Riva del Pescatore 15"/>
    <x v="37"/>
    <s v="CASABIANCA"/>
    <m/>
    <s v="residenzacasabianca@libero.it"/>
    <s v="RESIDENZA ECOLOGICA CASABIANCA - FERMO"/>
  </r>
  <r>
    <x v="3"/>
    <s v="RESIDENZA IDA"/>
    <s v="Via Roma 5"/>
    <x v="30"/>
    <s v="OFFIDA"/>
    <m/>
    <s v="nespeca.nerio@alice.it"/>
    <s v="RESIDENZA IDA - OFFIDA"/>
  </r>
  <r>
    <x v="1"/>
    <s v="RESIDENZA LA CERAMICA"/>
    <s v="via della ceramica 10"/>
    <x v="21"/>
    <s v="FABRIANO"/>
    <s v="www.residenzalaceramica.com"/>
    <s v="info@residenzalaceramica.com"/>
    <s v="RESIDENZA LA CERAMICA - FABRIANO"/>
  </r>
  <r>
    <x v="3"/>
    <s v="RESIDENZA LA QUIETE"/>
    <s v="via Umberto I 41"/>
    <x v="145"/>
    <m/>
    <m/>
    <s v="mario.schiano@beniculturali.it"/>
    <s v="RESIDENZA LA QUIETE - MATELICA"/>
  </r>
  <r>
    <x v="2"/>
    <s v="RESIDENZA LA SIGNORA"/>
    <s v="piazza John Fitzgerald Kennedy 1"/>
    <x v="20"/>
    <s v="MAROTTA"/>
    <m/>
    <s v="fabriziagibiino@gmail.com"/>
    <s v="RESIDENZA LA SIGNORA - MONDOLFO"/>
  </r>
  <r>
    <x v="3"/>
    <s v="RESIDENZA LARGO VALENTINI"/>
    <s v="largo valentini 4"/>
    <x v="42"/>
    <s v="CAMERINO"/>
    <m/>
    <m/>
    <s v="RESIDENZA LARGO VALENTINI - CAMERINO"/>
  </r>
  <r>
    <x v="7"/>
    <s v="RESIDENZA MARANO"/>
    <s v="via Nico Ceccarelli 2"/>
    <x v="32"/>
    <m/>
    <m/>
    <s v="info@residenzamarano.it"/>
    <s v="RESIDENZA MARANO - CUPRA MARITTIMA"/>
  </r>
  <r>
    <x v="9"/>
    <s v="RESIDENZA SAN FRANCESCO"/>
    <s v="via San  Francesco snc"/>
    <x v="145"/>
    <m/>
    <m/>
    <s v="servizi@ersucam.it"/>
    <s v="RESIDENZA SAN FRANCESCO - MATELICA"/>
  </r>
  <r>
    <x v="8"/>
    <s v="RESIDENZA SAN GIROLAMO"/>
    <s v="San Girolamo 1"/>
    <x v="100"/>
    <s v="SAN GIROLAMO"/>
    <s v="www.sangirolamo.com"/>
    <s v="info@sangirolamo.com"/>
    <s v="RESIDENZA SAN GIROLAMO - FRONTINO"/>
  </r>
  <r>
    <x v="9"/>
    <s v="RESIDENZA UNIVERSITARIA C.CRIVELLI"/>
    <s v="loc. Brecciarolo 42"/>
    <x v="151"/>
    <s v="Brecciarolo"/>
    <m/>
    <s v="servizi@ersucam.it"/>
    <s v="RESIDENZA UNIVERSITARIA C.CRIVELLI - ASCOLI PICENO"/>
  </r>
  <r>
    <x v="9"/>
    <s v="RESIDENZA UNIVERSITARIA MERCANTINI"/>
    <s v="via L. Mercantini 51"/>
    <x v="151"/>
    <m/>
    <m/>
    <s v="servizi@ersucam.it"/>
    <s v="RESIDENZA UNIVERSITARIA MERCANTINI - ASCOLI PICENO"/>
  </r>
  <r>
    <x v="9"/>
    <s v="RESIDENZA UNIVERSITARIA PAPAVERO"/>
    <s v="via Rua del Papavero 6"/>
    <x v="151"/>
    <m/>
    <m/>
    <s v="ersu.camerino@ersucam.it"/>
    <s v="RESIDENZA UNIVERSITARIA PAPAVERO - ASCOLI PICENO"/>
  </r>
  <r>
    <x v="9"/>
    <s v="RESIDENZA UNIVERSITARIA RUFO"/>
    <s v="via Quinto Curzio Rufo 4"/>
    <x v="151"/>
    <m/>
    <m/>
    <s v="servizi@ersucam.it"/>
    <s v="RESIDENZA UNIVERSITARIA RUFO - ASCOLI PICENO"/>
  </r>
  <r>
    <x v="3"/>
    <s v="RESIDENZE VERDEQUIETE"/>
    <s v="contrada vecciola 155"/>
    <x v="11"/>
    <s v="SARNANO"/>
    <s v="www.residenzeverdequiete.it"/>
    <s v="info@residenzeverdequiete.it"/>
    <s v="RESIDENZE VERDEQUIETE - SARNANO"/>
  </r>
  <r>
    <x v="3"/>
    <s v="RESORT CUPRA"/>
    <s v="Via Alcide de Gasperi 14"/>
    <x v="32"/>
    <s v="CUPRA MARITTIMA"/>
    <m/>
    <s v="info@disabatino.it"/>
    <s v="RESORT CUPRA - CUPRA MARITTIMA"/>
  </r>
  <r>
    <x v="3"/>
    <s v="RESORT DI SABATINO"/>
    <s v="via A. Vipera 30"/>
    <x v="151"/>
    <s v="centro storico"/>
    <s v="www.disabatino.it"/>
    <s v="comunicazioni@disabatino.it"/>
    <s v="RESORT DI SABATINO - ASCOLI PICENO"/>
  </r>
  <r>
    <x v="1"/>
    <s v="REX"/>
    <s v="via eritrea 1"/>
    <x v="28"/>
    <s v="GABICCE MARE"/>
    <s v="www.hotelrex.com"/>
    <s v="rex@gabiccemare.com"/>
    <s v="REX - GABICCE MARE"/>
  </r>
  <r>
    <x v="1"/>
    <s v="REX"/>
    <s v="lungomare italia 67"/>
    <x v="16"/>
    <s v="SENIGALLIA"/>
    <s v="www.hotelrexsenigallia.it"/>
    <s v="info@hotelrexsenigallia.it"/>
    <s v="REX - SENIGALLIA"/>
  </r>
  <r>
    <x v="7"/>
    <s v="RICCARDI SANDRO"/>
    <s v="Via Raffaello Sanzio 186"/>
    <x v="16"/>
    <s v="SENIGALLIA"/>
    <m/>
    <s v="sandro.riccardi@alice.it"/>
    <s v="RICCARDI SANDRO - SENIGALLIA"/>
  </r>
  <r>
    <x v="7"/>
    <s v="RICCI ERNESTO"/>
    <s v="via Vittorio Veneto  135"/>
    <x v="28"/>
    <m/>
    <m/>
    <m/>
    <s v="RICCI ERNESTO - GABICCE MARE"/>
  </r>
  <r>
    <x v="7"/>
    <s v="RICCI FAUSTO"/>
    <s v="via Flaminia 396"/>
    <x v="10"/>
    <m/>
    <m/>
    <s v="stefifausto@vodafone.it"/>
    <s v="RICCI FAUSTO - ANCONA"/>
  </r>
  <r>
    <x v="7"/>
    <s v="RICCI MARCO"/>
    <s v="Frazione San Savino - Strada Provinciale 424 SNC"/>
    <x v="75"/>
    <s v="SAN SAVINO"/>
    <m/>
    <s v="casalecanneto@libero.it"/>
    <s v="RICCI MARCO - CAGLI"/>
  </r>
  <r>
    <x v="7"/>
    <s v="RICCI TERESA"/>
    <s v="via Marco Polo 3"/>
    <x v="28"/>
    <m/>
    <m/>
    <m/>
    <s v="RICCI TERESA - GABICCE MARE"/>
  </r>
  <r>
    <x v="7"/>
    <s v="RICCI TIZIANA"/>
    <s v="vicolo Mgellano 14"/>
    <x v="28"/>
    <m/>
    <m/>
    <m/>
    <s v="RICCI TIZIANA - GABICCE MARE"/>
  </r>
  <r>
    <x v="0"/>
    <s v="RICOLANDO"/>
    <s v="via Nevola 66"/>
    <x v="60"/>
    <m/>
    <m/>
    <s v="info@ricolando.it"/>
    <s v="RICOLANDO - CORINALDO"/>
  </r>
  <r>
    <x v="7"/>
    <s v="RIDOLFI PAOLA"/>
    <s v="via Vittorio Veneto 72"/>
    <x v="28"/>
    <m/>
    <m/>
    <m/>
    <s v="RIDOLFI PAOLA - GABICCE MARE"/>
  </r>
  <r>
    <x v="7"/>
    <s v="RIFINO MARCANTONIO"/>
    <s v="Strada Mondolfo 42"/>
    <x v="94"/>
    <s v="SAN COSTANZO"/>
    <m/>
    <m/>
    <s v="RIFINO MARCANTONIO - SAN COSTANZO"/>
  </r>
  <r>
    <x v="14"/>
    <s v="RIFUGIO ALPINO DEL FARGNO"/>
    <m/>
    <x v="201"/>
    <s v="loc. Casali"/>
    <s v="www.rifugiodelfargno.it"/>
    <s v="rifugiodelfargno@gmail.com"/>
    <s v="RIFUGIO ALPINO DEL FARGNO - USSITA"/>
  </r>
  <r>
    <x v="14"/>
    <s v="RIFUGIO ALTINO"/>
    <s v="frazione Altino 1"/>
    <x v="153"/>
    <s v="MONTEMONACO"/>
    <m/>
    <m/>
    <s v="RIFUGIO ALTINO - MONTEMONACO"/>
  </r>
  <r>
    <x v="14"/>
    <s v="RIFUGIO CASALI"/>
    <s v="Via Sant'Anastasio SNC"/>
    <x v="201"/>
    <s v="CASALI"/>
    <m/>
    <m/>
    <s v="RIFUGIO CASALI - USSITA"/>
  </r>
  <r>
    <x v="14"/>
    <s v="RIFUGIO DEGLI ALPINI G. GIACOMINI"/>
    <s v="via Forca di Presta 1"/>
    <x v="157"/>
    <s v="ARQUATA DEL TRONTO"/>
    <s v="www.laterradellemeraviglie.it"/>
    <s v="rifugiomontisibillini@gmail.com"/>
    <s v="RIFUGIO DEGLI ALPINI G. GIACOMINI - ARQUATA DEL TRONTO"/>
  </r>
  <r>
    <x v="14"/>
    <s v="RIFUGIO ESCURSIONISTICO DI COLLE LE CESE"/>
    <s v="frazione Forca Canapine 1"/>
    <x v="157"/>
    <s v="FORCA CANAPINE"/>
    <s v="www.rifugiocollelecese.it"/>
    <s v="info@rifugiocollelecese.it"/>
    <s v="RIFUGIO ESCURSIONISTICO DI COLLE LE CESE - ARQUATA DEL TRONTO"/>
  </r>
  <r>
    <x v="14"/>
    <s v="RIFUGIO ESCURSIONISTICO DI CUPI"/>
    <s v="via Piana  1"/>
    <x v="49"/>
    <s v="FRAZIONE CUPI"/>
    <s v="www.rifugiocupi.it"/>
    <s v="rifugiocupi@gmail.com"/>
    <s v="RIFUGIO ESCURSIONISTICO DI CUPI - VISSO"/>
  </r>
  <r>
    <x v="14"/>
    <s v="RIFUGIO ESCURSIONISTICO MARIO PACI"/>
    <s v="strada provinciale 76 Colle San Marco 76"/>
    <x v="151"/>
    <s v="COLLE LA PELERA"/>
    <s v="www.rifugiopaci.it"/>
    <s v="info@rifugiopaci.it"/>
    <s v="RIFUGIO ESCURSIONISTICO MARIO PACI - ASCOLI PICENO"/>
  </r>
  <r>
    <x v="14"/>
    <s v="RIFUGIO ESCURSIONISTICO SAN LORENZO"/>
    <s v="Località Bacciardi - San Lorenzo SNC"/>
    <x v="25"/>
    <s v="BACCIARDI"/>
    <m/>
    <s v="comunanza.rocca.leonella@gmail.com"/>
    <s v="RIFUGIO ESCURSIONISTICO SAN LORENZO - PIOBBICO"/>
  </r>
  <r>
    <x v="14"/>
    <s v="RIFUGIO ESCURSIONISTICO SOTTO VENTO"/>
    <s v="frazione Colle 12"/>
    <x v="84"/>
    <s v="MONTEGALLO"/>
    <s v="www.rifugiocollesibillini.it"/>
    <s v="sibillini.colle@libero.it"/>
    <s v="RIFUGIO ESCURSIONISTICO SOTTO VENTO - MONTEGALLO"/>
  </r>
  <r>
    <x v="14"/>
    <s v="RIFUGIO MONTE CATRIA COTALINE 1400"/>
    <m/>
    <x v="138"/>
    <s v="Monte Acuto"/>
    <m/>
    <s v="cupadellecotaline@gmail.com"/>
    <s v="RIFUGIO MONTE CATRIA COTALINE 1400 - FRONTONE"/>
  </r>
  <r>
    <x v="14"/>
    <s v="RIFUGIO RUBBIANO"/>
    <s v="loc. Rubbiano 26"/>
    <x v="45"/>
    <m/>
    <s v="www.rifugiorubbiano.com"/>
    <s v="rifugiorubbiano@gmail.com"/>
    <s v="RIFUGIO RUBBIANO - MONTEFORTINO"/>
  </r>
  <r>
    <x v="14"/>
    <s v="RIFUGIO SIBILLA 1540"/>
    <m/>
    <x v="153"/>
    <m/>
    <m/>
    <m/>
    <s v="RIFUGIO SIBILLA 1540 - MONTEMONACO"/>
  </r>
  <r>
    <x v="1"/>
    <s v="RINA"/>
    <s v="via Tacito 20"/>
    <x v="12"/>
    <s v="SAN BENEDETTO DEL TRONTO"/>
    <s v="hotelpensionerina.it"/>
    <s v="hotelrina@virgilio.it"/>
    <s v="RINA - SAN BENEDETTO DEL TRONTO"/>
  </r>
  <r>
    <x v="0"/>
    <s v="RIO ETE"/>
    <s v="contrada san girolamo 1"/>
    <x v="37"/>
    <s v="FERMO"/>
    <m/>
    <m/>
    <s v="RIO ETE - FERMO"/>
  </r>
  <r>
    <x v="0"/>
    <s v="RIPABIANCA"/>
    <s v="via ripa bianca 7"/>
    <x v="4"/>
    <s v="JESI"/>
    <s v="www.ripabianca.com"/>
    <s v="info@ripabianca.com"/>
    <s v="RIPABIANCA - JESI"/>
  </r>
  <r>
    <x v="7"/>
    <s v="RIPESI ANGELA"/>
    <s v="Lungomare Italia 123"/>
    <x v="16"/>
    <s v="MARZOCCA"/>
    <m/>
    <s v="angela@eos-web.it"/>
    <s v="RIPESI ANGELA - SENIGALLIA"/>
  </r>
  <r>
    <x v="7"/>
    <s v="RIPESI ROLANDO"/>
    <s v="Lungomare Italia 123"/>
    <x v="16"/>
    <s v="MARZOCCA"/>
    <m/>
    <s v="rolandoripesi@libero.it"/>
    <s v="RIPESI ROLANDO - SENIGALLIA"/>
  </r>
  <r>
    <x v="1"/>
    <s v="RISTO' TADDEO E FEDERICO"/>
    <s v="via Mancini 4"/>
    <x v="58"/>
    <s v="SANT' ANGELO IN VADO"/>
    <s v="www.palazzobaldani.it"/>
    <s v="info@palazzobaldani.it"/>
    <s v="RISTO' TADDEO E FEDERICO - SANT'ANGELO IN VADO"/>
  </r>
  <r>
    <x v="1"/>
    <s v="RISTORANTE ALBERGO BORGO MONTEMAGGIORE"/>
    <s v="piazza Bramante  8"/>
    <x v="211"/>
    <s v="Montemaggiore al Metauro"/>
    <s v="www.borgomontemaggiore.it"/>
    <s v="info@borgomontemaggiore.it"/>
    <s v="RISTORANTE ALBERGO BORGO MONTEMAGGIORE - MONTEMAGGIORE AL METAURO"/>
  </r>
  <r>
    <x v="3"/>
    <s v="RISTORANTE DA RENATA"/>
    <s v="via Vittorio Veneto  20"/>
    <x v="192"/>
    <m/>
    <m/>
    <m/>
    <s v="RISTORANTE DA RENATA - TAVOLETO"/>
  </r>
  <r>
    <x v="3"/>
    <s v="RISTORANTE DELLE ROSE"/>
    <s v="via delle Querce 1"/>
    <x v="41"/>
    <m/>
    <m/>
    <s v="info@ristorantedellerose.it"/>
    <s v="RISTORANTE DELLE ROSE - MONTEMARCIANO"/>
  </r>
  <r>
    <x v="8"/>
    <s v="RISTORANTE LOCANDA CANTALUPO"/>
    <s v="c.da Fossalupara 7"/>
    <x v="219"/>
    <s v="MONTEFANO"/>
    <m/>
    <s v="gruppofood@virgilio.it"/>
    <s v="RISTORANTE LOCANDA CANTALUPO - MONTEFANO"/>
  </r>
  <r>
    <x v="3"/>
    <s v="RISTORANTE LOCANDA I PICENI"/>
    <s v="PIAZZA MARCELLO SAVINI  1"/>
    <x v="198"/>
    <s v="ORTEZZANO"/>
    <s v="www.locandaipiceni.it"/>
    <s v="locandaipiceni@virgilio.it"/>
    <s v="RISTORANTE LOCANDA I PICENI - ORTEZZANO"/>
  </r>
  <r>
    <x v="3"/>
    <s v="RISTORANTE MARIOLINO"/>
    <s v="via Capri 17"/>
    <x v="9"/>
    <s v="NUMANA"/>
    <m/>
    <s v="info@ristorantemariolino.it; santo8177@tiscali.it"/>
    <s v="RISTORANTE MARIOLINO - NUMANA"/>
  </r>
  <r>
    <x v="3"/>
    <s v="RISTORANTE PENSIONE MARCHETTI"/>
    <s v="via xx Settembre 153"/>
    <x v="122"/>
    <s v="CARASSAI"/>
    <s v="www.ristorantepensionemarchetti.it"/>
    <s v="info@ristorantepensionemarchetti.it"/>
    <s v="RISTORANTE PENSIONE MARCHETTI - CARASSAI"/>
  </r>
  <r>
    <x v="1"/>
    <s v="RISTORANTE SANPAOLO SRL"/>
    <s v="viale Antonio Gramsci 27"/>
    <x v="199"/>
    <s v="loc.Pagliare"/>
    <s v="www.hotelcountry.it"/>
    <s v="info@hotelcountry.it"/>
    <s v="RISTORANTE SANPAOLO SRL - SPINETOLI"/>
  </r>
  <r>
    <x v="1"/>
    <s v="RITA"/>
    <s v="lungomare mameli  138"/>
    <x v="16"/>
    <s v="SENIGALLIA"/>
    <s v="www.raggiazzurro.it"/>
    <s v="prenotazioni@raggiazzurro.it"/>
    <s v="RITA - SENIGALLIA"/>
  </r>
  <r>
    <x v="7"/>
    <s v="RIVA CRISTINA"/>
    <s v="via Sorrento 41"/>
    <x v="9"/>
    <m/>
    <m/>
    <s v="cristina.riva.gemc@alice.it"/>
    <s v="RIVA CRISTINA - NUMANA"/>
  </r>
  <r>
    <x v="12"/>
    <s v="RIVA DEI PINI"/>
    <s v="via lungomare Fermano  4"/>
    <x v="37"/>
    <s v="FERMO"/>
    <s v="www.rivadeipini.it"/>
    <s v="info@rivadeipini.it"/>
    <s v="RIVA DEI PINI - FERMO"/>
  </r>
  <r>
    <x v="6"/>
    <s v="RIVA VERDE"/>
    <s v="Statale Adriatica snc"/>
    <x v="133"/>
    <s v="ALTIDONA"/>
    <s v="www.rivaverde.it"/>
    <s v="info@rivaverde.it"/>
    <s v="RIVA VERDE - ALTIDONA"/>
  </r>
  <r>
    <x v="4"/>
    <s v="RIVA VERDE 1"/>
    <s v="via aprutina 75 75"/>
    <x v="133"/>
    <s v="MARINA DI ALTIDONA"/>
    <s v="info@rivaverde.it"/>
    <s v="www.rivaverde.it"/>
    <s v="RIVA VERDE 1 - ALTIDONA"/>
  </r>
  <r>
    <x v="4"/>
    <s v="RIVA VERDE 2"/>
    <s v="via aprutina 75 75"/>
    <x v="133"/>
    <s v="MARINA DI ALTIDONA"/>
    <s v="info@rivaverde.it"/>
    <s v="www.rivaverde.it"/>
    <s v="RIVA VERDE 2 - ALTIDONA"/>
  </r>
  <r>
    <x v="4"/>
    <s v="RIVABELLA"/>
    <s v="VIALE EUROPA   17"/>
    <x v="12"/>
    <m/>
    <m/>
    <m/>
    <s v="RIVABELLA - SAN BENEDETTO DEL TRONTO"/>
  </r>
  <r>
    <x v="1"/>
    <s v="RIVAMARE"/>
    <s v="via Montecatino - Statale 16 Adriatica km 373 59"/>
    <x v="73"/>
    <s v="MARINA DI MASSIGNANO"/>
    <s v="www.rivamare.it"/>
    <s v="hotel@rivamare.it - info@rivamare.it"/>
    <s v="RIVAMARE - MASSIGNANO"/>
  </r>
  <r>
    <x v="1"/>
    <s v="RIVAZZURRA"/>
    <s v="viale Trieste 93"/>
    <x v="69"/>
    <s v="PESARO"/>
    <s v="www.rivazzurrahotel.it"/>
    <s v="info@rivazzurrahotel.it"/>
    <s v="RIVAZZURRA - PESARO"/>
  </r>
  <r>
    <x v="1"/>
    <s v="RIVIERA"/>
    <s v="via orazio 8"/>
    <x v="12"/>
    <s v="SAN BENEDETTO DEL TRONTO"/>
    <s v="www.hotelriviera.ap.it; www.hotelrivierasanbenedetto.it"/>
    <s v="info@hotelriviera.ap.it;info@hotelrivierasanbene"/>
    <s v="RIVIERA - SAN BENEDETTO DEL TRONTO"/>
  </r>
  <r>
    <x v="1"/>
    <s v="RIVIERA"/>
    <s v="via san martino 30"/>
    <x v="47"/>
    <s v="PORTO SAN GIORGIO"/>
    <s v="www.hriviera.net"/>
    <s v="rivierahotel@tin.it"/>
    <s v="RIVIERA - PORTO SAN GIORGIO"/>
  </r>
  <r>
    <x v="9"/>
    <s v="RIVOROSSO"/>
    <m/>
    <x v="153"/>
    <s v="VALLEGRASCIA"/>
    <m/>
    <m/>
    <s v="RIVOROSSO - MONTEMONACO"/>
  </r>
  <r>
    <x v="0"/>
    <s v="ROBERT ENRICO PELLEGRINI"/>
    <s v="fraz. Avacelli 240"/>
    <x v="18"/>
    <s v="AVACELLI"/>
    <m/>
    <m/>
    <s v="ROBERT ENRICO PELLEGRINI - ARCEVIA"/>
  </r>
  <r>
    <x v="7"/>
    <s v="ROBERTI LUCA"/>
    <s v="Lungomare Mameli 240"/>
    <x v="16"/>
    <s v="SENIGALLIA"/>
    <m/>
    <s v="affittestivi@belenchia.com"/>
    <s v="ROBERTI LUCA - SENIGALLIA"/>
  </r>
  <r>
    <x v="7"/>
    <s v="ROBERTI LUCIO"/>
    <s v="Lungomare Mameli 240"/>
    <x v="16"/>
    <s v="SENIGALLIA"/>
    <m/>
    <s v="affittiestivi@belenchia.com"/>
    <s v="ROBERTI LUCIO - SENIGALLIA"/>
  </r>
  <r>
    <x v="5"/>
    <s v="ROBERTO ANTOLINI"/>
    <m/>
    <x v="37"/>
    <s v="Fermo"/>
    <m/>
    <m/>
    <s v="ROBERTO ANTOLINI - FERMO"/>
  </r>
  <r>
    <x v="6"/>
    <s v="ROCCA MARE"/>
    <s v="via Adriatica snc"/>
    <x v="22"/>
    <s v="FALCONARA MARITTIMA"/>
    <s v="www.campingroccamare.it"/>
    <s v="info@campingroccamare.it"/>
    <s v="ROCCA MARE - FALCONARA MARITTIMA"/>
  </r>
  <r>
    <x v="0"/>
    <s v="ROCCAMAIA"/>
    <s v="via roccamaia 22"/>
    <x v="185"/>
    <s v="PIEVEBOVIGLIANA"/>
    <s v="www.agriturismo-roccamaia.com"/>
    <s v="mail@agriturismo-roccamaia.com"/>
    <s v="ROCCAMAIA - PIEVEBOVIGLIANA"/>
  </r>
  <r>
    <x v="1"/>
    <s v="ROCCO LOCANDA &amp; RISTORANTE"/>
    <s v="via Torrione 1"/>
    <x v="8"/>
    <s v="SIROLO"/>
    <s v="www.locandarocco.it"/>
    <s v="info@locandarocco.it"/>
    <s v="ROCCO LOCANDA &amp; RISTORANTE - SIROLO"/>
  </r>
  <r>
    <x v="1"/>
    <s v="ROCK CRYSTAL"/>
    <s v="viale mare 46"/>
    <x v="28"/>
    <s v="GABICCE MARE"/>
    <s v="www.gabiccemareturismo.com"/>
    <s v="hotelrockcrystal@libero.it"/>
    <s v="ROCK CRYSTAL - GABICCE MARE"/>
  </r>
  <r>
    <x v="4"/>
    <s v="ROLANDO"/>
    <s v="Lungomare Piermanni 10"/>
    <x v="17"/>
    <s v="CIVITANOVA MARCHE"/>
    <m/>
    <m/>
    <s v="ROLANDO - CIVITANOVA MARCHE"/>
  </r>
  <r>
    <x v="1"/>
    <s v="ROMA"/>
    <s v="lungomare leonardo da vinci 20"/>
    <x v="16"/>
    <s v="SENIGALLIA"/>
    <s v="www.hotelroma.net"/>
    <s v="info@hotelroma.net"/>
    <s v="ROMA - SENIGALLIA"/>
  </r>
  <r>
    <x v="1"/>
    <s v="ROMA"/>
    <s v="piazza giuseppe garibaldi 6"/>
    <x v="42"/>
    <s v="CAMERINO"/>
    <m/>
    <m/>
    <s v="ROMA - CAMERINO"/>
  </r>
  <r>
    <x v="1"/>
    <s v="ROMA"/>
    <s v="viale Alcide de Gasperi 60"/>
    <x v="5"/>
    <s v="GROTTAMMARE"/>
    <s v="www.hotelromagrottammare.com"/>
    <s v="info@hotelromagrottammare.com"/>
    <s v="ROMA - GROTTAMMARE"/>
  </r>
  <r>
    <x v="1"/>
    <s v="ROMA"/>
    <s v="contrada Sant' Antonio 10"/>
    <x v="51"/>
    <s v="PETRITOLI"/>
    <s v="www.albergoroma.it"/>
    <s v="fulvital@tin.it"/>
    <s v="ROMA - PETRITOLI"/>
  </r>
  <r>
    <x v="13"/>
    <s v="ROMANI ENNIO - AGRICAMPEGGIO"/>
    <s v="località Metaurilia 39"/>
    <x v="33"/>
    <s v="FANO"/>
    <m/>
    <m/>
    <s v="ROMANI ENNIO - AGRICAMPEGGIO - FANO"/>
  </r>
  <r>
    <x v="7"/>
    <s v="ROMANINI GUIDO"/>
    <s v="Via Vittorini 1"/>
    <x v="69"/>
    <s v="PESARO"/>
    <m/>
    <s v="giovanni.romanini@gmail.com"/>
    <s v="ROMANINI GUIDO - PESARO"/>
  </r>
  <r>
    <x v="4"/>
    <s v="ROMANO"/>
    <s v="via flaminia 1 1"/>
    <x v="10"/>
    <s v="PALOMBINA NUOVA"/>
    <m/>
    <s v="stabilimentoromano@palombinabeach.it"/>
    <s v="ROMANO - ANCONA"/>
  </r>
  <r>
    <x v="4"/>
    <s v="ROMANO"/>
    <m/>
    <x v="10"/>
    <s v="PALOMBINA NUOVA"/>
    <s v="stabilimentoromano@palombinabeach.it"/>
    <m/>
    <s v="ROMANO - ANCONA"/>
  </r>
  <r>
    <x v="1"/>
    <s v="ROMANO"/>
    <s v="via Fonte Abeceto 30"/>
    <x v="3"/>
    <s v="RIPATRANSONE"/>
    <m/>
    <m/>
    <s v="ROMANO - RIPATRANSONE"/>
  </r>
  <r>
    <x v="5"/>
    <s v="ROMANTICO B&amp;B"/>
    <s v="via Mazzini 3"/>
    <x v="70"/>
    <m/>
    <s v="www.romanticobeb.it"/>
    <s v="vittorio.biancarosa@gmail.com"/>
    <s v="ROMANTICO B&amp;B - SERRA SANT'ABBONDIO"/>
  </r>
  <r>
    <x v="1"/>
    <s v="ROMANTICO K2"/>
    <s v="via trieste 8"/>
    <x v="28"/>
    <s v="GABICCE MARE"/>
    <s v="www.hotelromantico.it"/>
    <s v="info@hotelromantico.it"/>
    <s v="ROMANTICO K2 - GABICCE MARE"/>
  </r>
  <r>
    <x v="3"/>
    <s v="ROOMS DI MATTEO AFFITTACAMERE"/>
    <s v="Via Castellaro 14"/>
    <x v="233"/>
    <s v="SAN PAOLO DI JESI"/>
    <m/>
    <m/>
    <s v="ROOMS DI MATTEO AFFITTACAMERE - SAN PAOLO DI JESI"/>
  </r>
  <r>
    <x v="2"/>
    <s v="ROSA"/>
    <s v="via Vittorio Veneto 18"/>
    <x v="28"/>
    <s v="GABICCE MARE"/>
    <s v="www.gabiccemare.com/rosa"/>
    <s v="rosa@gabiccemare.com"/>
    <s v="ROSA - GABICCE MARE"/>
  </r>
  <r>
    <x v="3"/>
    <s v="ROSA BLU"/>
    <s v="Via Giovanni XXIII 35"/>
    <x v="17"/>
    <s v="CIVITANOVA MARCHE"/>
    <m/>
    <s v="stefynar@gmail.com"/>
    <s v="ROSA BLU - CIVITANOVA MARCHE"/>
  </r>
  <r>
    <x v="4"/>
    <s v="ROSA DEI VENTI"/>
    <s v="viale alcide de gasperi 71 71"/>
    <x v="5"/>
    <m/>
    <m/>
    <m/>
    <s v="ROSA DEI VENTI - GROTTAMMARE"/>
  </r>
  <r>
    <x v="0"/>
    <s v="ROSA DEI VENTI"/>
    <s v="via Tesino 261/b"/>
    <x v="30"/>
    <s v="Offida"/>
    <m/>
    <m/>
    <s v="ROSA DEI VENTI - OFFIDA"/>
  </r>
  <r>
    <x v="1"/>
    <s v="ROSA MEUBLE' GARNI"/>
    <s v="via edmondo de amicis 42"/>
    <x v="28"/>
    <s v="GABICCE MARE"/>
    <s v="www.gabiccemare.com/rosa"/>
    <s v="rosa@gabiccemare.com"/>
    <s v="ROSA MEUBLE' GARNI - GABICCE MARE"/>
  </r>
  <r>
    <x v="5"/>
    <s v="ROSA NEL POZZO"/>
    <s v="fraz. San Pietro in Musio 43"/>
    <x v="18"/>
    <s v="SAN PIETRO IN MUSIO"/>
    <s v="www.rosanelpozzo.com"/>
    <s v="info@rosanelpozzo.com"/>
    <s v="ROSA NEL POZZO - ARCEVIA"/>
  </r>
  <r>
    <x v="5"/>
    <s v="ROSA NEL POZZO"/>
    <s v="fraz. San Pietro in Musio 43"/>
    <x v="18"/>
    <s v="SAN PIETRO IN MUSIO"/>
    <s v="www.rosanelpozzo.com"/>
    <s v="info@rosanelpozzo.com"/>
    <s v="ROSA NEL POZZO - ARCEVIA"/>
  </r>
  <r>
    <x v="5"/>
    <s v="ROSADIPEPE"/>
    <s v="CONTRADA SAN SALVATORE 18"/>
    <x v="3"/>
    <s v="SAN SALVATORE"/>
    <m/>
    <s v="gabrytizi@gmail.com"/>
    <s v="ROSADIPEPE - RIPATRANSONE"/>
  </r>
  <r>
    <x v="7"/>
    <s v="ROSARA RELAX di PRETELLI PATRIZIA"/>
    <s v="frazione Venerosse di Rosara 5"/>
    <x v="151"/>
    <m/>
    <m/>
    <m/>
    <s v="ROSARA RELAX di PRETELLI PATRIZIA - ASCOLI PICENO"/>
  </r>
  <r>
    <x v="7"/>
    <s v="ROSATI FEDERICO"/>
    <s v="Viale Paradiso 36"/>
    <x v="174"/>
    <s v="CARPEGNA"/>
    <m/>
    <s v="info@campeggioparadiso.com"/>
    <s v="ROSATI FEDERICO - CARPEGNA"/>
  </r>
  <r>
    <x v="3"/>
    <s v="ROSE DI FRATTA"/>
    <s v="viale della liberta' 1"/>
    <x v="161"/>
    <s v="CUPRAMONTANA"/>
    <s v="www.rosedifratta.it"/>
    <s v="rosedifratta@gmail.com"/>
    <s v="ROSE DI FRATTA - CUPRAMONTANA"/>
  </r>
  <r>
    <x v="7"/>
    <s v="ROSSETTI MARIA LUISA"/>
    <m/>
    <x v="33"/>
    <m/>
    <m/>
    <s v="vernagianni@libero.it"/>
    <s v="ROSSETTI MARIA LUISA - FANO"/>
  </r>
  <r>
    <x v="7"/>
    <s v="ROSSI ILARIA"/>
    <s v="Gramsci 70/72"/>
    <x v="148"/>
    <s v="POTENZA PICENA"/>
    <m/>
    <m/>
    <s v="ROSSI ILARIA - POTENZA PICENA"/>
  </r>
  <r>
    <x v="7"/>
    <s v="ROSSI ROSSANO"/>
    <s v="via Angelini 4"/>
    <x v="224"/>
    <m/>
    <m/>
    <s v="rossanorossi@hotmail.com"/>
    <s v="ROSSI ROSSANO - BELFORTE ALL'ISAURO"/>
  </r>
  <r>
    <x v="7"/>
    <s v="ROSSI TOMMASO"/>
    <s v="via del Corso 31 31"/>
    <x v="60"/>
    <m/>
    <m/>
    <s v="tommasoros@tiscalinet.it"/>
    <s v="ROSSI TOMMASO - CORINALDO"/>
  </r>
  <r>
    <x v="0"/>
    <s v="ROSSO CONERO"/>
    <s v="frazione varano 147"/>
    <x v="10"/>
    <s v="ANCONA"/>
    <m/>
    <s v="info@fattorialucesole.it"/>
    <s v="ROSSO CONERO - ANCONA"/>
  </r>
  <r>
    <x v="0"/>
    <s v="ROSSOCOCOMERO"/>
    <s v="BETELLICO 29"/>
    <x v="8"/>
    <s v="SIROLO"/>
    <m/>
    <s v="ida.donninelli@virgilio.it"/>
    <s v="ROSSOCOCOMERO - SIROLO"/>
  </r>
  <r>
    <x v="1"/>
    <s v="ROYAL"/>
    <s v="viale cesare battisti 144"/>
    <x v="69"/>
    <s v="PESARO"/>
    <s v="www.innitalia.com"/>
    <s v="royal@innitalia.com"/>
    <s v="ROYAL - PESARO"/>
  </r>
  <r>
    <x v="1"/>
    <s v="ROYAL  HOTEL"/>
    <s v="via A. Ristori 30"/>
    <x v="12"/>
    <s v="SAN BENEDETTO DEL TRONTO"/>
    <s v="www.hotelroyalsbt.it"/>
    <s v="info@hotelroyalsbt.it"/>
    <s v="ROYAL  HOTEL - SAN BENEDETTO DEL TRONTO"/>
  </r>
  <r>
    <x v="4"/>
    <s v="RUFFINI ANTONIO N. 1/C"/>
    <s v="lungomare piermanni 1 C 1 C"/>
    <x v="17"/>
    <s v="CIVITANOVA MARCHE"/>
    <m/>
    <s v="balneare.antonio@alice.it"/>
    <s v="RUFFINI ANTONIO N. 1/C - CIVITANOVA MARCHE"/>
  </r>
  <r>
    <x v="1"/>
    <s v="RUHIG"/>
    <s v="via faa' di bruno 165"/>
    <x v="33"/>
    <s v="FANO"/>
    <s v="www.hotelruhig.com"/>
    <s v="info@hotelruhig.com"/>
    <s v="RUHIG - FANO"/>
  </r>
  <r>
    <x v="8"/>
    <s v="RUSTICO DEL BOZZO"/>
    <s v="contrada bozzo 30"/>
    <x v="187"/>
    <s v="CASTELLEONE DI SUASA"/>
    <m/>
    <s v="info@rusticodelbozzo.com"/>
    <s v="RUSTICO DEL BOZZO - CASTELLEONE DI SUASA"/>
  </r>
  <r>
    <x v="7"/>
    <s v="RUZZICONI MARIA PAOLA"/>
    <s v="LUNGOMARE MAMELI - TERZO PIANO 265"/>
    <x v="16"/>
    <s v="SENIGALLIA"/>
    <m/>
    <s v="affittiestivi@belenchia.com"/>
    <s v="RUZZICONI MARIA PAOLA - SENIGALLIA"/>
  </r>
  <r>
    <x v="0"/>
    <s v="S. ANNA"/>
    <s v="via sant'anna 10"/>
    <x v="134"/>
    <s v="CASTELPLANIO"/>
    <s v="www.campingagrituristsantanna.com"/>
    <s v="tranqui@pasadena.it"/>
    <s v="S. ANNA - CASTELPLANIO"/>
  </r>
  <r>
    <x v="4"/>
    <s v="SAARI BEACH"/>
    <s v="viale alcide de gasperi 75 75"/>
    <x v="5"/>
    <m/>
    <m/>
    <m/>
    <s v="SAARI BEACH - GROTTAMMARE"/>
  </r>
  <r>
    <x v="4"/>
    <s v="SABBIA"/>
    <s v="lungomare marconi 1 1"/>
    <x v="12"/>
    <m/>
    <m/>
    <m/>
    <s v="SABBIA - SAN BENEDETTO DEL TRONTO"/>
  </r>
  <r>
    <x v="4"/>
    <s v="SABIA"/>
    <s v="viale alcide de gasperi 79 79"/>
    <x v="5"/>
    <m/>
    <m/>
    <s v="www.valentinoresort.it"/>
    <s v="SABIA - GROTTAMMARE"/>
  </r>
  <r>
    <x v="7"/>
    <s v="SACCHI FERNANDA"/>
    <s v="AURELIANO 9"/>
    <x v="33"/>
    <m/>
    <m/>
    <s v="inesistente@regione.marche.it"/>
    <s v="SACCHI FERNANDA - FANO"/>
  </r>
  <r>
    <x v="9"/>
    <s v="SACRO CUORE"/>
    <s v="viale Giovanni Amendola 20"/>
    <x v="69"/>
    <s v="PESARO"/>
    <s v="www.piccoleancelledelsacrocuore.net/Accoglienza"/>
    <s v="coloniasacrocuore@pcn.net; suormarilena@email.it"/>
    <s v="SACRO CUORE - PESARO"/>
  </r>
  <r>
    <x v="7"/>
    <s v="SAGRATI ALBERTO APP.TO VIA PIERELLI"/>
    <s v="Via Pierelli 41"/>
    <x v="16"/>
    <s v="SENIGALLIA"/>
    <m/>
    <s v="affittiestivi@belenchia.com"/>
    <s v="SAGRATI ALBERTO APP.TO VIA PIERELLI - SENIGALLIA"/>
  </r>
  <r>
    <x v="7"/>
    <s v="SAGRATI ALBERTO APP.TO VIA PUGLIE"/>
    <s v="VIA PUGLIE 7"/>
    <x v="16"/>
    <s v="SENIGALLIA"/>
    <m/>
    <s v="affittiestivi@belenchia.com"/>
    <s v="SAGRATI ALBERTO APP.TO VIA PUGLIE - SENIGALLIA"/>
  </r>
  <r>
    <x v="7"/>
    <s v="SAGRATI ENZA"/>
    <s v="Lungomare Mameli 93"/>
    <x v="16"/>
    <s v="SENIGALLIA"/>
    <m/>
    <s v="affittiestivi@senigallia.it"/>
    <s v="SAGRATI ENZA - SENIGALLIA"/>
  </r>
  <r>
    <x v="7"/>
    <s v="SALATI VIVIANA"/>
    <s v="via Del Castellano 42"/>
    <x v="10"/>
    <m/>
    <m/>
    <m/>
    <s v="SALATI VIVIANA - ANCONA"/>
  </r>
  <r>
    <x v="4"/>
    <s v="SALE'"/>
    <m/>
    <x v="163"/>
    <m/>
    <m/>
    <m/>
    <s v="SALE' - PORTO SANT'ELPIDIO"/>
  </r>
  <r>
    <x v="0"/>
    <s v="SAN CRISTOFORO ALLA VALLUGOLA"/>
    <s v="strada di Vincolungo 16"/>
    <x v="69"/>
    <s v="PESARO"/>
    <s v="www.agriturismobaiavallugola.it"/>
    <s v="info@agriturismobaiavallugola.it"/>
    <s v="SAN CRISTOFORO ALLA VALLUGOLA - PESARO"/>
  </r>
  <r>
    <x v="4"/>
    <s v="SAN DIEGO BEACH"/>
    <m/>
    <x v="148"/>
    <s v="PORTO POTENZA PICENA"/>
    <m/>
    <m/>
    <s v="SAN DIEGO BEACH - POTENZA PICENA"/>
  </r>
  <r>
    <x v="1"/>
    <s v="SAN DOMENICO"/>
    <s v="piazza rinascimento 3"/>
    <x v="1"/>
    <s v="URBINO"/>
    <s v="www.viphotels.it"/>
    <s v="sandomenico@viphotels.it"/>
    <s v="SAN DOMENICO - URBINO"/>
  </r>
  <r>
    <x v="0"/>
    <s v="SAN FRANCESCO"/>
    <s v="c.da Monti 11"/>
    <x v="96"/>
    <s v="Montalto delle Marche"/>
    <s v="www.agriturismosanfrancesco.it"/>
    <s v="informazioni@agriturismosanfrancesco.it"/>
    <s v="SAN FRANCESCO - MONTALTO DELLE MARCHE"/>
  </r>
  <r>
    <x v="1"/>
    <s v="SAN FRANCESCO HOTEL"/>
    <s v="VIA SAN FRANCESCO 15"/>
    <x v="15"/>
    <s v="LORETO"/>
    <s v="www.loretosanfrancescohotel.it"/>
    <s v="info@loretosanfrancescohotel.it"/>
    <s v="SAN FRANCESCO HOTEL - LORETO"/>
  </r>
  <r>
    <x v="1"/>
    <s v="SAN GIACOMO"/>
    <s v="via Giacomo Leopardi 7"/>
    <x v="14"/>
    <s v="MONTEPRANDONE"/>
    <m/>
    <s v="info@hotel-sangiacomo.it"/>
    <s v="SAN GIACOMO - MONTEPRANDONE"/>
  </r>
  <r>
    <x v="1"/>
    <s v="SAN GIORGIO"/>
    <s v="via Borgo xx Settembre 37"/>
    <x v="180"/>
    <s v="MONTAPPONE"/>
    <m/>
    <s v="ristorante.s.giorgio@virgilio.it"/>
    <s v="SAN GIORGIO - MONTAPPONE"/>
  </r>
  <r>
    <x v="1"/>
    <s v="SAN GIOVANNI"/>
    <s v="via federico barocci 13"/>
    <x v="1"/>
    <s v="URBINO"/>
    <s v="www.albergosangiovanniurbino.it"/>
    <s v="info@albergosangiovanniurbino.it"/>
    <s v="SAN GIOVANNI - URBINO"/>
  </r>
  <r>
    <x v="9"/>
    <s v="SAN GIUSEPPE DA COPERTINO"/>
    <s v="piazza Gallo 10"/>
    <x v="44"/>
    <s v="OSIMO"/>
    <s v="www.sangiuseppedacopertino.net"/>
    <s v="cognigni.sergio@yahoo.it"/>
    <s v="SAN GIUSEPPE DA COPERTINO - OSIMO"/>
  </r>
  <r>
    <x v="9"/>
    <s v="SAN LIBERATO"/>
    <m/>
    <x v="132"/>
    <s v="SAN LIBERATO"/>
    <m/>
    <m/>
    <s v="SAN LIBERATO - SAN GINESIO"/>
  </r>
  <r>
    <x v="1"/>
    <s v="SAN LIBERATO"/>
    <s v="contrada vallato 1"/>
    <x v="132"/>
    <s v="SAN GINESIO"/>
    <m/>
    <m/>
    <s v="SAN LIBERATO - SAN GINESIO"/>
  </r>
  <r>
    <x v="0"/>
    <s v="SAN LORENZO"/>
    <s v="frazione san michele 91"/>
    <x v="21"/>
    <s v="FABRIANO"/>
    <s v="www.agriturismosanlorenzo.net"/>
    <s v="info@agriturismosanlorenzo.net"/>
    <s v="SAN LORENZO - FABRIANO"/>
  </r>
  <r>
    <x v="9"/>
    <s v="SAN LORENZO"/>
    <m/>
    <x v="153"/>
    <s v="SAN LORENZO"/>
    <m/>
    <m/>
    <s v="SAN LORENZO - MONTEMONACO"/>
  </r>
  <r>
    <x v="1"/>
    <s v="SAN MARCO"/>
    <s v="via giacomo leopardi 5"/>
    <x v="28"/>
    <s v="GABICCE MARE"/>
    <s v="www.sanmarcohotel.com"/>
    <s v="info@sanmarcohotel.com"/>
    <s v="SAN MARCO - GABICCE MARE"/>
  </r>
  <r>
    <x v="1"/>
    <s v="SAN MARCO"/>
    <s v="via faa' di bruno 43"/>
    <x v="20"/>
    <s v="MONDOLFO"/>
    <s v="www.hotelsanmarcomarotta.com"/>
    <s v="info@hotelsanmarcomarotta.com"/>
    <s v="SAN MARCO - MONDOLFO"/>
  </r>
  <r>
    <x v="1"/>
    <s v="SAN MARCO"/>
    <s v="viale xi Febbraio 32"/>
    <x v="69"/>
    <s v="PESARO"/>
    <s v="www.hotelsanmarcopu.it"/>
    <s v="h.sanmarco@libero.it"/>
    <s v="SAN MARCO - PESARO"/>
  </r>
  <r>
    <x v="4"/>
    <s v="SAN MARCO"/>
    <s v="Viale IV Novembre 30"/>
    <x v="17"/>
    <s v="CIVITANOVA MARCHE"/>
    <m/>
    <m/>
    <s v="SAN MARCO - CIVITANOVA MARCHE"/>
  </r>
  <r>
    <x v="0"/>
    <s v="SAN MICHELE"/>
    <s v="contrada san michele 5"/>
    <x v="105"/>
    <s v="COSSIGNANO"/>
    <s v="www.agriturismosanmichele.info"/>
    <s v="agriturismomichele@libero.it"/>
    <s v="SAN MICHELE - COSSIGNANO"/>
  </r>
  <r>
    <x v="1"/>
    <s v="SAN PAOLO HOTEL"/>
    <s v="via Faleriense Est 66"/>
    <x v="103"/>
    <s v="MONTEGIORGIO"/>
    <s v="www.sanpaolohotel.net"/>
    <s v="info@sanpaolohotel.net"/>
    <s v="SAN PAOLO HOTEL - MONTEGIORGIO"/>
  </r>
  <r>
    <x v="0"/>
    <s v="SAN SETTIMIO RISERVA PRIVATA"/>
    <s v="fraz. Palazzo 274"/>
    <x v="18"/>
    <s v="PALAZZO"/>
    <s v="www.sansettimio.it"/>
    <s v="info@sansettimio.it"/>
    <s v="SAN SETTIMIO RISERVA PRIVATA - ARCEVIA"/>
  </r>
  <r>
    <x v="0"/>
    <s v="SAN SEVERO"/>
    <s v="via san severo 3"/>
    <x v="191"/>
    <s v="MONTEFELCINO"/>
    <s v="www.agritursansevero.it"/>
    <m/>
    <s v="SAN SEVERO - MONTEFELCINO"/>
  </r>
  <r>
    <x v="0"/>
    <s v="SAN SILVESTRO"/>
    <s v="localita' Monte Scatto 1"/>
    <x v="75"/>
    <s v="CAGLI"/>
    <m/>
    <s v="info@agriturismo-sansilvestro.it"/>
    <s v="SAN SILVESTRO - CAGLI"/>
  </r>
  <r>
    <x v="1"/>
    <s v="SANTA CHIARA"/>
    <s v="corso Garibaldi 26"/>
    <x v="58"/>
    <s v="SANT' ANGELO IN VADO"/>
    <s v="www.santachiarahotel.it"/>
    <s v="info@santachiarahotel.it"/>
    <s v="SANTA CHIARA - SANT'ANGELO IN VADO"/>
  </r>
  <r>
    <x v="0"/>
    <s v="SANTA CRISTINA"/>
    <s v="localita' rosciano 4"/>
    <x v="33"/>
    <s v="FANO"/>
    <m/>
    <s v="info@agriturismosantacristina.it"/>
    <s v="SANTA CRISTINA - FANO"/>
  </r>
  <r>
    <x v="5"/>
    <s v="SANTA LUCIA"/>
    <s v="via acquaticcio 14"/>
    <x v="4"/>
    <s v="JESI"/>
    <m/>
    <m/>
    <s v="SANTA LUCIA - JESI"/>
  </r>
  <r>
    <x v="0"/>
    <s v="SANTA LUCIA DEI SIBILLINI"/>
    <s v="c.da santa lucia n.  31"/>
    <x v="45"/>
    <s v="loc.Montefortino"/>
    <m/>
    <s v="m.angellotti@confcommercio-ap.it"/>
    <s v="SANTA LUCIA DEI SIBILLINI - MONTEFORTINO"/>
  </r>
  <r>
    <x v="9"/>
    <s v="SANTA TERESA"/>
    <s v="piazzale Adolfo Cellini 5"/>
    <x v="3"/>
    <s v="RIPATRANSONE"/>
    <m/>
    <s v="teresiane.ripa@yahoo.com"/>
    <s v="SANTA TERESA - RIPATRANSONE"/>
  </r>
  <r>
    <x v="5"/>
    <s v="SANT'ALDEBRANDO BED&amp;BREAKFAST"/>
    <s v="VIA S. ALDEBRANDO 23"/>
    <x v="85"/>
    <s v="FOSSOMBRONE"/>
    <s v="www.bebsantaldebrando.com"/>
    <s v="info@bebsantaldebrando.com"/>
    <s v="SANT'ALDEBRANDO BED&amp;BREAKFAST - FOSSOMBRONE"/>
  </r>
  <r>
    <x v="0"/>
    <s v="SANT'ANTONIO"/>
    <s v="localita' gadana 55"/>
    <x v="1"/>
    <s v="URBINO"/>
    <m/>
    <s v="santantonio@simail.it"/>
    <s v="SANT'ANTONIO - URBINO"/>
  </r>
  <r>
    <x v="8"/>
    <s v="SANT'APOLLINARE FARMHOUSE RESORT"/>
    <s v="Località Sant'Apollinare via San Crecentino  5"/>
    <x v="24"/>
    <s v="SANT'APOLLINARE"/>
    <s v="www.farmhouseresort.it"/>
    <s v="marcoramberti@gmail.com"/>
    <s v="SANT'APOLLINARE FARMHOUSE RESORT - CANTIANO"/>
  </r>
  <r>
    <x v="4"/>
    <s v="SANTARELLI MORENA"/>
    <s v="lungomare gramsci 12 12"/>
    <x v="47"/>
    <s v="PORTO SAN GIORGIO"/>
    <m/>
    <m/>
    <s v="SANTARELLI MORENA - PORTO SAN GIORGIO"/>
  </r>
  <r>
    <x v="7"/>
    <s v="SANTINELLI ELENA"/>
    <s v="via Cesanense 160/f"/>
    <x v="143"/>
    <m/>
    <m/>
    <s v="pietrolucaelena@alice.it"/>
    <s v="SANTINELLI ELENA - MONTE PORZIO"/>
  </r>
  <r>
    <x v="7"/>
    <s v="SANTINELLI PIETRO"/>
    <s v="via Litoranea 137"/>
    <x v="20"/>
    <m/>
    <m/>
    <s v="pietrolucaelena@alice.it"/>
    <s v="SANTINELLI PIETRO - MONDOLFO"/>
  </r>
  <r>
    <x v="7"/>
    <s v="SANTINELLI PIETRO"/>
    <s v="viale Carducci 65"/>
    <x v="20"/>
    <m/>
    <m/>
    <m/>
    <s v="SANTINELLI PIETRO - MONDOLFO"/>
  </r>
  <r>
    <x v="7"/>
    <s v="SANTINI PAOLO"/>
    <s v="Via Mameli 229/A"/>
    <x v="16"/>
    <s v="SENIGALLIA"/>
    <m/>
    <s v="paolo.santini@cisl.it"/>
    <s v="SANTINI PAOLO - SENIGALLIA"/>
  </r>
  <r>
    <x v="7"/>
    <s v="SANTINI PAOLO APP.TO 1"/>
    <s v="Via Loretana 46"/>
    <x v="167"/>
    <s v="CAMERANO"/>
    <m/>
    <m/>
    <s v="SANTINI PAOLO APP.TO 1 - CAMERANO"/>
  </r>
  <r>
    <x v="7"/>
    <s v="SANTINI PAOLO APP.TO 2"/>
    <s v="Via Loretana  46"/>
    <x v="167"/>
    <s v="CAMERANO"/>
    <m/>
    <m/>
    <s v="SANTINI PAOLO APP.TO 2 - CAMERANO"/>
  </r>
  <r>
    <x v="7"/>
    <s v="SANTINI SERENELLA APP.TO 210/A"/>
    <s v="SS. Adriatica sud  210/A"/>
    <x v="33"/>
    <s v="FANO"/>
    <m/>
    <m/>
    <s v="SANTINI SERENELLA APP.TO 210/A - FANO"/>
  </r>
  <r>
    <x v="7"/>
    <s v="SANTINI SERENELLA APP.TO 210/B"/>
    <s v="SS. Adriatica sud 210/B"/>
    <x v="33"/>
    <s v="FANO"/>
    <m/>
    <m/>
    <s v="SANTINI SERENELLA APP.TO 210/B - FANO"/>
  </r>
  <r>
    <x v="7"/>
    <s v="SANTINI SERENELLA APP.TO 210/C"/>
    <s v="SS. Adriatica sud  210/C"/>
    <x v="33"/>
    <s v="FANO"/>
    <m/>
    <m/>
    <s v="SANTINI SERENELLA APP.TO 210/C - FANO"/>
  </r>
  <r>
    <x v="7"/>
    <s v="SANTINI SERENELLA APP.TO 212/A"/>
    <s v="SS. Adriatica sud 212/A"/>
    <x v="33"/>
    <s v="FANO"/>
    <m/>
    <m/>
    <s v="SANTINI SERENELLA APP.TO 212/A - FANO"/>
  </r>
  <r>
    <x v="7"/>
    <s v="SANTINI SERENELLA APP.TO 212/B"/>
    <s v="SS. Adriatica sud 212/B"/>
    <x v="33"/>
    <s v="FANO"/>
    <m/>
    <m/>
    <s v="SANTINI SERENELLA APP.TO 212/B - FANO"/>
  </r>
  <r>
    <x v="7"/>
    <s v="SANTINI SERENELLA APP.TO 212/C"/>
    <s v="SS. Adriatica sud 212/C"/>
    <x v="33"/>
    <s v="FANO"/>
    <m/>
    <m/>
    <s v="SANTINI SERENELLA APP.TO 212/C - FANO"/>
  </r>
  <r>
    <x v="7"/>
    <s v="SANTOLINI STEFANIA"/>
    <s v="Via Zara 6"/>
    <x v="16"/>
    <s v="SENIGALLIA"/>
    <m/>
    <s v="affittiestivi@belenchia.com"/>
    <s v="SANTOLINI STEFANIA - SENIGALLIA"/>
  </r>
  <r>
    <x v="7"/>
    <s v="SANTOMARO COUNTRY-LOFT"/>
    <s v="contrada Colli Asola 13"/>
    <x v="141"/>
    <m/>
    <s v="www.santomaro.com"/>
    <s v="info@santomaro.com"/>
    <s v="SANTOMARO COUNTRY-LOFT - MORROVALLE"/>
  </r>
  <r>
    <x v="7"/>
    <s v="SANTRONI EMIDIO APP.TO"/>
    <s v="Via Lombardia 64"/>
    <x v="12"/>
    <s v="SAN BENEDETTO DEL TRONTO"/>
    <m/>
    <s v="kellysbtappartamento@gmail.com"/>
    <s v="SANTRONI EMIDIO APP.TO - SAN BENEDETTO DEL TRONTO"/>
  </r>
  <r>
    <x v="9"/>
    <s v="SANTUARIO DI MACERETO (Locali Foresteria)"/>
    <m/>
    <x v="49"/>
    <s v="MACERETO"/>
    <s v="www.santuariomacereto.it"/>
    <s v="macereto@libero.it"/>
    <s v="SANTUARIO DI MACERETO (Locali Foresteria) - VISSO"/>
  </r>
  <r>
    <x v="9"/>
    <s v="SANTUARIO DI MACERETO (Locali Palazzo delle Guaite)"/>
    <s v="localita' Macereto 1"/>
    <x v="49"/>
    <s v="VISSO"/>
    <s v="www.santuariomacereto.it"/>
    <s v="macereto@libero.it"/>
    <s v="SANTUARIO DI MACERETO (Locali Palazzo delle Guaite) - VISSO"/>
  </r>
  <r>
    <x v="4"/>
    <s v="SAPORE DI MARE"/>
    <s v="viale trieste 29 29"/>
    <x v="12"/>
    <m/>
    <m/>
    <m/>
    <s v="SAPORE DI MARE - SAN BENEDETTO DEL TRONTO"/>
  </r>
  <r>
    <x v="0"/>
    <s v="SAPORI DI CAMPAGNA"/>
    <s v="via rancia 1"/>
    <x v="185"/>
    <s v="PIEVEBOVIGLIANA"/>
    <s v="www.saporidicampagna.it"/>
    <s v="saporidicampagna2003@libero.it"/>
    <s v="SAPORI DI CAMPAGNA - PIEVEBOVIGLIANA"/>
  </r>
  <r>
    <x v="7"/>
    <s v="SARO' CASOLARE"/>
    <s v="via Sant'Amico 64"/>
    <x v="166"/>
    <m/>
    <s v="www.lacrimasaro.it"/>
    <s v="lacrimasaro@lacrimasaro.it"/>
    <s v="SARO' CASOLARE - MORRO D'ALBA"/>
  </r>
  <r>
    <x v="7"/>
    <s v="SARTINI PINO"/>
    <s v="LUNGOMARE ITALIA 44"/>
    <x v="16"/>
    <s v="SENIGALLIA"/>
    <m/>
    <s v="sara.sartini@libero.it"/>
    <s v="SARTINI PINO - SENIGALLIA"/>
  </r>
  <r>
    <x v="7"/>
    <s v="SARTORI SUSANNA"/>
    <s v="via Trieste 2"/>
    <x v="28"/>
    <m/>
    <m/>
    <m/>
    <s v="SARTORI SUSANNA - GABICCE MARE"/>
  </r>
  <r>
    <x v="1"/>
    <s v="SASSONIA"/>
    <s v="viale Adriatico 88"/>
    <x v="33"/>
    <s v="FANO"/>
    <s v="www.pensionesassonia.it"/>
    <s v="info@pensionesassonia.it"/>
    <s v="SASSONIA - FANO"/>
  </r>
  <r>
    <x v="4"/>
    <s v="SAVANA CLUB"/>
    <m/>
    <x v="5"/>
    <m/>
    <s v="glascani@virgilio.it"/>
    <m/>
    <s v="SAVANA CLUB - GROTTAMMARE"/>
  </r>
  <r>
    <x v="7"/>
    <s v="SAVORETTI ADRIANA"/>
    <s v="Via Aprutina 129"/>
    <x v="148"/>
    <s v="POTENZA PICENA"/>
    <m/>
    <m/>
    <s v="SAVORETTI ADRIANA - POTENZA PICENA"/>
  </r>
  <r>
    <x v="1"/>
    <s v="SAVOY"/>
    <s v="viale della repubblica 22"/>
    <x v="69"/>
    <s v="PESARO"/>
    <s v="www.hotelsavoypesaro.it"/>
    <s v="savoy@viphotels.it"/>
    <s v="SAVOY - PESARO"/>
  </r>
  <r>
    <x v="4"/>
    <s v="SAXA BEACH"/>
    <s v="via faleria 1 1"/>
    <x v="163"/>
    <s v="PORTO SANT' ELPIDIO"/>
    <m/>
    <m/>
    <s v="SAXA BEACH - PORTO SANT'ELPIDIO"/>
  </r>
  <r>
    <x v="1"/>
    <s v="SAYONARA"/>
    <s v="lungomare MAMELI 114"/>
    <x v="16"/>
    <s v="SENIGALLIA"/>
    <s v="www.hotelsayonarasenigallia.it"/>
    <s v="info@hotelsayonarasenigallia.it"/>
    <s v="SAYONARA - SENIGALLIA"/>
  </r>
  <r>
    <x v="1"/>
    <s v="SAYONARA"/>
    <s v=" Rinascimento 121 121"/>
    <x v="12"/>
    <s v="SAN BENEDETTO DEL TRONTO"/>
    <s v="www.hotelsayonara.it"/>
    <s v="info@hotelsayonara.it"/>
    <s v="SAYONARA - SAN BENEDETTO DEL TRONTO"/>
  </r>
  <r>
    <x v="7"/>
    <s v="SBROZZI EMILIO"/>
    <s v="LUNGOMARE ALIGHIERI 14"/>
    <x v="16"/>
    <s v="SENIGALLIA"/>
    <m/>
    <s v="affittiestivi@belenchia.com"/>
    <s v="SBROZZI EMILIO - SENIGALLIA"/>
  </r>
  <r>
    <x v="7"/>
    <s v="SCARPELLI ANDREA"/>
    <s v="Via Santa Maria 44"/>
    <x v="118"/>
    <s v="SERRA DE' CONTI"/>
    <m/>
    <s v="a_scarpelli@yahoo.it"/>
    <s v="SCARPELLI ANDREA - SERRA DE' CONTI"/>
  </r>
  <r>
    <x v="7"/>
    <s v="SCARPONE NICOLA"/>
    <s v="Via Verdi 103/D"/>
    <x v="16"/>
    <s v="SENIGALLIA"/>
    <m/>
    <s v="nicolamarev@libero.it"/>
    <s v="SCARPONE NICOLA - SENIGALLIA"/>
  </r>
  <r>
    <x v="7"/>
    <s v="SCASSAMACCHIA PIETRO"/>
    <s v="Via Strada Romagna 40"/>
    <x v="155"/>
    <s v="GRADARA"/>
    <m/>
    <s v="marinascassamacchia@hotmail.it"/>
    <s v="SCASSAMACCHIA PIETRO - GRADARA"/>
  </r>
  <r>
    <x v="7"/>
    <s v="SCHIAROLI VALENTINA"/>
    <s v="Via Prima Strada  35"/>
    <x v="16"/>
    <s v="CESANO"/>
    <m/>
    <s v="orietta_59@libero.it"/>
    <s v="SCHIAROLI VALENTINA - SENIGALLIA"/>
  </r>
  <r>
    <x v="7"/>
    <s v="SCIPLINO MARIA TERESA"/>
    <s v="Vicolo Alavolini 6"/>
    <x v="33"/>
    <s v="FANO"/>
    <m/>
    <s v="m.teresasciplino@virgilio.it"/>
    <s v="SCIPLINO MARIA TERESA - FANO"/>
  </r>
  <r>
    <x v="7"/>
    <s v="SCODERONI CRISTINA"/>
    <s v="via San Rocco 31"/>
    <x v="2"/>
    <m/>
    <m/>
    <s v="bebsanrocco@tiscali.it"/>
    <s v="SCODERONI CRISTINA - SAN SEVERINO MARCHE"/>
  </r>
  <r>
    <x v="4"/>
    <s v="SCOGLIERA"/>
    <m/>
    <x v="9"/>
    <m/>
    <s v="info@hotelscogliera.it"/>
    <s v="www.hotelscogliera.com"/>
    <s v="SCOGLIERA - NUMANA"/>
  </r>
  <r>
    <x v="4"/>
    <s v="SCOGLIERA"/>
    <s v="lungomare marconi 41 41"/>
    <x v="12"/>
    <m/>
    <m/>
    <m/>
    <s v="SCOGLIERA - SAN BENEDETTO DEL TRONTO"/>
  </r>
  <r>
    <x v="7"/>
    <s v="SCOLA LUCIANO"/>
    <s v="via Redipuglia 37"/>
    <x v="28"/>
    <m/>
    <m/>
    <m/>
    <s v="SCOLA LUCIANO - GABICCE MARE"/>
  </r>
  <r>
    <x v="3"/>
    <s v="SCOPA ZEFFIRA"/>
    <s v="via Raffaello 23"/>
    <x v="1"/>
    <s v="URBINO"/>
    <m/>
    <m/>
    <s v="SCOPA ZEFFIRA - URBINO"/>
  </r>
  <r>
    <x v="4"/>
    <s v="SEA CLUB - VESUVIO"/>
    <s v="viale Rinascimento 10 10"/>
    <x v="12"/>
    <s v="PORTO D'ASCOLI"/>
    <m/>
    <m/>
    <s v="SEA CLUB - VESUVIO - SAN BENEDETTO DEL TRONTO"/>
  </r>
  <r>
    <x v="7"/>
    <s v="SEGALA BEATRICE"/>
    <s v="Contrada Colcù 1"/>
    <x v="90"/>
    <s v="CALDAROLA"/>
    <m/>
    <s v="beatrice@segalarenzo.it"/>
    <s v="SEGALA BEATRICE - CALDAROLA"/>
  </r>
  <r>
    <x v="0"/>
    <s v="SEGNAVENTO"/>
    <s v="c.da Salmagina 7"/>
    <x v="176"/>
    <m/>
    <s v="info@zaccagnini.it; amministrazione@zaccagnini.it"/>
    <m/>
    <s v="SEGNAVENTO - STAFFOLO"/>
  </r>
  <r>
    <x v="7"/>
    <s v="SELIS GIOVANNA"/>
    <s v="Strada Nazionale Adriatica Sud 117/F"/>
    <x v="33"/>
    <m/>
    <m/>
    <s v="francesco.pezzolesi@virgilio.it"/>
    <s v="SELIS GIOVANNA - FANO"/>
  </r>
  <r>
    <x v="8"/>
    <s v="SELVICOLLE COUNTRY HOUSE"/>
    <s v="loc. Nani 4 4"/>
    <x v="144"/>
    <s v="SP 22 - CRISPIERO"/>
    <s v="www.selvicolle.com"/>
    <s v="info@selvicolle.com"/>
    <s v="SELVICOLLE COUNTRY HOUSE - CASTELRAIMONDO"/>
  </r>
  <r>
    <x v="1"/>
    <s v="SENBHOTEL"/>
    <s v="viale Pietro Bonopera 32"/>
    <x v="16"/>
    <s v="SENIGALLIA"/>
    <s v="www.senbhotel.it"/>
    <s v="info@senbhotel.it"/>
    <s v="SENBHOTEL - SENIGALLIA"/>
  </r>
  <r>
    <x v="1"/>
    <s v="SENIGALLIA"/>
    <s v="lungomare alighieri 34"/>
    <x v="16"/>
    <s v="SENIGALLIA"/>
    <s v="www.hotelsenigallia.net"/>
    <s v="info@hotelsenigallia.net"/>
    <s v="SENIGALLIA - SENIGALLIA"/>
  </r>
  <r>
    <x v="4"/>
    <s v="SENIGALLIA BEACH BAGNI N° 63"/>
    <s v="lungomare alighieri 63 63"/>
    <x v="16"/>
    <s v="SENIGALLIA"/>
    <m/>
    <m/>
    <s v="SENIGALLIA BEACH BAGNI N° 63 - SENIGALLIA"/>
  </r>
  <r>
    <x v="0"/>
    <s v="SENSAZIONE"/>
    <s v="fraz. Caudino 54"/>
    <x v="18"/>
    <s v="CAUDINO"/>
    <s v="www.sensazione.info"/>
    <s v="sensa@sensazione.info"/>
    <s v="SENSAZIONE - ARCEVIA"/>
  </r>
  <r>
    <x v="0"/>
    <s v="SENTIERO DELLE FIABE"/>
    <s v="via F. Baracca 8"/>
    <x v="169"/>
    <m/>
    <s v="www.cordusio.org"/>
    <s v="sentierodellefiabe@hotmail.it"/>
    <s v="SENTIERO DELLE FIABE - CASTELFIDARDO"/>
  </r>
  <r>
    <x v="0"/>
    <s v="SENTIERO DELLE FIABE"/>
    <s v="via Betellico 15/c"/>
    <x v="8"/>
    <m/>
    <s v="www.cordusio.org"/>
    <s v="sentierodellefiabe@hotmail.it"/>
    <s v="SENTIERO DELLE FIABE - SIROLO"/>
  </r>
  <r>
    <x v="7"/>
    <s v="SEPTEMPEDA HILLS"/>
    <s v="località Pieve 15"/>
    <x v="2"/>
    <s v="località Pieve"/>
    <s v="www.septempedahills.com"/>
    <s v="info@septempedahills.com"/>
    <s v="SEPTEMPEDA HILLS - SAN SEVERINO MARCHE"/>
  </r>
  <r>
    <x v="7"/>
    <s v="SERAFINI GIORGIA"/>
    <m/>
    <x v="86"/>
    <m/>
    <m/>
    <m/>
    <s v="SERAFINI GIORGIA - ACQUALAGNA"/>
  </r>
  <r>
    <x v="1"/>
    <s v="SERI GIUSEPPE"/>
    <s v="Via Fiastra 34"/>
    <x v="177"/>
    <s v="COLMURANO"/>
    <s v="www.hotelseri.it"/>
    <s v="hotelseri@alice.it"/>
    <s v="SERI GIUSEPPE - COLMURANO"/>
  </r>
  <r>
    <x v="7"/>
    <s v="SERI MARCO"/>
    <s v="viale Carducci  131/b"/>
    <x v="20"/>
    <m/>
    <m/>
    <s v="marco.seri@libero.it"/>
    <s v="SERI MARCO - MONDOLFO"/>
  </r>
  <r>
    <x v="0"/>
    <s v="SERPANERA"/>
    <s v="località Schito  447"/>
    <x v="11"/>
    <s v="località Schito"/>
    <s v="www.serpanera.com"/>
    <s v="info@serpanera.com"/>
    <s v="SERPANERA - SARNANO"/>
  </r>
  <r>
    <x v="4"/>
    <s v="SETTEMARI"/>
    <m/>
    <x v="163"/>
    <m/>
    <m/>
    <m/>
    <s v="SETTEMARI - PORTO SANT'ELPIDIO"/>
  </r>
  <r>
    <x v="3"/>
    <s v="SEVEN ROOMS"/>
    <s v="Via Legnago 52"/>
    <x v="12"/>
    <s v="SAN BENEDETTO DEL TRONTO"/>
    <s v="www.7rooms.it"/>
    <s v="info@7rooms.it"/>
    <s v="SEVEN ROOMS - SAN BENEDETTO DEL TRONTO"/>
  </r>
  <r>
    <x v="4"/>
    <s v="SHADA"/>
    <s v="LUNGOMARE PIERMANNI 10/A"/>
    <x v="17"/>
    <m/>
    <m/>
    <s v="acruciani@new-system.it"/>
    <s v="SHADA - CIVITANOVA MARCHE"/>
  </r>
  <r>
    <x v="8"/>
    <s v="SHAMBALA COUNTRY HOUSE"/>
    <s v="via C. da Nocciano 29"/>
    <x v="132"/>
    <s v="SAN GINESIO"/>
    <m/>
    <s v="info@shambala-retreat.com"/>
    <s v="SHAMBALA COUNTRY HOUSE - SAN GINESIO"/>
  </r>
  <r>
    <x v="3"/>
    <s v="SIENAERT KOEN CASE ED APPARTAMENTI PER VACANZE"/>
    <s v="Via Monnece 11"/>
    <x v="26"/>
    <s v="MONNECE"/>
    <m/>
    <m/>
    <s v="SIENAERT KOEN CASE ED APPARTAMENTI PER VACANZE - CINGOLI"/>
  </r>
  <r>
    <x v="4"/>
    <s v="SIESTA"/>
    <s v="via Trieste 1 1"/>
    <x v="22"/>
    <m/>
    <s v="s.sensini@libero.it"/>
    <m/>
    <s v="SIESTA - FALCONARA MARITTIMA"/>
  </r>
  <r>
    <x v="7"/>
    <s v="SIGNORINI SILVIA"/>
    <s v="Via Matteotti 77"/>
    <x v="10"/>
    <s v="ANCONA"/>
    <m/>
    <s v="philosophycasa@legalmail.it"/>
    <s v="SIGNORINI SILVIA - ANCONA"/>
  </r>
  <r>
    <x v="7"/>
    <s v="SILVESTRINI LIVIANA APP.TO VIA DEGLI ULIVI"/>
    <s v="Via degli Ulivi 77"/>
    <x v="16"/>
    <s v="SENIGALLIA"/>
    <m/>
    <s v="bbfontebella@libero.it"/>
    <s v="SILVESTRINI LIVIANA APP.TO VIA DEGLI ULIVI - SENIGALLIA"/>
  </r>
  <r>
    <x v="7"/>
    <s v="SILVESTRINI LIVIANA APP.TO VIALE SORRENTO"/>
    <s v="Viale Sorrento 23/A"/>
    <x v="16"/>
    <s v="MARZOCCA"/>
    <m/>
    <s v="bbfontebella@libero.it"/>
    <s v="SILVESTRINI LIVIANA APP.TO VIALE SORRENTO - SENIGALLIA"/>
  </r>
  <r>
    <x v="0"/>
    <s v="SILVETTI GIANFRANCO E GAETANO"/>
    <s v="c.da Grazie Fiastra 65"/>
    <x v="27"/>
    <s v="LORO PICENO"/>
    <m/>
    <s v="lasorgentedelbeato@gmail.com"/>
    <s v="SILVETTI GIANFRANCO E GAETANO - LORO PICENO"/>
  </r>
  <r>
    <x v="0"/>
    <s v="SILVIA"/>
    <s v="contrada santa croce 86"/>
    <x v="132"/>
    <s v="SAN GINESIO"/>
    <m/>
    <s v="info@agriturismosilvia.it"/>
    <s v="SILVIA - SAN GINESIO"/>
  </r>
  <r>
    <x v="4"/>
    <s v="SILVIO SUD 1, 3"/>
    <s v="SPIAGGIA S.MICHELE Sassi Neri 1,3 1,3"/>
    <x v="8"/>
    <s v="loc. Sassi Neri"/>
    <s v="info@stabilimentobalnearedasilvio.it"/>
    <s v="www.stabilimentobalnearedasilvio.it"/>
    <s v="SILVIO SUD 1, 3 - SIROLO"/>
  </r>
  <r>
    <x v="1"/>
    <s v="SIMONA"/>
    <s v="via Pisa 4"/>
    <x v="16"/>
    <s v="SENIGALLIA"/>
    <s v="www.albergosimona.it"/>
    <s v="info@albergosimona.it"/>
    <s v="SIMONA - SENIGALLIA"/>
  </r>
  <r>
    <x v="7"/>
    <s v="SIMONCELLI MATTEO"/>
    <s v="Via B. Baldi 61"/>
    <x v="69"/>
    <s v="PESARO"/>
    <m/>
    <m/>
    <s v="SIMONCELLI MATTEO - PESARO"/>
  </r>
  <r>
    <x v="7"/>
    <s v="SIMONCELLI PAOLA"/>
    <s v="Via Feltrini 15"/>
    <x v="16"/>
    <s v="SENIGALLIA"/>
    <m/>
    <s v="vangelina@alice.it"/>
    <s v="SIMONCELLI PAOLA - SENIGALLIA"/>
  </r>
  <r>
    <x v="7"/>
    <s v="SIMONCINI EUGENIO MARIA"/>
    <s v="via Cappellini 180"/>
    <x v="33"/>
    <m/>
    <m/>
    <m/>
    <s v="SIMONCINI EUGENIO MARIA - FANO"/>
  </r>
  <r>
    <x v="7"/>
    <s v="SIMONCINI RITA"/>
    <s v="via Faà di Bruno 113"/>
    <x v="33"/>
    <m/>
    <m/>
    <s v="sim.rita.mail@gmail.com"/>
    <s v="SIMONCINI RITA - FANO"/>
  </r>
  <r>
    <x v="7"/>
    <s v="SIMONCIONI ROSSANA APP.TO 25"/>
    <s v="Via Gioberti 25"/>
    <x v="16"/>
    <s v="SENIGALLIA"/>
    <m/>
    <s v="maxcecchini@libero.it"/>
    <s v="SIMONCIONI ROSSANA APP.TO 25 - SENIGALLIA"/>
  </r>
  <r>
    <x v="7"/>
    <s v="SIMONCIONI ROSSANA APP.TO 27"/>
    <s v="Via Gioberti 27"/>
    <x v="16"/>
    <s v="SENIGALLIA"/>
    <m/>
    <s v="maxcecchini@libero.it"/>
    <s v="SIMONCIONI ROSSANA APP.TO 27 - SENIGALLIA"/>
  </r>
  <r>
    <x v="3"/>
    <s v="SIMONETTI LEONDINA"/>
    <s v="via Guglielmo Marconi 159"/>
    <x v="10"/>
    <s v="ANCONA"/>
    <m/>
    <m/>
    <s v="SIMONETTI LEONDINA - ANCONA"/>
  </r>
  <r>
    <x v="3"/>
    <s v="SIMONETTI LEONDINA"/>
    <s v="via Flaminia 258"/>
    <x v="10"/>
    <s v="ANCONA"/>
    <m/>
    <m/>
    <s v="SIMONETTI LEONDINA - ANCONA"/>
  </r>
  <r>
    <x v="7"/>
    <s v="SIMONETTI LORELLA"/>
    <s v="Via delle Genziane 14"/>
    <x v="16"/>
    <s v="SENIGALLIA"/>
    <m/>
    <s v="affittestivi@belenchia.com"/>
    <s v="SIMONETTI LORELLA - SENIGALLIA"/>
  </r>
  <r>
    <x v="7"/>
    <s v="SIMONETTI LUCIANA"/>
    <s v="Via Spontini 48"/>
    <x v="16"/>
    <s v="Via Spontini, 48"/>
    <m/>
    <s v="affittiestivi@belenchia.com"/>
    <s v="SIMONETTI LUCIANA - SENIGALLIA"/>
  </r>
  <r>
    <x v="1"/>
    <s v="SIRENA"/>
    <s v="via Gabriele d' Annunzio 14"/>
    <x v="28"/>
    <s v="GABICCE MARE"/>
    <s v="www.sirenahotel.com"/>
    <s v="info@sirenahotel.com"/>
    <s v="SIRENA - GABICCE MARE"/>
  </r>
  <r>
    <x v="4"/>
    <s v="SIRENA"/>
    <s v="via del golfo  26"/>
    <x v="9"/>
    <s v="NUMANA"/>
    <s v="alexpanocchi@hotmail.com"/>
    <m/>
    <s v="SIRENA - NUMANA"/>
  </r>
  <r>
    <x v="1"/>
    <s v="SIRENA"/>
    <s v="lungomare alighieri 78"/>
    <x v="16"/>
    <s v="SENIGALLIA"/>
    <s v="www.hotelsirena.com"/>
    <s v="info@hotelsirena.com"/>
    <s v="SIRENA - SENIGALLIA"/>
  </r>
  <r>
    <x v="4"/>
    <s v="SIRENELLA"/>
    <s v="viale nazario sauro 11 11"/>
    <x v="32"/>
    <s v="CUPRA MARITTIMA"/>
    <m/>
    <m/>
    <s v="SIRENELLA - CUPRA MARITTIMA"/>
  </r>
  <r>
    <x v="1"/>
    <s v="SIRI HOTEL"/>
    <s v="viale Bruno Buozzi 69"/>
    <x v="33"/>
    <s v="FANO"/>
    <s v="http://www.sirihotelfano.it"/>
    <s v="info@sirihotelfano.it"/>
    <s v="SIRI HOTEL - FANO"/>
  </r>
  <r>
    <x v="5"/>
    <s v="SIROLO MY HOUSE"/>
    <s v="Via Sant'Antonio SNC"/>
    <x v="8"/>
    <s v="SIROLO"/>
    <m/>
    <s v="marcosimo-email@libero.it"/>
    <s v="SIROLO MY HOUSE - SIROLO"/>
  </r>
  <r>
    <x v="5"/>
    <s v="SIROLO SUMMER"/>
    <s v="Piazza 8 marzo 3"/>
    <x v="8"/>
    <s v="SIROLO"/>
    <m/>
    <s v="appartamentosummer@gmail.com"/>
    <s v="SIROLO SUMMER - SIROLO"/>
  </r>
  <r>
    <x v="7"/>
    <s v="SLUIJS STEEN MARGARETHA"/>
    <s v="Frazione San Pietro 36"/>
    <x v="18"/>
    <s v="ARCEVIA"/>
    <m/>
    <m/>
    <s v="SLUIJS STEEN MARGARETHA - ARCEVIA"/>
  </r>
  <r>
    <x v="7"/>
    <s v="SMALDINI ANNA SANTA"/>
    <s v="Strada delle Marche 60"/>
    <x v="69"/>
    <s v="PESARO"/>
    <m/>
    <s v="a.smaldini@seam-adriatic.it"/>
    <s v="SMALDINI ANNA SANTA - PESARO"/>
  </r>
  <r>
    <x v="6"/>
    <s v="SMERALDO"/>
    <s v="lungomare Leonardo da Vinci 44/f"/>
    <x v="16"/>
    <s v="SENIGALLIA"/>
    <m/>
    <s v="campingsmeraldo1@hotmail.it"/>
    <s v="SMERALDO - SENIGALLIA"/>
  </r>
  <r>
    <x v="2"/>
    <s v="SMERALDO SUITES &amp; SPA"/>
    <s v="viale Rinascimento 141"/>
    <x v="12"/>
    <m/>
    <s v="www.smeraldosuitehotel.com"/>
    <s v="info@smeraldosuitehotel.com"/>
    <s v="SMERALDO SUITES &amp; SPA - SAN BENEDETTO DEL TRONTO"/>
  </r>
  <r>
    <x v="0"/>
    <s v="SOC. AG., RAGGIO VERDE DI PAOLINI GIANMARIO, SANDRO E C."/>
    <s v="contrada San Pietro 77"/>
    <x v="56"/>
    <s v="RECANATI"/>
    <s v="www.ilraggioverde.eu"/>
    <s v="info@ilraggioverde.eu"/>
    <s v="SOC. AG., RAGGIO VERDE DI PAOLINI GIANMARIO, SANDRO E C. - RECANATI"/>
  </r>
  <r>
    <x v="0"/>
    <s v="SOCIETA' AGRICOLA FRATTE ROSA"/>
    <s v="via delle Serre 28"/>
    <x v="83"/>
    <m/>
    <m/>
    <s v="agriturismo@terracruda.it"/>
    <s v="SOCIETA' AGRICOLA FRATTE ROSA - FRATTE ROSA"/>
  </r>
  <r>
    <x v="0"/>
    <s v="SOCIETA' AGRICOLA GIRONACCI LUCREZIA E C. - S.S."/>
    <s v="via Carmine 412"/>
    <x v="111"/>
    <m/>
    <m/>
    <s v="girodeiventi@hotmail.com"/>
    <s v="SOCIETA' AGRICOLA GIRONACCI LUCREZIA E C. - S.S. - SANT'ELPIDIO A MARE"/>
  </r>
  <r>
    <x v="0"/>
    <s v="SOCIETA' AGRICOLA PASCUCCI"/>
    <s v="Contrada Panibianchi 55"/>
    <x v="6"/>
    <s v="TOLENTINO"/>
    <s v="www.agriturismopascucci.it"/>
    <s v="info@agriturismopascucci.it"/>
    <s v="SOCIETA' AGRICOLA PASCUCCI - TOLENTINO"/>
  </r>
  <r>
    <x v="3"/>
    <s v="SOCIETA' AGROFORESTALE MARCHIGIANA SAN RUFFINO SRL"/>
    <s v="contrada santo stefano 1"/>
    <x v="71"/>
    <s v="MONTE SAN MARTINO"/>
    <s v="www.sanruffino.com"/>
    <s v="info@sanruffino.com"/>
    <s v="SOCIETA' AGROFORESTALE MARCHIGIANA SAN RUFFINO SRL - MONTE SAN MARTINO"/>
  </r>
  <r>
    <x v="3"/>
    <s v="SOCIETA' AGROFORESTALE MARCHIGIANA SAN RUFFINO SRL"/>
    <m/>
    <x v="62"/>
    <s v="AMANDOLA"/>
    <s v="www.sanruffino.com"/>
    <s v="info@sanruffino.com"/>
    <s v="SOCIETA' AGROFORESTALE MARCHIGIANA SAN RUFFINO SRL - AMANDOLA"/>
  </r>
  <r>
    <x v="3"/>
    <s v="SOCIETA' AGROFORESTALE MARCHIGIANA SAN RUFFINO SRL"/>
    <s v="contrada cese 1"/>
    <x v="43"/>
    <s v="MONTEFALCONE APPENNINO"/>
    <s v="www.sanruffino.com"/>
    <s v="info@sanruffino.com"/>
    <s v="SOCIETA' AGROFORESTALE MARCHIGIANA SAN RUFFINO SRL - MONTEFALCONE APPENNINO"/>
  </r>
  <r>
    <x v="3"/>
    <s v="SOCIETA' AGROFORESTALE MARCHIGIANA SAN RUFFINO SRL"/>
    <s v="contrada san salvatore 49"/>
    <x v="165"/>
    <s v="SANTA VITTORIA IN MATENANO"/>
    <s v="www.sanruffino.com"/>
    <s v="info@sanruffino.com"/>
    <s v="SOCIETA' AGROFORESTALE MARCHIGIANA SAN RUFFINO SRL - SANTA VITTORIA IN MATENANO"/>
  </r>
  <r>
    <x v="5"/>
    <s v="SOFFIO DI MARE"/>
    <s v="Via G. Garibaldi 101"/>
    <x v="23"/>
    <s v="PORTO RECANATI"/>
    <m/>
    <s v="noemicasa@alice.it"/>
    <s v="SOFFIO DI MARE - PORTO RECANATI"/>
  </r>
  <r>
    <x v="9"/>
    <s v="SOGGIORNO DON BOSCO"/>
    <m/>
    <x v="201"/>
    <s v="frazione Calcara"/>
    <m/>
    <s v="n.cupaiolo@tin.it"/>
    <s v="SOGGIORNO DON BOSCO - USSITA"/>
  </r>
  <r>
    <x v="4"/>
    <s v="SOLARIA BEACH VILLAGE - BAGNI 22 E 23"/>
    <s v="Sottopasso Via Goito snc snc"/>
    <x v="22"/>
    <s v="FALCONARA MARITTIMA"/>
    <s v="info@solariabeachvillage.it"/>
    <s v="www.solariabeachvillage.it"/>
    <s v="SOLARIA BEACH VILLAGE - BAGNI 22 E 23 - FALCONARA MARITTIMA"/>
  </r>
  <r>
    <x v="1"/>
    <s v="SOLARIUM"/>
    <s v="via giosue' carducci 33"/>
    <x v="17"/>
    <s v="CIVITANOVA MARCHE"/>
    <s v="www.hotelsolarium.com"/>
    <s v="hotelsolarium@hotelsolarium.com"/>
    <s v="SOLARIUM - CIVITANOVA MARCHE"/>
  </r>
  <r>
    <x v="1"/>
    <s v="SOLARIUM"/>
    <s v="viale Europa 102"/>
    <x v="12"/>
    <s v="SAN BENEDETTO DEL TRONTO"/>
    <s v="www.hotelsolarium.it"/>
    <s v="info@hotelsolarium.it"/>
    <s v="SOLARIUM - SAN BENEDETTO DEL TRONTO"/>
  </r>
  <r>
    <x v="3"/>
    <s v="SOLE &amp; SALE"/>
    <s v="via L. Luciani 46/b"/>
    <x v="12"/>
    <m/>
    <m/>
    <s v="solesalesbt@gmail.com"/>
    <s v="SOLE &amp; SALE - SAN BENEDETTO DEL TRONTO"/>
  </r>
  <r>
    <x v="4"/>
    <s v="SOLE 2000 - BAGNI N° 134"/>
    <s v="lungomare leonardo da vinci 1 1"/>
    <x v="16"/>
    <s v="SENIGALLIA"/>
    <m/>
    <m/>
    <s v="SOLE 2000 - BAGNI N° 134 - SENIGALLIA"/>
  </r>
  <r>
    <x v="8"/>
    <s v="SOLE BELLO RESIDENCE DI CAMPONI ENRICO"/>
    <s v="via del Mare 64"/>
    <x v="166"/>
    <s v="MORRO D' ALBA"/>
    <s v="www.solebelloitaly.com"/>
    <s v="enricocathy@solebelloitaly.com"/>
    <s v="SOLE BELLO RESIDENCE DI CAMPONI ENRICO - MORRO D'ALBA"/>
  </r>
  <r>
    <x v="4"/>
    <s v="SOLE E MARE"/>
    <s v="viale nazario sauro 7 7"/>
    <x v="32"/>
    <s v="CUPRA MARITTIMA"/>
    <m/>
    <m/>
    <s v="SOLE E MARE - CUPRA MARITTIMA"/>
  </r>
  <r>
    <x v="5"/>
    <s v="SOLE LUNA"/>
    <s v="Via Bitossi 43"/>
    <x v="14"/>
    <s v="MONTEPRANDONE"/>
    <m/>
    <s v="laura.cardinali@gmail.com"/>
    <s v="SOLE LUNA - MONTEPRANDONE"/>
  </r>
  <r>
    <x v="8"/>
    <s v="SOLEA"/>
    <s v="via Santa Lucia 6"/>
    <x v="119"/>
    <s v="RIPE"/>
    <s v="www.soleahotel.com"/>
    <s v="info@soleahotel.com"/>
    <s v="SOLEA - TRECASTELLI"/>
  </r>
  <r>
    <x v="4"/>
    <s v="SOLEADO - BAGNI N 146"/>
    <s v="lungomare leonardo da vinci 1 1"/>
    <x v="16"/>
    <s v="SENIGALLIA"/>
    <m/>
    <m/>
    <s v="SOLEADO - BAGNI N 146 - SENIGALLIA"/>
  </r>
  <r>
    <x v="4"/>
    <s v="SOLEMAR"/>
    <s v="Lungomare Piermanni 5"/>
    <x v="17"/>
    <s v="CIVITANOVA MARCHE"/>
    <m/>
    <m/>
    <s v="SOLEMAR - CIVITANOVA MARCHE"/>
  </r>
  <r>
    <x v="4"/>
    <s v="SOLERO"/>
    <m/>
    <x v="148"/>
    <s v="PORTO POTENZA PICENA"/>
    <s v="solerobeach@yahoo.it"/>
    <s v="www.solerobeach.it"/>
    <s v="SOLERO - POTENZA PICENA"/>
  </r>
  <r>
    <x v="4"/>
    <s v="SOLLEONE"/>
    <s v="lungomare gramsci centro 1 1"/>
    <x v="47"/>
    <s v="PORTO SAN GIORGIO"/>
    <m/>
    <m/>
    <s v="SOLLEONE - PORTO SAN GIORGIO"/>
  </r>
  <r>
    <x v="4"/>
    <s v="SOMBRERO"/>
    <s v="via lungomare fermano 1 1"/>
    <x v="37"/>
    <s v="PORTO SAN GIORGIO"/>
    <m/>
    <m/>
    <s v="SOMBRERO - FERMO"/>
  </r>
  <r>
    <x v="4"/>
    <s v="SONAMAR"/>
    <s v="Viale IV Novembre 29"/>
    <x v="17"/>
    <s v="CIVITANOVA MARCHE"/>
    <m/>
    <m/>
    <s v="SONAMAR - CIVITANOVA MARCHE"/>
  </r>
  <r>
    <x v="0"/>
    <s v="SOPRA E SOTTO"/>
    <s v="contrada serrone 3"/>
    <x v="54"/>
    <s v="MONTELPARO"/>
    <s v="www.sopraesotto.com"/>
    <s v="info@sopraesotto.com"/>
    <s v="SOPRA E SOTTO - MONTELPARO"/>
  </r>
  <r>
    <x v="4"/>
    <s v="SORAYA"/>
    <s v="viale Rinascimento 31 31"/>
    <x v="12"/>
    <s v="Ascoli Piceno"/>
    <s v="info@albergosoraya.it"/>
    <s v="www.albergosoraya.it"/>
    <s v="SORAYA - SAN BENEDETTO DEL TRONTO"/>
  </r>
  <r>
    <x v="9"/>
    <s v="SORGENTE VERDE SILENZIO"/>
    <s v="localita' granali 1"/>
    <x v="2"/>
    <s v="SAN SEVERINO MARCHE"/>
    <s v="www.bambingesu.org"/>
    <s v="verdesilenzio@bambingesu.org"/>
    <s v="SORGENTE VERDE SILENZIO - SAN SEVERINO MARCHE"/>
  </r>
  <r>
    <x v="3"/>
    <s v="SOTTO IL BORGO"/>
    <s v="via Rinaldi 4"/>
    <x v="4"/>
    <m/>
    <s v="www.sottoilborgo.it"/>
    <s v="info@sottoilborgo.it"/>
    <s v="SOTTO IL BORGO - JESI"/>
  </r>
  <r>
    <x v="3"/>
    <s v="SOTTO LA QUERCIA"/>
    <s v="Via Territoriale  19"/>
    <x v="137"/>
    <s v="OSTRA"/>
    <s v="www.sottolaquercia.eu"/>
    <s v="info@sottolaquercia.eu"/>
    <s v="SOTTO LA QUERCIA - OSTRA"/>
  </r>
  <r>
    <x v="5"/>
    <s v="SOTTO LA TORRE"/>
    <s v="Via Europa Unita 7"/>
    <x v="100"/>
    <s v="FRONTINO"/>
    <m/>
    <s v="bbsottolatorre@libero.it"/>
    <s v="SOTTO LA TORRE - FRONTINO"/>
  </r>
  <r>
    <x v="5"/>
    <s v="SOTTO LE STELLE"/>
    <s v="IX Strada  34"/>
    <x v="33"/>
    <s v="bellocchi"/>
    <m/>
    <s v="bb.sottolestelle@gmail.com"/>
    <s v="SOTTO LE STELLE - FANO"/>
  </r>
  <r>
    <x v="3"/>
    <s v="SOTTOVOCE"/>
    <s v="via del Gelso 17"/>
    <x v="8"/>
    <m/>
    <s v="www.sottovocesirolo.it"/>
    <s v="info@sottovocesirolo.it"/>
    <s v="SOTTOVOCE - SIROLO"/>
  </r>
  <r>
    <x v="7"/>
    <s v="SPADA DOMENICO"/>
    <s v="Via Mosca 6"/>
    <x v="69"/>
    <s v="PESARO"/>
    <m/>
    <s v="info@immobiliaretriestepesaro.it"/>
    <s v="SPADA DOMENICO - PESARO"/>
  </r>
  <r>
    <x v="7"/>
    <s v="SPADINI ALICE APP.TO PIANO SECONDO"/>
    <s v="Lungomare Italia 80"/>
    <x v="16"/>
    <s v="SENIGALLIA"/>
    <m/>
    <s v="83alicespadini@libero.it"/>
    <s v="SPADINI ALICE APP.TO PIANO SECONDO - SENIGALLIA"/>
  </r>
  <r>
    <x v="7"/>
    <s v="SPADINI ALICE APP.TO PIANO TERRA"/>
    <s v="Lungomare Italia 78"/>
    <x v="16"/>
    <s v="SENIGALLIA"/>
    <m/>
    <s v="83alicespadini@libero.it"/>
    <s v="SPADINI ALICE APP.TO PIANO TERRA - SENIGALLIA"/>
  </r>
  <r>
    <x v="1"/>
    <s v="SPIAGGIA"/>
    <s v="viale trieste 76"/>
    <x v="69"/>
    <s v="PESARO"/>
    <s v="www.hotelspiaggia.com"/>
    <s v="info@hotelspiaggia.com"/>
    <s v="SPIAGGIA - PESARO"/>
  </r>
  <r>
    <x v="4"/>
    <s v="SPIAGGIA 75"/>
    <s v="viale alcide de gasperi 75 75"/>
    <x v="12"/>
    <s v="SAN BENEDETTO DEL TRONTO"/>
    <m/>
    <m/>
    <s v="SPIAGGIA 75 - SAN BENEDETTO DEL TRONTO"/>
  </r>
  <r>
    <x v="4"/>
    <s v="SPIAGGIA CAMPING MARINELLA"/>
    <m/>
    <x v="69"/>
    <m/>
    <m/>
    <s v="info@campingmarinella.it"/>
    <s v="SPIAGGIA CAMPING MARINELLA - PESARO"/>
  </r>
  <r>
    <x v="4"/>
    <s v="SPIAGGIA DEI GABBIANI DI STAFOGGIA WALTER"/>
    <s v="via lucio domizio aureliano 1 1"/>
    <x v="33"/>
    <s v="FANO"/>
    <m/>
    <m/>
    <s v="SPIAGGIA DEI GABBIANI DI STAFOGGIA WALTER - FANO"/>
  </r>
  <r>
    <x v="4"/>
    <s v="SPIAGGIA DEI TALENTI"/>
    <m/>
    <x v="33"/>
    <s v="FANO"/>
    <m/>
    <s v="ilgermogliocooperativa@gmail.com"/>
    <s v="SPIAGGIA DEI TALENTI - FANO"/>
  </r>
  <r>
    <x v="6"/>
    <s v="SPIAGGIA DI VELLUTO"/>
    <m/>
    <x v="16"/>
    <s v="SENIGALLIA"/>
    <s v="www.campingspiaggiadivelluto.it"/>
    <s v="info@campingspiaggiadivelluto.it"/>
    <s v="SPIAGGIA DI VELLUTO - SENIGALLIA"/>
  </r>
  <r>
    <x v="4"/>
    <s v="SPIAGGIABONETTI"/>
    <s v="frazione poggio 1 1"/>
    <x v="10"/>
    <s v="PORTONOVO"/>
    <s v="info@spiaggiabonetti.it"/>
    <s v="spiaggiabonetti.it"/>
    <s v="SPIAGGIABONETTI - ANCONA"/>
  </r>
  <r>
    <x v="1"/>
    <s v="SPONTINI"/>
    <s v="via Gaspare Spontini 33"/>
    <x v="160"/>
    <s v="MAIOLATI SPONTINI"/>
    <m/>
    <m/>
    <s v="SPONTINI - MAIOLATI SPONTINI"/>
  </r>
  <r>
    <x v="1"/>
    <s v="SPORTING"/>
    <s v="via Panoramica 37"/>
    <x v="28"/>
    <s v="GABICCE MARE"/>
    <m/>
    <s v="info@sportinghotelgabicce.it"/>
    <s v="SPORTING - GABICCE MARE"/>
  </r>
  <r>
    <x v="1"/>
    <s v="SPORTING"/>
    <s v="via Nicolo' Paganini 23"/>
    <x v="12"/>
    <s v="SAN BENEDETTO DEL TRONTO"/>
    <s v="www.hsporting.com"/>
    <s v="info@hsporting.com"/>
    <s v="SPORTING - SAN BENEDETTO DEL TRONTO"/>
  </r>
  <r>
    <x v="4"/>
    <s v="SPRITZ BEACH"/>
    <s v="lungomare mameli 1 1"/>
    <x v="16"/>
    <s v="SENIGALLIA"/>
    <s v="elisa21@alice.it"/>
    <m/>
    <s v="SPRITZ BEACH - SENIGALLIA"/>
  </r>
  <r>
    <x v="4"/>
    <s v="STAB.BALNEARE CIMA"/>
    <s v="Lungomare Piermanni 4"/>
    <x v="17"/>
    <s v="CIVITANOVA MARCHE"/>
    <m/>
    <m/>
    <s v="STAB.BALNEARE CIMA - CIVITANOVA MARCHE"/>
  </r>
  <r>
    <x v="4"/>
    <s v="STABILIMENTO &quot;BAR RENZONI&quot; di RENZONI ROBERTO"/>
    <s v="via cappellini 83 83"/>
    <x v="33"/>
    <s v="FANO"/>
    <m/>
    <m/>
    <s v="STABILIMENTO &quot;BAR RENZONI&quot; di RENZONI ROBERTO - FANO"/>
  </r>
  <r>
    <x v="4"/>
    <s v="STABILIMENTO BALNEARE ANTONIO"/>
    <s v="Lungomare Piermanni 1 B 1 B"/>
    <x v="17"/>
    <s v="CIVITANOVA MARCHE"/>
    <m/>
    <s v="balneare.antonio@alice.it"/>
    <s v="STABILIMENTO BALNEARE ANTONIO - CIVITANOVA MARCHE"/>
  </r>
  <r>
    <x v="4"/>
    <s v="STABILIMENTO BALNEARE FILIPPO"/>
    <s v="Viale IV Novembre snc"/>
    <x v="17"/>
    <s v="CIVITANOVA MARCHE"/>
    <m/>
    <m/>
    <s v="STABILIMENTO BALNEARE FILIPPO - CIVITANOVA MARCHE"/>
  </r>
  <r>
    <x v="4"/>
    <s v="STABILIMENTO BALNEARE G7"/>
    <s v="Viale Giacomo Matteotti snc"/>
    <x v="17"/>
    <s v="CIVITANOVA MARCHE"/>
    <m/>
    <m/>
    <s v="STABILIMENTO BALNEARE G7 - CIVITANOVA MARCHE"/>
  </r>
  <r>
    <x v="4"/>
    <s v="STABILIMENTO BALNEARE GOLDEN BEACH"/>
    <s v="viale IV novembre scn scn"/>
    <x v="17"/>
    <s v="CIVITANOVA MARCHE"/>
    <m/>
    <m/>
    <s v="STABILIMENTO BALNEARE GOLDEN BEACH - CIVITANOVA MARCHE"/>
  </r>
  <r>
    <x v="4"/>
    <s v="STABILIMENTO BALNEARE MARIA GABRIELLA"/>
    <s v="viale iv novembre 1 1"/>
    <x v="17"/>
    <s v="CIVITANOVA MARCHE"/>
    <m/>
    <m/>
    <s v="STABILIMENTO BALNEARE MARIA GABRIELLA - CIVITANOVA MARCHE"/>
  </r>
  <r>
    <x v="4"/>
    <s v="Stabilimento da Emilia di Edoardo Rubini"/>
    <s v="frazione poggio 1 1"/>
    <x v="10"/>
    <s v="PORTONOVO"/>
    <s v="info@ristoranteemilia.it"/>
    <s v="www.ristoranteemilia.it"/>
    <s v="Stabilimento da Emilia di Edoardo Rubini - ANCONA"/>
  </r>
  <r>
    <x v="4"/>
    <s v="STABILIMENTO PLAYA SOLERO"/>
    <m/>
    <x v="10"/>
    <s v="PALOMBINA NUOVA"/>
    <s v="gianfranco.cirulli@gmail.com"/>
    <s v="www.palombinabeach.com"/>
    <s v="STABILIMENTO PLAYA SOLERO - ANCONA"/>
  </r>
  <r>
    <x v="7"/>
    <s v="STAGNOZZI STEFANIA"/>
    <s v="Via Candigliano  5"/>
    <x v="86"/>
    <s v="ACQUALAGNA"/>
    <m/>
    <s v="gigliovitto@libero.it"/>
    <s v="STAGNOZZI STEFANIA - ACQUALAGNA"/>
  </r>
  <r>
    <x v="7"/>
    <s v="STANGONI IDA"/>
    <s v="viale Cairoli 95"/>
    <x v="33"/>
    <m/>
    <m/>
    <s v="db.fiorangelo@libero.it"/>
    <s v="STANGONI IDA - FANO"/>
  </r>
  <r>
    <x v="0"/>
    <s v="STAZIONE DI POSTA"/>
    <s v="fraz. Magnadorsa 114"/>
    <x v="18"/>
    <s v="MAGNADORSA"/>
    <m/>
    <s v="stazionediposta@gmail.com"/>
    <s v="STAZIONE DI POSTA - ARCEVIA"/>
  </r>
  <r>
    <x v="4"/>
    <s v="STELLA"/>
    <s v="viale Rinascimento  2"/>
    <x v="12"/>
    <s v="SAN BENEDETTO DEL TRONTO"/>
    <s v="info@chaletstella.it"/>
    <s v="www.chaletstella.it"/>
    <s v="STELLA - SAN BENEDETTO DEL TRONTO"/>
  </r>
  <r>
    <x v="4"/>
    <s v="STELLA ADRIATICA"/>
    <s v="lungomare gramsci 1 1"/>
    <x v="47"/>
    <s v="PORTO SAN GIORGIO"/>
    <m/>
    <m/>
    <s v="STELLA ADRIATICA - PORTO SAN GIORGIO"/>
  </r>
  <r>
    <x v="3"/>
    <s v="STELLA ALPINA"/>
    <s v="Frazione Vallegrascia 106"/>
    <x v="153"/>
    <s v="MONTEMONACO"/>
    <s v="www.stellaalpinabb.it"/>
    <s v="info@stellaalpinabb.it"/>
    <s v="STELLA ALPINA - MONTEMONACO"/>
  </r>
  <r>
    <x v="1"/>
    <s v="STELLA GEMELLA S.R.L."/>
    <s v="via Salaria 11"/>
    <x v="150"/>
    <s v="MONSAMPOLO DEL TRONTO"/>
    <m/>
    <m/>
    <s v="STELLA GEMELLA S.R.L. - MONSAMPOLO DEL TRONTO"/>
  </r>
  <r>
    <x v="4"/>
    <s v="STELLA MARINA"/>
    <s v="via del Golfo 27 27"/>
    <x v="9"/>
    <m/>
    <s v="info@bagnistellamarina.it"/>
    <s v="www.bagnistellamarina.it"/>
    <s v="STELLA MARINA - NUMANA"/>
  </r>
  <r>
    <x v="3"/>
    <s v="STELLA MARINA"/>
    <s v="via Cesare Battisti 7a,7b"/>
    <x v="32"/>
    <s v="CUPRA MARITTIMA"/>
    <s v="www.stellamarinavacanze.it"/>
    <s v="info@stellamarinavacanze.it"/>
    <s v="STELLA MARINA - CUPRA MARITTIMA"/>
  </r>
  <r>
    <x v="4"/>
    <s v="STELLA MARINA"/>
    <s v="via colombo 16 16"/>
    <x v="5"/>
    <m/>
    <m/>
    <m/>
    <s v="STELLA MARINA - GROTTAMMARE"/>
  </r>
  <r>
    <x v="4"/>
    <s v="STELLA MARINA"/>
    <s v="viale trieste 23 23"/>
    <x v="12"/>
    <m/>
    <s v="giuseppe.ricci54@tin.it"/>
    <m/>
    <s v="STELLA MARINA - SAN BENEDETTO DEL TRONTO"/>
  </r>
  <r>
    <x v="4"/>
    <s v="STELLA MARINA N 65"/>
    <s v="lungomare alighieri 65 65"/>
    <x v="16"/>
    <s v="SENIGALLIA"/>
    <m/>
    <m/>
    <s v="STELLA MARINA N 65 - SENIGALLIA"/>
  </r>
  <r>
    <x v="6"/>
    <s v="STELLA MARIS"/>
    <s v="via cappellini 5"/>
    <x v="33"/>
    <s v="loc.Torrette di Fano"/>
    <s v="www.campingstellamaris.it"/>
    <s v="stellamaris@camping.it"/>
    <s v="STELLA MARIS - FANO"/>
  </r>
  <r>
    <x v="9"/>
    <s v="STELLA MARIS"/>
    <s v="via Colle Ameno 5"/>
    <x v="10"/>
    <s v="TORRETTE"/>
    <s v="www.domusstellamaris.it"/>
    <s v="info@domusstellamaris.it"/>
    <s v="STELLA MARIS - ANCONA"/>
  </r>
  <r>
    <x v="7"/>
    <s v="STEPHANY ROBERT KEITH"/>
    <s v="Via Fugiano 256"/>
    <x v="18"/>
    <s v="AVACELLI DI ARCEVIA"/>
    <m/>
    <m/>
    <s v="STEPHANY ROBERT KEITH - ARCEVIA"/>
  </r>
  <r>
    <x v="4"/>
    <s v="STONE BEACH"/>
    <s v="viale Cristoforo Colombo 107"/>
    <x v="20"/>
    <s v="MAROTTA"/>
    <s v="larivadafranco@libero.it"/>
    <m/>
    <s v="STONE BEACH - MONDOLFO"/>
  </r>
  <r>
    <x v="1"/>
    <s v="STORK"/>
    <s v="via Dante Alighieri 57"/>
    <x v="148"/>
    <s v="POTENZA PICENA"/>
    <m/>
    <s v="albergostork@libero.it"/>
    <s v="STORK - POTENZA PICENA"/>
  </r>
  <r>
    <x v="7"/>
    <s v="STORONI VANDA"/>
    <s v="via A. Cappellini 3"/>
    <x v="33"/>
    <m/>
    <m/>
    <m/>
    <s v="STORONI VANDA - FANO"/>
  </r>
  <r>
    <x v="7"/>
    <s v="STRACCI GIANLUCA"/>
    <s v="via D'Ancaria 30"/>
    <x v="151"/>
    <m/>
    <m/>
    <s v="cls.stracci@libero.it"/>
    <s v="STRACCI GIANLUCA - ASCOLI PICENO"/>
  </r>
  <r>
    <x v="1"/>
    <s v="STRAND HOTEL"/>
    <s v="via vittorio veneto 167"/>
    <x v="28"/>
    <s v="GABICCE MARE"/>
    <s v="www.strand-hotel.it"/>
    <s v="info@strand-hotel.it"/>
    <s v="STRAND HOTEL - GABICCE MARE"/>
  </r>
  <r>
    <x v="7"/>
    <s v="STROPPA GIUSEPPE"/>
    <s v="strada San Gregorio 12"/>
    <x v="86"/>
    <s v="Acqualagna"/>
    <s v="http://lapanoramicadastroppa.webstarts.com/"/>
    <s v="stroppag@libero.it"/>
    <s v="STROPPA GIUSEPPE - ACQUALAGNA"/>
  </r>
  <r>
    <x v="5"/>
    <s v="SU NURAGHE"/>
    <s v="VIA ESINATE CASTELLARO 11"/>
    <x v="72"/>
    <s v="SERRA SAN QUIRICO"/>
    <m/>
    <m/>
    <s v="SU NURAGHE - SERRA SAN QUIRICO"/>
  </r>
  <r>
    <x v="4"/>
    <s v="SUD-EST"/>
    <s v="lungomare marconi 29 29"/>
    <x v="12"/>
    <m/>
    <m/>
    <m/>
    <s v="SUD-EST - SAN BENEDETTO DEL TRONTO"/>
  </r>
  <r>
    <x v="4"/>
    <s v="SUDOMAGODO"/>
    <s v="via faleria 1 1"/>
    <x v="163"/>
    <s v="PORTO SANT' ELPIDIO"/>
    <s v="giampaolomontevidoni@alice.it"/>
    <s v="www.sudomagodo.it"/>
    <s v="SUDOMAGODO - PORTO SANT'ELPIDIO"/>
  </r>
  <r>
    <x v="4"/>
    <s v="SULLA CRESTA DELL'ONDA"/>
    <m/>
    <x v="23"/>
    <m/>
    <m/>
    <m/>
    <s v="SULLA CRESTA DELL'ONDA - PORTO RECANATI"/>
  </r>
  <r>
    <x v="5"/>
    <s v="SUMI COTTAGE BED AND BREAKFAST"/>
    <s v="via Giacomo Matteotti 25"/>
    <x v="50"/>
    <s v="CAMERATA PICENA"/>
    <s v="www.sumicottage.it"/>
    <s v="michael.woodbridge@libero.it"/>
    <s v="SUMI COTTAGE BED AND BREAKFAST - CAMERATA PICENA"/>
  </r>
  <r>
    <x v="4"/>
    <s v="SUMMER DREAM MARCELLI MAURIZIO"/>
    <m/>
    <x v="10"/>
    <m/>
    <s v="maurizio9_58@libero.it"/>
    <m/>
    <s v="SUMMER DREAM MARCELLI MAURIZIO - ANCONA"/>
  </r>
  <r>
    <x v="6"/>
    <s v="SUMMERLAND"/>
    <s v="via francesco podesti 236"/>
    <x v="16"/>
    <s v="SENIGALLIA"/>
    <s v="www.campingsummerland.it"/>
    <s v="info@campingsummerland.it"/>
    <s v="SUMMERLAND - SENIGALLIA"/>
  </r>
  <r>
    <x v="5"/>
    <s v="SUN CITY B&amp;B"/>
    <s v="LITORANEA  218"/>
    <x v="20"/>
    <s v="MAROTTA"/>
    <m/>
    <s v="fabiolavecchi1@hotmail.it"/>
    <s v="SUN CITY B&amp;B - MONDOLFO"/>
  </r>
  <r>
    <x v="1"/>
    <s v="SUNRISE"/>
    <s v="via San Giacomo 25"/>
    <x v="12"/>
    <s v="SAN BENEDETTO DEL TRONTO"/>
    <s v="www.hotelsunrise.it"/>
    <s v="webmail@hotelsunrise.it"/>
    <s v="SUNRISE - SAN BENEDETTO DEL TRONTO"/>
  </r>
  <r>
    <x v="4"/>
    <s v="SUNRISE"/>
    <s v="via trieste 38 38"/>
    <x v="163"/>
    <s v="PORTO SANT' ELPIDIO"/>
    <m/>
    <m/>
    <s v="SUNRISE - PORTO SANT'ELPIDIO"/>
  </r>
  <r>
    <x v="4"/>
    <s v="SUNSET BEACH"/>
    <s v="via flaminia 1 1"/>
    <x v="10"/>
    <s v="ANCONA"/>
    <m/>
    <s v="www.sunset-beach.it"/>
    <s v="SUNSET BEACH - ANCONA"/>
  </r>
  <r>
    <x v="5"/>
    <s v="SWEET HARBOUR"/>
    <s v="Via Gessi 16"/>
    <x v="69"/>
    <s v="PESARO"/>
    <m/>
    <s v="fabioannibali1980@gmail.com"/>
    <s v="SWEET HARBOUR - PESARO"/>
  </r>
  <r>
    <x v="7"/>
    <s v="SWEET HOME"/>
    <s v="c.da Piangiano 4/a"/>
    <x v="139"/>
    <m/>
    <m/>
    <s v="fabriziobartolacci@icloud.com"/>
    <s v="SWEET HOME - TREIA"/>
  </r>
  <r>
    <x v="1"/>
    <s v="SYDNEY"/>
    <s v="viale Guglielmo Marconi 1"/>
    <x v="12"/>
    <s v="SAN BENEDETTO DEL TRONTO"/>
    <s v="www.hotelsydney.it"/>
    <s v="info@hotelsydney.it"/>
    <s v="SYDNEY - SAN BENEDETTO DEL TRONTO"/>
  </r>
  <r>
    <x v="1"/>
    <s v="SYLVIA"/>
    <s v="viale rovereto 30"/>
    <x v="69"/>
    <s v="PESARO"/>
    <s v="www.sylviahotel.it"/>
    <s v="glauco@sylviahotel.it"/>
    <s v="SYLVIA - PESARO"/>
  </r>
  <r>
    <x v="1"/>
    <s v="SYLVIA"/>
    <s v="Viale C. Colombo 83"/>
    <x v="5"/>
    <s v="GROTTAMMARE"/>
    <s v="www.hotelsylvia.net"/>
    <s v="info@hotelsylvia.net"/>
    <s v="SYLVIA - GROTTAMMARE"/>
  </r>
  <r>
    <x v="1"/>
    <s v="SYMPOSIUM RESORT"/>
    <s v="Cartoceto 38/a"/>
    <x v="125"/>
    <m/>
    <s v="www.symposium4stagioni.it"/>
    <s v="cristina@symposium4stagioni.it"/>
    <s v="SYMPOSIUM RESORT - SERRUNGARINA"/>
  </r>
  <r>
    <x v="1"/>
    <s v="TAG HOTEL"/>
    <s v="Einaudi  2/a"/>
    <x v="33"/>
    <s v="Bellocchi"/>
    <s v="www.taghotelfano.com"/>
    <s v="direzione@taghotelfano.com"/>
    <s v="TAG HOTEL - FANO"/>
  </r>
  <r>
    <x v="8"/>
    <s v="TAGLIABRACCI NORMA"/>
    <s v="strada delle valli 25"/>
    <x v="101"/>
    <s v="ISOLA DEL PIANO"/>
    <m/>
    <s v="norma.tagliabracci@libero.it"/>
    <s v="TAGLIABRACCI NORMA - ISOLA DEL PIANO"/>
  </r>
  <r>
    <x v="1"/>
    <s v="TAMANACO"/>
    <s v="viale Rinascimento 105"/>
    <x v="12"/>
    <s v="SAN BENEDETTO DEL TRONTO"/>
    <m/>
    <s v="info@tamanacohotel.it"/>
    <s v="TAMANACO - SAN BENEDETTO DEL TRONTO"/>
  </r>
  <r>
    <x v="7"/>
    <s v="TAMSIN ANNE HICKSON"/>
    <s v="via Volturelle 21"/>
    <x v="206"/>
    <m/>
    <m/>
    <s v="tamsin.hickson@postacertificata.gov.it"/>
    <s v="TAMSIN ANNE HICKSON - MOGLIANO"/>
  </r>
  <r>
    <x v="3"/>
    <s v="TAORMINA"/>
    <s v="via Sacchini 1"/>
    <x v="12"/>
    <m/>
    <s v="www.hoteltaormina.it"/>
    <s v="info@hoteltaormina.it"/>
    <s v="TAORMINA - SAN BENEDETTO DEL TRONTO"/>
  </r>
  <r>
    <x v="5"/>
    <s v="TARCISIO B&amp;B"/>
    <s v="via I. Balducci 5"/>
    <x v="57"/>
    <s v="TAVULLIA"/>
    <s v="www.tarcisiobb.com"/>
    <s v="tarcisiobeb@gmail.com"/>
    <s v="TARCISIO B&amp;B - TAVULLIA"/>
  </r>
  <r>
    <x v="4"/>
    <s v="TARIFA"/>
    <m/>
    <x v="148"/>
    <m/>
    <m/>
    <s v="marzola.stefano@alice.it"/>
    <s v="TARIFA - POTENZA PICENA"/>
  </r>
  <r>
    <x v="3"/>
    <s v="TASSI di Lorella De Luca"/>
    <s v="piazza Garibaldi 7"/>
    <x v="115"/>
    <s v="COMUNANZA"/>
    <m/>
    <s v="affittacameretassi@libero.it"/>
    <s v="TASSI di Lorella De Luca - COMUNANZA"/>
  </r>
  <r>
    <x v="0"/>
    <s v="T'ASTERIA"/>
    <s v="COLLE CARBONE  9"/>
    <x v="54"/>
    <m/>
    <s v="www.tasteria.it"/>
    <s v="info@tasteria.it; isaak.tsorakidis@hotmail.it"/>
    <s v="T'ASTERIA - MONTELPARO"/>
  </r>
  <r>
    <x v="4"/>
    <s v="TAUNUS"/>
    <s v="via litoranea 1 19"/>
    <x v="9"/>
    <s v="Marcelli"/>
    <m/>
    <m/>
    <s v="TAUNUS - NUMANA"/>
  </r>
  <r>
    <x v="3"/>
    <s v="TAUNUS VACANZE"/>
    <s v="Via delle Acacie 101"/>
    <x v="9"/>
    <s v="NUMANA"/>
    <m/>
    <s v="vacanze@taunus.it"/>
    <s v="TAUNUS VACANZE - NUMANA"/>
  </r>
  <r>
    <x v="3"/>
    <s v="TAUNUS VACANZE"/>
    <s v="Via Giacomo Matteotti 24"/>
    <x v="9"/>
    <s v="NUMANA"/>
    <m/>
    <s v="bontempi@taunus.it"/>
    <s v="TAUNUS VACANZE - NUMANA"/>
  </r>
  <r>
    <x v="0"/>
    <s v="TAVERNA"/>
    <s v="vocabolo caselle 1"/>
    <x v="31"/>
    <s v="APECCHIO"/>
    <m/>
    <s v="marialaura@jumpi.it;"/>
    <s v="TAVERNA - APECCHIO"/>
  </r>
  <r>
    <x v="8"/>
    <s v="TAVERNA DEI GUELFI"/>
    <s v="strada provinciale corinaldese 57"/>
    <x v="16"/>
    <s v="SENIGALLIA"/>
    <m/>
    <s v="info@tavernadeiguelfi.com"/>
    <s v="TAVERNA DEI GUELFI - SENIGALLIA"/>
  </r>
  <r>
    <x v="1"/>
    <s v="TAVERNA DELLA MONTAGNA"/>
    <s v="frazione foce 33"/>
    <x v="153"/>
    <s v="MONTEMONACO"/>
    <s v="www.tavernadellamontagna.net"/>
    <s v="tavernadellamontagna@gmail.com"/>
    <s v="TAVERNA DELLA MONTAGNA - MONTEMONACO"/>
  </r>
  <r>
    <x v="3"/>
    <s v="TELONI SANDRO"/>
    <s v="VIA DELLA VILLA  20"/>
    <x v="2"/>
    <s v="SAN SEVERINO MARCHE"/>
    <m/>
    <s v="SANDRO.TELONI@GMAIL.COM"/>
    <s v="TELONI SANDRO - SAN SEVERINO MARCHE"/>
  </r>
  <r>
    <x v="7"/>
    <s v="TEMPERA ANNA MARIA"/>
    <s v="Frazione Cavignano 200"/>
    <x v="151"/>
    <s v="CAVIGNANO"/>
    <m/>
    <s v="annamariatempera@virgilio.it"/>
    <s v="TEMPERA ANNA MARIA - ASCOLI PICENO"/>
  </r>
  <r>
    <x v="3"/>
    <s v="TEMPOCASA"/>
    <s v="via Roma 17"/>
    <x v="9"/>
    <m/>
    <s v="www.tempocasa.it"/>
    <s v="numana@tempocasa.it"/>
    <s v="TEMPOCASA - NUMANA"/>
  </r>
  <r>
    <x v="1"/>
    <s v="TENDA VERDE"/>
    <s v="via lorenzo cesanelli 4"/>
    <x v="22"/>
    <s v="FALCONARA MARITTIMA"/>
    <s v="www.hoteltendaverde.it"/>
    <s v="verdeconero@libero.it - info@hoteltendaverde.it"/>
    <s v="TENDA VERDE - FALCONARA MARITTIMA"/>
  </r>
  <r>
    <x v="4"/>
    <s v="TENENTE"/>
    <s v="viale della Repubblica 7 7"/>
    <x v="5"/>
    <m/>
    <m/>
    <m/>
    <s v="TENENTE - GROTTAMMARE"/>
  </r>
  <r>
    <x v="3"/>
    <s v="TENENTI ROSANNA"/>
    <s v="via Lungomare da Vinci 95"/>
    <x v="16"/>
    <m/>
    <m/>
    <s v="stpellegrini_daniele@tiscali.it"/>
    <s v="TENENTI ROSANNA - SENIGALLIA"/>
  </r>
  <r>
    <x v="5"/>
    <s v="TENUTA BARBOLANO B&amp;B"/>
    <s v="Contrada Barbolano 9"/>
    <x v="133"/>
    <s v="CONTRADA BARBOLANO"/>
    <s v="www.tenutabarbolano.com"/>
    <s v="info@tenutabarbolano.com"/>
    <s v="TENUTA BARBOLANO B&amp;B - ALTIDONA"/>
  </r>
  <r>
    <x v="0"/>
    <s v="TENUTA DI MONTEBELLO"/>
    <s v="MONTEBELLO 1"/>
    <x v="101"/>
    <s v="ISOLA DEL PIANO"/>
    <s v="www.agriturismogirolomoni.it"/>
    <s v="agriturismo@girolomoni.it"/>
    <s v="TENUTA DI MONTEBELLO - ISOLA DEL PIANO"/>
  </r>
  <r>
    <x v="1"/>
    <s v="TENUTA IL GIOGO"/>
    <s v="via Fonti 5"/>
    <x v="119"/>
    <s v="loc.Monterado"/>
    <s v="www.ilgiogo.it"/>
    <s v="info@ilgiogo.it"/>
    <s v="TENUTA IL GIOGO - TRECASTELLI"/>
  </r>
  <r>
    <x v="0"/>
    <s v="TENUTA LE PIANE"/>
    <s v="Villa Piane 21"/>
    <x v="62"/>
    <s v="AMANDOLA"/>
    <s v="www.anticatenutalepiane.com"/>
    <s v="info@anticatenutalepiane.com"/>
    <s v="TENUTA LE PIANE - AMANDOLA"/>
  </r>
  <r>
    <x v="8"/>
    <s v="TENUTA SAN CASSIANO"/>
    <s v="LOCALITA' SAN CASSIANO 35"/>
    <x v="21"/>
    <s v="SAN CASSIANO"/>
    <s v="www.tenutasancassiano.it"/>
    <s v="info@tenutasancassiano.it"/>
    <s v="TENUTA SAN CASSIANO - FABRIANO"/>
  </r>
  <r>
    <x v="8"/>
    <s v="TENUTA SAN CASSIANO"/>
    <s v="LOCALITA' SAN CASSIANO 38"/>
    <x v="21"/>
    <s v="SAN CASSIANO"/>
    <s v="www.tenutasancassiano.it"/>
    <s v="info@tenutasancassiano.it"/>
    <s v="TENUTA SAN CASSIANO - FABRIANO"/>
  </r>
  <r>
    <x v="0"/>
    <s v="TENUTA SAN MARCELLO"/>
    <s v="via Melano 30"/>
    <x v="193"/>
    <m/>
    <s v="www.tenutasanmarcello.net"/>
    <s v="info@tenutasanmarcello.net"/>
    <s v="TENUTA SAN MARCELLO - SAN MARCELLO"/>
  </r>
  <r>
    <x v="7"/>
    <s v="TEODORI PAOLO"/>
    <s v="via Belgatto 96"/>
    <x v="33"/>
    <s v="FANO"/>
    <m/>
    <s v="gianluca.tagliatesta@ingpec.eu"/>
    <s v="TEODORI PAOLO - FANO"/>
  </r>
  <r>
    <x v="7"/>
    <s v="TERENZI ELISA"/>
    <s v="Via Cattolica 9"/>
    <x v="155"/>
    <s v="GRADARA"/>
    <m/>
    <s v="elisaterenzi82@gmail.com"/>
    <s v="TERENZI ELISA - GRADARA"/>
  </r>
  <r>
    <x v="7"/>
    <s v="TERENZI GIORGIO"/>
    <s v="via Redipuglia  24"/>
    <x v="28"/>
    <m/>
    <m/>
    <m/>
    <s v="TERENZI GIORGIO - GABICCE MARE"/>
  </r>
  <r>
    <x v="1"/>
    <s v="TERESA A MARE"/>
    <s v="via del golfo 26"/>
    <x v="9"/>
    <s v="NUMANA"/>
    <s v="www.hotelteresamare.com"/>
    <s v="info@hotelteresamare.com"/>
    <s v="TERESA A MARE - NUMANA"/>
  </r>
  <r>
    <x v="4"/>
    <s v="TERESA BAGNI N° 142"/>
    <s v="lungomare leonardo da vinci  95"/>
    <x v="16"/>
    <s v="SENIGALLIA"/>
    <m/>
    <m/>
    <s v="TERESA BAGNI N° 142 - SENIGALLIA"/>
  </r>
  <r>
    <x v="1"/>
    <s v="TERME"/>
    <s v="piazza della Liberta' 82"/>
    <x v="11"/>
    <s v="SARNANO"/>
    <s v="www.hoteltermesarnano.it"/>
    <s v="info@hoteltermesarnano.it"/>
    <s v="TERME - SARNANO"/>
  </r>
  <r>
    <x v="8"/>
    <s v="TERRA &amp; SOLE S.R.L."/>
    <s v="contrada Santa Maria 534"/>
    <x v="34"/>
    <s v="MONTEGRANARO"/>
    <s v="www.terraesolecountryhouse.com"/>
    <s v="info@terraesolecountryhouse.com"/>
    <s v="TERRA &amp; SOLE S.R.L. - MONTEGRANARO"/>
  </r>
  <r>
    <x v="9"/>
    <s v="TERRA DEI FIORETTI"/>
    <s v="via Aldo Moro 46"/>
    <x v="15"/>
    <m/>
    <m/>
    <s v="alessandroangelisanti@alice.it"/>
    <s v="TERRA DEI FIORETTI - LORETO"/>
  </r>
  <r>
    <x v="0"/>
    <s v="TERRA DEL SOLE"/>
    <s v="contrada Castelnuovo 22"/>
    <x v="56"/>
    <m/>
    <m/>
    <s v="guardabassidaniele@gmail.com"/>
    <s v="TERRA DEL SOLE - RECANATI"/>
  </r>
  <r>
    <x v="5"/>
    <s v="TERRACHIARA AZ.AGRICOLA E B&amp;B"/>
    <s v="VIA STRADA LUNGA 7"/>
    <x v="69"/>
    <s v="CANDELARA"/>
    <m/>
    <s v="terrachiaracandelara@gmail.com"/>
    <s v="TERRACHIARA AZ.AGRICOLA E B&amp;B - PESARO"/>
  </r>
  <r>
    <x v="1"/>
    <s v="TERRAZZA MARCONI"/>
    <s v="lungomare Marconi 37"/>
    <x v="16"/>
    <s v="SENIGALLIA"/>
    <s v="www.terrazzamarconi.it"/>
    <s v="info@terrazzamarconi.it"/>
    <s v="TERRAZZA MARCONI - SENIGALLIA"/>
  </r>
  <r>
    <x v="1"/>
    <s v="TERRAZZAMARE"/>
    <s v="via San Michele 6/8"/>
    <x v="8"/>
    <m/>
    <m/>
    <s v="terrazzamare.sirolo@libero.it"/>
    <s v="TERRAZZAMARE - SIROLO"/>
  </r>
  <r>
    <x v="6"/>
    <s v="TERRAZZO SUL MARE"/>
    <s v="via adriatica nord 109"/>
    <x v="32"/>
    <s v="CUPRA MARITTIMA"/>
    <s v="WWW.CAMPINGTERRAZZOSULMARE.IT"/>
    <s v="info@campingterrazzosulmare.it"/>
    <s v="TERRAZZO SUL MARE - CUPRA MARITTIMA"/>
  </r>
  <r>
    <x v="0"/>
    <s v="TERRE DELLA SIBILLA"/>
    <m/>
    <x v="185"/>
    <m/>
    <s v="www.agriturismoterredellasibilla.it"/>
    <s v="terredellasibilla@libero.it"/>
    <s v="TERRE DELLA SIBILLA - PIEVEBOVIGLIANA"/>
  </r>
  <r>
    <x v="8"/>
    <s v="TERRE DI ORPIANO"/>
    <s v="localita' serripola 66"/>
    <x v="2"/>
    <s v="SAN SEVERINO MARCHE"/>
    <s v="www.terrediorpiano.it"/>
    <s v="info@terrediorpiano.it"/>
    <s v="TERRE DI ORPIANO - SAN SEVERINO MARCHE"/>
  </r>
  <r>
    <x v="0"/>
    <s v="TERRE VINEATE"/>
    <s v="c.da Sant'Alberto 8/9"/>
    <x v="96"/>
    <s v="MONTALTO DELLE MARCHE"/>
    <s v="www.terrevineate.it"/>
    <s v="info@terrevineate.it"/>
    <s v="TERRE VINEATE - MONTALTO DELLE MARCHE"/>
  </r>
  <r>
    <x v="0"/>
    <s v="TERRO"/>
    <s v="contrada terro 1"/>
    <x v="11"/>
    <s v="SARNANO"/>
    <s v="sites.google.com/site/casaruralevacanze/"/>
    <s v="cecchetti@live.it"/>
    <s v="TERRO - SARNANO"/>
  </r>
  <r>
    <x v="7"/>
    <s v="TESEI DELIA"/>
    <s v="VIA SAN GIOVANNI 32"/>
    <x v="106"/>
    <s v="MONTE SAN PIETRANGELI"/>
    <m/>
    <m/>
    <s v="TESEI DELIA - MONTE SAN PIETRANGELI"/>
  </r>
  <r>
    <x v="1"/>
    <s v="TESORO"/>
    <s v="viale giacomo matteotti 27"/>
    <x v="90"/>
    <s v="CALDAROLA"/>
    <s v="www.hoteltesoro.it"/>
    <s v="info@hoteltesoro.it"/>
    <s v="TESORO - CALDAROLA"/>
  </r>
  <r>
    <x v="1"/>
    <s v="TETA"/>
    <s v="Via Borgo Garibaldi 122"/>
    <x v="82"/>
    <s v="CASTIGNANO"/>
    <s v="www.hotelteta.it"/>
    <s v="hrteta@libero.it"/>
    <s v="TETA - CASTIGNANO"/>
  </r>
  <r>
    <x v="1"/>
    <s v="TETTO DELLE MARCHE"/>
    <s v="via e. cristianopoli 47"/>
    <x v="26"/>
    <s v="CINGOLI"/>
    <s v="www.hoteltettodellemarche.it"/>
    <s v="info@hoteltettodellemarche.it"/>
    <s v="TETTO DELLE MARCHE - CINGOLI"/>
  </r>
  <r>
    <x v="3"/>
    <s v="THE METTA CENTRE"/>
    <s v="contrada saline 1"/>
    <x v="113"/>
    <s v="PENNA SAN GIOVANNI"/>
    <m/>
    <m/>
    <s v="THE METTA CENTRE - PENNA SAN GIOVANNI"/>
  </r>
  <r>
    <x v="3"/>
    <s v="THE NELLO'S HOLIDAY HOUSES"/>
    <s v="via Lungomare 95"/>
    <x v="16"/>
    <m/>
    <m/>
    <s v="stpellegrini_daniele@tiscali.it"/>
    <s v="THE NELLO'S HOLIDAY HOUSES - SENIGALLIA"/>
  </r>
  <r>
    <x v="1"/>
    <s v="THERMAL RESIDENCE"/>
    <s v="VIALE MARTIRI DELLA RESISTENZA  2"/>
    <x v="212"/>
    <s v="MONTE GRIMANO TERME"/>
    <s v="www.villadicarlo.it"/>
    <s v="info@villadicarlo.it"/>
    <s v="THERMAL RESIDENCE - MONTE GRIMANO TERME"/>
  </r>
  <r>
    <x v="4"/>
    <s v="TI: ORO"/>
    <s v="viale trieste 1 1"/>
    <x v="163"/>
    <s v="PESARO"/>
    <m/>
    <m/>
    <s v="TI: ORO - PORTO SANT'ELPIDIO"/>
  </r>
  <r>
    <x v="12"/>
    <s v="TIBICECO"/>
    <s v="via Adriatica Sud 37"/>
    <x v="222"/>
    <s v="PEDASO"/>
    <s v="www.tibiceco.it"/>
    <s v="info@tibiceco.it"/>
    <s v="TIBICECO - PEDASO"/>
  </r>
  <r>
    <x v="3"/>
    <s v="TIC TAC"/>
    <s v="Viale della Vittoria 37"/>
    <x v="28"/>
    <s v="GABICCE MARE"/>
    <m/>
    <s v="bar.tictac@virgilio.it"/>
    <s v="TIC TAC - GABICCE MARE"/>
  </r>
  <r>
    <x v="5"/>
    <s v="TIDEI MARIO"/>
    <s v="via del crocefisso 84"/>
    <x v="37"/>
    <s v="FERMO"/>
    <m/>
    <s v="mario.tidei@tiscali.it"/>
    <s v="TIDEI MARIO - FERMO"/>
  </r>
  <r>
    <x v="7"/>
    <s v="TINTI ALESSANDRO"/>
    <s v="via 28 Settembre 20/l"/>
    <x v="20"/>
    <m/>
    <m/>
    <s v="alessandropes@libero.it"/>
    <s v="TINTI ALESSANDRO - MONDOLFO"/>
  </r>
  <r>
    <x v="1"/>
    <s v="TIZIANA"/>
    <s v="via Piemonte 107"/>
    <x v="12"/>
    <s v="SAN BENEDETTO DEL TRONTO"/>
    <m/>
    <m/>
    <s v="TIZIANA - SAN BENEDETTO DEL TRONTO"/>
  </r>
  <r>
    <x v="6"/>
    <s v="TOBACCO ROAD MUSIC CLUB"/>
    <s v="via Pescheria 9"/>
    <x v="8"/>
    <m/>
    <m/>
    <s v="claudfelix47@yahoo.it"/>
    <s v="TOBACCO ROAD MUSIC CLUB - SIROLO"/>
  </r>
  <r>
    <x v="7"/>
    <s v="TOMASSONI GIULIANA"/>
    <s v="Umberto Giordano 31"/>
    <x v="16"/>
    <s v="SENIGALLIA"/>
    <m/>
    <s v="senigallia@pec.confartigianato.it"/>
    <s v="TOMASSONI GIULIANA - SENIGALLIA"/>
  </r>
  <r>
    <x v="7"/>
    <s v="TOMASSONI LUIGINO"/>
    <s v="via Schiavoni 1"/>
    <x v="33"/>
    <s v="FANO"/>
    <m/>
    <s v="a.tomassoni91@gmail.com"/>
    <s v="TOMASSONI LUIGINO - FANO"/>
  </r>
  <r>
    <x v="4"/>
    <s v="TOMMI  38"/>
    <s v="lungomare mameli 38 38"/>
    <x v="16"/>
    <s v="SENIGALLIA"/>
    <s v="info@bagnitommi.it"/>
    <s v="www.bagnitommi.it"/>
    <s v="TOMMI  38 - SENIGALLIA"/>
  </r>
  <r>
    <x v="1"/>
    <s v="TONINO"/>
    <s v="via ceccaroni 1"/>
    <x v="56"/>
    <s v="RECANATI"/>
    <s v="www.albergotonino.it"/>
    <s v="info@albergotonino.it"/>
    <s v="TONINO - RECANATI"/>
  </r>
  <r>
    <x v="7"/>
    <s v="TONNINI TATIANA"/>
    <s v="via Belgatto 89/90"/>
    <x v="33"/>
    <m/>
    <m/>
    <s v="tatianatonnini@gmail.com"/>
    <s v="TONNINI TATIANA - FANO"/>
  </r>
  <r>
    <x v="3"/>
    <s v="TONTI ELSA"/>
    <s v="corso giovanni amendola 9"/>
    <x v="10"/>
    <s v="ANCONA"/>
    <m/>
    <s v="hondasuhonda@libero.it"/>
    <s v="TONTI ELSA - ANCONA"/>
  </r>
  <r>
    <x v="0"/>
    <s v="TOPI MARIA"/>
    <m/>
    <x v="80"/>
    <s v="LOCALITA' LE CAPANNACCE"/>
    <m/>
    <s v="inesistente@regione.marche.it"/>
    <s v="TOPI MARIA - URBANIA"/>
  </r>
  <r>
    <x v="7"/>
    <s v="TORRE COLOMBARA DI FRONTINO"/>
    <s v="STRADA FRONTINO 24/B"/>
    <x v="86"/>
    <s v="ACQUALAGNA"/>
    <m/>
    <s v="luccardi.sandro@gmail.com"/>
    <s v="TORRE COLOMBARA DI FRONTINO - ACQUALAGNA"/>
  </r>
  <r>
    <x v="1"/>
    <s v="TORTORINA"/>
    <s v="via ottaviano petrucci 4"/>
    <x v="1"/>
    <s v="URBINO"/>
    <s v="www.hotel-tortorina.it"/>
    <s v="info@hotel-tortorina.it"/>
    <s v="TORTORINA - URBINO"/>
  </r>
  <r>
    <x v="1"/>
    <s v="TOSCANA"/>
    <s v="via faa' di bruno 19"/>
    <x v="20"/>
    <s v="MONDOLFO"/>
    <s v="www.hoteltoscanamarotta.com"/>
    <s v="info@hoteltoscanamarotta.com"/>
    <s v="TOSCANA - MONDOLFO"/>
  </r>
  <r>
    <x v="4"/>
    <s v="TOUCH"/>
    <s v="viale trieste 1 1"/>
    <x v="163"/>
    <s v="PESARO"/>
    <m/>
    <m/>
    <s v="TOUCH - PORTO SANT'ELPIDIO"/>
  </r>
  <r>
    <x v="4"/>
    <s v="TOURIST RESIDENCE"/>
    <s v="via san giacomo 67 67"/>
    <x v="12"/>
    <s v="PORTO D' ASCOLI"/>
    <s v="info@touristresidence.it"/>
    <s v="www.touristresidence.it"/>
    <s v="TOURIST RESIDENCE - SAN BENEDETTO DEL TRONTO"/>
  </r>
  <r>
    <x v="3"/>
    <s v="TOURIST RESIDENCE"/>
    <s v="via San Giacomo 67"/>
    <x v="12"/>
    <s v="SAN BENEDETTO DEL TRONTO"/>
    <s v="www.touristresidence.it"/>
    <s v="info@touristresidence.it"/>
    <s v="TOURIST RESIDENCE - SAN BENEDETTO DEL TRONTO"/>
  </r>
  <r>
    <x v="5"/>
    <s v="TRA GLI ALBERI E IL MARE"/>
    <s v="Via S. Antonio 44"/>
    <x v="8"/>
    <s v="SIROLO"/>
    <m/>
    <s v="paolapucci5@libero.it"/>
    <s v="TRA GLI ALBERI E IL MARE - SIROLO"/>
  </r>
  <r>
    <x v="13"/>
    <s v="TRAMONTO ROSSO"/>
    <s v="via Madonna d'Ete 1"/>
    <x v="37"/>
    <m/>
    <s v="www.agricampingtramontorosso.it"/>
    <s v="info@agricampingtramontorosso.it"/>
    <s v="TRAMONTO ROSSO - FERMO"/>
  </r>
  <r>
    <x v="4"/>
    <s v="TRATTORIA &quot;DA ANNA&quot;"/>
    <s v="frazione poggio 1 1"/>
    <x v="10"/>
    <s v="ANCONA"/>
    <m/>
    <m/>
    <s v="TRATTORIA &quot;DA ANNA&quot; - ANCONA"/>
  </r>
  <r>
    <x v="3"/>
    <s v="TRATTORIA DEL MARE"/>
    <s v="via dei Laureati 4"/>
    <x v="12"/>
    <s v="SAN BENEDETTO DEL TRONTO"/>
    <m/>
    <s v="marisaruggieri@gmail.com"/>
    <s v="TRATTORIA DEL MARE - SAN BENEDETTO DEL TRONTO"/>
  </r>
  <r>
    <x v="3"/>
    <s v="TRATTORIA PENSIONE CANTIANI di AUGUSTA &amp; C. S.N.C."/>
    <s v="via Lotto 26"/>
    <x v="10"/>
    <s v="Ancona"/>
    <m/>
    <s v="albergocantiani@alice.it"/>
    <s v="TRATTORIA PENSIONE CANTIANI di AUGUSTA &amp; C. S.N.C. - ANCONA"/>
  </r>
  <r>
    <x v="3"/>
    <s v="TRATTOSTERIA DI DE MARCHI ROMINA"/>
    <s v="viale Vittorio Veneto 54"/>
    <x v="152"/>
    <m/>
    <m/>
    <s v="trattosteria@gmail.com"/>
    <s v="TRATTOSTERIA DI DE MARCHI ROMINA - FERMIGNANO"/>
  </r>
  <r>
    <x v="7"/>
    <s v="TRAVAGLIA MARIA ANTONIETTA"/>
    <s v="Via Elisabetta Trebbiani 37"/>
    <x v="151"/>
    <s v="ASCOLI PICENO"/>
    <m/>
    <m/>
    <s v="TRAVAGLIA MARIA ANTONIETTA - ASCOLI PICENO"/>
  </r>
  <r>
    <x v="6"/>
    <s v="TRE ARCHI"/>
    <s v="via ugo la malfa 19A"/>
    <x v="37"/>
    <s v="FERMO"/>
    <s v="www.campingtrearchi.eu"/>
    <s v="info@campingtrearchi.eu"/>
    <s v="TRE ARCHI - FERMO"/>
  </r>
  <r>
    <x v="3"/>
    <s v="TRE MONTI"/>
    <s v="VIA VALCANUTA 11"/>
    <x v="49"/>
    <s v="VISSO"/>
    <m/>
    <m/>
    <s v="TRE MONTI - VISSO"/>
  </r>
  <r>
    <x v="1"/>
    <s v="TRE QUERCE"/>
    <s v="via papa giovanni xxiii 44"/>
    <x v="167"/>
    <s v="CAMERANO"/>
    <s v="www.hotel3querce.com"/>
    <s v="direzione@hotel3querce.com"/>
    <s v="TRE QUERCE - CAMERANO"/>
  </r>
  <r>
    <x v="0"/>
    <s v="TRE QUERCE"/>
    <s v="contrada fosse 315"/>
    <x v="113"/>
    <s v="PENNA SAN GIOVANNI"/>
    <s v="www.trequerce.it"/>
    <s v="info@trequerce.it"/>
    <s v="TRE QUERCE - PENNA SAN GIOVANNI"/>
  </r>
  <r>
    <x v="1"/>
    <s v="TRE STELLE"/>
    <s v="via Gabriele D'Annunzio 12"/>
    <x v="28"/>
    <s v="GABICCE MARE"/>
    <s v="www.trestellehotel.net"/>
    <s v="info@trestellehotel.net"/>
    <s v="TRE STELLE - GABICCE MARE"/>
  </r>
  <r>
    <x v="5"/>
    <s v="TRECENTOLIVI"/>
    <s v="STRADA TORRE CAMPETTO  105"/>
    <x v="16"/>
    <s v="SENIGALLIA"/>
    <m/>
    <s v="niki31@inwind.it;"/>
    <s v="TRECENTOLIVI - SENIGALLIA"/>
  </r>
  <r>
    <x v="1"/>
    <s v="TRENTO-TRIESTE"/>
    <s v="via Marsala 22"/>
    <x v="22"/>
    <s v="FALCONARA MARITTIMA"/>
    <m/>
    <s v="albergotrentotrieste@gmail.com"/>
    <s v="TRENTO-TRIESTE - FALCONARA MARITTIMA"/>
  </r>
  <r>
    <x v="7"/>
    <s v="TREVISANI GIUSEPPE"/>
    <s v="Via R. Zandonai 6"/>
    <x v="12"/>
    <s v="SAN BENEDETTO DEL TRONTO"/>
    <m/>
    <s v="studio@patriziapalestini.it"/>
    <s v="TREVISANI GIUSEPPE - SAN BENEDETTO DEL TRONTO"/>
  </r>
  <r>
    <x v="1"/>
    <s v="TRIESTE"/>
    <s v="via Esino 15"/>
    <x v="20"/>
    <s v="MONDOLFO"/>
    <s v="www.htrieste.net"/>
    <s v="info@htrieste.net"/>
    <s v="TRIESTE - MONDOLFO"/>
  </r>
  <r>
    <x v="3"/>
    <s v="TRINACRIA"/>
    <m/>
    <x v="45"/>
    <s v="loc.Col Martese"/>
    <s v="www.ristorantetrinacria.com"/>
    <s v="ristorantetrinacria@inwind.it"/>
    <s v="TRINACRIA - MONTEFORTINO"/>
  </r>
  <r>
    <x v="1"/>
    <s v="TRITONE"/>
    <s v="lungomare Leonardo da Vinci 18"/>
    <x v="16"/>
    <s v="SENIGALLIA"/>
    <s v="www.hoteltritone.net"/>
    <s v="info@hoteltritone.net"/>
    <s v="TRITONE - SENIGALLIA"/>
  </r>
  <r>
    <x v="1"/>
    <s v="TRITONE"/>
    <s v="via san martino 36"/>
    <x v="47"/>
    <s v="PORTO SAN GIORGIO"/>
    <s v="www.hotel-tritone.it"/>
    <s v="info@hotel-tritone.it"/>
    <s v="TRITONE - PORTO SAN GIORGIO"/>
  </r>
  <r>
    <x v="1"/>
    <s v="TROCADERO"/>
    <s v="via Carlo Goldoni 46"/>
    <x v="16"/>
    <s v="SENIGALLIA"/>
    <m/>
    <s v="corradopianelli@gmail.com"/>
    <s v="TROCADERO - SENIGALLIA"/>
  </r>
  <r>
    <x v="4"/>
    <s v="TROPICAL"/>
    <s v="Spiaggia di Palombina Nuova An 1 1"/>
    <x v="10"/>
    <s v="Ancona"/>
    <s v="tropicalbeach@tiscali.it"/>
    <m/>
    <s v="TROPICAL - ANCONA"/>
  </r>
  <r>
    <x v="4"/>
    <s v="TROPICAL"/>
    <s v="viale alcide de gasperi 59 59"/>
    <x v="5"/>
    <m/>
    <s v="ristorantetropical@alice.it"/>
    <s v="www.ristorantetropical.com"/>
    <s v="TROPICAL - GROTTAMMARE"/>
  </r>
  <r>
    <x v="4"/>
    <s v="TROPICAL"/>
    <s v="lungomare gramsci 1 1"/>
    <x v="47"/>
    <s v="PORTO SAN GIORGIO"/>
    <s v="tropicalchalet@alice.it"/>
    <m/>
    <s v="TROPICAL - PORTO SAN GIORGIO"/>
  </r>
  <r>
    <x v="4"/>
    <s v="TROPICAL"/>
    <s v="lungomare mameli 1 1"/>
    <x v="163"/>
    <s v="SENIGALLIA"/>
    <m/>
    <m/>
    <s v="TROPICAL - PORTO SANT'ELPIDIO"/>
  </r>
  <r>
    <x v="4"/>
    <s v="TUCANO BEACH"/>
    <s v="lungomare gramsci 1 1"/>
    <x v="47"/>
    <s v="PORTO SAN GIORGIO"/>
    <m/>
    <m/>
    <s v="TUCANO BEACH - PORTO SAN GIORGIO"/>
  </r>
  <r>
    <x v="7"/>
    <s v="TURCHI DINO"/>
    <s v="Via Marco Polo  5"/>
    <x v="148"/>
    <s v="POTENZA PICENA"/>
    <m/>
    <m/>
    <s v="TURCHI DINO - POTENZA PICENA"/>
  </r>
  <r>
    <x v="0"/>
    <s v="TURISMO RURALE LA PANORAMICA"/>
    <s v="via Panoramica 20"/>
    <x v="12"/>
    <s v="SAN BENEDETTO DEL TRONTO"/>
    <s v="www.la-panoramica.it"/>
    <s v="info@la-panoramica.it"/>
    <s v="TURISMO RURALE LA PANORAMICA - SAN BENEDETTO DEL TRONTO"/>
  </r>
  <r>
    <x v="1"/>
    <s v="TURISTICA"/>
    <s v="via rieti 14"/>
    <x v="16"/>
    <s v="SENIGALLIA"/>
    <s v="www.hotelturistica.it"/>
    <s v="hotelturistica@libero.it"/>
    <s v="TURISTICA - SENIGALLIA"/>
  </r>
  <r>
    <x v="4"/>
    <s v="UKYSOE"/>
    <s v="viale trieste 1 1"/>
    <x v="163"/>
    <s v="PESARO"/>
    <m/>
    <m/>
    <s v="UKYSOE - PORTO SANT'ELPIDIO"/>
  </r>
  <r>
    <x v="1"/>
    <s v="ULISSE"/>
    <s v="via Amaducci, 16 16"/>
    <x v="174"/>
    <s v="CARPEGNA"/>
    <s v="www.hotelulisse.it"/>
    <s v="info@hotelulisse.it"/>
    <s v="ULISSE - CARPEGNA"/>
  </r>
  <r>
    <x v="0"/>
    <s v="ULIVETO"/>
    <s v="contrada san girolamo 121"/>
    <x v="37"/>
    <s v="FERMO"/>
    <m/>
    <m/>
    <s v="ULIVETO - FERMO"/>
  </r>
  <r>
    <x v="5"/>
    <s v="ULIVETO DEL TESORO"/>
    <s v="STRADA DEL TESORO 10"/>
    <x v="57"/>
    <s v="PIRANO"/>
    <m/>
    <s v="giacomo.uguccioni@gmail.com"/>
    <s v="ULIVETO DEL TESORO - TAVULLIA"/>
  </r>
  <r>
    <x v="1"/>
    <s v="UNIVERSAL"/>
    <s v="lungomare mameli 47"/>
    <x v="16"/>
    <s v="SENIGALLIA"/>
    <s v="www.hoteluniversal.it"/>
    <s v="info@hoteluniversal.it"/>
    <s v="UNIVERSAL - SENIGALLIA"/>
  </r>
  <r>
    <x v="8"/>
    <s v="URBINO RESORT - SANTI GIACOMO E FILIPPO"/>
    <s v="via san giacomo in foglia 9"/>
    <x v="1"/>
    <s v="Loc. Pantiere"/>
    <s v="www.tenutasantigiacomoefilippo.it"/>
    <s v="info@urbinoresort.it"/>
    <s v="URBINO RESORT - SANTI GIACOMO E FILIPPO - URBINO"/>
  </r>
  <r>
    <x v="7"/>
    <s v="VACANZE AL CASTELLO"/>
    <s v="via Giulio Scampoli 10"/>
    <x v="2"/>
    <m/>
    <m/>
    <m/>
    <s v="VACANZE AL CASTELLO - SAN SEVERINO MARCHE"/>
  </r>
  <r>
    <x v="7"/>
    <s v="VAGNONI ALVARO"/>
    <s v="Corso di Sotto 59"/>
    <x v="151"/>
    <s v="ASCOLI PICENO"/>
    <m/>
    <m/>
    <s v="VAGNONI ALVARO - ASCOLI PICENO"/>
  </r>
  <r>
    <x v="1"/>
    <s v="VAGNOZZI"/>
    <s v="via Francesco Cilea 113"/>
    <x v="5"/>
    <s v="GROTTAMMARE"/>
    <s v="www.pensionevagnozzi.com"/>
    <s v="pensionevagnozzi@gmail.com"/>
    <s v="VAGNOZZI - GROTTAMMARE"/>
  </r>
  <r>
    <x v="0"/>
    <s v="VAL DEL LAGO"/>
    <s v="vocabolo Acquapartita 1"/>
    <x v="31"/>
    <s v="loc. Val del Lago"/>
    <m/>
    <s v="lpraziendaagricola@gmail.com"/>
    <s v="VAL DEL LAGO - APECCHIO"/>
  </r>
  <r>
    <x v="7"/>
    <s v="VAL DELLA PETRA"/>
    <s v="via Val della Petra 33"/>
    <x v="76"/>
    <m/>
    <m/>
    <m/>
    <s v="VAL DELLA PETRA - MERCATELLO SUL METAURO"/>
  </r>
  <r>
    <x v="0"/>
    <s v="VALCAMPANA di MANCINELLI LUCIANA"/>
    <s v="c.da Schito 71"/>
    <x v="139"/>
    <s v="TREIA"/>
    <m/>
    <m/>
    <s v="VALCAMPANA di MANCINELLI LUCIANA - TREIA"/>
  </r>
  <r>
    <x v="3"/>
    <s v="VALCASTAGNO RESIDENCE"/>
    <s v="via Monte Freddo 11"/>
    <x v="8"/>
    <s v="SIROLO"/>
    <s v="www.valcastagno.it"/>
    <s v="info@valcastagno.it"/>
    <s v="VALCASTAGNO RESIDENCE - SIROLO"/>
  </r>
  <r>
    <x v="0"/>
    <s v="VALDAPPIO"/>
    <s v="via urbinate 198"/>
    <x v="1"/>
    <s v="URBINO"/>
    <s v="www.agriturismovaldappio.it"/>
    <s v="t.broccoli@libero.it"/>
    <s v="VALDAPPIO - URBINO"/>
  </r>
  <r>
    <x v="1"/>
    <s v="VALDASO HOTEL"/>
    <s v="via valdaso 26"/>
    <x v="222"/>
    <s v="PEDASO"/>
    <s v="www.fata.it"/>
    <s v="VALDASO@FATA.IT"/>
    <s v="VALDASO HOTEL - PEDASO"/>
  </r>
  <r>
    <x v="6"/>
    <s v="VALENTINA"/>
    <s v="via Lungomare Fermano 22"/>
    <x v="37"/>
    <s v="FERMO"/>
    <m/>
    <s v="valentina@camping.it"/>
    <s v="VALENTINA - FERMO"/>
  </r>
  <r>
    <x v="5"/>
    <s v="VALENTINA B&amp;B di SPALETRA FRANCO"/>
    <s v="via Sabotino 135"/>
    <x v="12"/>
    <s v="San Benedetto del Tronto"/>
    <m/>
    <s v="francospaletra@libero.it"/>
    <s v="VALENTINA B&amp;B di SPALETRA FRANCO - SAN BENEDETTO DEL TRONTO"/>
  </r>
  <r>
    <x v="2"/>
    <s v="VALENTINO RESORT"/>
    <s v="via dante alighieri 99"/>
    <x v="5"/>
    <s v="GROTTAMMARE"/>
    <s v="www.valentinoresort.com"/>
    <s v="info@valentinoresort.com"/>
    <s v="VALENTINO RESORT - GROTTAMMARE"/>
  </r>
  <r>
    <x v="3"/>
    <s v="VALLE DEL LUPO"/>
    <s v="contrada santa maria 11"/>
    <x v="132"/>
    <s v="SAN GINESIO"/>
    <s v="www.lobo.it"/>
    <s v="info@lobo.it"/>
    <s v="VALLE DEL LUPO - SAN GINESIO"/>
  </r>
  <r>
    <x v="8"/>
    <s v="VALLE DEL METAURO COUNTRY HOUSE"/>
    <m/>
    <x v="211"/>
    <s v="MONTEMAGGIORE AL METAURO"/>
    <s v="www.valledelmetaurocountryhouse.it"/>
    <s v="info@valledelmetaurocountryhouse.it"/>
    <s v="VALLE DEL METAURO COUNTRY HOUSE - MONTEMAGGIORE AL METAURO"/>
  </r>
  <r>
    <x v="5"/>
    <s v="VALLE DEL PICCHIO"/>
    <s v="Via Vicinato 17/1"/>
    <x v="155"/>
    <s v="GRADARA"/>
    <m/>
    <s v="leo.vince70@gmail.com"/>
    <s v="VALLE DEL PICCHIO - GRADARA"/>
  </r>
  <r>
    <x v="5"/>
    <s v="VALLE MAGNONE di GIORGINI DAVIDE GIORGIO"/>
    <s v="via san donato 35"/>
    <x v="175"/>
    <s v="MONTE CERIGNONE"/>
    <m/>
    <s v="valle.magnone@email.it"/>
    <s v="VALLE MAGNONE di GIORGINI DAVIDE GIORGIO - MONTE CERIGNONE"/>
  </r>
  <r>
    <x v="0"/>
    <s v="VALLE SAN MARTINO (4)"/>
    <s v="Valle San Martino 4"/>
    <x v="95"/>
    <s v="APPIGNANO DEL TRONTO"/>
    <m/>
    <s v="gabrielegalli1@libero.it"/>
    <s v="VALLE SAN MARTINO (4) - APPIGNANO DEL TRONTO"/>
  </r>
  <r>
    <x v="3"/>
    <s v="VALLESI ENRICO"/>
    <s v="via San Giovanni 1"/>
    <x v="2"/>
    <m/>
    <m/>
    <s v="italfoodagency@gmail.com"/>
    <s v="VALLESI ENRICO - SAN SEVERINO MARCHE"/>
  </r>
  <r>
    <x v="0"/>
    <s v="VALLETARUGO DI PARADISI TERENZIO"/>
    <s v="campagna parrocchia caspessa 1"/>
    <x v="85"/>
    <s v="FOSSOMBRONE"/>
    <s v="www.valletarugo.it"/>
    <s v="webmaster@valletarugo.it"/>
    <s v="VALLETARUGO DI PARADISI TERENZIO - FOSSOMBRONE"/>
  </r>
  <r>
    <x v="7"/>
    <s v="VAN EGMOND JOHANNES"/>
    <s v="c.da Cerrara 1"/>
    <x v="62"/>
    <s v="c.da Cerrara"/>
    <m/>
    <s v="wanne_van_egmond@hotmail.com"/>
    <s v="VAN EGMOND JOHANNES - AMANDOLA"/>
  </r>
  <r>
    <x v="7"/>
    <s v="VANZOLINI GIULIANO"/>
    <s v="via Trento 14"/>
    <x v="28"/>
    <m/>
    <m/>
    <m/>
    <s v="VANZOLINI GIULIANO - GABICCE MARE"/>
  </r>
  <r>
    <x v="7"/>
    <s v="VARAGONA MARIA"/>
    <s v="colle di Fiastra 51"/>
    <x v="74"/>
    <m/>
    <s v="www.antichigelsi.it"/>
    <s v="mgiovannavaragona@gmail.com"/>
    <s v="VARAGONA MARIA - FIASTRA"/>
  </r>
  <r>
    <x v="0"/>
    <s v="VAREA/LECOSTE"/>
    <s v="via dell' annunziata 35"/>
    <x v="1"/>
    <s v="URBINO"/>
    <m/>
    <s v="info@varealecoste.it"/>
    <s v="VAREA/LECOSTE - URBINO"/>
  </r>
  <r>
    <x v="3"/>
    <s v="VECCHIA FORNACE"/>
    <s v="vocabolo chignucci 1"/>
    <x v="31"/>
    <s v="APECCHIO"/>
    <s v="www.valguerriera.it"/>
    <s v="info@valguerriera.it"/>
    <s v="VECCHIA FORNACE - APECCHIO"/>
  </r>
  <r>
    <x v="8"/>
    <s v="VECCHIA FORNACE PARADISO"/>
    <s v="contrada Bore  45"/>
    <x v="165"/>
    <s v="FERMO"/>
    <s v="www.vfparadiso.it"/>
    <s v="info@vfparadiso.it"/>
    <s v="VECCHIA FORNACE PARADISO - SANTA VITTORIA IN MATENANO"/>
  </r>
  <r>
    <x v="0"/>
    <s v="VECCHIA MONTA"/>
    <s v="contrada Montecamauro 1"/>
    <x v="55"/>
    <s v="CAMPOFILONE"/>
    <s v="www.vecchiamonta.it"/>
    <s v="info@vecchiamonta.it"/>
    <s v="VECCHIA MONTA - CAMPOFILONE"/>
  </r>
  <r>
    <x v="1"/>
    <s v="VECCHIA PORTA"/>
    <s v="via Circonvallazione 105"/>
    <x v="145"/>
    <s v="MATELICA"/>
    <s v="www.vecchiaporta.it"/>
    <s v="info@vecchiaporta.it"/>
    <s v="VECCHIA PORTA - MATELICA"/>
  </r>
  <r>
    <x v="5"/>
    <s v="VECCHIA SALARIA"/>
    <s v="via salaria 72"/>
    <x v="168"/>
    <s v="CASTEL DI LAMA"/>
    <m/>
    <m/>
    <s v="VECCHIA SALARIA - CASTEL DI LAMA"/>
  </r>
  <r>
    <x v="0"/>
    <s v="VECCHIO GELSO"/>
    <s v="contrada Casali 11"/>
    <x v="198"/>
    <s v="ORTEZZANO"/>
    <s v="www.vecchiogelso.com"/>
    <s v="info@vecchiogelso.com"/>
    <s v="VECCHIO GELSO - ORTEZZANO"/>
  </r>
  <r>
    <x v="4"/>
    <s v="VELA"/>
    <s v="via colombo 10 10"/>
    <x v="5"/>
    <m/>
    <m/>
    <m/>
    <s v="VELA - GROTTAMMARE"/>
  </r>
  <r>
    <x v="4"/>
    <s v="VELA CLUB"/>
    <m/>
    <x v="12"/>
    <s v="SAN BENEDETTO DEL TRONTO"/>
    <s v="www.residencealexander.it"/>
    <m/>
    <s v="VELA CLUB - SAN BENEDETTO DEL TRONTO"/>
  </r>
  <r>
    <x v="1"/>
    <s v="VELIA"/>
    <s v="viale Alcide de Gasperi 20"/>
    <x v="5"/>
    <s v="GROTTAMMARE"/>
    <s v="www.hotelvelia.it"/>
    <s v="velia@grottammare.it"/>
    <s v="VELIA - GROTTAMMARE"/>
  </r>
  <r>
    <x v="3"/>
    <s v="VELIA MARE (BACCHELLI BIANCA MARIA)"/>
    <s v="via Roma 13"/>
    <x v="9"/>
    <s v="NUMANA"/>
    <s v="www.veliamarenumana.it"/>
    <s v="veliamarecamere@libero.it"/>
    <s v="VELIA MARE (BACCHELLI BIANCA MARIA) - NUMANA"/>
  </r>
  <r>
    <x v="3"/>
    <s v="VELIA MARE (BACCHELLI BIANCA MARIA)"/>
    <s v="via Flaminia 92"/>
    <x v="9"/>
    <s v="NUMANA"/>
    <s v="www.veliamarenumana.it"/>
    <s v="veliamarecamere@libero.it"/>
    <s v="VELIA MARE (BACCHELLI BIANCA MARIA) - NUMANA"/>
  </r>
  <r>
    <x v="0"/>
    <s v="VELLANETA"/>
    <s v="strada pigno monte martello 82"/>
    <x v="75"/>
    <s v="CAGLI"/>
    <s v="www.vellaneta.com"/>
    <s v="agriturismo.vellaneta@esaway.it"/>
    <s v="VELLANETA - CAGLI"/>
  </r>
  <r>
    <x v="1"/>
    <s v="VELUS"/>
    <s v="viale iv Novembre 68"/>
    <x v="17"/>
    <s v="CIVITANOVA MARCHE"/>
    <s v="www.hotelvelus.it"/>
    <s v="info@hotelvelus.it"/>
    <s v="VELUS - CIVITANOVA MARCHE"/>
  </r>
  <r>
    <x v="7"/>
    <s v="VENDROSELLA"/>
    <s v="via Mombaroccio 11"/>
    <x v="67"/>
    <m/>
    <m/>
    <s v="info@giommisystem.it"/>
    <s v="VENDROSELLA - MONTECICCARDO"/>
  </r>
  <r>
    <x v="1"/>
    <s v="VENEZIA"/>
    <s v="via rieti 68"/>
    <x v="16"/>
    <s v="SENIGALLIA"/>
    <s v="www.hotelveneziasenigallia.com"/>
    <s v="hotel.venezia@libero.it"/>
    <s v="VENEZIA - SENIGALLIA"/>
  </r>
  <r>
    <x v="0"/>
    <s v="VENTICELLO DEL CONERO"/>
    <s v="VARANO  219"/>
    <x v="10"/>
    <s v="ANGELI DI VARANO"/>
    <m/>
    <s v="az.agr.nisi@alice.it"/>
    <s v="VENTICELLO DEL CONERO - ANCONA"/>
  </r>
  <r>
    <x v="7"/>
    <s v="VENTURINI MASSIMO"/>
    <s v="contrada Vallone 44"/>
    <x v="34"/>
    <s v="contrada Vallone"/>
    <m/>
    <s v="massimo.venturini@teletu.it"/>
    <s v="VENTURINI MASSIMO - MONTEGRANARO"/>
  </r>
  <r>
    <x v="1"/>
    <s v="VENUS"/>
    <s v="via Panoramica 29"/>
    <x v="28"/>
    <s v="GABICCE MARE"/>
    <s v="www.hotelvenus.it"/>
    <s v="venus@gabiccemare.com"/>
    <s v="VENUS - GABICCE MARE"/>
  </r>
  <r>
    <x v="1"/>
    <s v="VENUS DIPENDENZA"/>
    <s v="viale Mare 26"/>
    <x v="28"/>
    <s v="GABICCE MARE"/>
    <s v="www.hotelvenus.it"/>
    <s v="venus@gabiccemare.com"/>
    <s v="VENUS DIPENDENZA - GABICCE MARE"/>
  </r>
  <r>
    <x v="1"/>
    <s v="VERA"/>
    <s v="via Donizetti 3"/>
    <x v="47"/>
    <s v="PORTO SAN GIORGIO"/>
    <m/>
    <m/>
    <s v="VERA - PORTO SAN GIORGIO"/>
  </r>
  <r>
    <x v="0"/>
    <s v="VERDE BENESSERE VILLAGGIO AGRITURISTICO"/>
    <m/>
    <x v="232"/>
    <s v="PONZANO DI FERMO"/>
    <s v="www.verdebenessere.it"/>
    <s v="info@verdebenessere.it"/>
    <s v="VERDE BENESSERE VILLAGGIO AGRITURISTICO - PONZANO DI FERMO"/>
  </r>
  <r>
    <x v="3"/>
    <s v="VERDE GIADA"/>
    <s v="via litoranea 46"/>
    <x v="9"/>
    <s v="NUMANA"/>
    <m/>
    <s v="rosalba.compagnucci@libero.it"/>
    <s v="VERDE GIADA - NUMANA"/>
  </r>
  <r>
    <x v="8"/>
    <s v="VERDE MARE"/>
    <s v="via delle Vigne 273"/>
    <x v="16"/>
    <s v="frazione Scapezzano"/>
    <m/>
    <s v="verdemarech@tiscali.it"/>
    <s v="VERDE MARE - SENIGALLIA"/>
  </r>
  <r>
    <x v="6"/>
    <s v="VERDE MARE"/>
    <m/>
    <x v="37"/>
    <s v="FERMO"/>
    <s v="www.centrovacanzeverdemare.it"/>
    <s v="info@centrovacanzeverdemare.it"/>
    <s v="VERDE MARE - FERMO"/>
  </r>
  <r>
    <x v="0"/>
    <s v="VERDE PIANURA"/>
    <s v="strada Rota Martina 276"/>
    <x v="111"/>
    <s v="loc.Casette d'Ete"/>
    <m/>
    <s v="verde.pianura@gmail.com"/>
    <s v="VERDE PIANURA - SANT'ELPIDIO A MARE"/>
  </r>
  <r>
    <x v="0"/>
    <s v="VERDI COLLINE"/>
    <s v="contrada Croce 3"/>
    <x v="198"/>
    <s v="ORTEZZANO"/>
    <s v="www.agriturismoverdicolline.it"/>
    <s v="info@agriturismoverdicolline.it"/>
    <s v="VERDI COLLINE - ORTEZZANO"/>
  </r>
  <r>
    <x v="7"/>
    <s v="VERGARI GAETANO"/>
    <s v="via G. Verdi 14/a"/>
    <x v="20"/>
    <m/>
    <m/>
    <s v="g.vergari@comune.pesaro.pu.it"/>
    <s v="VERGARI GAETANO - MONDOLFO"/>
  </r>
  <r>
    <x v="7"/>
    <s v="VERNA GIOVANNI"/>
    <s v="viale Cairoli 83/56"/>
    <x v="33"/>
    <m/>
    <m/>
    <s v="vernagianni@libero.it"/>
    <s v="VERNA GIOVANNI - FANO"/>
  </r>
  <r>
    <x v="7"/>
    <s v="VERNA LUCIA"/>
    <s v="via Spontini 2"/>
    <x v="33"/>
    <s v="FANO"/>
    <m/>
    <s v="vernagianni@libero.it"/>
    <s v="VERNA LUCIA - FANO"/>
  </r>
  <r>
    <x v="7"/>
    <s v="VERNA STEFANO"/>
    <s v="Via Adriatico 108"/>
    <x v="33"/>
    <s v="FANO"/>
    <m/>
    <m/>
    <s v="VERNA STEFANO - FANO"/>
  </r>
  <r>
    <x v="3"/>
    <s v="VERNELLI ALESSIA"/>
    <s v="via buonincontri 19"/>
    <x v="33"/>
    <s v="FANO"/>
    <m/>
    <m/>
    <s v="VERNELLI ALESSIA - FANO"/>
  </r>
  <r>
    <x v="3"/>
    <s v="VERNELLI ANDREA"/>
    <s v="via buonincontri 19"/>
    <x v="33"/>
    <s v="FANO"/>
    <m/>
    <m/>
    <s v="VERNELLI ANDREA - FANO"/>
  </r>
  <r>
    <x v="4"/>
    <s v="VERNI MARIO"/>
    <s v="viale adriatico 1 1"/>
    <x v="33"/>
    <s v="FANO"/>
    <m/>
    <m/>
    <s v="VERNI MARIO - FANO"/>
  </r>
  <r>
    <x v="5"/>
    <s v="VERZIERE"/>
    <s v="via del Verziere 67/bis"/>
    <x v="4"/>
    <m/>
    <s v="www.verzierebb.com"/>
    <s v="info@verzierebb.com"/>
    <s v="VERZIERE - JESI"/>
  </r>
  <r>
    <x v="6"/>
    <s v="VETTORE"/>
    <s v="via San Nicola 15"/>
    <x v="84"/>
    <s v="BALZO"/>
    <s v="www.campingvettore.it"/>
    <s v="campingvettore@gmail.com"/>
    <s v="VETTORE - MONTEGALLO"/>
  </r>
  <r>
    <x v="1"/>
    <s v="VETTORE"/>
    <s v="via Piane Ascolane 1"/>
    <x v="84"/>
    <s v="MONTEGALLO"/>
    <s v="www.albergovettore.it"/>
    <s v="albergovettore@hotmail.com"/>
    <s v="VETTORE - MONTEGALLO"/>
  </r>
  <r>
    <x v="5"/>
    <s v="VIA DEL BORGO"/>
    <s v="VIA BORGO SANT'ANTONIO 17"/>
    <x v="49"/>
    <s v="VISSO"/>
    <m/>
    <m/>
    <s v="VIA DEL BORGO - VISSO"/>
  </r>
  <r>
    <x v="5"/>
    <s v="VIA LEOPARDI 82"/>
    <s v="via Leopardi 82"/>
    <x v="161"/>
    <m/>
    <s v="http://vialeopardi82.weebly.com/index.html"/>
    <s v="demin.daniela@libero.it"/>
    <s v="VIA LEOPARDI 82 - CUPRAMONTANA"/>
  </r>
  <r>
    <x v="5"/>
    <s v="VIADELCAMPO di  SERRANI SILVIA"/>
    <s v="viale Martiri della Resistenza 66"/>
    <x v="203"/>
    <s v="MONTE SAN VITO"/>
    <s v="www.viadelcampo.info"/>
    <s v="silviaserrani@virgilio.it"/>
    <s v="VIADELCAMPO di  SERRANI SILVIA - MONTE SAN VITO"/>
  </r>
  <r>
    <x v="7"/>
    <s v="VICHI MALVINA"/>
    <s v="via Circonvallazione 6"/>
    <x v="28"/>
    <m/>
    <m/>
    <m/>
    <s v="VICHI MALVINA - GABICCE MARE"/>
  </r>
  <r>
    <x v="7"/>
    <s v="VICI FABRIZIO"/>
    <s v="Via Isonzo 14"/>
    <x v="10"/>
    <s v="ANCONA"/>
    <m/>
    <s v="fabrizio69.fv@gmail.com"/>
    <s v="VICI FABRIZIO - ANCONA"/>
  </r>
  <r>
    <x v="7"/>
    <s v="VICI MAURO"/>
    <s v="Via Tommaseo 12"/>
    <x v="16"/>
    <s v="SENIGALLIA"/>
    <m/>
    <s v="vicimauro9@gmail.com"/>
    <s v="VICI MAURO - SENIGALLIA"/>
  </r>
  <r>
    <x v="7"/>
    <s v="VICOLO SANTA CHIARA"/>
    <s v="vicolo Santa Chiara 1"/>
    <x v="46"/>
    <m/>
    <m/>
    <s v="info@vicolosantachiara.it"/>
    <s v="VICOLO SANTA CHIARA - SASSOFERRATO"/>
  </r>
  <r>
    <x v="1"/>
    <s v="VICTORIA"/>
    <s v="viale della Vittoria 240"/>
    <x v="47"/>
    <s v="PORTO SAN GIORGIO"/>
    <s v="www.hotelvictoria.net"/>
    <s v="info@hotelvictoria.net"/>
    <s v="VICTORIA - PORTO SAN GIORGIO"/>
  </r>
  <r>
    <x v="1"/>
    <s v="VIENNA"/>
    <s v="viale della Repubblica 18"/>
    <x v="28"/>
    <s v="GABICCE MARE"/>
    <s v="www.hotelviennagabicce.com"/>
    <s v="info@hotelviennagabicce.com"/>
    <s v="VIENNA - GABICCE MARE"/>
  </r>
  <r>
    <x v="3"/>
    <s v="VIGNA S. AMICO COUNTRY HOUSE"/>
    <s v="via s. amico 70"/>
    <x v="166"/>
    <s v="MORRO D' ALBA"/>
    <s v="www.vignasantamico.it"/>
    <s v="info@vignasantamico.it"/>
    <s v="VIGNA S. AMICO COUNTRY HOUSE - MORRO D'ALBA"/>
  </r>
  <r>
    <x v="1"/>
    <s v="VILA BAHIA"/>
    <s v="via Recanati 28"/>
    <x v="9"/>
    <s v="NUMANA"/>
    <s v="www.vilabahia.it"/>
    <s v="info@vilabahia.it"/>
    <s v="VILA BAHIA - NUMANA"/>
  </r>
  <r>
    <x v="7"/>
    <s v="VILLA AGAPANTUS"/>
    <s v="via Villa di Monte Campagna 27"/>
    <x v="173"/>
    <m/>
    <m/>
    <s v="francini_m@hotmail.com"/>
    <s v="VILLA AGAPANTUS - BARCHI"/>
  </r>
  <r>
    <x v="5"/>
    <s v="VILLA ALESSANDRA"/>
    <s v="Via Vecchia Boncore 2"/>
    <x v="34"/>
    <s v="MONTEGRANARO"/>
    <m/>
    <s v="ale.pagliarini67@gmail.com"/>
    <s v="VILLA ALESSANDRA - MONTEGRANARO"/>
  </r>
  <r>
    <x v="9"/>
    <s v="VILLA ALTA PRELATO"/>
    <s v="via del Prelato 3"/>
    <x v="33"/>
    <s v="FANO"/>
    <m/>
    <s v="dongiu56@hotmail.it"/>
    <s v="VILLA ALTA PRELATO - FANO"/>
  </r>
  <r>
    <x v="1"/>
    <s v="VILLA ANIANA"/>
    <s v="contrada san pietro 23"/>
    <x v="73"/>
    <s v="MASSIGNANO"/>
    <s v="www.hotelvillaniana.it"/>
    <s v="info@hotelvillaniana.it"/>
    <s v="VILLA ANIANA - MASSIGNANO"/>
  </r>
  <r>
    <x v="8"/>
    <s v="VILLA ANITORI"/>
    <s v="Contrada S. Valentino Campolargo 53"/>
    <x v="27"/>
    <s v="LORO PICENO"/>
    <m/>
    <s v="info@villaanitori.it"/>
    <s v="VILLA ANITORI - LORO PICENO"/>
  </r>
  <r>
    <x v="7"/>
    <s v="VILLA ANTICA"/>
    <s v="via Finocchieto 60"/>
    <x v="24"/>
    <s v="località Fossato"/>
    <s v="http://www.villaantica.eu/"/>
    <s v="ddgiamb@alice.it"/>
    <s v="VILLA ANTICA - CANTIANO"/>
  </r>
  <r>
    <x v="7"/>
    <s v="VILLA ARIETE"/>
    <s v="c.da Granaro  3"/>
    <x v="5"/>
    <m/>
    <m/>
    <s v="nadia.antoniani@yahoo.it"/>
    <s v="VILLA ARIETE - GROTTAMMARE"/>
  </r>
  <r>
    <x v="0"/>
    <s v="VILLA ARSICCI"/>
    <s v="via Arsicci 3"/>
    <x v="121"/>
    <m/>
    <s v="www.agriturismovillaarsicci.it"/>
    <s v="primuccisargenti@libero.it"/>
    <s v="VILLA ARSICCI - APIRO"/>
  </r>
  <r>
    <x v="7"/>
    <s v="VILLA AUGUSTA"/>
    <s v="LOCALITA' SAN BIAGIO 43"/>
    <x v="33"/>
    <s v="SAN BIAGIO"/>
    <m/>
    <s v="villa.augusta.fano@gmail.com"/>
    <s v="VILLA AUGUSTA - FANO"/>
  </r>
  <r>
    <x v="5"/>
    <s v="VILLA AZZURRA"/>
    <s v="Strada Provinciale Corvese 21/A"/>
    <x v="163"/>
    <s v="CORVA"/>
    <m/>
    <s v="azzurramatrini@hotmail.com"/>
    <s v="VILLA AZZURRA - PORTO SANT'ELPIDIO"/>
  </r>
  <r>
    <x v="7"/>
    <s v="VILLA BEATUS"/>
    <s v="Via Tomba 36"/>
    <x v="94"/>
    <s v="SAN COSTANZO"/>
    <s v="www.sancostanzo.no"/>
    <s v="info@studi-associati.it"/>
    <s v="VILLA BEATUS - SAN COSTANZO"/>
  </r>
  <r>
    <x v="5"/>
    <s v="VILLA BELO HORIZONTE"/>
    <s v="via Rocco Chinnici 18"/>
    <x v="0"/>
    <m/>
    <m/>
    <s v="info@villabelohorizonte.com"/>
    <s v="VILLA BELO HORIZONTE - MACERATA"/>
  </r>
  <r>
    <x v="8"/>
    <s v="VILLA BELSITO"/>
    <s v="contrada colle di guardia 20"/>
    <x v="3"/>
    <s v="RIPATRANSONE"/>
    <s v="www.villabelsito.it"/>
    <s v="info@villabelsito.it"/>
    <s v="VILLA BELSITO - RIPATRANSONE"/>
  </r>
  <r>
    <x v="5"/>
    <s v="VILLA BELVEDERE DEGLI ULIVI DI CAPRIONI CARLO"/>
    <s v="via corticelli 9"/>
    <x v="44"/>
    <s v="OSIMO"/>
    <s v="www.villaosimo.com"/>
    <s v="info@villaosimo.com"/>
    <s v="VILLA BELVEDERE DEGLI ULIVI DI CAPRIONI CARLO - OSIMO"/>
  </r>
  <r>
    <x v="8"/>
    <s v="VILLA BIANCA CICCOLINI RESIDENZA D'EPOCA"/>
    <s v="c.da Isola 25"/>
    <x v="0"/>
    <s v="Madonna del Monte"/>
    <s v="www.forconipartners.it"/>
    <s v="david.forconi85@libero.it"/>
    <s v="VILLA BIANCA CICCOLINI RESIDENZA D'EPOCA - MACERATA"/>
  </r>
  <r>
    <x v="3"/>
    <s v="VILLA BOCCABIANCA"/>
    <s v="Contrada Bocca Bianca 29"/>
    <x v="32"/>
    <s v="CUPRAMARITTIMA"/>
    <s v="www.villaboccabianca.it"/>
    <s v="info@villaboccabianca.it"/>
    <s v="VILLA BOCCABIANCA - CUPRA MARITTIMA"/>
  </r>
  <r>
    <x v="9"/>
    <s v="VILLA BORROMEO"/>
    <s v="via Amedeo Avogadro 40"/>
    <x v="69"/>
    <s v="PESARO"/>
    <s v="www.arcidiocesipesaro.it"/>
    <s v="amministrativo2@arcidiocesipesaro.it."/>
    <s v="VILLA BORROMEO - PESARO"/>
  </r>
  <r>
    <x v="8"/>
    <s v="VILLA CASABIANCA"/>
    <s v="localita' smoglie 1"/>
    <x v="144"/>
    <s v="CASTELRAIMONDO"/>
    <s v="www.villacasabianca1573.it"/>
    <s v="info@villacasabianca1573.it"/>
    <s v="VILLA CASABIANCA - CASTELRAIMONDO"/>
  </r>
  <r>
    <x v="1"/>
    <s v="VILLA CASTELLANI"/>
    <s v="contrada Acquevive 16"/>
    <x v="206"/>
    <s v="MOGLIANO"/>
    <s v="www.villacastellani.it"/>
    <s v="info@villacastellani.it"/>
    <s v="VILLA CASTELLANI - MOGLIANO"/>
  </r>
  <r>
    <x v="5"/>
    <s v="VILLA CASTELLETTA"/>
    <s v="localita' castelletta 32"/>
    <x v="26"/>
    <s v="CINGOLI"/>
    <m/>
    <s v="info@villacastelletta.com"/>
    <s v="VILLA CASTELLETTA - CINGOLI"/>
  </r>
  <r>
    <x v="1"/>
    <s v="VILLA CATTANI STUART"/>
    <s v="via Trebbiantico 67"/>
    <x v="69"/>
    <s v="PESARO"/>
    <s v="www.villacattani.it"/>
    <s v="info@villacattani.it"/>
    <s v="VILLA CATTANI STUART - PESARO"/>
  </r>
  <r>
    <x v="5"/>
    <s v="VILLA CENSI MANCIA"/>
    <s v="via Gaspare Spontini 2"/>
    <x v="21"/>
    <s v="ALBACINA"/>
    <s v="www.villacensimancia.it"/>
    <s v="info@villacensimancia.it"/>
    <s v="VILLA CENSI MANCIA - FABRIANO"/>
  </r>
  <r>
    <x v="8"/>
    <s v="VILLA CERBARA"/>
    <s v="strada San Piero in Tambis 33"/>
    <x v="85"/>
    <m/>
    <m/>
    <s v="lacerbara@libero.it"/>
    <s v="VILLA CERBARA - FOSSOMBRONE"/>
  </r>
  <r>
    <x v="7"/>
    <s v="VILLA CERQUETO di CAUCCI MARIA PIA"/>
    <s v="CONTRADA CERQUETO 18/a"/>
    <x v="96"/>
    <s v="PORCHIA"/>
    <m/>
    <s v="stefania.agostini79@gmail.com"/>
    <s v="VILLA CERQUETO di CAUCCI MARIA PIA - MONTALTO DELLE MARCHE"/>
  </r>
  <r>
    <x v="5"/>
    <s v="VILLA CHATOE'"/>
    <s v="Contrada Colle S. Andrea 6"/>
    <x v="3"/>
    <s v="RIPATRANSONE"/>
    <s v="www.villachatoe.com"/>
    <s v="info@villachatoe.com"/>
    <s v="VILLA CHATOE' - RIPATRANSONE"/>
  </r>
  <r>
    <x v="5"/>
    <s v="VILLA CICCHI"/>
    <s v="Contrada Colle S. Angelo 18"/>
    <x v="14"/>
    <s v="MONTEPRANDONE"/>
    <s v="info@bedandbreakfastvillacicchi.it"/>
    <s v="ilaria_28@live.it;"/>
    <s v="VILLA CICCHI - MONTEPRANDONE"/>
  </r>
  <r>
    <x v="8"/>
    <s v="VILLA CLAUDI"/>
    <s v="Fraz. Raggiano 16"/>
    <x v="42"/>
    <s v="RAGGIANO"/>
    <s v="www.villaclaudi.it"/>
    <s v="giovannaclaudi@gmail.com"/>
    <s v="VILLA CLAUDI - CAMERINO"/>
  </r>
  <r>
    <x v="1"/>
    <s v="VILLA CLAUDIA RESORT"/>
    <s v="strada per San Giovanni in Marignano 107"/>
    <x v="57"/>
    <s v="TAVULLIA"/>
    <s v="www.villaclaudiaresort.it"/>
    <s v="info@villaclaudiaresort.it"/>
    <s v="VILLA CLAUDIA RESORT - TAVULLIA"/>
  </r>
  <r>
    <x v="8"/>
    <s v="VILLA COLLEPERE"/>
    <s v="vocabolo collepere 1"/>
    <x v="145"/>
    <s v="MATELICA"/>
    <s v="www.villacollepere.it"/>
    <s v="info@villacollepere.it"/>
    <s v="VILLA COLLEPERE - MATELICA"/>
  </r>
  <r>
    <x v="8"/>
    <s v="VILLA CORALIA"/>
    <s v="via Abbadia 22"/>
    <x v="44"/>
    <m/>
    <m/>
    <s v="info@villacoralia.it"/>
    <s v="VILLA CORALIA - OSIMO"/>
  </r>
  <r>
    <x v="1"/>
    <s v="VILLA CORALLO"/>
    <s v="viale europa 50"/>
    <x v="12"/>
    <s v="SAN BENEDETTO DEL TRONTO"/>
    <s v="www.hotelvillacorallo.com"/>
    <s v="info@hotelvillacorallo.com"/>
    <s v="VILLA CORALLO - SAN BENEDETTO DEL TRONTO"/>
  </r>
  <r>
    <x v="0"/>
    <s v="VILLA CRU"/>
    <s v="via San Luca 6"/>
    <x v="198"/>
    <m/>
    <m/>
    <s v="info@agriturismovillacru.it"/>
    <s v="VILLA CRU - ORTEZZANO"/>
  </r>
  <r>
    <x v="3"/>
    <s v="VILLA DEA AFFITTACAMERE"/>
    <s v="VIA C. COLOMBO, 6"/>
    <x v="9"/>
    <s v="NUMANA"/>
    <m/>
    <s v="info@villapucci.it"/>
    <s v="VILLA DEA AFFITTACAMERE - NUMANA"/>
  </r>
  <r>
    <x v="8"/>
    <s v="VILLA DEGLI ORTI"/>
    <s v="via Flaminia Nord  153"/>
    <x v="75"/>
    <m/>
    <m/>
    <s v="info@ortiamo.it"/>
    <s v="VILLA DEGLI ORTI - CAGLI"/>
  </r>
  <r>
    <x v="3"/>
    <s v="VILLA DEL CAVALIERE"/>
    <s v="Viale della Resistenza SNC"/>
    <x v="2"/>
    <s v="SAN SEVERINO MARCHE"/>
    <m/>
    <s v="info@hotelilfaro.net"/>
    <s v="VILLA DEL CAVALIERE - SAN SEVERINO MARCHE"/>
  </r>
  <r>
    <x v="0"/>
    <s v="VILLA DELL' AGATA"/>
    <s v="vocabolo Villa Giudizi dell'Agata 1"/>
    <x v="58"/>
    <s v="loc.Baciuccaro"/>
    <s v="www.villa-agata.com; www.villa-agata.eu"/>
    <s v="bestitaly@villa-agata.de; info@villa-agata.eu"/>
    <s v="VILLA DELL' AGATA - SANT'ANGELO IN VADO"/>
  </r>
  <r>
    <x v="8"/>
    <s v="VILLA DI MONTEROSSO"/>
    <s v="loc.Villa 1"/>
    <x v="46"/>
    <s v="loc.Villa"/>
    <s v="info@villadimonterosso.it"/>
    <s v="studio.mazen@libero.it"/>
    <s v="VILLA DI MONTEROSSO - SASSOFERRATO"/>
  </r>
  <r>
    <x v="8"/>
    <s v="VILLA DIANA"/>
    <s v="TURLO  19"/>
    <x v="110"/>
    <s v="MOMBAROCCIO"/>
    <m/>
    <s v="mariarosa.fiacconi@gmail.com"/>
    <s v="VILLA DIANA - MOMBAROCCIO"/>
  </r>
  <r>
    <x v="0"/>
    <s v="VILLA ENRICO"/>
    <m/>
    <x v="80"/>
    <m/>
    <m/>
    <s v="piero.alberto.carrara@outlook.it"/>
    <s v="VILLA ENRICO - URBANIA"/>
  </r>
  <r>
    <x v="3"/>
    <s v="VILLA EVA"/>
    <s v="via Giotto 5"/>
    <x v="8"/>
    <s v="SIROLO"/>
    <s v="www.hotelemiliana.it"/>
    <s v="info@hotelemiliana.it"/>
    <s v="VILLA EVA - SIROLO"/>
  </r>
  <r>
    <x v="0"/>
    <s v="VILLA FEDERICA AGRITURISMO"/>
    <s v="via la villa 9"/>
    <x v="53"/>
    <s v="MERGO"/>
    <s v="www.agriturismovillafederica.it"/>
    <s v="f.zappia@agriturismovillafederica.it"/>
    <s v="VILLA FEDERICA AGRITURISMO - MERGO"/>
  </r>
  <r>
    <x v="5"/>
    <s v="VILLA FIOR"/>
    <s v="localita' rivo rosso 1"/>
    <x v="153"/>
    <s v="MONTEMONACO"/>
    <s v="www.villafior.it"/>
    <s v="info@villafior.it"/>
    <s v="VILLA FIOR - MONTEMONACO"/>
  </r>
  <r>
    <x v="0"/>
    <s v="VILLA FIORITA di RAPACCINI PASQUALE"/>
    <s v="c.da Schito 29"/>
    <x v="139"/>
    <s v="TREIA"/>
    <m/>
    <s v="coopat@libero.it"/>
    <s v="VILLA FIORITA di RAPACCINI PASQUALE - TREIA"/>
  </r>
  <r>
    <x v="3"/>
    <s v="VILLA FLO"/>
    <s v="via Fabio Filzi 2"/>
    <x v="62"/>
    <m/>
    <m/>
    <s v="b.flo@libero.it"/>
    <s v="VILLA FLO - AMANDOLA"/>
  </r>
  <r>
    <x v="8"/>
    <s v="VILLA FONTALBA"/>
    <s v="via flaminia nord 123"/>
    <x v="75"/>
    <s v="CAGLI"/>
    <s v="www.villafontalba.it"/>
    <s v="villafontalba@gmail.com"/>
    <s v="VILLA FONTALBA - CAGLI"/>
  </r>
  <r>
    <x v="8"/>
    <s v="VILLA FONTI"/>
    <s v="via Ville Fonti 10"/>
    <x v="68"/>
    <m/>
    <m/>
    <s v="ada@villafonti.com"/>
    <s v="VILLA FONTI - ORCIANO DI PESARO"/>
  </r>
  <r>
    <x v="5"/>
    <s v="VILLA FRANCA"/>
    <s v="Strada di San Bartolo  22/1"/>
    <x v="69"/>
    <s v="PESARO"/>
    <m/>
    <s v="andreafranca66@gmail.com"/>
    <s v="VILLA FRANCA - PESARO"/>
  </r>
  <r>
    <x v="8"/>
    <s v="VILLA FUNARI COUNTRY HOUSE"/>
    <s v="VIA DELLA REPUBBLICA 18"/>
    <x v="194"/>
    <s v="SERVIGLIANO"/>
    <s v="www.villafunari.it"/>
    <s v="info@villafunari.it"/>
    <s v="VILLA FUNARI COUNTRY HOUSE - SERVIGLIANO"/>
  </r>
  <r>
    <x v="8"/>
    <s v="VILLA GEMINIANI"/>
    <s v="contrada Moglie 31"/>
    <x v="96"/>
    <s v="MONTALTO DELLE MARCHE"/>
    <s v="www.villa-geminiani.com"/>
    <s v="liliana@villa-geminiani.com"/>
    <s v="VILLA GEMINIANI - MONTALTO DELLE MARCHE"/>
  </r>
  <r>
    <x v="8"/>
    <s v="VILLA GEMINIANI DEPENDANCE"/>
    <s v="contrada Moglie 31"/>
    <x v="96"/>
    <s v="MONTALTO DELLE MARCHE"/>
    <s v="www.villa-geminiani.com"/>
    <s v="liliana@villa-geminiani.com"/>
    <s v="VILLA GEMINIANI DEPENDANCE - MONTALTO DELLE MARCHE"/>
  </r>
  <r>
    <x v="0"/>
    <s v="VILLA GENS CAMURIA"/>
    <s v="Via Direttissima del Conero 7"/>
    <x v="167"/>
    <s v="CAMERANO"/>
    <s v="www.villagenscamuria.it"/>
    <s v="info@villagenscamuria.it"/>
    <s v="VILLA GENS CAMURIA - CAMERANO"/>
  </r>
  <r>
    <x v="3"/>
    <s v="VILLA GIGLI"/>
    <s v="via San Francesco 2"/>
    <x v="8"/>
    <m/>
    <m/>
    <s v="info@villagigli.it"/>
    <s v="VILLA GIGLI - SIROLO"/>
  </r>
  <r>
    <x v="7"/>
    <s v="VILLA GIRASOLE"/>
    <s v="strada delle Primule 20"/>
    <x v="69"/>
    <m/>
    <s v="www.villagirasole.it"/>
    <s v="info@villagirasole.it"/>
    <s v="VILLA GIRASOLE - PESARO"/>
  </r>
  <r>
    <x v="8"/>
    <s v="VILLA GIULIA"/>
    <m/>
    <x v="33"/>
    <m/>
    <s v="www.relaisvillagiulia.com"/>
    <s v="info@relaisvillagiulia.com"/>
    <s v="VILLA GIULIA - FANO"/>
  </r>
  <r>
    <x v="1"/>
    <s v="VILLA HELVETIA"/>
    <s v="via vincenzo salvi 9"/>
    <x v="5"/>
    <s v="GROTTAMMARE"/>
    <s v="www.villahelvetia.it"/>
    <s v="info@villahelvetia.it"/>
    <s v="VILLA HELVETIA - GROTTAMMARE"/>
  </r>
  <r>
    <x v="3"/>
    <s v="VILLA IL CANNONE"/>
    <s v="via dei palmensi   108"/>
    <x v="37"/>
    <s v="Marina Palmense"/>
    <s v="www.villailcannone.it"/>
    <s v="info@villailcannone.it"/>
    <s v="VILLA IL CANNONE - FERMO"/>
  </r>
  <r>
    <x v="5"/>
    <s v="VILLA INCROCCA"/>
    <s v="Via Incrocca 2"/>
    <x v="218"/>
    <s v="CERRETO D'ESI"/>
    <m/>
    <s v="robystation@gmail.com"/>
    <s v="VILLA INCROCCA - CERRETO D'ESI"/>
  </r>
  <r>
    <x v="7"/>
    <s v="VILLA JOLANDA"/>
    <s v="Sant' Antonio 12A 1"/>
    <x v="206"/>
    <s v="Macerata"/>
    <s v="www.villa-jolanda.com"/>
    <s v="info@villa-jolanda.com"/>
    <s v="VILLA JOLANDA - MOGLIANO"/>
  </r>
  <r>
    <x v="1"/>
    <s v="VILLA LABOR"/>
    <s v="localita' Villa Battelli 44"/>
    <x v="164"/>
    <s v="MONTECOPIOLO"/>
    <s v="www.villalabor.it"/>
    <s v="info@villalabor.it"/>
    <s v="VILLA LABOR - MONTECOPIOLO"/>
  </r>
  <r>
    <x v="1"/>
    <s v="VILLA LATTANZI"/>
    <s v="c.da Cugnolo 19"/>
    <x v="37"/>
    <s v="loc.Torre di Palme"/>
    <s v="www.villalattanzi.it"/>
    <s v="info@villalattanzi.it"/>
    <s v="VILLA LATTANZI - FERMO"/>
  </r>
  <r>
    <x v="7"/>
    <s v="VILLA LAURA"/>
    <s v="via E. Mattei 30"/>
    <x v="1"/>
    <m/>
    <s v="www.vacanzeavillalaura.it"/>
    <s v="vacanzevillalaura@gmail.com"/>
    <s v="VILLA LAURA - URBINO"/>
  </r>
  <r>
    <x v="5"/>
    <s v="VILLA LILIANA"/>
    <s v="Via Lunga 4/C"/>
    <x v="69"/>
    <s v="PESARO"/>
    <m/>
    <m/>
    <s v="VILLA LILIANA - PESARO"/>
  </r>
  <r>
    <x v="7"/>
    <s v="VILLA LUCREZIA"/>
    <s v="via Monti 1"/>
    <x v="5"/>
    <m/>
    <m/>
    <s v="pamegg.consultants@yahoo.com"/>
    <s v="VILLA LUCREZIA - GROTTAMMARE"/>
  </r>
  <r>
    <x v="7"/>
    <s v="VILLA LUNA"/>
    <s v="Via Raccordo Pian di Torre 9"/>
    <x v="163"/>
    <s v="PORTO SANT'ELPIDIO"/>
    <m/>
    <s v="lunasole.paola@gmail.com"/>
    <s v="VILLA LUNA - PORTO SANT'ELPIDIO"/>
  </r>
  <r>
    <x v="3"/>
    <s v="VILLA MANU'"/>
    <s v="contrada Madonna Manu' 56"/>
    <x v="29"/>
    <s v="LAPEDONA"/>
    <s v="www.residencevillamanu.it"/>
    <s v="info@residencevillamanu.it"/>
    <s v="VILLA MANU' - LAPEDONA"/>
  </r>
  <r>
    <x v="1"/>
    <s v="VILLA MARCHESE DEL GRILLO"/>
    <s v="frazione rocchetta 73"/>
    <x v="21"/>
    <s v="FABRIANO"/>
    <s v="www.marchesedelgrillo.com"/>
    <s v="info@marchesedelgrillo.com"/>
    <s v="VILLA MARCHESE DEL GRILLO - FABRIANO"/>
  </r>
  <r>
    <x v="1"/>
    <s v="VILLA MARE"/>
    <s v="viale Mare 18"/>
    <x v="28"/>
    <s v="GABICCE MARE"/>
    <s v="www.villamarehotel.net"/>
    <s v="villamare@gabiccemare.com"/>
    <s v="VILLA MARE - GABICCE MARE"/>
  </r>
  <r>
    <x v="0"/>
    <s v="VILLA MARGHERITA"/>
    <s v="loc. Coppo 11"/>
    <x v="26"/>
    <s v="LOC. COPPO"/>
    <s v="www.agriturismofontepennici.it"/>
    <s v="info@agriturismofonteppenici.it"/>
    <s v="VILLA MARGHERITA - CINGOLI"/>
  </r>
  <r>
    <x v="3"/>
    <s v="VILLA MARIA"/>
    <s v="via Girolamo di Giovanni 41"/>
    <x v="42"/>
    <m/>
    <m/>
    <s v="artigianedilsrl@legalmail.it"/>
    <s v="VILLA MARIA - CAMERINO"/>
  </r>
  <r>
    <x v="8"/>
    <s v="VILLA MARIETTA"/>
    <s v="via Piagge 19"/>
    <x v="211"/>
    <m/>
    <s v="www.nonnamarietta.com"/>
    <s v="raffyrp@libero.it"/>
    <s v="VILLA MARIETTA - MONTEMAGGIORE AL METAURO"/>
  </r>
  <r>
    <x v="3"/>
    <s v="VILLA MARIETTA"/>
    <s v="via Civitanova 1"/>
    <x v="17"/>
    <s v="CIVITANOVA MARCHE"/>
    <s v="www.villamarietta.net"/>
    <s v="info@villamarietta.net"/>
    <s v="VILLA MARIETTA - CIVITANOVA MARCHE"/>
  </r>
  <r>
    <x v="8"/>
    <s v="VILLA MARSI 2.0"/>
    <s v="via Ca' Loreto 1"/>
    <x v="1"/>
    <s v="URBINO"/>
    <s v="www.lacollinacherespira.com"/>
    <s v="contento@lacollinacherespira.com"/>
    <s v="VILLA MARSI 2.0 - URBINO"/>
  </r>
  <r>
    <x v="1"/>
    <s v="VILLA MATARAZZO"/>
    <s v="via Farneto 1"/>
    <x v="155"/>
    <m/>
    <s v="www.villamatarazzo.it"/>
    <s v="info@villamatarazzo.com"/>
    <s v="VILLA MATARAZZO - GRADARA"/>
  </r>
  <r>
    <x v="3"/>
    <s v="VILLA MAURO"/>
    <s v="Via San Martino 5"/>
    <x v="20"/>
    <s v="MONDOLFO"/>
    <m/>
    <s v="info@villasanmartino.it"/>
    <s v="VILLA MAURO - MONDOLFO"/>
  </r>
  <r>
    <x v="3"/>
    <s v="VILLA MAURO MARE"/>
    <s v="Via A. Cappellini 58-60"/>
    <x v="33"/>
    <s v="FANO"/>
    <m/>
    <s v="info@villamaurosanmartino.it"/>
    <s v="VILLA MAURO MARE - FANO"/>
  </r>
  <r>
    <x v="3"/>
    <s v="VILLA MIRAMONTI"/>
    <s v="via Valentella 2"/>
    <x v="194"/>
    <s v="loc.Curetta"/>
    <s v="www.villa-miramonti.com"/>
    <s v="georgekyprios@yahoo.com"/>
    <s v="VILLA MIRAMONTI - SERVIGLIANO"/>
  </r>
  <r>
    <x v="3"/>
    <s v="VILLA MIRELLA"/>
    <s v="via litoranea 192"/>
    <x v="9"/>
    <s v="NUMANA"/>
    <m/>
    <s v="info@residencemarcelli.it"/>
    <s v="VILLA MIRELLA - NUMANA"/>
  </r>
  <r>
    <x v="8"/>
    <s v="VILLA MIRELLA BEACH"/>
    <s v="via Stazione  35/37"/>
    <x v="37"/>
    <s v="MARINA PALMENSE"/>
    <s v="www.villamirellabeach.it"/>
    <s v="info@villamirellabeach.it"/>
    <s v="VILLA MIRELLA BEACH - FERMO"/>
  </r>
  <r>
    <x v="5"/>
    <s v="VILLA MONTANARI ROSATI"/>
    <s v="VIA A.COSTA 15"/>
    <x v="47"/>
    <s v="PORTO SAN GIORGIO"/>
    <m/>
    <s v="villamontanarirosati@gmail.com"/>
    <s v="VILLA MONTANARI ROSATI - PORTO SAN GIORGIO"/>
  </r>
  <r>
    <x v="5"/>
    <s v="VILLA MONTEGENCO"/>
    <s v="VIA MONTEGENCO 1"/>
    <x v="115"/>
    <s v="COMUNANZA"/>
    <m/>
    <s v="villamontegenco@gmail.com"/>
    <s v="VILLA MONTEGENCO - COMUNANZA"/>
  </r>
  <r>
    <x v="3"/>
    <s v="VILLA MONTOTTO"/>
    <s v="frazione montotto 20"/>
    <x v="98"/>
    <s v="MONTERUBBIANO"/>
    <s v="www.villamontotto.it"/>
    <s v="info@villamontotto.it"/>
    <s v="VILLA MONTOTTO - MONTERUBBIANO"/>
  </r>
  <r>
    <x v="9"/>
    <s v="VILLA NAZARETH"/>
    <s v="contrada San Salvatore 6"/>
    <x v="37"/>
    <s v="FERMO"/>
    <s v="www.villanazareth.it"/>
    <s v="info@villanazareth.it"/>
    <s v="VILLA NAZARETH - FERMO"/>
  </r>
  <r>
    <x v="5"/>
    <s v="VILLA NUNZIA"/>
    <s v="Via Palazzi 19"/>
    <x v="161"/>
    <s v="CUPRAMONTANA"/>
    <m/>
    <s v="nunzia.poesia@alice.it"/>
    <s v="VILLA NUNZIA - CUPRAMONTANA"/>
  </r>
  <r>
    <x v="8"/>
    <s v="VILLA OLESIA"/>
    <s v="via Solindio 3"/>
    <x v="137"/>
    <m/>
    <s v="www.villaolesia.it"/>
    <s v="info@villaolesia.it"/>
    <s v="VILLA OLESIA - OSTRA"/>
  </r>
  <r>
    <x v="7"/>
    <s v="VILLA OTTANI"/>
    <s v="via Cartoceto 40"/>
    <x v="125"/>
    <m/>
    <m/>
    <s v="villaottani@yahoo.it"/>
    <s v="VILLA OTTANI - SERRUNGARINA"/>
  </r>
  <r>
    <x v="7"/>
    <s v="VILLA PALMA di EDWARD ANNA BEATRICE"/>
    <s v="c.da Santa Croce 26"/>
    <x v="206"/>
    <s v="MOGLIANO"/>
    <m/>
    <s v="annabeatriceedward@gmail.com"/>
    <s v="VILLA PALMA di EDWARD ANNA BEATRICE - MOGLIANO"/>
  </r>
  <r>
    <x v="8"/>
    <s v="VILLA PALOMBARA COUNTRY HOUSE"/>
    <s v="via Fusarola 2"/>
    <x v="143"/>
    <s v="loc.Castelvecchio"/>
    <s v="www.villapalombara.it"/>
    <s v="contatti@villapalombara.it"/>
    <s v="VILLA PALOMBARA COUNTRY HOUSE - MONTE PORZIO"/>
  </r>
  <r>
    <x v="8"/>
    <s v="VILLA PAOLA"/>
    <s v="via Monte Burino 137"/>
    <x v="10"/>
    <s v="GALLIGNANO"/>
    <s v="www.villapaola.name"/>
    <s v="genoviff@yahoo.it"/>
    <s v="VILLA PAOLA - ANCONA"/>
  </r>
  <r>
    <x v="5"/>
    <s v="VILLA PAOLA"/>
    <s v="via Cagliata 4"/>
    <x v="5"/>
    <s v="GROTTAMMARE"/>
    <s v="www.villapaolabb.it"/>
    <s v="info@villapaolabb.it"/>
    <s v="VILLA PAOLA - GROTTAMMARE"/>
  </r>
  <r>
    <x v="7"/>
    <s v="VILLA PEDOSSA, YOUR COUNTRY ESCAPE!"/>
    <s v="Gualdo 15"/>
    <x v="119"/>
    <s v="Brugnetto di TRECASTELLI"/>
    <s v="www.villapedossa.it"/>
    <s v="info@villapedossa.it"/>
    <s v="VILLA PEDOSSA, YOUR COUNTRY ESCAPE! - TRECASTELLI"/>
  </r>
  <r>
    <x v="0"/>
    <s v="VILLA PIA"/>
    <s v="frazione botontano 62"/>
    <x v="26"/>
    <s v="CINGOLI"/>
    <m/>
    <s v="infolavineria@gmail.com"/>
    <s v="VILLA PIA - CINGOLI"/>
  </r>
  <r>
    <x v="1"/>
    <s v="VILLA PINA"/>
    <s v="VIA PODESTI 158"/>
    <x v="16"/>
    <s v="SENIGALLIA"/>
    <s v="www.villapina.it"/>
    <s v="info@mastruccizoppini.it"/>
    <s v="VILLA PINA - SENIGALLIA"/>
  </r>
  <r>
    <x v="8"/>
    <s v="VILLA RINALDUCCI"/>
    <s v="Via Rosciano  24"/>
    <x v="33"/>
    <s v="FANO"/>
    <s v="www.villarinalducci.it"/>
    <s v="info@villarinalducci.it"/>
    <s v="VILLA RINALDUCCI - FANO"/>
  </r>
  <r>
    <x v="3"/>
    <s v="VILLA RODI"/>
    <s v="via Montesoffio 45"/>
    <x v="173"/>
    <m/>
    <m/>
    <s v="d.falcinelli@cia.it"/>
    <s v="VILLA RODI - BARCHI"/>
  </r>
  <r>
    <x v="0"/>
    <s v="VILLA ROMANA"/>
    <s v="via Gambarelli 1"/>
    <x v="195"/>
    <s v="SALTARA"/>
    <s v="www.agriturismovillaromana.it"/>
    <s v="vr@agriturismovillaromana.it"/>
    <s v="VILLA ROMANA - SALTARA"/>
  </r>
  <r>
    <x v="0"/>
    <s v="VILLA ROSA"/>
    <s v="via Casarotonda 24"/>
    <x v="191"/>
    <m/>
    <s v="www.agriturismovillarosa.com"/>
    <s v="info@agriturismovillarosa.com"/>
    <s v="VILLA ROSA - MONTEFELCINO"/>
  </r>
  <r>
    <x v="3"/>
    <s v="VILLA ROSA di RADI CLAUDIA"/>
    <s v="STRADA STROPPATO 18"/>
    <x v="57"/>
    <s v="MONTELURO di TAVULLIA"/>
    <m/>
    <s v="claudia@gierremarmi.it"/>
    <s v="VILLA ROSA di RADI CLAUDIA - TAVULLIA"/>
  </r>
  <r>
    <x v="3"/>
    <s v="VILLA SABRA"/>
    <s v="via Puglie 4"/>
    <x v="16"/>
    <m/>
    <m/>
    <s v="sabrahotel@yahoo.com"/>
    <s v="VILLA SABRA - SENIGALLIA"/>
  </r>
  <r>
    <x v="8"/>
    <s v="VILLA SABRINA"/>
    <s v="Località Collina SNC"/>
    <x v="132"/>
    <s v="COLLINA"/>
    <m/>
    <s v="lucillamarcozzi@gmail.com; info@bbvillasabrina.com"/>
    <s v="VILLA SABRINA - SAN GINESIO"/>
  </r>
  <r>
    <x v="5"/>
    <s v="VILLA SAN GIOVANNI"/>
    <s v="fraz. San Giovanni Battista - via San Martino 4"/>
    <x v="18"/>
    <s v="SAN GIOVANNI BATTISTA"/>
    <s v="www.ferienwohnung-marken-arcevia.de"/>
    <s v="villa.sangiovanni@googlemail.com"/>
    <s v="VILLA SAN GIOVANNI - ARCEVIA"/>
  </r>
  <r>
    <x v="3"/>
    <s v="VILLA SAN RAFFAELLO"/>
    <s v="contrada Case Rosse 278"/>
    <x v="11"/>
    <s v="SARNANO"/>
    <s v="www.villasanraffaello.com"/>
    <s v="info@villasanraffaello.com"/>
    <s v="VILLA SAN RAFFAELLO - SARNANO"/>
  </r>
  <r>
    <x v="9"/>
    <s v="VILLA SANTA MARIA"/>
    <s v="via Cagli 89"/>
    <x v="31"/>
    <s v="fraz. Serravalle"/>
    <m/>
    <m/>
    <s v="VILLA SANTA MARIA - APECCHIO"/>
  </r>
  <r>
    <x v="1"/>
    <s v="VILLA SANT'ISIDORO"/>
    <s v="c.da Colle Sant'Isidoro 5"/>
    <x v="172"/>
    <m/>
    <s v="www.villasantisidoro.it"/>
    <s v="info@villasantisidoro.it"/>
    <s v="VILLA SANT'ISIDORO - CORRIDONIA"/>
  </r>
  <r>
    <x v="7"/>
    <s v="VILLA SARA"/>
    <s v="via Santissimo Crocifisso 48"/>
    <x v="139"/>
    <m/>
    <m/>
    <s v="enzoangeletti@live.it"/>
    <s v="VILLA SARA - TREIA"/>
  </r>
  <r>
    <x v="0"/>
    <s v="VILLA SAVIGNANO"/>
    <s v="strada di Savignano 253"/>
    <x v="16"/>
    <s v="grottino"/>
    <s v="www.agriturismovillasavignano.it"/>
    <s v="borisbart@alice.it"/>
    <s v="VILLA SAVIGNANO - SENIGALLIA"/>
  </r>
  <r>
    <x v="9"/>
    <s v="VILLA SCALABRINI LORETO - VILLA PIO XII"/>
    <s v="via Guglielmo Marconi 94"/>
    <x v="15"/>
    <s v="LORETO"/>
    <s v="www.casascalabrini.it"/>
    <s v="segreteria.loreto@scalabrini.net"/>
    <s v="VILLA SCALABRINI LORETO - VILLA PIO XII - LORETO"/>
  </r>
  <r>
    <x v="8"/>
    <s v="VILLA SIBILLINI"/>
    <s v="contrada collalto 1"/>
    <x v="132"/>
    <s v="SAN GINESIO"/>
    <s v="www.villasibillini.com"/>
    <s v="admin@villasibillini.com"/>
    <s v="VILLA SIBILLINI - SAN GINESIO"/>
  </r>
  <r>
    <x v="3"/>
    <s v="VILLA SPINA"/>
    <s v="via alessandro volta 72"/>
    <x v="12"/>
    <s v="SAN BENEDETTO DEL TRONTO"/>
    <s v="www.villaspina.it"/>
    <s v="info@villaspina.it"/>
    <s v="VILLA SPINA - SAN BENEDETTO DEL TRONTO"/>
  </r>
  <r>
    <x v="7"/>
    <s v="VILLA STAFFIERI"/>
    <s v="via Caciampa 6"/>
    <x v="134"/>
    <m/>
    <m/>
    <s v="villastaffieri@btinternet.com"/>
    <s v="VILLA STAFFIERI - CASTELPLANIO"/>
  </r>
  <r>
    <x v="1"/>
    <s v="VILLA TETLAMEYA E ZI' NENE"/>
    <s v="via Villa Costantina 187"/>
    <x v="15"/>
    <s v="LORETO"/>
    <s v="www.ristorantezinene.it"/>
    <s v="ristorantezinene@gmail.com"/>
    <s v="VILLA TETLAMEYA E ZI' NENE - LORETO"/>
  </r>
  <r>
    <x v="0"/>
    <s v="VILLA TOMBOLINA"/>
    <s v="via tombolina sn"/>
    <x v="211"/>
    <s v="MONTEMAGGIORE AL METAURO"/>
    <s v="www.villatombolina.it"/>
    <s v="info@villatombolina.it"/>
    <s v="VILLA TOMBOLINA - MONTEMAGGIORE AL METAURO"/>
  </r>
  <r>
    <x v="1"/>
    <s v="VILLA UGOLINI"/>
    <s v="localita' Sant' Anastasio 1"/>
    <x v="26"/>
    <s v="CINGOLI"/>
    <s v="www.villaugolini.it"/>
    <s v="raffaela.rango@tiscali.it"/>
    <s v="VILLA UGOLINI - CINGOLI"/>
  </r>
  <r>
    <x v="1"/>
    <s v="VILLA VERDEFIORE"/>
    <s v="contrada Verde Fiore 37"/>
    <x v="108"/>
    <s v="APPIGNANO"/>
    <s v="www.villaverdefiore.it"/>
    <s v="info@villaverdefiore.it"/>
    <s v="VILLA VERDEFIORE - APPIGNANO"/>
  </r>
  <r>
    <x v="3"/>
    <s v="VILLA VETTA MARINA"/>
    <s v="SAN FRANCESCO  21"/>
    <x v="8"/>
    <s v="SIROLO"/>
    <m/>
    <s v="vaselli.roberto.sirolo@tin.it"/>
    <s v="VILLA VETTA MARINA - SIROLO"/>
  </r>
  <r>
    <x v="7"/>
    <s v="VILLA VINCI"/>
    <s v="piazzale Girfalco 1"/>
    <x v="37"/>
    <s v="FERMO"/>
    <s v="www.villavincifermo.com"/>
    <s v="info@villavincifermo.com"/>
    <s v="VILLA VINCI - FERMO"/>
  </r>
  <r>
    <x v="6"/>
    <s v="VILLAGGIO CAMPING BLU"/>
    <s v="lungomare Italia 3/b"/>
    <x v="16"/>
    <s v="SENIGALLIA"/>
    <s v="www.villaggiocampingblu.com"/>
    <s v="info@villaggiocampingblu.com"/>
    <s v="VILLAGGIO CAMPING BLU - SENIGALLIA"/>
  </r>
  <r>
    <x v="3"/>
    <s v="VILLAGGIO TROPICANA"/>
    <s v="via Nazionale 1"/>
    <x v="196"/>
    <s v="COLBORDOLO"/>
    <m/>
    <s v="claudiofalghera@tiscali.it"/>
    <s v="VILLAGGIO TROPICANA - VALLEFOGLIA"/>
  </r>
  <r>
    <x v="12"/>
    <s v="VILLAGGIO TURISTICO BENVIVERE"/>
    <s v="lungomare Leonardo da Vinci 54 bis"/>
    <x v="16"/>
    <s v="SENIGALLIA"/>
    <s v="www.benvivere.com"/>
    <s v="benvivere@libero.it"/>
    <s v="VILLAGGIO TURISTICO BENVIVERE - SENIGALLIA"/>
  </r>
  <r>
    <x v="4"/>
    <s v="VILLAGGIO TURISTICO BENVIVERE - BAGNI 127"/>
    <s v="lungomare leonardo da vinci 54 54"/>
    <x v="16"/>
    <s v="SENIGALLIA"/>
    <s v="benvivere@libero.it"/>
    <s v="www.benvivere.com"/>
    <s v="VILLAGGIO TURISTICO BENVIVERE - BAGNI 127 - SENIGALLIA"/>
  </r>
  <r>
    <x v="6"/>
    <s v="VILLAGGIO VERDE CUPRA"/>
    <s v="via Lazio 2"/>
    <x v="32"/>
    <s v="CUPRA MARITTIMA"/>
    <s v="www.villaggioverdecupra.it"/>
    <s v="info@verdecupra.it"/>
    <s v="VILLAGGIO VERDE CUPRA - CUPRA MARITTIMA"/>
  </r>
  <r>
    <x v="0"/>
    <s v="VILLAROSETTA"/>
    <m/>
    <x v="2"/>
    <s v="LOCALITA' CESOLO COLMONE"/>
    <s v="www.villarosetta.marche.it"/>
    <s v="giulianarapaccioni@teletu.it"/>
    <s v="VILLAROSETTA - SAN SEVERINO MARCHE"/>
  </r>
  <r>
    <x v="3"/>
    <s v="VILLE E APPARTAMENTI ARCOBALENO"/>
    <s v="via Giovanni Pascoli 25"/>
    <x v="28"/>
    <s v="GABICCE MARE"/>
    <s v="www.villeappartamentigabicce.com"/>
    <s v="info@villeappartamentigabicce.com"/>
    <s v="VILLE E APPARTAMENTI ARCOBALENO - GABICCE MARE"/>
  </r>
  <r>
    <x v="3"/>
    <s v="VILLETTA INDIPENDENTE DE MAR"/>
    <s v="Via C. Colombo 286"/>
    <x v="17"/>
    <s v="CIVITANOVA MARCHE"/>
    <m/>
    <s v="marturt@libero.it"/>
    <s v="VILLETTA INDIPENDENTE DE MAR - CIVITANOVA MARCHE"/>
  </r>
  <r>
    <x v="3"/>
    <s v="VILLINO LA CASETTA"/>
    <s v="c.da Molino 16/b"/>
    <x v="126"/>
    <m/>
    <s v="villinolacasetta.xoom.it"/>
    <s v="ppaciaroni@alice.it"/>
    <s v="VILLINO LA CASETTA - POLLENZA"/>
  </r>
  <r>
    <x v="7"/>
    <s v="VINCENZETTI MARCELLO"/>
    <s v="via Eritrea 4/3"/>
    <x v="28"/>
    <m/>
    <m/>
    <m/>
    <s v="VINCENZETTI MARCELLO - GABICCE MARE"/>
  </r>
  <r>
    <x v="7"/>
    <s v="VINCENZI PATRIZIO"/>
    <s v="Via Montegiano  34"/>
    <x v="110"/>
    <s v="MOMBAROCCIO"/>
    <m/>
    <m/>
    <s v="VINCENZI PATRIZIO - MOMBAROCCIO"/>
  </r>
  <r>
    <x v="4"/>
    <s v="VIRGOLA ZERO UNO - N. 43"/>
    <s v="Contrada Foce Asola snc snc"/>
    <x v="17"/>
    <s v="CIVITANOVA MARCHE"/>
    <m/>
    <m/>
    <s v="VIRGOLA ZERO UNO - N. 43 - CIVITANOVA MARCHE"/>
  </r>
  <r>
    <x v="3"/>
    <s v="VIRIDITAS"/>
    <s v="Via Loretello 45"/>
    <x v="18"/>
    <s v="ARCEVIA"/>
    <m/>
    <s v="marinop27@libero.it"/>
    <s v="VIRIDITAS - ARCEVIA"/>
  </r>
  <r>
    <x v="4"/>
    <s v="VISI NICOLINA"/>
    <s v="via della stazione 1 1"/>
    <x v="37"/>
    <s v="MARINA PALMENSE"/>
    <m/>
    <m/>
    <s v="VISI NICOLINA - FERMO"/>
  </r>
  <r>
    <x v="1"/>
    <s v="VISIT ARCEVIA"/>
    <s v="Corso Mazzini 49"/>
    <x v="18"/>
    <s v="ARCEVIA"/>
    <s v="www.visitarcevia.com"/>
    <s v="info@visitarcevia.com"/>
    <s v="VISIT ARCEVIA - ARCEVIA"/>
  </r>
  <r>
    <x v="7"/>
    <s v="VISTA MONTESECCO"/>
    <s v="fraz. San Pietro in Musio 34"/>
    <x v="18"/>
    <s v="SAN PIETRO IN MUSIO"/>
    <m/>
    <s v="info@rosanelpozzo.com"/>
    <s v="VISTA MONTESECCO - ARCEVIA"/>
  </r>
  <r>
    <x v="4"/>
    <s v="VITADAMARE"/>
    <s v="viale Rinascimento 14 14"/>
    <x v="12"/>
    <s v="PORTO D'ASCOLI"/>
    <m/>
    <m/>
    <s v="VITADAMARE - SAN BENEDETTO DEL TRONTO"/>
  </r>
  <r>
    <x v="7"/>
    <s v="VITALI CARMEN"/>
    <s v="Via Dei Mille  15/A PU"/>
    <x v="33"/>
    <s v="FANO"/>
    <m/>
    <s v="vitali1952@gmail.com"/>
    <s v="VITALI CARMEN - FANO"/>
  </r>
  <r>
    <x v="7"/>
    <s v="VITALI FRANCESCA"/>
    <s v="via Bellavista 3"/>
    <x v="33"/>
    <m/>
    <m/>
    <s v="inesistente@regione.it"/>
    <s v="VITALI FRANCESCA - FANO"/>
  </r>
  <r>
    <x v="7"/>
    <s v="VITALI MERIS"/>
    <s v="via SNAS  449"/>
    <x v="33"/>
    <s v="FANO"/>
    <m/>
    <s v="mircobiondi@libero.it"/>
    <s v="VITALI MERIS - FANO"/>
  </r>
  <r>
    <x v="7"/>
    <s v="VITALI MERIS"/>
    <s v="via SNAS  449/a"/>
    <x v="33"/>
    <m/>
    <m/>
    <s v="mircobiondi@libero.it"/>
    <s v="VITALI MERIS - FANO"/>
  </r>
  <r>
    <x v="5"/>
    <s v="VITTORIA HOUSE B&amp;B CIVITANOVA MARCHE"/>
    <s v="c.da Migliarino 19"/>
    <x v="17"/>
    <m/>
    <s v="www.vittoriahouse.it"/>
    <s v="info@vittoriahouse.it"/>
    <s v="VITTORIA HOUSE B&amp;B CIVITANOVA MARCHE - CIVITANOVA MARCHE"/>
  </r>
  <r>
    <x v="8"/>
    <s v="VITTORIA IL GRADITEMPO"/>
    <s v="contrada Pratelli 57"/>
    <x v="158"/>
    <s v="ROSORA"/>
    <s v="www.vittoria-ilgraditempo.it"/>
    <s v="info@vittoria-ilgraditempo.it"/>
    <s v="VITTORIA IL GRADITEMPO - ROSORA"/>
  </r>
  <r>
    <x v="3"/>
    <s v="VIVERE NUMANA"/>
    <s v="Via Roma 1"/>
    <x v="9"/>
    <s v="NUMANA"/>
    <m/>
    <s v="valerio_balestrieri@yahoo.ti"/>
    <s v="VIVERE NUMANA - NUMANA"/>
  </r>
  <r>
    <x v="7"/>
    <s v="VOLPONI GIANNI"/>
    <s v="Via Del Forno 2"/>
    <x v="196"/>
    <s v="VALLEFOGLIA"/>
    <m/>
    <s v="giorgia7s@libero.it"/>
    <s v="VOLPONI GIANNI - VALLEFOGLIA"/>
  </r>
  <r>
    <x v="10"/>
    <s v="W.W.F.  ITALIA"/>
    <s v="via campo dei fiori 5"/>
    <x v="56"/>
    <s v="RECANATI"/>
    <m/>
    <s v="cea.recanati@libero.it"/>
    <s v="W.W.F.  ITALIA - RECANATI"/>
  </r>
  <r>
    <x v="4"/>
    <s v="WAIKIKI"/>
    <s v="LUNGOMARE  1/A 1/A"/>
    <x v="41"/>
    <m/>
    <m/>
    <m/>
    <s v="WAIKIKI - MONTEMARCIANO"/>
  </r>
  <r>
    <x v="7"/>
    <s v="WALES IAIN WILLIAM"/>
    <m/>
    <x v="128"/>
    <m/>
    <m/>
    <s v="iain.wales@gmail.com"/>
    <s v="WALES IAIN WILLIAM - GUALDO"/>
  </r>
  <r>
    <x v="4"/>
    <s v="WANDA"/>
    <s v="Via Lepanto 1"/>
    <x v="23"/>
    <s v="PORTO RECANATI"/>
    <m/>
    <m/>
    <s v="WANDA - PORTO RECANATI"/>
  </r>
  <r>
    <x v="7"/>
    <s v="WELCH RACHAEL"/>
    <s v="c.da Bartollotti 24"/>
    <x v="128"/>
    <s v="c.da Bartollotti"/>
    <m/>
    <s v="lynnebowman@tiscali.it; kentreves@tiscali.it"/>
    <s v="WELCH RACHAEL - GUALDO"/>
  </r>
  <r>
    <x v="5"/>
    <s v="WELCHOME"/>
    <s v="Via Piacenza 64"/>
    <x v="163"/>
    <s v="PORTO SANT'ELPIDIO"/>
    <m/>
    <s v="sgat@hotmail.it"/>
    <s v="WELCHOME - PORTO SANT'ELPIDIO"/>
  </r>
  <r>
    <x v="1"/>
    <s v="WERTHER"/>
    <s v="via stelle di mare 14"/>
    <x v="33"/>
    <s v="TORRETTE di FANO"/>
    <s v="www.hotelwerther.com"/>
    <s v="hotelwerther@email.it"/>
    <s v="WERTHER - FANO"/>
  </r>
  <r>
    <x v="4"/>
    <s v="WIND SURF"/>
    <s v="via palombina vecchia 1 1"/>
    <x v="22"/>
    <s v="FALCONARA MARITTIMA"/>
    <m/>
    <m/>
    <s v="WIND SURF - FALCONARA MARITTIMA"/>
  </r>
  <r>
    <x v="4"/>
    <s v="WINDSURF"/>
    <s v="lungomare gramsci nord 1 1"/>
    <x v="47"/>
    <s v="PORTO SAN GIORGIO"/>
    <s v="romano.montagnoli@alice.it"/>
    <m/>
    <s v="WINDSURF - PORTO SAN GIORGIO"/>
  </r>
  <r>
    <x v="0"/>
    <s v="WINE &amp; WELLNESS"/>
    <s v="loc. Colpaola 1"/>
    <x v="145"/>
    <s v="vocabolo Braccano"/>
    <m/>
    <m/>
    <s v="WINE &amp; WELLNESS - MATELICA"/>
  </r>
  <r>
    <x v="7"/>
    <s v="WOERNLE BETTINA"/>
    <m/>
    <x v="75"/>
    <m/>
    <m/>
    <s v="mail@bewoernle.de"/>
    <s v="WOERNLE BETTINA - CAGLI"/>
  </r>
  <r>
    <x v="7"/>
    <s v="ZACCARO ROBERTO"/>
    <s v="Via R. Sanzio 10/1"/>
    <x v="16"/>
    <s v="SENIGALLIA"/>
    <m/>
    <s v="savino.zaccaro@ingpec.eu"/>
    <s v="ZACCARO ROBERTO - SENIGALLIA"/>
  </r>
  <r>
    <x v="7"/>
    <s v="ZACCARO SAVINO 125/B"/>
    <s v="Via R. Sanzio 125/B"/>
    <x v="16"/>
    <s v="SENIGALLIA"/>
    <m/>
    <s v="ing.savinozaccaro@gmail.com"/>
    <s v="ZACCARO SAVINO 125/B - SENIGALLIA"/>
  </r>
  <r>
    <x v="7"/>
    <s v="ZACCARO SAVINO 125/C"/>
    <s v="Via R. Sanzio 125/C"/>
    <x v="16"/>
    <s v="SENIGALLIA"/>
    <m/>
    <s v="ing.savinozaccaro@gmail.com"/>
    <s v="ZACCARO SAVINO 125/C - SENIGALLIA"/>
  </r>
  <r>
    <x v="5"/>
    <s v="ZARATAN B&amp;B di MASSINI MARTA"/>
    <s v="via Cavour 43"/>
    <x v="8"/>
    <s v="SIROLO"/>
    <s v="www.zaratan.it"/>
    <s v="info@zaratan.it"/>
    <s v="ZARATAN B&amp;B di MASSINI MARTA - SIROLO"/>
  </r>
  <r>
    <x v="7"/>
    <s v="ZAVOLI PIERINA"/>
    <s v="via Rimini 4"/>
    <x v="212"/>
    <m/>
    <m/>
    <m/>
    <s v="ZAVOLI PIERINA - MONTE GRIMANO TERME"/>
  </r>
  <r>
    <x v="4"/>
    <s v="ZAZZARINI PAOLO"/>
    <s v="frazione poggio 1 1"/>
    <x v="10"/>
    <s v="ANCONA"/>
    <m/>
    <m/>
    <s v="ZAZZARINI PAOLO - ANCONA"/>
  </r>
  <r>
    <x v="1"/>
    <s v="ZEUS"/>
    <s v="via Giuseppe Mazzini 4"/>
    <x v="28"/>
    <s v="GABICCE MARE"/>
    <s v="www.gabiccemare.com/zeus"/>
    <s v="zeus@gabiccemare.com"/>
    <s v="ZEUS - GABICCE MARE"/>
  </r>
  <r>
    <x v="5"/>
    <s v="ZIA LELLY B&amp;B"/>
    <s v="VIA VITTORIO VENETO 80/B"/>
    <x v="33"/>
    <s v="FANO"/>
    <m/>
    <s v="elenapatrizi@gmail.com"/>
    <s v="ZIA LELLY B&amp;B - FANO"/>
  </r>
  <r>
    <x v="7"/>
    <s v="ZIAMELIA"/>
    <s v="via Colognola 29/a"/>
    <x v="26"/>
    <m/>
    <m/>
    <s v="daniela@ziamelia.it"/>
    <s v="ZIAMELIA - CINGOLI"/>
  </r>
  <r>
    <x v="4"/>
    <s v="ZODIACO"/>
    <s v="lungomare marconi   1"/>
    <x v="12"/>
    <s v="SAN BENEDETTO DEL TRONTO"/>
    <m/>
    <s v="elivagn@alice.it"/>
    <s v="ZODIACO - SAN BENEDETTO DEL TRONTO"/>
  </r>
  <r>
    <x v="4"/>
    <s v="ZONA 17"/>
    <s v="via colombo 1 1"/>
    <x v="28"/>
    <s v="GABICCE MARE"/>
    <s v="valerioleardini@gmail.com"/>
    <m/>
    <s v="ZONA 17 - GABICCE MARE"/>
  </r>
  <r>
    <x v="4"/>
    <s v="ZONA 30 GIGIO"/>
    <s v="via colombo 1 1"/>
    <x v="28"/>
    <s v="gabicce mare"/>
    <s v="gigiopaolo@alice.it"/>
    <m/>
    <s v="ZONA 30 GIGIO - GABICCE MARE"/>
  </r>
  <r>
    <x v="4"/>
    <s v="ZONA 31"/>
    <s v="lungomare cristoforo colombo 31 31"/>
    <x v="28"/>
    <s v="GABICCE MARE"/>
    <s v="info@spiaggia31gabiccemare.com"/>
    <s v="www.spiaggia31gabiccemare.com"/>
    <s v="ZONA 31 - GABICCE MA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5D7501-A9C6-4BF5-AC64-02B88F073AA6}" name="Tabella pivot1"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3:B19" firstHeaderRow="1" firstDataRow="1" firstDataCol="1" rowPageCount="1" colPageCount="1"/>
  <pivotFields count="8">
    <pivotField axis="axisRow" showAll="0">
      <items count="16">
        <item x="1"/>
        <item x="0"/>
        <item x="3"/>
        <item x="7"/>
        <item x="13"/>
        <item x="11"/>
        <item x="5"/>
        <item x="6"/>
        <item x="9"/>
        <item x="10"/>
        <item x="2"/>
        <item x="14"/>
        <item x="4"/>
        <item x="8"/>
        <item x="12"/>
        <item t="default"/>
      </items>
    </pivotField>
    <pivotField dataField="1" showAll="0"/>
    <pivotField showAll="0"/>
    <pivotField axis="axisPage" showAll="0">
      <items count="235">
        <item x="86"/>
        <item x="35"/>
        <item x="19"/>
        <item x="154"/>
        <item x="133"/>
        <item x="62"/>
        <item x="10"/>
        <item x="31"/>
        <item x="121"/>
        <item x="108"/>
        <item x="95"/>
        <item x="18"/>
        <item x="157"/>
        <item x="151"/>
        <item x="171"/>
        <item x="173"/>
        <item x="224"/>
        <item x="124"/>
        <item x="179"/>
        <item x="13"/>
        <item x="202"/>
        <item x="61"/>
        <item x="75"/>
        <item x="90"/>
        <item x="167"/>
        <item x="50"/>
        <item x="42"/>
        <item x="55"/>
        <item x="159"/>
        <item x="24"/>
        <item x="122"/>
        <item x="174"/>
        <item x="52"/>
        <item x="168"/>
        <item x="183"/>
        <item x="169"/>
        <item x="187"/>
        <item x="134"/>
        <item x="144"/>
        <item x="186"/>
        <item x="82"/>
        <item x="87"/>
        <item x="218"/>
        <item x="89"/>
        <item x="38"/>
        <item x="26"/>
        <item x="17"/>
        <item x="59"/>
        <item x="177"/>
        <item x="115"/>
        <item x="60"/>
        <item x="172"/>
        <item x="105"/>
        <item x="32"/>
        <item x="161"/>
        <item x="40"/>
        <item x="21"/>
        <item x="22"/>
        <item x="66"/>
        <item x="33"/>
        <item x="152"/>
        <item x="37"/>
        <item x="74"/>
        <item x="36"/>
        <item x="210"/>
        <item x="92"/>
        <item x="204"/>
        <item x="142"/>
        <item x="85"/>
        <item x="227"/>
        <item x="83"/>
        <item x="100"/>
        <item x="138"/>
        <item x="28"/>
        <item x="107"/>
        <item x="112"/>
        <item x="155"/>
        <item x="5"/>
        <item x="156"/>
        <item x="128"/>
        <item x="101"/>
        <item x="4"/>
        <item x="29"/>
        <item x="15"/>
        <item x="27"/>
        <item x="230"/>
        <item x="0"/>
        <item x="123"/>
        <item x="190"/>
        <item x="160"/>
        <item x="217"/>
        <item x="213"/>
        <item x="73"/>
        <item x="145"/>
        <item x="76"/>
        <item x="129"/>
        <item x="53"/>
        <item x="206"/>
        <item x="110"/>
        <item x="39"/>
        <item x="20"/>
        <item x="209"/>
        <item x="150"/>
        <item x="162"/>
        <item x="96"/>
        <item x="180"/>
        <item x="178"/>
        <item x="175"/>
        <item x="97"/>
        <item x="212"/>
        <item x="143"/>
        <item x="135"/>
        <item x="136"/>
        <item x="117"/>
        <item x="71"/>
        <item x="106"/>
        <item x="203"/>
        <item x="102"/>
        <item x="225"/>
        <item x="181"/>
        <item x="77"/>
        <item x="81"/>
        <item x="109"/>
        <item x="67"/>
        <item x="164"/>
        <item x="170"/>
        <item x="130"/>
        <item x="43"/>
        <item x="219"/>
        <item x="191"/>
        <item x="120"/>
        <item x="45"/>
        <item x="84"/>
        <item x="103"/>
        <item x="34"/>
        <item x="200"/>
        <item x="228"/>
        <item x="54"/>
        <item x="99"/>
        <item x="211"/>
        <item x="41"/>
        <item x="153"/>
        <item x="14"/>
        <item x="98"/>
        <item x="205"/>
        <item x="182"/>
        <item x="166"/>
        <item x="141"/>
        <item x="88"/>
        <item x="9"/>
        <item x="188"/>
        <item x="30"/>
        <item x="68"/>
        <item x="198"/>
        <item x="44"/>
        <item x="137"/>
        <item x="104"/>
        <item x="223"/>
        <item x="222"/>
        <item x="147"/>
        <item x="113"/>
        <item x="91"/>
        <item x="69"/>
        <item x="189"/>
        <item x="216"/>
        <item x="51"/>
        <item x="215"/>
        <item x="78"/>
        <item x="184"/>
        <item x="114"/>
        <item x="185"/>
        <item x="25"/>
        <item x="48"/>
        <item x="214"/>
        <item x="221"/>
        <item x="126"/>
        <item x="131"/>
        <item x="232"/>
        <item x="23"/>
        <item x="47"/>
        <item x="163"/>
        <item x="148"/>
        <item x="127"/>
        <item x="56"/>
        <item x="3"/>
        <item x="229"/>
        <item x="65"/>
        <item x="158"/>
        <item x="207"/>
        <item x="195"/>
        <item x="12"/>
        <item x="94"/>
        <item x="132"/>
        <item x="220"/>
        <item x="64"/>
        <item x="193"/>
        <item x="233"/>
        <item x="2"/>
        <item x="231"/>
        <item x="165"/>
        <item x="116"/>
        <item x="58"/>
        <item x="111"/>
        <item x="140"/>
        <item x="11"/>
        <item x="7"/>
        <item x="79"/>
        <item x="46"/>
        <item x="146"/>
        <item x="16"/>
        <item x="118"/>
        <item x="72"/>
        <item x="70"/>
        <item x="93"/>
        <item x="208"/>
        <item x="125"/>
        <item x="194"/>
        <item x="8"/>
        <item x="63"/>
        <item x="199"/>
        <item x="176"/>
        <item x="192"/>
        <item x="57"/>
        <item x="6"/>
        <item x="197"/>
        <item x="119"/>
        <item x="139"/>
        <item x="80"/>
        <item x="1"/>
        <item x="226"/>
        <item x="201"/>
        <item x="196"/>
        <item x="149"/>
        <item x="49"/>
        <item t="default"/>
      </items>
    </pivotField>
    <pivotField showAll="0"/>
    <pivotField showAll="0"/>
    <pivotField showAll="0"/>
    <pivotField showAll="0"/>
  </pivotFields>
  <rowFields count="1">
    <field x="0"/>
  </rowFields>
  <rowItems count="16">
    <i>
      <x/>
    </i>
    <i>
      <x v="1"/>
    </i>
    <i>
      <x v="2"/>
    </i>
    <i>
      <x v="3"/>
    </i>
    <i>
      <x v="4"/>
    </i>
    <i>
      <x v="5"/>
    </i>
    <i>
      <x v="6"/>
    </i>
    <i>
      <x v="7"/>
    </i>
    <i>
      <x v="8"/>
    </i>
    <i>
      <x v="9"/>
    </i>
    <i>
      <x v="10"/>
    </i>
    <i>
      <x v="11"/>
    </i>
    <i>
      <x v="12"/>
    </i>
    <i>
      <x v="13"/>
    </i>
    <i>
      <x v="14"/>
    </i>
    <i t="grand">
      <x/>
    </i>
  </rowItems>
  <colItems count="1">
    <i/>
  </colItems>
  <pageFields count="1">
    <pageField fld="3" hier="-1"/>
  </pageFields>
  <dataFields count="1">
    <dataField name="Conteggio di Denominazion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719B26-4DB4-4CDA-B9FC-0F526DE3D354}" name="Tabella1" displayName="Tabella1" ref="A1:H6259" totalsRowShown="0" headerRowDxfId="8" dataDxfId="7">
  <autoFilter ref="A1:H6259" xr:uid="{00000000-0001-0000-0000-000000000000}"/>
  <sortState xmlns:xlrd2="http://schemas.microsoft.com/office/spreadsheetml/2017/richdata2" ref="A2:G6259">
    <sortCondition ref="B1:B6259"/>
  </sortState>
  <tableColumns count="8">
    <tableColumn id="1" xr3:uid="{9CDB07B6-4FBE-46E8-982D-CE5CDA7F3017}" name="Categoria" dataDxfId="6"/>
    <tableColumn id="2" xr3:uid="{FF6C41C1-0BDD-4E05-808A-8151CCA5E915}" name="Denominazione" dataDxfId="5"/>
    <tableColumn id="3" xr3:uid="{84780A85-C64A-46CA-859E-89BE44EAD54F}" name="Indirizzo" dataDxfId="4"/>
    <tableColumn id="4" xr3:uid="{80849EB0-92E9-4183-AED1-469800CDBEF1}" name="Città" dataDxfId="3"/>
    <tableColumn id="5" xr3:uid="{D8AE860E-2FB0-4B5E-811A-296EA9929FD2}" name="Località"/>
    <tableColumn id="6" xr3:uid="{2A4A7062-14A8-4FAD-AFAD-F8B1B8DD1EF3}" name="Indirizzo internet" dataDxfId="2"/>
    <tableColumn id="7" xr3:uid="{EE94C70D-C4F7-46F9-9DB5-756BDBD5E264}" name="Indirizzo di posta elettronica" dataDxfId="1"/>
    <tableColumn id="8" xr3:uid="{D4F161A9-87CB-4ECB-8158-12854B45DB84}" name="CHIAVE RICERCA" dataDxfId="0">
      <calculatedColumnFormula>Tabella1[[#This Row],[Denominazione]]&amp;" - "&amp;Tabella1[[#This Row],[Città]]</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2A029-CFEC-455E-9611-A0F665AF526E}">
  <dimension ref="A1:B19"/>
  <sheetViews>
    <sheetView workbookViewId="0">
      <selection activeCell="C8" sqref="C8"/>
    </sheetView>
  </sheetViews>
  <sheetFormatPr defaultRowHeight="15" x14ac:dyDescent="0.25"/>
  <cols>
    <col min="1" max="1" width="32.85546875" bestFit="1" customWidth="1"/>
    <col min="2" max="2" width="27.140625" bestFit="1" customWidth="1"/>
    <col min="3" max="3" width="22.5703125" bestFit="1" customWidth="1"/>
    <col min="4" max="4" width="19.28515625" bestFit="1" customWidth="1"/>
    <col min="5" max="5" width="22" bestFit="1" customWidth="1"/>
    <col min="6" max="6" width="22.85546875" bestFit="1" customWidth="1"/>
    <col min="7" max="7" width="24.5703125" bestFit="1" customWidth="1"/>
    <col min="8" max="8" width="17" bestFit="1" customWidth="1"/>
    <col min="9" max="9" width="10.85546875" bestFit="1" customWidth="1"/>
    <col min="10" max="10" width="14.42578125" bestFit="1" customWidth="1"/>
    <col min="11" max="11" width="25" bestFit="1" customWidth="1"/>
    <col min="12" max="12" width="33.140625" bestFit="1" customWidth="1"/>
    <col min="13" max="13" width="7.140625" bestFit="1" customWidth="1"/>
    <col min="14" max="14" width="22.85546875" bestFit="1" customWidth="1"/>
    <col min="15" max="15" width="16.85546875" bestFit="1" customWidth="1"/>
    <col min="16" max="16" width="18.42578125" bestFit="1" customWidth="1"/>
    <col min="17" max="17" width="18.28515625" bestFit="1" customWidth="1"/>
  </cols>
  <sheetData>
    <row r="1" spans="1:2" x14ac:dyDescent="0.25">
      <c r="A1" s="4" t="s">
        <v>3</v>
      </c>
      <c r="B1" t="s">
        <v>19709</v>
      </c>
    </row>
    <row r="3" spans="1:2" x14ac:dyDescent="0.25">
      <c r="A3" s="4" t="s">
        <v>19707</v>
      </c>
      <c r="B3" t="s">
        <v>19710</v>
      </c>
    </row>
    <row r="4" spans="1:2" x14ac:dyDescent="0.25">
      <c r="A4" s="5" t="s">
        <v>20</v>
      </c>
      <c r="B4">
        <v>814</v>
      </c>
    </row>
    <row r="5" spans="1:2" x14ac:dyDescent="0.25">
      <c r="A5" s="5" t="s">
        <v>35</v>
      </c>
      <c r="B5">
        <v>830</v>
      </c>
    </row>
    <row r="6" spans="1:2" x14ac:dyDescent="0.25">
      <c r="A6" s="5" t="s">
        <v>82</v>
      </c>
      <c r="B6">
        <v>541</v>
      </c>
    </row>
    <row r="7" spans="1:2" x14ac:dyDescent="0.25">
      <c r="A7" s="5" t="s">
        <v>12</v>
      </c>
      <c r="B7">
        <v>721</v>
      </c>
    </row>
    <row r="8" spans="1:2" x14ac:dyDescent="0.25">
      <c r="A8" s="5" t="s">
        <v>1200</v>
      </c>
      <c r="B8">
        <v>13</v>
      </c>
    </row>
    <row r="9" spans="1:2" x14ac:dyDescent="0.25">
      <c r="A9" s="5" t="s">
        <v>88</v>
      </c>
      <c r="B9">
        <v>86</v>
      </c>
    </row>
    <row r="10" spans="1:2" x14ac:dyDescent="0.25">
      <c r="A10" s="5" t="s">
        <v>29</v>
      </c>
      <c r="B10">
        <v>1809</v>
      </c>
    </row>
    <row r="11" spans="1:2" x14ac:dyDescent="0.25">
      <c r="A11" s="5" t="s">
        <v>571</v>
      </c>
      <c r="B11">
        <v>93</v>
      </c>
    </row>
    <row r="12" spans="1:2" x14ac:dyDescent="0.25">
      <c r="A12" s="5" t="s">
        <v>190</v>
      </c>
      <c r="B12">
        <v>82</v>
      </c>
    </row>
    <row r="13" spans="1:2" x14ac:dyDescent="0.25">
      <c r="A13" s="5" t="s">
        <v>186</v>
      </c>
      <c r="B13">
        <v>30</v>
      </c>
    </row>
    <row r="14" spans="1:2" x14ac:dyDescent="0.25">
      <c r="A14" s="5" t="s">
        <v>403</v>
      </c>
      <c r="B14">
        <v>52</v>
      </c>
    </row>
    <row r="15" spans="1:2" x14ac:dyDescent="0.25">
      <c r="A15" s="5" t="s">
        <v>300</v>
      </c>
      <c r="B15">
        <v>16</v>
      </c>
    </row>
    <row r="16" spans="1:2" x14ac:dyDescent="0.25">
      <c r="A16" s="5" t="s">
        <v>679</v>
      </c>
      <c r="B16">
        <v>850</v>
      </c>
    </row>
    <row r="17" spans="1:2" x14ac:dyDescent="0.25">
      <c r="A17" s="5" t="s">
        <v>6</v>
      </c>
      <c r="B17">
        <v>304</v>
      </c>
    </row>
    <row r="18" spans="1:2" x14ac:dyDescent="0.25">
      <c r="A18" s="5" t="s">
        <v>6092</v>
      </c>
      <c r="B18">
        <v>17</v>
      </c>
    </row>
    <row r="19" spans="1:2" x14ac:dyDescent="0.25">
      <c r="A19" s="5" t="s">
        <v>19708</v>
      </c>
      <c r="B19">
        <v>6258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259"/>
  <sheetViews>
    <sheetView topLeftCell="B1" zoomScale="86" zoomScaleNormal="86" workbookViewId="0">
      <selection activeCell="I4" sqref="I4"/>
    </sheetView>
  </sheetViews>
  <sheetFormatPr defaultColWidth="14.42578125" defaultRowHeight="15" customHeight="1" x14ac:dyDescent="0.25"/>
  <cols>
    <col min="1" max="1" width="33.5703125" bestFit="1" customWidth="1"/>
    <col min="2" max="2" width="66.42578125" bestFit="1" customWidth="1"/>
    <col min="3" max="3" width="48.7109375" bestFit="1" customWidth="1"/>
    <col min="4" max="4" width="30.7109375" bestFit="1" customWidth="1"/>
    <col min="5" max="5" width="56.140625" bestFit="1" customWidth="1"/>
    <col min="6" max="6" width="66.140625" bestFit="1" customWidth="1"/>
    <col min="7" max="7" width="56.28515625" bestFit="1" customWidth="1"/>
    <col min="8" max="8" width="91.28515625" bestFit="1" customWidth="1"/>
    <col min="9" max="9" width="33.5703125" bestFit="1" customWidth="1"/>
  </cols>
  <sheetData>
    <row r="1" spans="1:8" x14ac:dyDescent="0.25">
      <c r="A1" s="3" t="s">
        <v>0</v>
      </c>
      <c r="B1" s="3" t="s">
        <v>1</v>
      </c>
      <c r="C1" s="3" t="s">
        <v>2</v>
      </c>
      <c r="D1" s="3" t="s">
        <v>3</v>
      </c>
      <c r="E1" s="3" t="s">
        <v>19703</v>
      </c>
      <c r="F1" s="3" t="s">
        <v>4</v>
      </c>
      <c r="G1" s="3" t="s">
        <v>5</v>
      </c>
      <c r="H1" s="3" t="s">
        <v>19704</v>
      </c>
    </row>
    <row r="2" spans="1:8" x14ac:dyDescent="0.25">
      <c r="A2" s="1" t="s">
        <v>35</v>
      </c>
      <c r="B2" s="1" t="s">
        <v>19711</v>
      </c>
      <c r="C2" s="1" t="s">
        <v>12166</v>
      </c>
      <c r="D2" s="1" t="s">
        <v>12050</v>
      </c>
      <c r="E2" s="1" t="s">
        <v>12050</v>
      </c>
      <c r="F2" s="1" t="s">
        <v>12164</v>
      </c>
      <c r="G2" s="1" t="s">
        <v>12165</v>
      </c>
      <c r="H2" s="2" t="str">
        <f>Tabella1[[#This Row],[Denominazione]]&amp;" - "&amp;Tabella1[[#This Row],[Città]]</f>
        <v>AGRITURISMO FLORIANI - MACERATA</v>
      </c>
    </row>
    <row r="3" spans="1:8" x14ac:dyDescent="0.25">
      <c r="A3" s="1" t="s">
        <v>35</v>
      </c>
      <c r="B3" s="1" t="s">
        <v>19712</v>
      </c>
      <c r="C3" s="1" t="s">
        <v>5128</v>
      </c>
      <c r="D3" s="1" t="s">
        <v>9</v>
      </c>
      <c r="E3" s="1" t="s">
        <v>5129</v>
      </c>
      <c r="F3" s="1" t="s">
        <v>5130</v>
      </c>
      <c r="G3" s="1" t="s">
        <v>5131</v>
      </c>
      <c r="H3" s="2" t="str">
        <f>Tabella1[[#This Row],[Denominazione]]&amp;" - "&amp;Tabella1[[#This Row],[Città]]</f>
        <v>AGRITURISMO FOSSO DEL LUPO - URBINO</v>
      </c>
    </row>
    <row r="4" spans="1:8" x14ac:dyDescent="0.25">
      <c r="A4" s="1" t="s">
        <v>20</v>
      </c>
      <c r="B4" s="1" t="s">
        <v>19713</v>
      </c>
      <c r="C4" s="1" t="s">
        <v>13685</v>
      </c>
      <c r="D4" s="1" t="s">
        <v>13548</v>
      </c>
      <c r="E4" s="1" t="s">
        <v>13548</v>
      </c>
      <c r="F4" s="1" t="s">
        <v>13686</v>
      </c>
      <c r="G4" s="1" t="s">
        <v>13687</v>
      </c>
      <c r="H4" s="2" t="str">
        <f>Tabella1[[#This Row],[Denominazione]]&amp;" - "&amp;Tabella1[[#This Row],[Città]]</f>
        <v>ALBERGO LOCANDA SALIMBENI - SAN SEVERINO MARCHE</v>
      </c>
    </row>
    <row r="5" spans="1:8" x14ac:dyDescent="0.25">
      <c r="A5" s="1" t="s">
        <v>35</v>
      </c>
      <c r="B5" s="1" t="s">
        <v>19714</v>
      </c>
      <c r="C5" s="1" t="s">
        <v>16646</v>
      </c>
      <c r="D5" s="1" t="s">
        <v>16585</v>
      </c>
      <c r="E5" s="1" t="s">
        <v>16585</v>
      </c>
      <c r="F5" s="1" t="s">
        <v>16647</v>
      </c>
      <c r="G5" s="1" t="s">
        <v>16648</v>
      </c>
      <c r="H5" s="2" t="str">
        <f>Tabella1[[#This Row],[Denominazione]]&amp;" - "&amp;Tabella1[[#This Row],[Città]]</f>
        <v>AZIENDA AGRICOLA AGRITURISTICA IL PODERE DEL NONNO - RIPATRANSONE</v>
      </c>
    </row>
    <row r="6" spans="1:8" x14ac:dyDescent="0.25">
      <c r="A6" s="1" t="s">
        <v>20</v>
      </c>
      <c r="B6" s="1" t="s">
        <v>19715</v>
      </c>
      <c r="C6" s="1" t="s">
        <v>7335</v>
      </c>
      <c r="D6" s="1" t="s">
        <v>7254</v>
      </c>
      <c r="E6" s="1" t="s">
        <v>7254</v>
      </c>
      <c r="F6" s="1" t="s">
        <v>7307</v>
      </c>
      <c r="G6" s="1" t="s">
        <v>7308</v>
      </c>
      <c r="H6" s="2" t="str">
        <f>Tabella1[[#This Row],[Denominazione]]&amp;" - "&amp;Tabella1[[#This Row],[Città]]</f>
        <v>HOTEL FEDERICO II - JESI</v>
      </c>
    </row>
    <row r="7" spans="1:8" x14ac:dyDescent="0.25">
      <c r="A7" s="1" t="s">
        <v>403</v>
      </c>
      <c r="B7" s="1" t="s">
        <v>19716</v>
      </c>
      <c r="C7" s="1" t="s">
        <v>15715</v>
      </c>
      <c r="D7" s="1" t="s">
        <v>15585</v>
      </c>
      <c r="E7" s="1" t="s">
        <v>15585</v>
      </c>
      <c r="F7" s="1" t="s">
        <v>15716</v>
      </c>
      <c r="G7" s="1" t="s">
        <v>15717</v>
      </c>
      <c r="H7" s="2" t="str">
        <f>Tabella1[[#This Row],[Denominazione]]&amp;" - "&amp;Tabella1[[#This Row],[Città]]</f>
        <v>RESIDENCE COSTA AZZURRA - GROTTAMMARE</v>
      </c>
    </row>
    <row r="8" spans="1:8" x14ac:dyDescent="0.25">
      <c r="A8" s="1" t="s">
        <v>82</v>
      </c>
      <c r="B8" s="1" t="s">
        <v>13982</v>
      </c>
      <c r="C8" s="1" t="s">
        <v>13983</v>
      </c>
      <c r="D8" s="1" t="s">
        <v>13946</v>
      </c>
      <c r="G8" s="1" t="s">
        <v>13984</v>
      </c>
      <c r="H8" s="2" t="str">
        <f>Tabella1[[#This Row],[Denominazione]]&amp;" - "&amp;Tabella1[[#This Row],[Città]]</f>
        <v>124 AFFITTACAMERE - TOLENTINO</v>
      </c>
    </row>
    <row r="9" spans="1:8" x14ac:dyDescent="0.25">
      <c r="A9" s="1" t="s">
        <v>82</v>
      </c>
      <c r="B9" s="1" t="s">
        <v>4502</v>
      </c>
      <c r="C9" s="1" t="s">
        <v>4503</v>
      </c>
      <c r="D9" s="1" t="s">
        <v>4493</v>
      </c>
      <c r="E9" s="1" t="s">
        <v>4493</v>
      </c>
      <c r="G9" s="1" t="s">
        <v>4504</v>
      </c>
      <c r="H9" s="2" t="str">
        <f>Tabella1[[#This Row],[Denominazione]]&amp;" - "&amp;Tabella1[[#This Row],[Città]]</f>
        <v>2000 di DIAMANTINI ASSUNTA - SASSOCORVARO</v>
      </c>
    </row>
    <row r="10" spans="1:8" x14ac:dyDescent="0.25">
      <c r="A10" s="1" t="s">
        <v>82</v>
      </c>
      <c r="B10" s="1" t="s">
        <v>10308</v>
      </c>
      <c r="C10" s="1" t="s">
        <v>10309</v>
      </c>
      <c r="D10" s="1" t="s">
        <v>10206</v>
      </c>
      <c r="E10" s="1" t="s">
        <v>10206</v>
      </c>
      <c r="F10" s="1" t="s">
        <v>10310</v>
      </c>
      <c r="G10" s="1" t="s">
        <v>10311</v>
      </c>
      <c r="H10" s="2" t="str">
        <f>Tabella1[[#This Row],[Denominazione]]&amp;" - "&amp;Tabella1[[#This Row],[Città]]</f>
        <v>3 JOLIE - SIROLO</v>
      </c>
    </row>
    <row r="11" spans="1:8" x14ac:dyDescent="0.25">
      <c r="A11" s="1" t="s">
        <v>679</v>
      </c>
      <c r="B11" s="1" t="s">
        <v>8069</v>
      </c>
      <c r="C11" s="1" t="s">
        <v>8070</v>
      </c>
      <c r="D11" s="1" t="s">
        <v>7889</v>
      </c>
      <c r="E11" s="1" t="s">
        <v>7889</v>
      </c>
      <c r="G11" s="1" t="s">
        <v>8071</v>
      </c>
      <c r="H11" s="2" t="str">
        <f>Tabella1[[#This Row],[Denominazione]]&amp;" - "&amp;Tabella1[[#This Row],[Città]]</f>
        <v>30 NODI - NUMANA</v>
      </c>
    </row>
    <row r="12" spans="1:8" x14ac:dyDescent="0.25">
      <c r="A12" s="1" t="s">
        <v>29</v>
      </c>
      <c r="B12" s="1" t="s">
        <v>5552</v>
      </c>
      <c r="C12" s="1" t="s">
        <v>5553</v>
      </c>
      <c r="D12" s="1" t="s">
        <v>1864</v>
      </c>
      <c r="E12" s="1" t="s">
        <v>1864</v>
      </c>
      <c r="F12" s="1" t="s">
        <v>5554</v>
      </c>
      <c r="G12" s="1" t="s">
        <v>5555</v>
      </c>
      <c r="H12" s="2" t="str">
        <f>Tabella1[[#This Row],[Denominazione]]&amp;" - "&amp;Tabella1[[#This Row],[Città]]</f>
        <v>4 PINI - ANCONA</v>
      </c>
    </row>
    <row r="13" spans="1:8" x14ac:dyDescent="0.25">
      <c r="A13" s="1" t="s">
        <v>679</v>
      </c>
      <c r="B13" s="1" t="s">
        <v>15851</v>
      </c>
      <c r="C13" s="1" t="s">
        <v>15818</v>
      </c>
      <c r="D13" s="1" t="s">
        <v>15585</v>
      </c>
      <c r="H13" s="2" t="str">
        <f>Tabella1[[#This Row],[Denominazione]]&amp;" - "&amp;Tabella1[[#This Row],[Città]]</f>
        <v>4 SORELLE - GROTTAMMARE</v>
      </c>
    </row>
    <row r="14" spans="1:8" x14ac:dyDescent="0.25">
      <c r="A14" s="1" t="s">
        <v>571</v>
      </c>
      <c r="B14" s="1" t="s">
        <v>13830</v>
      </c>
      <c r="C14" s="1" t="s">
        <v>13831</v>
      </c>
      <c r="D14" s="1" t="s">
        <v>13756</v>
      </c>
      <c r="E14" s="1" t="s">
        <v>13756</v>
      </c>
      <c r="F14" s="1" t="s">
        <v>13832</v>
      </c>
      <c r="G14" s="1" t="s">
        <v>13833</v>
      </c>
      <c r="H14" s="2" t="str">
        <f>Tabella1[[#This Row],[Denominazione]]&amp;" - "&amp;Tabella1[[#This Row],[Città]]</f>
        <v>4 STAGIONI - SARNANO</v>
      </c>
    </row>
    <row r="15" spans="1:8" x14ac:dyDescent="0.25">
      <c r="A15" s="1" t="s">
        <v>679</v>
      </c>
      <c r="B15" s="1" t="s">
        <v>17309</v>
      </c>
      <c r="D15" s="1" t="s">
        <v>15819</v>
      </c>
      <c r="H15" s="2" t="str">
        <f>Tabella1[[#This Row],[Denominazione]]&amp;" - "&amp;Tabella1[[#This Row],[Città]]</f>
        <v>45.COM - SAN BENEDETTO DEL TRONTO</v>
      </c>
    </row>
    <row r="16" spans="1:8" x14ac:dyDescent="0.25">
      <c r="A16" s="1" t="s">
        <v>12</v>
      </c>
      <c r="B16" s="1" t="s">
        <v>6287</v>
      </c>
      <c r="C16" s="1" t="s">
        <v>6284</v>
      </c>
      <c r="D16" s="1" t="s">
        <v>6262</v>
      </c>
      <c r="F16" s="1" t="s">
        <v>6285</v>
      </c>
      <c r="G16" s="1" t="s">
        <v>6286</v>
      </c>
      <c r="H16" s="2" t="str">
        <f>Tabella1[[#This Row],[Denominazione]]&amp;" - "&amp;Tabella1[[#This Row],[Città]]</f>
        <v>5 ALBERI - BELVEDERE OSTRENSE</v>
      </c>
    </row>
    <row r="17" spans="1:8" x14ac:dyDescent="0.25">
      <c r="A17" s="1" t="s">
        <v>29</v>
      </c>
      <c r="B17" s="1" t="s">
        <v>16416</v>
      </c>
      <c r="C17" s="1" t="s">
        <v>16417</v>
      </c>
      <c r="D17" s="1" t="s">
        <v>16396</v>
      </c>
      <c r="F17" s="1" t="s">
        <v>16418</v>
      </c>
      <c r="G17" s="1" t="s">
        <v>16419</v>
      </c>
      <c r="H17" s="2" t="str">
        <f>Tabella1[[#This Row],[Denominazione]]&amp;" - "&amp;Tabella1[[#This Row],[Città]]</f>
        <v>5 COLLI - MONTEPRANDONE</v>
      </c>
    </row>
    <row r="18" spans="1:8" x14ac:dyDescent="0.25">
      <c r="A18" s="1" t="s">
        <v>6</v>
      </c>
      <c r="B18" s="1" t="s">
        <v>10414</v>
      </c>
      <c r="C18" s="1" t="s">
        <v>10415</v>
      </c>
      <c r="D18" s="1" t="s">
        <v>10206</v>
      </c>
      <c r="F18" s="1" t="s">
        <v>10416</v>
      </c>
      <c r="G18" s="1" t="s">
        <v>10417</v>
      </c>
      <c r="H18" s="2" t="str">
        <f>Tabella1[[#This Row],[Denominazione]]&amp;" - "&amp;Tabella1[[#This Row],[Città]]</f>
        <v>9 CAMERE - SIROLO</v>
      </c>
    </row>
    <row r="19" spans="1:8" x14ac:dyDescent="0.25">
      <c r="A19" s="1" t="s">
        <v>35</v>
      </c>
      <c r="B19" s="1" t="s">
        <v>6041</v>
      </c>
      <c r="C19" s="1" t="s">
        <v>6042</v>
      </c>
      <c r="D19" s="1" t="s">
        <v>1864</v>
      </c>
      <c r="F19" s="1" t="s">
        <v>6043</v>
      </c>
      <c r="G19" s="1" t="s">
        <v>6044</v>
      </c>
      <c r="H19" s="2" t="str">
        <f>Tabella1[[#This Row],[Denominazione]]&amp;" - "&amp;Tabella1[[#This Row],[Città]]</f>
        <v>A 3 PASSI - ANCONA</v>
      </c>
    </row>
    <row r="20" spans="1:8" x14ac:dyDescent="0.25">
      <c r="A20" s="1" t="s">
        <v>35</v>
      </c>
      <c r="B20" s="1" t="s">
        <v>15787</v>
      </c>
      <c r="C20" s="1" t="s">
        <v>15788</v>
      </c>
      <c r="D20" s="1" t="s">
        <v>15585</v>
      </c>
      <c r="E20" s="1" t="s">
        <v>15585</v>
      </c>
      <c r="G20" s="1" t="s">
        <v>15789</v>
      </c>
      <c r="H20" s="2" t="str">
        <f>Tabella1[[#This Row],[Denominazione]]&amp;" - "&amp;Tabella1[[#This Row],[Città]]</f>
        <v>A CASA DA ANGELO - GROTTAMMARE</v>
      </c>
    </row>
    <row r="21" spans="1:8" x14ac:dyDescent="0.25">
      <c r="A21" s="1" t="s">
        <v>29</v>
      </c>
      <c r="B21" s="1" t="s">
        <v>7387</v>
      </c>
      <c r="C21" s="1" t="s">
        <v>7388</v>
      </c>
      <c r="D21" s="1" t="s">
        <v>7385</v>
      </c>
      <c r="E21" s="1" t="s">
        <v>7385</v>
      </c>
      <c r="G21" s="1" t="s">
        <v>7389</v>
      </c>
      <c r="H21" s="2" t="str">
        <f>Tabella1[[#This Row],[Denominazione]]&amp;" - "&amp;Tabella1[[#This Row],[Città]]</f>
        <v>A CASA DI NONNA DI CROIA MAURO - LORETO</v>
      </c>
    </row>
    <row r="22" spans="1:8" x14ac:dyDescent="0.25">
      <c r="A22" s="1" t="s">
        <v>29</v>
      </c>
      <c r="B22" s="1" t="s">
        <v>9254</v>
      </c>
      <c r="C22" s="1" t="s">
        <v>9255</v>
      </c>
      <c r="D22" s="1" t="s">
        <v>8949</v>
      </c>
      <c r="E22" s="1" t="s">
        <v>8949</v>
      </c>
      <c r="G22" s="1" t="s">
        <v>9256</v>
      </c>
      <c r="H22" s="2" t="str">
        <f>Tabella1[[#This Row],[Denominazione]]&amp;" - "&amp;Tabella1[[#This Row],[Città]]</f>
        <v>A CASA DI NONNA LINDA - SENIGALLIA</v>
      </c>
    </row>
    <row r="23" spans="1:8" x14ac:dyDescent="0.25">
      <c r="A23" s="1" t="s">
        <v>29</v>
      </c>
      <c r="B23" s="1" t="s">
        <v>7261</v>
      </c>
      <c r="C23" s="1" t="s">
        <v>7262</v>
      </c>
      <c r="D23" s="1" t="s">
        <v>7254</v>
      </c>
      <c r="F23" s="1" t="s">
        <v>7263</v>
      </c>
      <c r="G23" s="1" t="s">
        <v>7264</v>
      </c>
      <c r="H23" s="2" t="str">
        <f>Tabella1[[#This Row],[Denominazione]]&amp;" - "&amp;Tabella1[[#This Row],[Città]]</f>
        <v>A CASA DI PAOLA - JESI</v>
      </c>
    </row>
    <row r="24" spans="1:8" x14ac:dyDescent="0.25">
      <c r="A24" s="1" t="s">
        <v>29</v>
      </c>
      <c r="B24" s="1" t="s">
        <v>11320</v>
      </c>
      <c r="C24" s="1" t="s">
        <v>11321</v>
      </c>
      <c r="D24" s="1" t="s">
        <v>11244</v>
      </c>
      <c r="E24" s="1" t="s">
        <v>11244</v>
      </c>
      <c r="G24" s="1" t="s">
        <v>11322</v>
      </c>
      <c r="H24" s="2" t="str">
        <f>Tabella1[[#This Row],[Denominazione]]&amp;" - "&amp;Tabella1[[#This Row],[Città]]</f>
        <v>A CASA DI PETER - CIVITANOVA MARCHE</v>
      </c>
    </row>
    <row r="25" spans="1:8" x14ac:dyDescent="0.25">
      <c r="A25" s="1" t="s">
        <v>29</v>
      </c>
      <c r="B25" s="1" t="s">
        <v>6085</v>
      </c>
      <c r="C25" s="1" t="s">
        <v>6086</v>
      </c>
      <c r="D25" s="1" t="s">
        <v>6049</v>
      </c>
      <c r="E25" s="1" t="s">
        <v>6049</v>
      </c>
      <c r="G25" s="1" t="s">
        <v>6087</v>
      </c>
      <c r="H25" s="2" t="str">
        <f>Tabella1[[#This Row],[Denominazione]]&amp;" - "&amp;Tabella1[[#This Row],[Città]]</f>
        <v>A CASA DI ROMOLO - ARCEVIA</v>
      </c>
    </row>
    <row r="26" spans="1:8" x14ac:dyDescent="0.25">
      <c r="A26" s="1" t="s">
        <v>29</v>
      </c>
      <c r="B26" s="1" t="s">
        <v>7374</v>
      </c>
      <c r="C26" s="1" t="s">
        <v>7375</v>
      </c>
      <c r="D26" s="1" t="s">
        <v>7254</v>
      </c>
      <c r="E26" s="1" t="s">
        <v>7254</v>
      </c>
      <c r="G26" s="1" t="s">
        <v>7376</v>
      </c>
      <c r="H26" s="2" t="str">
        <f>Tabella1[[#This Row],[Denominazione]]&amp;" - "&amp;Tabella1[[#This Row],[Città]]</f>
        <v>A DUE PASSI DAL CIELO - JESI</v>
      </c>
    </row>
    <row r="27" spans="1:8" x14ac:dyDescent="0.25">
      <c r="A27" s="1" t="s">
        <v>679</v>
      </c>
      <c r="B27" s="1" t="s">
        <v>17135</v>
      </c>
      <c r="C27" s="1" t="s">
        <v>17136</v>
      </c>
      <c r="D27" s="1" t="s">
        <v>15819</v>
      </c>
      <c r="E27" s="1" t="s">
        <v>8949</v>
      </c>
      <c r="F27" s="1" t="s">
        <v>17137</v>
      </c>
      <c r="G27" s="1" t="s">
        <v>17138</v>
      </c>
      <c r="H27" s="2" t="str">
        <f>Tabella1[[#This Row],[Denominazione]]&amp;" - "&amp;Tabella1[[#This Row],[Città]]</f>
        <v>ABBADETTA MARE - SAN BENEDETTO DEL TRONTO</v>
      </c>
    </row>
    <row r="28" spans="1:8" x14ac:dyDescent="0.25">
      <c r="A28" s="1" t="s">
        <v>20</v>
      </c>
      <c r="B28" s="1" t="s">
        <v>14484</v>
      </c>
      <c r="C28" s="1" t="s">
        <v>14485</v>
      </c>
      <c r="D28" s="1" t="s">
        <v>14428</v>
      </c>
      <c r="E28" s="1" t="s">
        <v>14428</v>
      </c>
      <c r="F28" s="1" t="s">
        <v>14486</v>
      </c>
      <c r="G28" s="1" t="s">
        <v>14487</v>
      </c>
      <c r="H28" s="2" t="str">
        <f>Tabella1[[#This Row],[Denominazione]]&amp;" - "&amp;Tabella1[[#This Row],[Città]]</f>
        <v>ABBADETTA RESORT - ACQUAVIVA PICENA</v>
      </c>
    </row>
    <row r="29" spans="1:8" x14ac:dyDescent="0.25">
      <c r="A29" s="1" t="s">
        <v>190</v>
      </c>
      <c r="B29" s="1" t="s">
        <v>13708</v>
      </c>
      <c r="C29" s="1" t="s">
        <v>13709</v>
      </c>
      <c r="D29" s="1" t="s">
        <v>13548</v>
      </c>
      <c r="E29" s="1" t="s">
        <v>13548</v>
      </c>
      <c r="G29" s="1" t="s">
        <v>13710</v>
      </c>
      <c r="H29" s="2" t="str">
        <f>Tabella1[[#This Row],[Denominazione]]&amp;" - "&amp;Tabella1[[#This Row],[Città]]</f>
        <v>ABBADIA DI ELCITO - SAN SEVERINO MARCHE</v>
      </c>
    </row>
    <row r="30" spans="1:8" x14ac:dyDescent="0.25">
      <c r="A30" s="1" t="s">
        <v>20</v>
      </c>
      <c r="B30" s="1" t="s">
        <v>2803</v>
      </c>
      <c r="C30" s="1" t="s">
        <v>2804</v>
      </c>
      <c r="D30" s="1" t="s">
        <v>1605</v>
      </c>
      <c r="E30" s="1" t="s">
        <v>1605</v>
      </c>
      <c r="F30" s="1" t="s">
        <v>2805</v>
      </c>
      <c r="G30" s="1" t="s">
        <v>2806</v>
      </c>
      <c r="H30" s="2" t="str">
        <f>Tabella1[[#This Row],[Denominazione]]&amp;" - "&amp;Tabella1[[#This Row],[Città]]</f>
        <v>ABBAZIA CLUB HOTEL - MONDOLFO</v>
      </c>
    </row>
    <row r="31" spans="1:8" x14ac:dyDescent="0.25">
      <c r="A31" s="1" t="s">
        <v>186</v>
      </c>
      <c r="B31" s="1" t="s">
        <v>6910</v>
      </c>
      <c r="C31" s="1" t="s">
        <v>6911</v>
      </c>
      <c r="D31" s="1" t="s">
        <v>6790</v>
      </c>
      <c r="E31" s="1" t="s">
        <v>6790</v>
      </c>
      <c r="F31" s="1" t="s">
        <v>6912</v>
      </c>
      <c r="G31" s="1" t="s">
        <v>6913</v>
      </c>
      <c r="H31" s="2" t="str">
        <f>Tabella1[[#This Row],[Denominazione]]&amp;" - "&amp;Tabella1[[#This Row],[Città]]</f>
        <v>ABBAZIA DI SAN BIAGIO IL CAPRILE - FABRIANO</v>
      </c>
    </row>
    <row r="32" spans="1:8" x14ac:dyDescent="0.25">
      <c r="A32" s="1" t="s">
        <v>679</v>
      </c>
      <c r="B32" s="1" t="s">
        <v>7072</v>
      </c>
      <c r="C32" s="1" t="s">
        <v>2346</v>
      </c>
      <c r="D32" s="1" t="s">
        <v>5735</v>
      </c>
      <c r="E32" s="1" t="s">
        <v>5735</v>
      </c>
      <c r="H32" s="2" t="str">
        <f>Tabella1[[#This Row],[Denominazione]]&amp;" - "&amp;Tabella1[[#This Row],[Città]]</f>
        <v>ABBRONZATISSIMA - FALCONARA MARITTIMA</v>
      </c>
    </row>
    <row r="33" spans="1:8" x14ac:dyDescent="0.25">
      <c r="A33" s="1" t="s">
        <v>82</v>
      </c>
      <c r="B33" s="1" t="s">
        <v>12911</v>
      </c>
      <c r="C33" s="1" t="s">
        <v>12912</v>
      </c>
      <c r="D33" s="1" t="s">
        <v>12801</v>
      </c>
      <c r="E33" s="1" t="s">
        <v>12801</v>
      </c>
      <c r="F33" s="1" t="s">
        <v>12913</v>
      </c>
      <c r="G33" s="1" t="s">
        <v>12914</v>
      </c>
      <c r="H33" s="2" t="str">
        <f>Tabella1[[#This Row],[Denominazione]]&amp;" - "&amp;Tabella1[[#This Row],[Città]]</f>
        <v>ABRAMO - PORTO RECANATI</v>
      </c>
    </row>
    <row r="34" spans="1:8" x14ac:dyDescent="0.25">
      <c r="A34" s="1" t="s">
        <v>6</v>
      </c>
      <c r="B34" s="1" t="s">
        <v>10328</v>
      </c>
      <c r="C34" s="1" t="s">
        <v>10329</v>
      </c>
      <c r="D34" s="1" t="s">
        <v>10206</v>
      </c>
      <c r="E34" s="1" t="s">
        <v>10206</v>
      </c>
      <c r="F34" s="1" t="s">
        <v>10330</v>
      </c>
      <c r="G34" s="1" t="s">
        <v>10331</v>
      </c>
      <c r="H34" s="2" t="str">
        <f>Tabella1[[#This Row],[Denominazione]]&amp;" - "&amp;Tabella1[[#This Row],[Città]]</f>
        <v>ACANTO COUNTRY HOUSE - SIROLO</v>
      </c>
    </row>
    <row r="35" spans="1:8" x14ac:dyDescent="0.25">
      <c r="A35" s="1" t="s">
        <v>679</v>
      </c>
      <c r="B35" s="1" t="s">
        <v>12836</v>
      </c>
      <c r="D35" s="1" t="s">
        <v>12801</v>
      </c>
      <c r="E35" s="1" t="s">
        <v>12801</v>
      </c>
      <c r="H35" s="2" t="str">
        <f>Tabella1[[#This Row],[Denominazione]]&amp;" - "&amp;Tabella1[[#This Row],[Città]]</f>
        <v>ACAPULCO - PORTO RECANATI</v>
      </c>
    </row>
    <row r="36" spans="1:8" x14ac:dyDescent="0.25">
      <c r="A36" s="1" t="s">
        <v>35</v>
      </c>
      <c r="B36" s="1" t="s">
        <v>5697</v>
      </c>
      <c r="C36" s="1" t="s">
        <v>5698</v>
      </c>
      <c r="D36" s="1" t="s">
        <v>1864</v>
      </c>
      <c r="E36" s="1" t="s">
        <v>5699</v>
      </c>
      <c r="F36" s="1" t="s">
        <v>5700</v>
      </c>
      <c r="G36" s="1" t="s">
        <v>5701</v>
      </c>
      <c r="H36" s="2" t="str">
        <f>Tabella1[[#This Row],[Denominazione]]&amp;" - "&amp;Tabella1[[#This Row],[Città]]</f>
        <v>ACCIPICCHIA - ANCONA</v>
      </c>
    </row>
    <row r="37" spans="1:8" x14ac:dyDescent="0.25">
      <c r="A37" s="1" t="s">
        <v>82</v>
      </c>
      <c r="B37" s="1" t="s">
        <v>17038</v>
      </c>
      <c r="C37" s="1" t="s">
        <v>17039</v>
      </c>
      <c r="D37" s="1" t="s">
        <v>15819</v>
      </c>
      <c r="F37" s="1" t="s">
        <v>17040</v>
      </c>
      <c r="G37" s="1" t="s">
        <v>17041</v>
      </c>
      <c r="H37" s="2" t="str">
        <f>Tabella1[[#This Row],[Denominazione]]&amp;" - "&amp;Tabella1[[#This Row],[Città]]</f>
        <v>ACCOMODATION CASA CAVOUR - SAN BENEDETTO DEL TRONTO</v>
      </c>
    </row>
    <row r="38" spans="1:8" x14ac:dyDescent="0.25">
      <c r="A38" s="1" t="s">
        <v>12</v>
      </c>
      <c r="B38" s="1" t="s">
        <v>4925</v>
      </c>
      <c r="C38" s="1" t="s">
        <v>4926</v>
      </c>
      <c r="D38" s="1" t="s">
        <v>9</v>
      </c>
      <c r="G38" s="1" t="s">
        <v>4927</v>
      </c>
      <c r="H38" s="2" t="str">
        <f>Tabella1[[#This Row],[Denominazione]]&amp;" - "&amp;Tabella1[[#This Row],[Città]]</f>
        <v>ACERO FRANCESCO E FILIPPO - URBINO</v>
      </c>
    </row>
    <row r="39" spans="1:8" x14ac:dyDescent="0.25">
      <c r="A39" s="1" t="s">
        <v>12</v>
      </c>
      <c r="B39" s="1" t="s">
        <v>4928</v>
      </c>
      <c r="C39" s="1" t="s">
        <v>4929</v>
      </c>
      <c r="D39" s="1" t="s">
        <v>9</v>
      </c>
      <c r="G39" s="1" t="s">
        <v>4927</v>
      </c>
      <c r="H39" s="2" t="str">
        <f>Tabella1[[#This Row],[Denominazione]]&amp;" - "&amp;Tabella1[[#This Row],[Città]]</f>
        <v>ACERO MARIA GRAZIA - URBINO</v>
      </c>
    </row>
    <row r="40" spans="1:8" x14ac:dyDescent="0.25">
      <c r="A40" s="1" t="s">
        <v>35</v>
      </c>
      <c r="B40" s="1" t="s">
        <v>533</v>
      </c>
      <c r="C40" s="1" t="s">
        <v>534</v>
      </c>
      <c r="D40" s="1" t="s">
        <v>535</v>
      </c>
      <c r="E40" s="1" t="s">
        <v>536</v>
      </c>
      <c r="F40" s="1" t="s">
        <v>537</v>
      </c>
      <c r="G40" s="1" t="s">
        <v>538</v>
      </c>
      <c r="H40" s="2" t="str">
        <f>Tabella1[[#This Row],[Denominazione]]&amp;" - "&amp;Tabella1[[#This Row],[Città]]</f>
        <v>ACQUABATTIGLIA - CANTIANO</v>
      </c>
    </row>
    <row r="41" spans="1:8" x14ac:dyDescent="0.25">
      <c r="A41" s="1" t="s">
        <v>82</v>
      </c>
      <c r="B41" s="1" t="s">
        <v>16897</v>
      </c>
      <c r="C41" s="1" t="s">
        <v>16898</v>
      </c>
      <c r="D41" s="1" t="s">
        <v>15819</v>
      </c>
      <c r="F41" s="1" t="s">
        <v>16899</v>
      </c>
      <c r="G41" s="1" t="s">
        <v>16900</v>
      </c>
      <c r="H41" s="2" t="str">
        <f>Tabella1[[#This Row],[Denominazione]]&amp;" - "&amp;Tabella1[[#This Row],[Città]]</f>
        <v>ACQUAMARINA - SAN BENEDETTO DEL TRONTO</v>
      </c>
    </row>
    <row r="42" spans="1:8" x14ac:dyDescent="0.25">
      <c r="A42" s="1" t="s">
        <v>6</v>
      </c>
      <c r="B42" s="1" t="s">
        <v>4224</v>
      </c>
      <c r="C42" s="1" t="s">
        <v>4225</v>
      </c>
      <c r="D42" s="1" t="s">
        <v>4175</v>
      </c>
      <c r="E42" s="1" t="s">
        <v>4175</v>
      </c>
      <c r="F42" s="1" t="s">
        <v>4226</v>
      </c>
      <c r="G42" s="1" t="s">
        <v>4227</v>
      </c>
      <c r="H42" s="2" t="str">
        <f>Tabella1[[#This Row],[Denominazione]]&amp;" - "&amp;Tabella1[[#This Row],[Città]]</f>
        <v>ACQUANERA - PIOBBICO</v>
      </c>
    </row>
    <row r="43" spans="1:8" x14ac:dyDescent="0.25">
      <c r="A43" s="1" t="s">
        <v>20</v>
      </c>
      <c r="B43" s="1" t="s">
        <v>11115</v>
      </c>
      <c r="C43" s="1" t="s">
        <v>11116</v>
      </c>
      <c r="D43" s="1" t="s">
        <v>11058</v>
      </c>
      <c r="E43" s="1" t="s">
        <v>11058</v>
      </c>
      <c r="F43" s="1" t="s">
        <v>11117</v>
      </c>
      <c r="G43" s="1" t="s">
        <v>11118</v>
      </c>
      <c r="H43" s="2" t="str">
        <f>Tabella1[[#This Row],[Denominazione]]&amp;" - "&amp;Tabella1[[#This Row],[Città]]</f>
        <v>ACQUAPARCO VERDE AZZURRO - CINGOLI</v>
      </c>
    </row>
    <row r="44" spans="1:8" x14ac:dyDescent="0.25">
      <c r="A44" s="1" t="s">
        <v>82</v>
      </c>
      <c r="B44" s="1" t="s">
        <v>16798</v>
      </c>
      <c r="C44" s="1" t="s">
        <v>16799</v>
      </c>
      <c r="D44" s="1" t="s">
        <v>15819</v>
      </c>
      <c r="G44" s="1" t="s">
        <v>16800</v>
      </c>
      <c r="H44" s="2" t="str">
        <f>Tabella1[[#This Row],[Denominazione]]&amp;" - "&amp;Tabella1[[#This Row],[Città]]</f>
        <v>ACQUAPAZZA ROOM - SAN BENEDETTO DEL TRONTO</v>
      </c>
    </row>
    <row r="45" spans="1:8" x14ac:dyDescent="0.25">
      <c r="A45" s="1" t="s">
        <v>679</v>
      </c>
      <c r="B45" s="1" t="s">
        <v>15844</v>
      </c>
      <c r="C45" s="1" t="s">
        <v>15818</v>
      </c>
      <c r="D45" s="1" t="s">
        <v>15585</v>
      </c>
      <c r="E45" s="1" t="s">
        <v>15585</v>
      </c>
      <c r="H45" s="2" t="str">
        <f>Tabella1[[#This Row],[Denominazione]]&amp;" - "&amp;Tabella1[[#This Row],[Città]]</f>
        <v>ACQUARIUS - GROTTAMMARE</v>
      </c>
    </row>
    <row r="46" spans="1:8" x14ac:dyDescent="0.25">
      <c r="A46" s="1" t="s">
        <v>35</v>
      </c>
      <c r="B46" s="1" t="s">
        <v>6132</v>
      </c>
      <c r="C46" s="1" t="s">
        <v>6133</v>
      </c>
      <c r="D46" s="1" t="s">
        <v>6049</v>
      </c>
      <c r="E46" s="1" t="s">
        <v>6134</v>
      </c>
      <c r="F46" s="1" t="s">
        <v>6135</v>
      </c>
      <c r="G46" s="1" t="s">
        <v>6136</v>
      </c>
      <c r="H46" s="2" t="str">
        <f>Tabella1[[#This Row],[Denominazione]]&amp;" - "&amp;Tabella1[[#This Row],[Città]]</f>
        <v>ACQUASALATA - ARCEVIA</v>
      </c>
    </row>
    <row r="47" spans="1:8" x14ac:dyDescent="0.25">
      <c r="A47" s="1" t="s">
        <v>6</v>
      </c>
      <c r="B47" s="1" t="s">
        <v>11992</v>
      </c>
      <c r="C47" s="1" t="s">
        <v>11993</v>
      </c>
      <c r="D47" s="1" t="s">
        <v>11981</v>
      </c>
      <c r="E47" s="1" t="s">
        <v>11981</v>
      </c>
      <c r="F47" s="1" t="s">
        <v>11994</v>
      </c>
      <c r="G47" s="1" t="s">
        <v>11995</v>
      </c>
      <c r="H47" s="2" t="str">
        <f>Tabella1[[#This Row],[Denominazione]]&amp;" - "&amp;Tabella1[[#This Row],[Città]]</f>
        <v>ACQUAVIVA di CECCHI PEPPINO - LORO PICENO</v>
      </c>
    </row>
    <row r="48" spans="1:8" x14ac:dyDescent="0.25">
      <c r="A48" s="1" t="s">
        <v>679</v>
      </c>
      <c r="B48" s="1" t="s">
        <v>12861</v>
      </c>
      <c r="D48" s="1" t="s">
        <v>12801</v>
      </c>
      <c r="E48" s="1" t="s">
        <v>12801</v>
      </c>
      <c r="F48" s="1" t="s">
        <v>12862</v>
      </c>
      <c r="G48" s="1" t="s">
        <v>12863</v>
      </c>
      <c r="H48" s="2" t="str">
        <f>Tabella1[[#This Row],[Denominazione]]&amp;" - "&amp;Tabella1[[#This Row],[Città]]</f>
        <v>ACROPOLI - PORTO RECANATI</v>
      </c>
    </row>
    <row r="49" spans="1:8" x14ac:dyDescent="0.25">
      <c r="A49" s="1" t="s">
        <v>20</v>
      </c>
      <c r="B49" s="1" t="s">
        <v>2068</v>
      </c>
      <c r="C49" s="1" t="s">
        <v>2069</v>
      </c>
      <c r="D49" s="1" t="s">
        <v>1907</v>
      </c>
      <c r="E49" s="1" t="s">
        <v>1907</v>
      </c>
      <c r="F49" s="1" t="s">
        <v>2070</v>
      </c>
      <c r="G49" s="1" t="s">
        <v>2071</v>
      </c>
      <c r="H49" s="2" t="str">
        <f>Tabella1[[#This Row],[Denominazione]]&amp;" - "&amp;Tabella1[[#This Row],[Città]]</f>
        <v>ACRUX - GABICCE MARE</v>
      </c>
    </row>
    <row r="50" spans="1:8" x14ac:dyDescent="0.25">
      <c r="A50" s="1" t="s">
        <v>403</v>
      </c>
      <c r="B50" s="1" t="s">
        <v>15718</v>
      </c>
      <c r="C50" s="1" t="s">
        <v>15719</v>
      </c>
      <c r="D50" s="1" t="s">
        <v>15585</v>
      </c>
      <c r="E50" s="1" t="s">
        <v>15585</v>
      </c>
      <c r="F50" s="1" t="s">
        <v>15720</v>
      </c>
      <c r="G50" s="1" t="s">
        <v>15721</v>
      </c>
      <c r="H50" s="2" t="str">
        <f>Tabella1[[#This Row],[Denominazione]]&amp;" - "&amp;Tabella1[[#This Row],[Città]]</f>
        <v>ADA - GROTTAMMARE</v>
      </c>
    </row>
    <row r="51" spans="1:8" x14ac:dyDescent="0.25">
      <c r="A51" s="1" t="s">
        <v>82</v>
      </c>
      <c r="B51" s="1" t="s">
        <v>7946</v>
      </c>
      <c r="C51" s="1" t="s">
        <v>7947</v>
      </c>
      <c r="D51" s="1" t="s">
        <v>7889</v>
      </c>
      <c r="E51" s="1" t="s">
        <v>7890</v>
      </c>
      <c r="F51" s="1" t="s">
        <v>7948</v>
      </c>
      <c r="G51" s="1" t="s">
        <v>7949</v>
      </c>
      <c r="H51" s="2" t="str">
        <f>Tabella1[[#This Row],[Denominazione]]&amp;" - "&amp;Tabella1[[#This Row],[Città]]</f>
        <v>ADAMO ED EVA RESORT - NUMANA</v>
      </c>
    </row>
    <row r="52" spans="1:8" x14ac:dyDescent="0.25">
      <c r="A52" s="1" t="s">
        <v>20</v>
      </c>
      <c r="B52" s="1" t="s">
        <v>2072</v>
      </c>
      <c r="C52" s="1" t="s">
        <v>2073</v>
      </c>
      <c r="D52" s="1" t="s">
        <v>1907</v>
      </c>
      <c r="E52" s="1" t="s">
        <v>1907</v>
      </c>
      <c r="F52" s="1" t="s">
        <v>2074</v>
      </c>
      <c r="G52" s="1" t="s">
        <v>2075</v>
      </c>
      <c r="H52" s="2" t="str">
        <f>Tabella1[[#This Row],[Denominazione]]&amp;" - "&amp;Tabella1[[#This Row],[Città]]</f>
        <v>ADLER - GABICCE MARE</v>
      </c>
    </row>
    <row r="53" spans="1:8" x14ac:dyDescent="0.25">
      <c r="A53" s="1" t="s">
        <v>20</v>
      </c>
      <c r="B53" s="1" t="s">
        <v>2076</v>
      </c>
      <c r="C53" s="1" t="s">
        <v>2077</v>
      </c>
      <c r="D53" s="1" t="s">
        <v>1907</v>
      </c>
      <c r="E53" s="1" t="s">
        <v>1907</v>
      </c>
      <c r="F53" s="1" t="s">
        <v>2078</v>
      </c>
      <c r="G53" s="1" t="s">
        <v>2079</v>
      </c>
      <c r="H53" s="2" t="str">
        <f>Tabella1[[#This Row],[Denominazione]]&amp;" - "&amp;Tabella1[[#This Row],[Città]]</f>
        <v>ADRIA - GABICCE MARE</v>
      </c>
    </row>
    <row r="54" spans="1:8" x14ac:dyDescent="0.25">
      <c r="A54" s="1" t="s">
        <v>12</v>
      </c>
      <c r="B54" s="1" t="s">
        <v>13962</v>
      </c>
      <c r="C54" s="1" t="s">
        <v>13963</v>
      </c>
      <c r="D54" s="1" t="s">
        <v>13946</v>
      </c>
      <c r="E54" s="1" t="s">
        <v>13946</v>
      </c>
      <c r="H54" s="2" t="str">
        <f>Tabella1[[#This Row],[Denominazione]]&amp;" - "&amp;Tabella1[[#This Row],[Città]]</f>
        <v>ADRIAN ARTHUR THOMAS GARDNER - TOLENTINO</v>
      </c>
    </row>
    <row r="55" spans="1:8" x14ac:dyDescent="0.25">
      <c r="A55" s="1" t="s">
        <v>82</v>
      </c>
      <c r="B55" s="1" t="s">
        <v>8320</v>
      </c>
      <c r="C55" s="1" t="s">
        <v>8321</v>
      </c>
      <c r="D55" s="1" t="s">
        <v>7889</v>
      </c>
      <c r="E55" s="1" t="s">
        <v>7889</v>
      </c>
      <c r="F55" s="1" t="s">
        <v>8322</v>
      </c>
      <c r="G55" s="1" t="s">
        <v>8323</v>
      </c>
      <c r="H55" s="2" t="str">
        <f>Tabella1[[#This Row],[Denominazione]]&amp;" - "&amp;Tabella1[[#This Row],[Città]]</f>
        <v>ADRIATICA - NUMANA</v>
      </c>
    </row>
    <row r="56" spans="1:8" x14ac:dyDescent="0.25">
      <c r="A56" s="1" t="s">
        <v>571</v>
      </c>
      <c r="B56" s="1" t="s">
        <v>12879</v>
      </c>
      <c r="C56" s="1" t="s">
        <v>12880</v>
      </c>
      <c r="D56" s="1" t="s">
        <v>12801</v>
      </c>
      <c r="E56" s="1" t="s">
        <v>12801</v>
      </c>
      <c r="F56" s="1" t="s">
        <v>5860</v>
      </c>
      <c r="G56" s="1" t="s">
        <v>5861</v>
      </c>
      <c r="H56" s="2" t="str">
        <f>Tabella1[[#This Row],[Denominazione]]&amp;" - "&amp;Tabella1[[#This Row],[Città]]</f>
        <v>ADRIATICO - PORTO RECANATI</v>
      </c>
    </row>
    <row r="57" spans="1:8" x14ac:dyDescent="0.25">
      <c r="A57" s="1" t="s">
        <v>403</v>
      </c>
      <c r="B57" s="1" t="s">
        <v>2080</v>
      </c>
      <c r="C57" s="1" t="s">
        <v>2081</v>
      </c>
      <c r="D57" s="1" t="s">
        <v>1907</v>
      </c>
      <c r="E57" s="1" t="s">
        <v>1907</v>
      </c>
      <c r="F57" s="1" t="s">
        <v>2082</v>
      </c>
      <c r="G57" s="1" t="s">
        <v>2083</v>
      </c>
      <c r="H57" s="2" t="str">
        <f>Tabella1[[#This Row],[Denominazione]]&amp;" - "&amp;Tabella1[[#This Row],[Città]]</f>
        <v>ADRIATICO RESIDENCE - GABICCE MARE</v>
      </c>
    </row>
    <row r="58" spans="1:8" x14ac:dyDescent="0.25">
      <c r="A58" s="1" t="s">
        <v>82</v>
      </c>
      <c r="B58" s="1" t="s">
        <v>8062</v>
      </c>
      <c r="C58" s="1" t="s">
        <v>8063</v>
      </c>
      <c r="D58" s="1" t="s">
        <v>7889</v>
      </c>
      <c r="E58" s="1" t="s">
        <v>7889</v>
      </c>
      <c r="G58" s="1" t="s">
        <v>8064</v>
      </c>
      <c r="H58" s="2" t="str">
        <f>Tabella1[[#This Row],[Denominazione]]&amp;" - "&amp;Tabella1[[#This Row],[Città]]</f>
        <v>AFFITTACAMERE  LA PIAZZETTA 2 - NUMANA</v>
      </c>
    </row>
    <row r="59" spans="1:8" x14ac:dyDescent="0.25">
      <c r="A59" s="1" t="s">
        <v>82</v>
      </c>
      <c r="B59" s="1" t="s">
        <v>12971</v>
      </c>
      <c r="C59" s="1" t="s">
        <v>12972</v>
      </c>
      <c r="D59" s="1" t="s">
        <v>12801</v>
      </c>
      <c r="G59" s="1" t="s">
        <v>12973</v>
      </c>
      <c r="H59" s="2" t="str">
        <f>Tabella1[[#This Row],[Denominazione]]&amp;" - "&amp;Tabella1[[#This Row],[Città]]</f>
        <v>AFFITTACAMERE ABELE - PORTO RECANATI</v>
      </c>
    </row>
    <row r="60" spans="1:8" x14ac:dyDescent="0.25">
      <c r="A60" s="1" t="s">
        <v>82</v>
      </c>
      <c r="B60" s="1" t="s">
        <v>8054</v>
      </c>
      <c r="C60" s="1" t="s">
        <v>8055</v>
      </c>
      <c r="D60" s="1" t="s">
        <v>7889</v>
      </c>
      <c r="E60" s="1" t="s">
        <v>7889</v>
      </c>
      <c r="F60" s="1" t="s">
        <v>8056</v>
      </c>
      <c r="G60" s="1" t="s">
        <v>8057</v>
      </c>
      <c r="H60" s="2" t="str">
        <f>Tabella1[[#This Row],[Denominazione]]&amp;" - "&amp;Tabella1[[#This Row],[Città]]</f>
        <v>AFFITTACAMERE ACQUA SALATA - NUMANA</v>
      </c>
    </row>
    <row r="61" spans="1:8" x14ac:dyDescent="0.25">
      <c r="A61" s="1" t="s">
        <v>82</v>
      </c>
      <c r="B61" s="1" t="s">
        <v>18451</v>
      </c>
      <c r="C61" s="1" t="s">
        <v>18452</v>
      </c>
      <c r="D61" s="1" t="s">
        <v>18389</v>
      </c>
      <c r="E61" s="1" t="s">
        <v>18389</v>
      </c>
      <c r="F61" s="1" t="s">
        <v>18453</v>
      </c>
      <c r="G61" s="1" t="s">
        <v>18454</v>
      </c>
      <c r="H61" s="2" t="str">
        <f>Tabella1[[#This Row],[Denominazione]]&amp;" - "&amp;Tabella1[[#This Row],[Città]]</f>
        <v>AFFITTACAMERE ACQUARELLO - LAPEDONA</v>
      </c>
    </row>
    <row r="62" spans="1:8" x14ac:dyDescent="0.25">
      <c r="A62" s="1" t="s">
        <v>82</v>
      </c>
      <c r="B62" s="1" t="s">
        <v>16508</v>
      </c>
      <c r="C62" s="1" t="s">
        <v>16509</v>
      </c>
      <c r="D62" s="1" t="s">
        <v>16440</v>
      </c>
      <c r="F62" s="1" t="s">
        <v>16510</v>
      </c>
      <c r="G62" s="1" t="s">
        <v>16511</v>
      </c>
      <c r="H62" s="2" t="str">
        <f>Tabella1[[#This Row],[Denominazione]]&amp;" - "&amp;Tabella1[[#This Row],[Città]]</f>
        <v>AFFITTACAMERE ALBACHIARA - OFFIDA</v>
      </c>
    </row>
    <row r="63" spans="1:8" x14ac:dyDescent="0.25">
      <c r="A63" s="1" t="s">
        <v>82</v>
      </c>
      <c r="B63" s="1" t="s">
        <v>8075</v>
      </c>
      <c r="C63" s="1" t="s">
        <v>8076</v>
      </c>
      <c r="D63" s="1" t="s">
        <v>7889</v>
      </c>
      <c r="E63" s="1" t="s">
        <v>7895</v>
      </c>
      <c r="F63" s="1" t="s">
        <v>8077</v>
      </c>
      <c r="G63" s="1" t="s">
        <v>8078</v>
      </c>
      <c r="H63" s="2" t="str">
        <f>Tabella1[[#This Row],[Denominazione]]&amp;" - "&amp;Tabella1[[#This Row],[Città]]</f>
        <v>AFFITTACAMERE ANGELA'S ROOM - NUMANA</v>
      </c>
    </row>
    <row r="64" spans="1:8" x14ac:dyDescent="0.25">
      <c r="A64" s="1" t="s">
        <v>82</v>
      </c>
      <c r="B64" s="1" t="s">
        <v>138</v>
      </c>
      <c r="C64" s="1" t="s">
        <v>139</v>
      </c>
      <c r="D64" s="1" t="s">
        <v>102</v>
      </c>
      <c r="G64" s="1" t="s">
        <v>103</v>
      </c>
      <c r="H64" s="2" t="str">
        <f>Tabella1[[#This Row],[Denominazione]]&amp;" - "&amp;Tabella1[[#This Row],[Città]]</f>
        <v>AFFITTACAMERE APPENNINO - APECCHIO</v>
      </c>
    </row>
    <row r="65" spans="1:8" x14ac:dyDescent="0.25">
      <c r="A65" s="1" t="s">
        <v>82</v>
      </c>
      <c r="B65" s="1" t="s">
        <v>7905</v>
      </c>
      <c r="C65" s="1" t="s">
        <v>7906</v>
      </c>
      <c r="D65" s="1" t="s">
        <v>7889</v>
      </c>
      <c r="G65" s="1" t="s">
        <v>7907</v>
      </c>
      <c r="H65" s="2" t="str">
        <f>Tabella1[[#This Row],[Denominazione]]&amp;" - "&amp;Tabella1[[#This Row],[Città]]</f>
        <v>AFFITTACAMERE BELLELLI ALBERTO - NUMANA</v>
      </c>
    </row>
    <row r="66" spans="1:8" x14ac:dyDescent="0.25">
      <c r="A66" s="1" t="s">
        <v>82</v>
      </c>
      <c r="B66" s="1" t="s">
        <v>11278</v>
      </c>
      <c r="C66" s="1" t="s">
        <v>11279</v>
      </c>
      <c r="D66" s="1" t="s">
        <v>11244</v>
      </c>
      <c r="E66" s="1" t="s">
        <v>11244</v>
      </c>
      <c r="G66" s="1" t="s">
        <v>11280</v>
      </c>
      <c r="H66" s="2" t="str">
        <f>Tabella1[[#This Row],[Denominazione]]&amp;" - "&amp;Tabella1[[#This Row],[Città]]</f>
        <v>AFFITTACAMERE CASA RELAX - CIVITANOVA MARCHE</v>
      </c>
    </row>
    <row r="67" spans="1:8" x14ac:dyDescent="0.25">
      <c r="A67" s="1" t="s">
        <v>82</v>
      </c>
      <c r="B67" s="1" t="s">
        <v>15365</v>
      </c>
      <c r="C67" s="1" t="s">
        <v>15366</v>
      </c>
      <c r="D67" s="1" t="s">
        <v>15349</v>
      </c>
      <c r="E67" s="1" t="s">
        <v>15349</v>
      </c>
      <c r="G67" s="1" t="s">
        <v>15367</v>
      </c>
      <c r="H67" s="2" t="str">
        <f>Tabella1[[#This Row],[Denominazione]]&amp;" - "&amp;Tabella1[[#This Row],[Città]]</f>
        <v>AFFITTACAMERE CIVICO 28 - CUPRA MARITTIMA</v>
      </c>
    </row>
    <row r="68" spans="1:8" x14ac:dyDescent="0.25">
      <c r="A68" s="1" t="s">
        <v>82</v>
      </c>
      <c r="B68" s="1" t="s">
        <v>1367</v>
      </c>
      <c r="C68" s="1" t="s">
        <v>1368</v>
      </c>
      <c r="D68" s="1" t="s">
        <v>682</v>
      </c>
      <c r="E68" s="1" t="s">
        <v>682</v>
      </c>
      <c r="G68" s="1" t="s">
        <v>1369</v>
      </c>
      <c r="H68" s="2" t="str">
        <f>Tabella1[[#This Row],[Denominazione]]&amp;" - "&amp;Tabella1[[#This Row],[Città]]</f>
        <v>AFFITTACAMERE DA ALDO - FANO</v>
      </c>
    </row>
    <row r="69" spans="1:8" x14ac:dyDescent="0.25">
      <c r="A69" s="1" t="s">
        <v>82</v>
      </c>
      <c r="B69" s="1" t="s">
        <v>18667</v>
      </c>
      <c r="C69" s="1" t="s">
        <v>18668</v>
      </c>
      <c r="D69" s="1" t="s">
        <v>18653</v>
      </c>
      <c r="E69" s="1" t="s">
        <v>18653</v>
      </c>
      <c r="G69" s="1" t="s">
        <v>18669</v>
      </c>
      <c r="H69" s="2" t="str">
        <f>Tabella1[[#This Row],[Denominazione]]&amp;" - "&amp;Tabella1[[#This Row],[Città]]</f>
        <v>AFFITTACAMERE DA PATRIZIA - MONTEGRANARO</v>
      </c>
    </row>
    <row r="70" spans="1:8" x14ac:dyDescent="0.25">
      <c r="A70" s="1" t="s">
        <v>82</v>
      </c>
      <c r="B70" s="1" t="s">
        <v>8386</v>
      </c>
      <c r="C70" s="1" t="s">
        <v>8387</v>
      </c>
      <c r="D70" s="1" t="s">
        <v>7889</v>
      </c>
      <c r="E70" s="1" t="s">
        <v>7889</v>
      </c>
      <c r="G70" s="1" t="s">
        <v>8388</v>
      </c>
      <c r="H70" s="2" t="str">
        <f>Tabella1[[#This Row],[Denominazione]]&amp;" - "&amp;Tabella1[[#This Row],[Città]]</f>
        <v>AFFITTACAMERE DA SABRI - NUMANA</v>
      </c>
    </row>
    <row r="71" spans="1:8" x14ac:dyDescent="0.25">
      <c r="A71" s="1" t="s">
        <v>82</v>
      </c>
      <c r="B71" s="1" t="s">
        <v>1513</v>
      </c>
      <c r="C71" s="1" t="s">
        <v>1514</v>
      </c>
      <c r="D71" s="1" t="s">
        <v>682</v>
      </c>
      <c r="E71" s="1" t="s">
        <v>682</v>
      </c>
      <c r="G71" s="1" t="s">
        <v>1515</v>
      </c>
      <c r="H71" s="2" t="str">
        <f>Tabella1[[#This Row],[Denominazione]]&amp;" - "&amp;Tabella1[[#This Row],[Città]]</f>
        <v>AFFITTACAMERE DA TINA - FANO</v>
      </c>
    </row>
    <row r="72" spans="1:8" x14ac:dyDescent="0.25">
      <c r="A72" s="1" t="s">
        <v>82</v>
      </c>
      <c r="B72" s="1" t="s">
        <v>5532</v>
      </c>
      <c r="C72" s="1" t="s">
        <v>5533</v>
      </c>
      <c r="D72" s="1" t="s">
        <v>1864</v>
      </c>
      <c r="E72" s="1" t="s">
        <v>1864</v>
      </c>
      <c r="G72" s="1" t="s">
        <v>5534</v>
      </c>
      <c r="H72" s="2" t="str">
        <f>Tabella1[[#This Row],[Denominazione]]&amp;" - "&amp;Tabella1[[#This Row],[Città]]</f>
        <v>AFFITTACAMERE DEL VIAGGIATORE - ANCONA</v>
      </c>
    </row>
    <row r="73" spans="1:8" x14ac:dyDescent="0.25">
      <c r="A73" s="1" t="s">
        <v>82</v>
      </c>
      <c r="B73" s="1" t="s">
        <v>16551</v>
      </c>
      <c r="C73" s="1" t="s">
        <v>16552</v>
      </c>
      <c r="D73" s="1" t="s">
        <v>16440</v>
      </c>
      <c r="G73" s="1" t="s">
        <v>16553</v>
      </c>
      <c r="H73" s="2" t="str">
        <f>Tabella1[[#This Row],[Denominazione]]&amp;" - "&amp;Tabella1[[#This Row],[Città]]</f>
        <v>AFFITTACAMERE DOLCI COLLINE - OFFIDA</v>
      </c>
    </row>
    <row r="74" spans="1:8" x14ac:dyDescent="0.25">
      <c r="A74" s="1" t="s">
        <v>82</v>
      </c>
      <c r="B74" s="1" t="s">
        <v>14407</v>
      </c>
      <c r="C74" s="1" t="s">
        <v>14408</v>
      </c>
      <c r="D74" s="1" t="s">
        <v>14334</v>
      </c>
      <c r="E74" s="1" t="s">
        <v>14409</v>
      </c>
      <c r="H74" s="2" t="str">
        <f>Tabella1[[#This Row],[Denominazione]]&amp;" - "&amp;Tabella1[[#This Row],[Città]]</f>
        <v>AFFITTACAMERE ELIA EMMA - ACQUASANTA TERME</v>
      </c>
    </row>
    <row r="75" spans="1:8" x14ac:dyDescent="0.25">
      <c r="A75" s="1" t="s">
        <v>82</v>
      </c>
      <c r="B75" s="1" t="s">
        <v>5822</v>
      </c>
      <c r="C75" s="1" t="s">
        <v>5823</v>
      </c>
      <c r="D75" s="1" t="s">
        <v>1864</v>
      </c>
      <c r="E75" s="1" t="s">
        <v>1864</v>
      </c>
      <c r="G75" s="1" t="s">
        <v>5824</v>
      </c>
      <c r="H75" s="2" t="str">
        <f>Tabella1[[#This Row],[Denominazione]]&amp;" - "&amp;Tabella1[[#This Row],[Città]]</f>
        <v>AFFITTACAMERE EURO - ANCONA</v>
      </c>
    </row>
    <row r="76" spans="1:8" x14ac:dyDescent="0.25">
      <c r="A76" s="1" t="s">
        <v>82</v>
      </c>
      <c r="B76" s="1" t="s">
        <v>7159</v>
      </c>
      <c r="C76" s="1" t="s">
        <v>7160</v>
      </c>
      <c r="D76" s="1" t="s">
        <v>7161</v>
      </c>
      <c r="E76" s="1" t="s">
        <v>7162</v>
      </c>
      <c r="G76" s="1" t="s">
        <v>7163</v>
      </c>
      <c r="H76" s="2" t="str">
        <f>Tabella1[[#This Row],[Denominazione]]&amp;" - "&amp;Tabella1[[#This Row],[Città]]</f>
        <v>AFFITTACAMERE F.LLI ROSSI - FILOTTRANO</v>
      </c>
    </row>
    <row r="77" spans="1:8" x14ac:dyDescent="0.25">
      <c r="A77" s="1" t="s">
        <v>82</v>
      </c>
      <c r="B77" s="1" t="s">
        <v>18276</v>
      </c>
      <c r="C77" s="1" t="s">
        <v>18277</v>
      </c>
      <c r="D77" s="1" t="s">
        <v>17932</v>
      </c>
      <c r="E77" s="1" t="s">
        <v>17932</v>
      </c>
      <c r="H77" s="2" t="str">
        <f>Tabella1[[#This Row],[Denominazione]]&amp;" - "&amp;Tabella1[[#This Row],[Città]]</f>
        <v>AFFITTACAMERE FORO' LOLITA - FERMO</v>
      </c>
    </row>
    <row r="78" spans="1:8" x14ac:dyDescent="0.25">
      <c r="A78" s="1" t="s">
        <v>82</v>
      </c>
      <c r="B78" s="1" t="s">
        <v>8107</v>
      </c>
      <c r="C78" s="1" t="s">
        <v>8108</v>
      </c>
      <c r="D78" s="1" t="s">
        <v>7889</v>
      </c>
      <c r="E78" s="1" t="s">
        <v>7889</v>
      </c>
      <c r="F78" s="1" t="s">
        <v>8109</v>
      </c>
      <c r="G78" s="1" t="s">
        <v>8110</v>
      </c>
      <c r="H78" s="2" t="str">
        <f>Tabella1[[#This Row],[Denominazione]]&amp;" - "&amp;Tabella1[[#This Row],[Città]]</f>
        <v>AFFITTACAMERE I VICOLI - NUMANA</v>
      </c>
    </row>
    <row r="79" spans="1:8" x14ac:dyDescent="0.25">
      <c r="A79" s="1" t="s">
        <v>82</v>
      </c>
      <c r="B79" s="1" t="s">
        <v>5579</v>
      </c>
      <c r="C79" s="1" t="s">
        <v>5580</v>
      </c>
      <c r="D79" s="1" t="s">
        <v>1864</v>
      </c>
      <c r="E79" s="1" t="s">
        <v>1864</v>
      </c>
      <c r="G79" s="1" t="s">
        <v>5581</v>
      </c>
      <c r="H79" s="2" t="str">
        <f>Tabella1[[#This Row],[Denominazione]]&amp;" - "&amp;Tabella1[[#This Row],[Città]]</f>
        <v>AFFITTACAMERE IL GUASCO - ANCONA</v>
      </c>
    </row>
    <row r="80" spans="1:8" x14ac:dyDescent="0.25">
      <c r="A80" s="1" t="s">
        <v>82</v>
      </c>
      <c r="B80" s="1" t="s">
        <v>6523</v>
      </c>
      <c r="C80" s="1" t="s">
        <v>6524</v>
      </c>
      <c r="D80" s="1" t="s">
        <v>6520</v>
      </c>
      <c r="F80" s="1" t="s">
        <v>6525</v>
      </c>
      <c r="G80" s="1" t="s">
        <v>6526</v>
      </c>
      <c r="H80" s="2" t="str">
        <f>Tabella1[[#This Row],[Denominazione]]&amp;" - "&amp;Tabella1[[#This Row],[Città]]</f>
        <v>AFFITTACAMERE LA LOCOMOTIVA DI PAOLA PETRUCCI - CHIARAVALLE</v>
      </c>
    </row>
    <row r="81" spans="1:8" x14ac:dyDescent="0.25">
      <c r="A81" s="1" t="s">
        <v>82</v>
      </c>
      <c r="B81" s="1" t="s">
        <v>2741</v>
      </c>
      <c r="C81" s="1" t="s">
        <v>2742</v>
      </c>
      <c r="D81" s="1" t="s">
        <v>2729</v>
      </c>
      <c r="E81" s="1" t="s">
        <v>2729</v>
      </c>
      <c r="G81" s="1" t="s">
        <v>2743</v>
      </c>
      <c r="H81" s="2" t="str">
        <f>Tabella1[[#This Row],[Denominazione]]&amp;" - "&amp;Tabella1[[#This Row],[Città]]</f>
        <v>AFFITTACAMERE LA PALOMBA - MONDAVIO</v>
      </c>
    </row>
    <row r="82" spans="1:8" x14ac:dyDescent="0.25">
      <c r="A82" s="1" t="s">
        <v>82</v>
      </c>
      <c r="B82" s="1" t="s">
        <v>8043</v>
      </c>
      <c r="C82" s="1" t="s">
        <v>8044</v>
      </c>
      <c r="D82" s="1" t="s">
        <v>7889</v>
      </c>
      <c r="E82" s="1" t="s">
        <v>7889</v>
      </c>
      <c r="H82" s="2" t="str">
        <f>Tabella1[[#This Row],[Denominazione]]&amp;" - "&amp;Tabella1[[#This Row],[Città]]</f>
        <v>AFFITTACAMERE LA PIAZZETTA - NUMANA</v>
      </c>
    </row>
    <row r="83" spans="1:8" x14ac:dyDescent="0.25">
      <c r="A83" s="1" t="s">
        <v>82</v>
      </c>
      <c r="B83" s="1" t="s">
        <v>11775</v>
      </c>
      <c r="D83" s="1" t="s">
        <v>11769</v>
      </c>
      <c r="E83" s="1" t="s">
        <v>11776</v>
      </c>
      <c r="G83" s="1" t="s">
        <v>11777</v>
      </c>
      <c r="H83" s="2" t="str">
        <f>Tabella1[[#This Row],[Denominazione]]&amp;" - "&amp;Tabella1[[#This Row],[Città]]</f>
        <v>AFFITTACAMERE LA PIEVE - ESANATOGLIA</v>
      </c>
    </row>
    <row r="84" spans="1:8" x14ac:dyDescent="0.25">
      <c r="A84" s="1" t="s">
        <v>82</v>
      </c>
      <c r="B84" s="1" t="s">
        <v>5546</v>
      </c>
      <c r="C84" s="1" t="s">
        <v>5547</v>
      </c>
      <c r="D84" s="1" t="s">
        <v>1864</v>
      </c>
      <c r="E84" s="1" t="s">
        <v>1864</v>
      </c>
      <c r="G84" s="1" t="s">
        <v>5548</v>
      </c>
      <c r="H84" s="2" t="str">
        <f>Tabella1[[#This Row],[Denominazione]]&amp;" - "&amp;Tabella1[[#This Row],[Città]]</f>
        <v>AFFITTACAMERE LA STANZA DI FRANCESCA - ANCONA</v>
      </c>
    </row>
    <row r="85" spans="1:8" x14ac:dyDescent="0.25">
      <c r="A85" s="1" t="s">
        <v>82</v>
      </c>
      <c r="B85" s="1" t="s">
        <v>6882</v>
      </c>
      <c r="C85" s="1" t="s">
        <v>6883</v>
      </c>
      <c r="D85" s="1" t="s">
        <v>6790</v>
      </c>
      <c r="E85" s="1" t="s">
        <v>6790</v>
      </c>
      <c r="F85" s="1" t="s">
        <v>6884</v>
      </c>
      <c r="G85" s="1" t="s">
        <v>6885</v>
      </c>
      <c r="H85" s="2" t="str">
        <f>Tabella1[[#This Row],[Denominazione]]&amp;" - "&amp;Tabella1[[#This Row],[Città]]</f>
        <v>AFFITTACAMERE LATINI LUCIA - FABRIANO</v>
      </c>
    </row>
    <row r="86" spans="1:8" x14ac:dyDescent="0.25">
      <c r="A86" s="1" t="s">
        <v>82</v>
      </c>
      <c r="B86" s="1" t="s">
        <v>7785</v>
      </c>
      <c r="C86" s="1" t="s">
        <v>7786</v>
      </c>
      <c r="D86" s="1" t="s">
        <v>7718</v>
      </c>
      <c r="E86" s="1" t="s">
        <v>7718</v>
      </c>
      <c r="G86" s="1" t="s">
        <v>7787</v>
      </c>
      <c r="H86" s="2" t="str">
        <f>Tabella1[[#This Row],[Denominazione]]&amp;" - "&amp;Tabella1[[#This Row],[Città]]</f>
        <v>AFFITTACAMERE LE MAGNOLIE - MONTEMARCIANO</v>
      </c>
    </row>
    <row r="87" spans="1:8" x14ac:dyDescent="0.25">
      <c r="A87" s="1" t="s">
        <v>82</v>
      </c>
      <c r="B87" s="1" t="s">
        <v>10411</v>
      </c>
      <c r="C87" s="1" t="s">
        <v>10412</v>
      </c>
      <c r="D87" s="1" t="s">
        <v>10206</v>
      </c>
      <c r="G87" s="1" t="s">
        <v>10413</v>
      </c>
      <c r="H87" s="2" t="str">
        <f>Tabella1[[#This Row],[Denominazione]]&amp;" - "&amp;Tabella1[[#This Row],[Città]]</f>
        <v>AFFITTACAMERE LE TRE SORELLE - SIROLO</v>
      </c>
    </row>
    <row r="88" spans="1:8" x14ac:dyDescent="0.25">
      <c r="A88" s="1" t="s">
        <v>82</v>
      </c>
      <c r="B88" s="1" t="s">
        <v>10900</v>
      </c>
      <c r="C88" s="1" t="s">
        <v>10901</v>
      </c>
      <c r="D88" s="1" t="s">
        <v>10737</v>
      </c>
      <c r="G88" s="1" t="s">
        <v>10902</v>
      </c>
      <c r="H88" s="2" t="str">
        <f>Tabella1[[#This Row],[Denominazione]]&amp;" - "&amp;Tabella1[[#This Row],[Città]]</f>
        <v>AFFITTACAMERE LEOPARDI 59 - CAMERINO</v>
      </c>
    </row>
    <row r="89" spans="1:8" x14ac:dyDescent="0.25">
      <c r="A89" s="1" t="s">
        <v>82</v>
      </c>
      <c r="B89" s="1" t="s">
        <v>7354</v>
      </c>
      <c r="C89" s="1" t="s">
        <v>7355</v>
      </c>
      <c r="D89" s="1" t="s">
        <v>7254</v>
      </c>
      <c r="E89" s="1" t="s">
        <v>7254</v>
      </c>
      <c r="G89" s="1" t="s">
        <v>7356</v>
      </c>
      <c r="H89" s="2" t="str">
        <f>Tabella1[[#This Row],[Denominazione]]&amp;" - "&amp;Tabella1[[#This Row],[Città]]</f>
        <v>AFFITTACAMERE LUCONI - JESI</v>
      </c>
    </row>
    <row r="90" spans="1:8" x14ac:dyDescent="0.25">
      <c r="A90" s="1" t="s">
        <v>82</v>
      </c>
      <c r="B90" s="1" t="s">
        <v>18509</v>
      </c>
      <c r="C90" s="1" t="s">
        <v>18510</v>
      </c>
      <c r="D90" s="1" t="s">
        <v>18499</v>
      </c>
      <c r="G90" s="1" t="s">
        <v>18511</v>
      </c>
      <c r="H90" s="2" t="str">
        <f>Tabella1[[#This Row],[Denominazione]]&amp;" - "&amp;Tabella1[[#This Row],[Città]]</f>
        <v>AFFITTACAMERE MARZIALI GIANLUCA - MONTEFALCONE APPENNINO</v>
      </c>
    </row>
    <row r="91" spans="1:8" x14ac:dyDescent="0.25">
      <c r="A91" s="1" t="s">
        <v>82</v>
      </c>
      <c r="B91" s="1" t="s">
        <v>8009</v>
      </c>
      <c r="C91" s="1" t="s">
        <v>8010</v>
      </c>
      <c r="D91" s="1" t="s">
        <v>7889</v>
      </c>
      <c r="E91" s="1" t="s">
        <v>7889</v>
      </c>
      <c r="F91" s="1" t="s">
        <v>8011</v>
      </c>
      <c r="G91" s="1" t="s">
        <v>8012</v>
      </c>
      <c r="H91" s="2" t="str">
        <f>Tabella1[[#This Row],[Denominazione]]&amp;" - "&amp;Tabella1[[#This Row],[Città]]</f>
        <v>AFFITTACAMERE MORELLI - NUMANA</v>
      </c>
    </row>
    <row r="92" spans="1:8" x14ac:dyDescent="0.25">
      <c r="A92" s="1" t="s">
        <v>82</v>
      </c>
      <c r="B92" s="1" t="s">
        <v>942</v>
      </c>
      <c r="C92" s="1" t="s">
        <v>943</v>
      </c>
      <c r="D92" s="1" t="s">
        <v>682</v>
      </c>
      <c r="E92" s="1" t="s">
        <v>682</v>
      </c>
      <c r="G92" s="1" t="s">
        <v>944</v>
      </c>
      <c r="H92" s="2" t="str">
        <f>Tabella1[[#This Row],[Denominazione]]&amp;" - "&amp;Tabella1[[#This Row],[Città]]</f>
        <v>AFFITTACAMERE OASI - FANO</v>
      </c>
    </row>
    <row r="93" spans="1:8" x14ac:dyDescent="0.25">
      <c r="A93" s="1" t="s">
        <v>82</v>
      </c>
      <c r="B93" s="1" t="s">
        <v>942</v>
      </c>
      <c r="C93" s="1" t="s">
        <v>1087</v>
      </c>
      <c r="D93" s="1" t="s">
        <v>682</v>
      </c>
      <c r="E93" s="1" t="s">
        <v>1040</v>
      </c>
      <c r="G93" s="1" t="s">
        <v>944</v>
      </c>
      <c r="H93" s="2" t="str">
        <f>Tabella1[[#This Row],[Denominazione]]&amp;" - "&amp;Tabella1[[#This Row],[Città]]</f>
        <v>AFFITTACAMERE OASI - FANO</v>
      </c>
    </row>
    <row r="94" spans="1:8" x14ac:dyDescent="0.25">
      <c r="A94" s="1" t="s">
        <v>82</v>
      </c>
      <c r="B94" s="1" t="s">
        <v>8494</v>
      </c>
      <c r="C94" s="1" t="s">
        <v>8495</v>
      </c>
      <c r="D94" s="1" t="s">
        <v>8454</v>
      </c>
      <c r="E94" s="1" t="s">
        <v>8454</v>
      </c>
      <c r="G94" s="1" t="s">
        <v>8496</v>
      </c>
      <c r="H94" s="2" t="str">
        <f>Tabella1[[#This Row],[Denominazione]]&amp;" - "&amp;Tabella1[[#This Row],[Città]]</f>
        <v>AFFITTACAMERE PAVONI - OSIMO</v>
      </c>
    </row>
    <row r="95" spans="1:8" x14ac:dyDescent="0.25">
      <c r="A95" s="1" t="s">
        <v>82</v>
      </c>
      <c r="B95" s="1" t="s">
        <v>7380</v>
      </c>
      <c r="C95" s="1" t="s">
        <v>7381</v>
      </c>
      <c r="D95" s="1" t="s">
        <v>7254</v>
      </c>
      <c r="E95" s="1" t="s">
        <v>7254</v>
      </c>
      <c r="G95" s="1" t="s">
        <v>7382</v>
      </c>
      <c r="H95" s="2" t="str">
        <f>Tabella1[[#This Row],[Denominazione]]&amp;" - "&amp;Tabella1[[#This Row],[Città]]</f>
        <v>AFFITTACAMERE PEPITO IN CITTA' - JESI</v>
      </c>
    </row>
    <row r="96" spans="1:8" x14ac:dyDescent="0.25">
      <c r="A96" s="1" t="s">
        <v>82</v>
      </c>
      <c r="B96" s="1" t="s">
        <v>18578</v>
      </c>
      <c r="D96" s="1" t="s">
        <v>18522</v>
      </c>
      <c r="G96" s="1" t="s">
        <v>18579</v>
      </c>
      <c r="H96" s="2" t="str">
        <f>Tabella1[[#This Row],[Denominazione]]&amp;" - "&amp;Tabella1[[#This Row],[Città]]</f>
        <v>AFFITTACAMERE PEPPINE' - MONTEFORTINO</v>
      </c>
    </row>
    <row r="97" spans="1:8" x14ac:dyDescent="0.25">
      <c r="A97" s="1" t="s">
        <v>82</v>
      </c>
      <c r="B97" s="1" t="s">
        <v>8935</v>
      </c>
      <c r="C97" s="1" t="s">
        <v>8936</v>
      </c>
      <c r="D97" s="1" t="s">
        <v>8849</v>
      </c>
      <c r="E97" s="1" t="s">
        <v>8849</v>
      </c>
      <c r="H97" s="2" t="str">
        <f>Tabella1[[#This Row],[Denominazione]]&amp;" - "&amp;Tabella1[[#This Row],[Città]]</f>
        <v>AFFITTACAMERE PETTINELLI - SASSOFERRATO</v>
      </c>
    </row>
    <row r="98" spans="1:8" x14ac:dyDescent="0.25">
      <c r="A98" s="1" t="s">
        <v>82</v>
      </c>
      <c r="B98" s="1" t="s">
        <v>8398</v>
      </c>
      <c r="C98" s="1" t="s">
        <v>8399</v>
      </c>
      <c r="D98" s="1" t="s">
        <v>7889</v>
      </c>
      <c r="E98" s="1" t="s">
        <v>7889</v>
      </c>
      <c r="G98" s="1" t="s">
        <v>8117</v>
      </c>
      <c r="H98" s="2" t="str">
        <f>Tabella1[[#This Row],[Denominazione]]&amp;" - "&amp;Tabella1[[#This Row],[Città]]</f>
        <v>AFFITTACAMERE RESIDENCE LE PALME - NUMANA</v>
      </c>
    </row>
    <row r="99" spans="1:8" x14ac:dyDescent="0.25">
      <c r="A99" s="1" t="s">
        <v>82</v>
      </c>
      <c r="B99" s="1" t="s">
        <v>19259</v>
      </c>
      <c r="C99" s="1" t="s">
        <v>19260</v>
      </c>
      <c r="D99" s="1" t="s">
        <v>18082</v>
      </c>
      <c r="E99" s="1" t="s">
        <v>18082</v>
      </c>
      <c r="G99" s="1" t="s">
        <v>19261</v>
      </c>
      <c r="H99" s="2" t="str">
        <f>Tabella1[[#This Row],[Denominazione]]&amp;" - "&amp;Tabella1[[#This Row],[Città]]</f>
        <v>AFFITTACAMERE SAN GIORGIO - PORTO SAN GIORGIO</v>
      </c>
    </row>
    <row r="100" spans="1:8" x14ac:dyDescent="0.25">
      <c r="A100" s="1" t="s">
        <v>82</v>
      </c>
      <c r="B100" s="1" t="s">
        <v>12761</v>
      </c>
      <c r="C100" s="1" t="s">
        <v>12762</v>
      </c>
      <c r="D100" s="1" t="s">
        <v>12749</v>
      </c>
      <c r="G100" s="1" t="s">
        <v>12763</v>
      </c>
      <c r="H100" s="2" t="str">
        <f>Tabella1[[#This Row],[Denominazione]]&amp;" - "&amp;Tabella1[[#This Row],[Città]]</f>
        <v>AFFITTACAMERE SERINI CARMELA - PIORACO</v>
      </c>
    </row>
    <row r="101" spans="1:8" x14ac:dyDescent="0.25">
      <c r="A101" s="1" t="s">
        <v>82</v>
      </c>
      <c r="B101" s="1" t="s">
        <v>7496</v>
      </c>
      <c r="C101" s="1" t="s">
        <v>7497</v>
      </c>
      <c r="D101" s="1" t="s">
        <v>7385</v>
      </c>
      <c r="E101" s="1" t="s">
        <v>7385</v>
      </c>
      <c r="F101" s="1" t="s">
        <v>7498</v>
      </c>
      <c r="G101" s="1" t="s">
        <v>7499</v>
      </c>
      <c r="H101" s="2" t="str">
        <f>Tabella1[[#This Row],[Denominazione]]&amp;" - "&amp;Tabella1[[#This Row],[Città]]</f>
        <v>AFFITTACAMERE SIMONETTI - LORETO</v>
      </c>
    </row>
    <row r="102" spans="1:8" x14ac:dyDescent="0.25">
      <c r="A102" s="1" t="s">
        <v>82</v>
      </c>
      <c r="B102" s="1" t="s">
        <v>5526</v>
      </c>
      <c r="C102" s="1" t="s">
        <v>5527</v>
      </c>
      <c r="D102" s="1" t="s">
        <v>1864</v>
      </c>
      <c r="E102" s="1" t="s">
        <v>1864</v>
      </c>
      <c r="G102" s="1" t="s">
        <v>5528</v>
      </c>
      <c r="H102" s="2" t="str">
        <f>Tabella1[[#This Row],[Denominazione]]&amp;" - "&amp;Tabella1[[#This Row],[Città]]</f>
        <v>AFFITTACAMERE SIROLO - ANCONA</v>
      </c>
    </row>
    <row r="103" spans="1:8" x14ac:dyDescent="0.25">
      <c r="A103" s="1" t="s">
        <v>82</v>
      </c>
      <c r="B103" s="1" t="s">
        <v>10907</v>
      </c>
      <c r="C103" s="1" t="s">
        <v>10908</v>
      </c>
      <c r="D103" s="1" t="s">
        <v>10737</v>
      </c>
      <c r="E103" s="1" t="s">
        <v>10737</v>
      </c>
      <c r="G103" s="1" t="s">
        <v>10909</v>
      </c>
      <c r="H103" s="2" t="str">
        <f>Tabella1[[#This Row],[Denominazione]]&amp;" - "&amp;Tabella1[[#This Row],[Città]]</f>
        <v>AFFITTACAMERE TIEPOLO 4 - CAMERINO</v>
      </c>
    </row>
    <row r="104" spans="1:8" x14ac:dyDescent="0.25">
      <c r="A104" s="1" t="s">
        <v>82</v>
      </c>
      <c r="B104" s="1" t="s">
        <v>5483</v>
      </c>
      <c r="C104" s="1" t="s">
        <v>5484</v>
      </c>
      <c r="D104" s="1" t="s">
        <v>1864</v>
      </c>
      <c r="G104" s="1" t="s">
        <v>5485</v>
      </c>
      <c r="H104" s="2" t="str">
        <f>Tabella1[[#This Row],[Denominazione]]&amp;" - "&amp;Tabella1[[#This Row],[Città]]</f>
        <v>AFFITTACAMERE TORRESI - ANCONA</v>
      </c>
    </row>
    <row r="105" spans="1:8" x14ac:dyDescent="0.25">
      <c r="A105" s="1" t="s">
        <v>82</v>
      </c>
      <c r="B105" s="1" t="s">
        <v>5982</v>
      </c>
      <c r="C105" s="1" t="s">
        <v>5983</v>
      </c>
      <c r="D105" s="1" t="s">
        <v>1864</v>
      </c>
      <c r="E105" s="1" t="s">
        <v>5984</v>
      </c>
      <c r="G105" s="1" t="s">
        <v>5985</v>
      </c>
      <c r="H105" s="2" t="str">
        <f>Tabella1[[#This Row],[Denominazione]]&amp;" - "&amp;Tabella1[[#This Row],[Città]]</f>
        <v>AFFITTACAMERE TORRETTE DI ANCONA - ANCONA</v>
      </c>
    </row>
    <row r="106" spans="1:8" x14ac:dyDescent="0.25">
      <c r="A106" s="1" t="s">
        <v>82</v>
      </c>
      <c r="B106" s="1" t="s">
        <v>11781</v>
      </c>
      <c r="C106" s="1" t="s">
        <v>11782</v>
      </c>
      <c r="D106" s="1" t="s">
        <v>11769</v>
      </c>
      <c r="E106" s="1" t="s">
        <v>11769</v>
      </c>
      <c r="G106" s="1" t="s">
        <v>11783</v>
      </c>
      <c r="H106" s="2" t="str">
        <f>Tabella1[[#This Row],[Denominazione]]&amp;" - "&amp;Tabella1[[#This Row],[Città]]</f>
        <v>AFFITTACAMERE TRABALLONI FEDERICA - ESANATOGLIA</v>
      </c>
    </row>
    <row r="107" spans="1:8" x14ac:dyDescent="0.25">
      <c r="A107" s="1" t="s">
        <v>82</v>
      </c>
      <c r="B107" s="1" t="s">
        <v>8058</v>
      </c>
      <c r="C107" s="1" t="s">
        <v>8059</v>
      </c>
      <c r="D107" s="1" t="s">
        <v>7889</v>
      </c>
      <c r="E107" s="1" t="s">
        <v>7889</v>
      </c>
      <c r="F107" s="1" t="s">
        <v>8060</v>
      </c>
      <c r="G107" s="1" t="s">
        <v>8061</v>
      </c>
      <c r="H107" s="2" t="str">
        <f>Tabella1[[#This Row],[Denominazione]]&amp;" - "&amp;Tabella1[[#This Row],[Città]]</f>
        <v>AFFITTACAMERE VELIA MARE ELITE - NUMANA</v>
      </c>
    </row>
    <row r="108" spans="1:8" x14ac:dyDescent="0.25">
      <c r="A108" s="1" t="s">
        <v>82</v>
      </c>
      <c r="B108" s="1" t="s">
        <v>8274</v>
      </c>
      <c r="C108" s="1" t="s">
        <v>8275</v>
      </c>
      <c r="D108" s="1" t="s">
        <v>7889</v>
      </c>
      <c r="E108" s="1" t="s">
        <v>7889</v>
      </c>
      <c r="F108" s="1" t="s">
        <v>8276</v>
      </c>
      <c r="G108" s="1" t="s">
        <v>8277</v>
      </c>
      <c r="H108" s="2" t="str">
        <f>Tabella1[[#This Row],[Denominazione]]&amp;" - "&amp;Tabella1[[#This Row],[Città]]</f>
        <v>AFFITTACAMERE VILLA PUCCI  DI PUCCI URSULA - NUMANA</v>
      </c>
    </row>
    <row r="109" spans="1:8" x14ac:dyDescent="0.25">
      <c r="A109" s="1" t="s">
        <v>82</v>
      </c>
      <c r="B109" s="1" t="s">
        <v>14297</v>
      </c>
      <c r="C109" s="1" t="s">
        <v>14298</v>
      </c>
      <c r="D109" s="1" t="s">
        <v>14276</v>
      </c>
      <c r="E109" s="1" t="s">
        <v>14276</v>
      </c>
      <c r="F109" s="1" t="s">
        <v>14299</v>
      </c>
      <c r="G109" s="1" t="s">
        <v>14300</v>
      </c>
      <c r="H109" s="2" t="str">
        <f>Tabella1[[#This Row],[Denominazione]]&amp;" - "&amp;Tabella1[[#This Row],[Città]]</f>
        <v>AFFITTACAMERE VILLACOLLE - VISSO</v>
      </c>
    </row>
    <row r="110" spans="1:8" x14ac:dyDescent="0.25">
      <c r="A110" s="1" t="s">
        <v>82</v>
      </c>
      <c r="B110" s="1" t="s">
        <v>6347</v>
      </c>
      <c r="C110" s="1" t="s">
        <v>6348</v>
      </c>
      <c r="D110" s="1" t="s">
        <v>6344</v>
      </c>
      <c r="E110" s="1" t="s">
        <v>6344</v>
      </c>
      <c r="G110" s="1" t="s">
        <v>6349</v>
      </c>
      <c r="H110" s="2" t="str">
        <f>Tabella1[[#This Row],[Denominazione]]&amp;" - "&amp;Tabella1[[#This Row],[Città]]</f>
        <v>AFFITTACAMERE VITALI ALDESINA - CAMERATA PICENA</v>
      </c>
    </row>
    <row r="111" spans="1:8" x14ac:dyDescent="0.25">
      <c r="A111" s="1" t="s">
        <v>82</v>
      </c>
      <c r="B111" s="1" t="s">
        <v>19020</v>
      </c>
      <c r="C111" s="1" t="s">
        <v>19021</v>
      </c>
      <c r="D111" s="1" t="s">
        <v>18971</v>
      </c>
      <c r="E111" s="1" t="s">
        <v>18971</v>
      </c>
      <c r="H111" s="2" t="str">
        <f>Tabella1[[#This Row],[Denominazione]]&amp;" - "&amp;Tabella1[[#This Row],[Città]]</f>
        <v>AFFITTACAMERE VITALI FULVIO - PETRITOLI</v>
      </c>
    </row>
    <row r="112" spans="1:8" x14ac:dyDescent="0.25">
      <c r="A112" s="1" t="s">
        <v>82</v>
      </c>
      <c r="B112" s="1" t="s">
        <v>8324</v>
      </c>
      <c r="C112" s="1" t="s">
        <v>8325</v>
      </c>
      <c r="D112" s="1" t="s">
        <v>7889</v>
      </c>
      <c r="E112" s="1" t="s">
        <v>7889</v>
      </c>
      <c r="F112" s="1" t="s">
        <v>8326</v>
      </c>
      <c r="G112" s="1" t="s">
        <v>8327</v>
      </c>
      <c r="H112" s="2" t="str">
        <f>Tabella1[[#This Row],[Denominazione]]&amp;" - "&amp;Tabella1[[#This Row],[Città]]</f>
        <v>AGENZIA IMMOBILIARE MAIOLINI - NUMANA</v>
      </c>
    </row>
    <row r="113" spans="1:8" x14ac:dyDescent="0.25">
      <c r="A113" s="1" t="s">
        <v>82</v>
      </c>
      <c r="B113" s="1" t="s">
        <v>12915</v>
      </c>
      <c r="C113" s="1" t="s">
        <v>12916</v>
      </c>
      <c r="D113" s="1" t="s">
        <v>12801</v>
      </c>
      <c r="E113" s="1" t="s">
        <v>12801</v>
      </c>
      <c r="F113" s="1" t="s">
        <v>12917</v>
      </c>
      <c r="G113" s="1" t="s">
        <v>12918</v>
      </c>
      <c r="H113" s="2" t="str">
        <f>Tabella1[[#This Row],[Denominazione]]&amp;" - "&amp;Tabella1[[#This Row],[Città]]</f>
        <v>AGENZIA IMMOBILIARE PETTINARI BRUNA - PORTO RECANATI</v>
      </c>
    </row>
    <row r="114" spans="1:8" x14ac:dyDescent="0.25">
      <c r="A114" s="1" t="s">
        <v>82</v>
      </c>
      <c r="B114" s="1" t="s">
        <v>652</v>
      </c>
      <c r="C114" s="1" t="s">
        <v>653</v>
      </c>
      <c r="D114" s="1" t="s">
        <v>634</v>
      </c>
      <c r="E114" s="1" t="s">
        <v>634</v>
      </c>
      <c r="G114" s="1" t="s">
        <v>654</v>
      </c>
      <c r="H114" s="2" t="str">
        <f>Tabella1[[#This Row],[Denominazione]]&amp;" - "&amp;Tabella1[[#This Row],[Città]]</f>
        <v>AGLI ULIVI DI RIPALTA - CARTOCETO</v>
      </c>
    </row>
    <row r="115" spans="1:8" x14ac:dyDescent="0.25">
      <c r="A115" s="1" t="s">
        <v>29</v>
      </c>
      <c r="B115" s="1" t="s">
        <v>7634</v>
      </c>
      <c r="C115" s="1" t="s">
        <v>7635</v>
      </c>
      <c r="D115" s="1" t="s">
        <v>7611</v>
      </c>
      <c r="E115" s="1" t="s">
        <v>7611</v>
      </c>
      <c r="H115" s="2" t="str">
        <f>Tabella1[[#This Row],[Denominazione]]&amp;" - "&amp;Tabella1[[#This Row],[Città]]</f>
        <v>AGOSTI  PIERFRANCESCO - MERGO</v>
      </c>
    </row>
    <row r="116" spans="1:8" x14ac:dyDescent="0.25">
      <c r="A116" s="1" t="s">
        <v>35</v>
      </c>
      <c r="B116" s="1" t="s">
        <v>18711</v>
      </c>
      <c r="D116" s="1" t="s">
        <v>18702</v>
      </c>
      <c r="F116" s="1" t="s">
        <v>18712</v>
      </c>
      <c r="G116" s="1" t="s">
        <v>18713</v>
      </c>
      <c r="H116" s="2" t="str">
        <f>Tabella1[[#This Row],[Denominazione]]&amp;" - "&amp;Tabella1[[#This Row],[Città]]</f>
        <v>AGRICAMP PICOBELLO - MONTELPARO</v>
      </c>
    </row>
    <row r="117" spans="1:8" x14ac:dyDescent="0.25">
      <c r="A117" s="1" t="s">
        <v>35</v>
      </c>
      <c r="B117" s="1" t="s">
        <v>18401</v>
      </c>
      <c r="C117" s="1" t="s">
        <v>18402</v>
      </c>
      <c r="D117" s="1" t="s">
        <v>18389</v>
      </c>
      <c r="E117" s="1" t="s">
        <v>18389</v>
      </c>
      <c r="F117" s="1" t="s">
        <v>18403</v>
      </c>
      <c r="G117" s="1" t="s">
        <v>18404</v>
      </c>
      <c r="H117" s="2" t="str">
        <f>Tabella1[[#This Row],[Denominazione]]&amp;" - "&amp;Tabella1[[#This Row],[Città]]</f>
        <v>AGRITURISMO  " IL RUSTICO " - LAPEDONA</v>
      </c>
    </row>
    <row r="118" spans="1:8" x14ac:dyDescent="0.25">
      <c r="A118" s="1" t="s">
        <v>29</v>
      </c>
      <c r="B118" s="1" t="s">
        <v>17860</v>
      </c>
      <c r="C118" s="1" t="s">
        <v>17861</v>
      </c>
      <c r="D118" s="1" t="s">
        <v>17839</v>
      </c>
      <c r="E118" s="1" t="s">
        <v>17839</v>
      </c>
      <c r="F118" s="1" t="s">
        <v>17862</v>
      </c>
      <c r="G118" s="1" t="s">
        <v>17863</v>
      </c>
      <c r="H118" s="2" t="str">
        <f>Tabella1[[#This Row],[Denominazione]]&amp;" - "&amp;Tabella1[[#This Row],[Città]]</f>
        <v>AGRITURISMO  VILLA EUGENIA di CIARROCCHI EMIDIO - CAMPOFILONE</v>
      </c>
    </row>
    <row r="119" spans="1:8" x14ac:dyDescent="0.25">
      <c r="A119" s="1" t="s">
        <v>35</v>
      </c>
      <c r="B119" s="1" t="s">
        <v>6938</v>
      </c>
      <c r="C119" s="1" t="s">
        <v>6939</v>
      </c>
      <c r="D119" s="1" t="s">
        <v>6790</v>
      </c>
      <c r="E119" s="1" t="s">
        <v>6790</v>
      </c>
      <c r="F119" s="1" t="s">
        <v>6940</v>
      </c>
      <c r="G119" s="1" t="s">
        <v>6941</v>
      </c>
      <c r="H119" s="2" t="str">
        <f>Tabella1[[#This Row],[Denominazione]]&amp;" - "&amp;Tabella1[[#This Row],[Città]]</f>
        <v>AGRITURISMO "GOCCE DI CAMARZANO" - FABRIANO</v>
      </c>
    </row>
    <row r="120" spans="1:8" x14ac:dyDescent="0.25">
      <c r="A120" s="1" t="s">
        <v>35</v>
      </c>
      <c r="B120" s="1" t="s">
        <v>14423</v>
      </c>
      <c r="C120" s="1" t="s">
        <v>14424</v>
      </c>
      <c r="D120" s="1" t="s">
        <v>14334</v>
      </c>
      <c r="E120" s="1" t="s">
        <v>14425</v>
      </c>
      <c r="H120" s="2" t="str">
        <f>Tabella1[[#This Row],[Denominazione]]&amp;" - "&amp;Tabella1[[#This Row],[Città]]</f>
        <v>AGRITURISMO "LA VALLE DELL'ORSO" - ACQUASANTA TERME</v>
      </c>
    </row>
    <row r="121" spans="1:8" x14ac:dyDescent="0.25">
      <c r="A121" s="1" t="s">
        <v>35</v>
      </c>
      <c r="B121" s="1" t="s">
        <v>13353</v>
      </c>
      <c r="C121" s="1" t="s">
        <v>13354</v>
      </c>
      <c r="D121" s="1" t="s">
        <v>13298</v>
      </c>
      <c r="E121" s="1" t="s">
        <v>13298</v>
      </c>
      <c r="F121" s="1" t="s">
        <v>13355</v>
      </c>
      <c r="G121" s="1" t="s">
        <v>13356</v>
      </c>
      <c r="H121" s="2" t="str">
        <f>Tabella1[[#This Row],[Denominazione]]&amp;" - "&amp;Tabella1[[#This Row],[Città]]</f>
        <v>AGRITURISMO "TERRA E VITA" - RECANATI</v>
      </c>
    </row>
    <row r="122" spans="1:8" x14ac:dyDescent="0.25">
      <c r="A122" s="1" t="s">
        <v>35</v>
      </c>
      <c r="B122" s="1" t="s">
        <v>1421</v>
      </c>
      <c r="C122" s="1" t="s">
        <v>1422</v>
      </c>
      <c r="D122" s="1" t="s">
        <v>682</v>
      </c>
      <c r="E122" s="1" t="s">
        <v>682</v>
      </c>
      <c r="F122" s="1" t="s">
        <v>1423</v>
      </c>
      <c r="G122" s="1" t="s">
        <v>1424</v>
      </c>
      <c r="H122" s="2" t="str">
        <f>Tabella1[[#This Row],[Denominazione]]&amp;" - "&amp;Tabella1[[#This Row],[Città]]</f>
        <v>AGRITURISMO AGRICAMPEGGIO SBREGA - FANO</v>
      </c>
    </row>
    <row r="123" spans="1:8" x14ac:dyDescent="0.25">
      <c r="A123" s="1" t="s">
        <v>35</v>
      </c>
      <c r="B123" s="1" t="s">
        <v>4704</v>
      </c>
      <c r="C123" s="1" t="s">
        <v>4705</v>
      </c>
      <c r="D123" s="1" t="s">
        <v>4657</v>
      </c>
      <c r="E123" s="1" t="s">
        <v>4657</v>
      </c>
      <c r="F123" s="1" t="s">
        <v>4706</v>
      </c>
      <c r="G123" s="1" t="s">
        <v>4707</v>
      </c>
      <c r="H123" s="2" t="str">
        <f>Tabella1[[#This Row],[Denominazione]]&amp;" - "&amp;Tabella1[[#This Row],[Città]]</f>
        <v>AGRITURISMO AGRIRIO - TAVULLIA</v>
      </c>
    </row>
    <row r="124" spans="1:8" x14ac:dyDescent="0.25">
      <c r="A124" s="1" t="s">
        <v>35</v>
      </c>
      <c r="B124" s="1" t="s">
        <v>4429</v>
      </c>
      <c r="C124" s="1" t="s">
        <v>4430</v>
      </c>
      <c r="D124" s="1" t="s">
        <v>4397</v>
      </c>
      <c r="F124" s="1" t="s">
        <v>4431</v>
      </c>
      <c r="G124" s="1" t="s">
        <v>4432</v>
      </c>
      <c r="H124" s="2" t="str">
        <f>Tabella1[[#This Row],[Denominazione]]&amp;" - "&amp;Tabella1[[#This Row],[Città]]</f>
        <v>AGRITURISMO AIOLINA - SANT'ANGELO IN VADO</v>
      </c>
    </row>
    <row r="125" spans="1:8" x14ac:dyDescent="0.25">
      <c r="A125" s="1" t="s">
        <v>35</v>
      </c>
      <c r="B125" s="1" t="s">
        <v>13369</v>
      </c>
      <c r="C125" s="1" t="s">
        <v>13370</v>
      </c>
      <c r="D125" s="1" t="s">
        <v>13298</v>
      </c>
      <c r="E125" s="1" t="s">
        <v>13298</v>
      </c>
      <c r="F125" s="1" t="s">
        <v>13371</v>
      </c>
      <c r="G125" s="1" t="s">
        <v>13372</v>
      </c>
      <c r="H125" s="2" t="str">
        <f>Tabella1[[#This Row],[Denominazione]]&amp;" - "&amp;Tabella1[[#This Row],[Città]]</f>
        <v>AGRITURISMO AL CREPUSCOLO - RECANATI</v>
      </c>
    </row>
    <row r="126" spans="1:8" x14ac:dyDescent="0.25">
      <c r="A126" s="1" t="s">
        <v>35</v>
      </c>
      <c r="B126" s="1" t="s">
        <v>15242</v>
      </c>
      <c r="C126" s="1" t="s">
        <v>15243</v>
      </c>
      <c r="D126" s="1" t="s">
        <v>15226</v>
      </c>
      <c r="E126" s="1" t="s">
        <v>15244</v>
      </c>
      <c r="F126" s="1" t="s">
        <v>15245</v>
      </c>
      <c r="G126" s="1" t="s">
        <v>15246</v>
      </c>
      <c r="H126" s="2" t="str">
        <f>Tabella1[[#This Row],[Denominazione]]&amp;" - "&amp;Tabella1[[#This Row],[Città]]</f>
        <v>AGRITURISMO ALLA SOLAGNA - COLLI DEL TRONTO</v>
      </c>
    </row>
    <row r="127" spans="1:8" x14ac:dyDescent="0.25">
      <c r="A127" s="1" t="s">
        <v>35</v>
      </c>
      <c r="B127" s="1" t="s">
        <v>6571</v>
      </c>
      <c r="C127" s="1" t="s">
        <v>6572</v>
      </c>
      <c r="D127" s="1" t="s">
        <v>6536</v>
      </c>
      <c r="E127" s="1" t="s">
        <v>6536</v>
      </c>
      <c r="F127" s="1" t="s">
        <v>6573</v>
      </c>
      <c r="G127" s="1" t="s">
        <v>6574</v>
      </c>
      <c r="H127" s="2" t="str">
        <f>Tabella1[[#This Row],[Denominazione]]&amp;" - "&amp;Tabella1[[#This Row],[Città]]</f>
        <v>AGRITURISMO ALLA VECCHIA CASCINA - CORINALDO</v>
      </c>
    </row>
    <row r="128" spans="1:8" x14ac:dyDescent="0.25">
      <c r="A128" s="1" t="s">
        <v>35</v>
      </c>
      <c r="B128" s="1" t="s">
        <v>292</v>
      </c>
      <c r="D128" s="1" t="s">
        <v>266</v>
      </c>
      <c r="E128" s="1" t="s">
        <v>293</v>
      </c>
      <c r="F128" s="1" t="s">
        <v>294</v>
      </c>
      <c r="G128" s="1" t="s">
        <v>295</v>
      </c>
      <c r="H128" s="2" t="str">
        <f>Tabella1[[#This Row],[Denominazione]]&amp;" - "&amp;Tabella1[[#This Row],[Città]]</f>
        <v>AGRITURISMO ALPE DELLA LUNA - BORGO PACE</v>
      </c>
    </row>
    <row r="129" spans="1:8" x14ac:dyDescent="0.25">
      <c r="A129" s="1" t="s">
        <v>35</v>
      </c>
      <c r="B129" s="1" t="s">
        <v>17767</v>
      </c>
      <c r="C129" s="1" t="s">
        <v>17768</v>
      </c>
      <c r="D129" s="1" t="s">
        <v>17745</v>
      </c>
      <c r="E129" s="1" t="s">
        <v>17745</v>
      </c>
      <c r="H129" s="2" t="str">
        <f>Tabella1[[#This Row],[Denominazione]]&amp;" - "&amp;Tabella1[[#This Row],[Città]]</f>
        <v>AGRITURISMO ALTO TENNA - AMANDOLA</v>
      </c>
    </row>
    <row r="130" spans="1:8" x14ac:dyDescent="0.25">
      <c r="A130" s="1" t="s">
        <v>35</v>
      </c>
      <c r="B130" s="1" t="s">
        <v>19679</v>
      </c>
      <c r="C130" s="1" t="s">
        <v>19680</v>
      </c>
      <c r="D130" s="1" t="s">
        <v>19649</v>
      </c>
      <c r="F130" s="1" t="s">
        <v>19681</v>
      </c>
      <c r="G130" s="1" t="s">
        <v>19682</v>
      </c>
      <c r="H130" s="2" t="str">
        <f>Tabella1[[#This Row],[Denominazione]]&amp;" - "&amp;Tabella1[[#This Row],[Città]]</f>
        <v>AGRITURISMO AMARGI - SMERILLO</v>
      </c>
    </row>
    <row r="131" spans="1:8" x14ac:dyDescent="0.25">
      <c r="A131" s="1" t="s">
        <v>35</v>
      </c>
      <c r="B131" s="1" t="s">
        <v>4375</v>
      </c>
      <c r="C131" s="1" t="s">
        <v>4376</v>
      </c>
      <c r="D131" s="1" t="s">
        <v>4359</v>
      </c>
      <c r="E131" s="1" t="s">
        <v>4359</v>
      </c>
      <c r="G131" s="1" t="s">
        <v>4377</v>
      </c>
      <c r="H131" s="2" t="str">
        <f>Tabella1[[#This Row],[Denominazione]]&amp;" - "&amp;Tabella1[[#This Row],[Città]]</f>
        <v>AGRITURISMO ANGELI - SAN LORENZO IN CAMPO</v>
      </c>
    </row>
    <row r="132" spans="1:8" x14ac:dyDescent="0.25">
      <c r="A132" s="1" t="s">
        <v>35</v>
      </c>
      <c r="B132" s="1" t="s">
        <v>11526</v>
      </c>
      <c r="C132" s="1" t="s">
        <v>11527</v>
      </c>
      <c r="D132" s="1" t="s">
        <v>11244</v>
      </c>
      <c r="G132" s="1" t="s">
        <v>11528</v>
      </c>
      <c r="H132" s="2" t="str">
        <f>Tabella1[[#This Row],[Denominazione]]&amp;" - "&amp;Tabella1[[#This Row],[Città]]</f>
        <v>AGRITURISMO ANTICHI SAPORI - CIVITANOVA MARCHE</v>
      </c>
    </row>
    <row r="133" spans="1:8" x14ac:dyDescent="0.25">
      <c r="A133" s="1" t="s">
        <v>35</v>
      </c>
      <c r="B133" s="1" t="s">
        <v>14449</v>
      </c>
      <c r="C133" s="1" t="s">
        <v>14450</v>
      </c>
      <c r="D133" s="1" t="s">
        <v>14428</v>
      </c>
      <c r="E133" s="1" t="s">
        <v>14428</v>
      </c>
      <c r="F133" s="1" t="s">
        <v>14451</v>
      </c>
      <c r="G133" s="1" t="s">
        <v>14452</v>
      </c>
      <c r="H133" s="2" t="str">
        <f>Tabella1[[#This Row],[Denominazione]]&amp;" - "&amp;Tabella1[[#This Row],[Città]]</f>
        <v>AGRITURISMO AQUA VIVA - ACQUAVIVA PICENA</v>
      </c>
    </row>
    <row r="134" spans="1:8" x14ac:dyDescent="0.25">
      <c r="A134" s="1" t="s">
        <v>35</v>
      </c>
      <c r="B134" s="1" t="s">
        <v>16743</v>
      </c>
      <c r="C134" s="1" t="s">
        <v>16744</v>
      </c>
      <c r="D134" s="1" t="s">
        <v>16714</v>
      </c>
      <c r="E134" s="1" t="s">
        <v>16745</v>
      </c>
      <c r="F134" s="1" t="s">
        <v>16746</v>
      </c>
      <c r="G134" s="1" t="s">
        <v>16747</v>
      </c>
      <c r="H134" s="2" t="str">
        <f>Tabella1[[#This Row],[Denominazione]]&amp;" - "&amp;Tabella1[[#This Row],[Città]]</f>
        <v>AGRITURISMO ARCERA - ROCCAFLUVIONE</v>
      </c>
    </row>
    <row r="135" spans="1:8" x14ac:dyDescent="0.25">
      <c r="A135" s="1" t="s">
        <v>35</v>
      </c>
      <c r="B135" s="1" t="s">
        <v>6564</v>
      </c>
      <c r="C135" s="1" t="s">
        <v>6565</v>
      </c>
      <c r="D135" s="1" t="s">
        <v>6536</v>
      </c>
      <c r="G135" s="1" t="s">
        <v>6566</v>
      </c>
      <c r="H135" s="2" t="str">
        <f>Tabella1[[#This Row],[Denominazione]]&amp;" - "&amp;Tabella1[[#This Row],[Città]]</f>
        <v>AGRITURISMO ASHRAM JOYTINAT - CORINALDO</v>
      </c>
    </row>
    <row r="136" spans="1:8" x14ac:dyDescent="0.25">
      <c r="A136" s="1" t="s">
        <v>35</v>
      </c>
      <c r="B136" s="1" t="s">
        <v>17907</v>
      </c>
      <c r="C136" s="1" t="s">
        <v>17908</v>
      </c>
      <c r="D136" s="1" t="s">
        <v>17909</v>
      </c>
      <c r="F136" s="1" t="s">
        <v>17910</v>
      </c>
      <c r="G136" s="1" t="s">
        <v>17911</v>
      </c>
      <c r="H136" s="2" t="str">
        <f>Tabella1[[#This Row],[Denominazione]]&amp;" - "&amp;Tabella1[[#This Row],[Città]]</f>
        <v>AGRITURISMO AZIENDA AGRARIA BONFIGLI - FALERONE</v>
      </c>
    </row>
    <row r="137" spans="1:8" x14ac:dyDescent="0.25">
      <c r="A137" s="1" t="s">
        <v>35</v>
      </c>
      <c r="B137" s="1" t="s">
        <v>3049</v>
      </c>
      <c r="C137" s="1" t="s">
        <v>3050</v>
      </c>
      <c r="D137" s="1" t="s">
        <v>3038</v>
      </c>
      <c r="E137" s="1" t="s">
        <v>3038</v>
      </c>
      <c r="G137" s="1" t="s">
        <v>3051</v>
      </c>
      <c r="H137" s="2" t="str">
        <f>Tabella1[[#This Row],[Denominazione]]&amp;" - "&amp;Tabella1[[#This Row],[Città]]</f>
        <v>AGRITURISMO AZIENDA AGRICOLA F.LLI NOBILI - MONTECICCARDO</v>
      </c>
    </row>
    <row r="138" spans="1:8" x14ac:dyDescent="0.25">
      <c r="A138" s="1" t="s">
        <v>35</v>
      </c>
      <c r="B138" s="1" t="s">
        <v>8554</v>
      </c>
      <c r="C138" s="1" t="s">
        <v>8555</v>
      </c>
      <c r="D138" s="1" t="s">
        <v>8454</v>
      </c>
      <c r="E138" s="1" t="s">
        <v>8454</v>
      </c>
      <c r="F138" s="1" t="s">
        <v>8556</v>
      </c>
      <c r="G138" s="1" t="s">
        <v>8557</v>
      </c>
      <c r="H138" s="2" t="str">
        <f>Tabella1[[#This Row],[Denominazione]]&amp;" - "&amp;Tabella1[[#This Row],[Città]]</f>
        <v>AGRITURISMO AZZURRO - OSIMO</v>
      </c>
    </row>
    <row r="139" spans="1:8" x14ac:dyDescent="0.25">
      <c r="A139" s="1" t="s">
        <v>35</v>
      </c>
      <c r="B139" s="1" t="s">
        <v>3255</v>
      </c>
      <c r="C139" s="1" t="s">
        <v>3256</v>
      </c>
      <c r="D139" s="1" t="s">
        <v>3257</v>
      </c>
      <c r="E139" s="1" t="s">
        <v>3257</v>
      </c>
      <c r="F139" s="1" t="s">
        <v>3258</v>
      </c>
      <c r="G139" s="1" t="s">
        <v>3259</v>
      </c>
      <c r="H139" s="2" t="str">
        <f>Tabella1[[#This Row],[Denominazione]]&amp;" - "&amp;Tabella1[[#This Row],[Città]]</f>
        <v>AGRITURISMO BACCHIOCCHI ISABELLA - ORCIANO DI PESARO</v>
      </c>
    </row>
    <row r="140" spans="1:8" x14ac:dyDescent="0.25">
      <c r="A140" s="1" t="s">
        <v>35</v>
      </c>
      <c r="B140" s="1" t="s">
        <v>3780</v>
      </c>
      <c r="C140" s="1" t="s">
        <v>3781</v>
      </c>
      <c r="D140" s="1" t="s">
        <v>2386</v>
      </c>
      <c r="E140" s="1" t="s">
        <v>2386</v>
      </c>
      <c r="F140" s="1" t="s">
        <v>3782</v>
      </c>
      <c r="G140" s="1" t="s">
        <v>3783</v>
      </c>
      <c r="H140" s="2" t="str">
        <f>Tabella1[[#This Row],[Denominazione]]&amp;" - "&amp;Tabella1[[#This Row],[Città]]</f>
        <v>AGRITURISMO BADIA - PESARO</v>
      </c>
    </row>
    <row r="141" spans="1:8" x14ac:dyDescent="0.25">
      <c r="A141" s="1" t="s">
        <v>35</v>
      </c>
      <c r="B141" s="1" t="s">
        <v>13377</v>
      </c>
      <c r="C141" s="1" t="s">
        <v>13378</v>
      </c>
      <c r="D141" s="1" t="s">
        <v>13298</v>
      </c>
      <c r="F141" s="1" t="s">
        <v>13379</v>
      </c>
      <c r="G141" s="1" t="s">
        <v>13380</v>
      </c>
      <c r="H141" s="2" t="str">
        <f>Tabella1[[#This Row],[Denominazione]]&amp;" - "&amp;Tabella1[[#This Row],[Città]]</f>
        <v>AGRITURISMO BASSARI' - RECANATI</v>
      </c>
    </row>
    <row r="142" spans="1:8" x14ac:dyDescent="0.25">
      <c r="A142" s="1" t="s">
        <v>35</v>
      </c>
      <c r="B142" s="1" t="s">
        <v>4560</v>
      </c>
      <c r="C142" s="1" t="s">
        <v>4561</v>
      </c>
      <c r="D142" s="1" t="s">
        <v>4550</v>
      </c>
      <c r="F142" s="1" t="s">
        <v>4562</v>
      </c>
      <c r="G142" s="1" t="s">
        <v>4563</v>
      </c>
      <c r="H142" s="2" t="str">
        <f>Tabella1[[#This Row],[Denominazione]]&amp;" - "&amp;Tabella1[[#This Row],[Città]]</f>
        <v>AGRITURISMO BELLAVISTA - SERRA SANT'ABBONDIO</v>
      </c>
    </row>
    <row r="143" spans="1:8" x14ac:dyDescent="0.25">
      <c r="A143" s="1" t="s">
        <v>35</v>
      </c>
      <c r="B143" s="1" t="s">
        <v>12531</v>
      </c>
      <c r="C143" s="1" t="s">
        <v>12532</v>
      </c>
      <c r="D143" s="1" t="s">
        <v>12519</v>
      </c>
      <c r="E143" s="1" t="s">
        <v>12519</v>
      </c>
      <c r="F143" s="1" t="s">
        <v>12533</v>
      </c>
      <c r="G143" s="1" t="s">
        <v>12534</v>
      </c>
      <c r="H143" s="2" t="str">
        <f>Tabella1[[#This Row],[Denominazione]]&amp;" - "&amp;Tabella1[[#This Row],[Città]]</f>
        <v>AGRITURISMO BELLAVISTA DI PSENNER PETER ERICH - MONTE SAN MARTINO</v>
      </c>
    </row>
    <row r="144" spans="1:8" x14ac:dyDescent="0.25">
      <c r="A144" s="1" t="s">
        <v>35</v>
      </c>
      <c r="B144" s="1" t="s">
        <v>10183</v>
      </c>
      <c r="C144" s="1" t="s">
        <v>10184</v>
      </c>
      <c r="D144" s="1" t="s">
        <v>10117</v>
      </c>
      <c r="E144" s="1" t="s">
        <v>10117</v>
      </c>
      <c r="F144" s="1" t="s">
        <v>10185</v>
      </c>
      <c r="G144" s="1" t="s">
        <v>10186</v>
      </c>
      <c r="H144" s="2" t="str">
        <f>Tabella1[[#This Row],[Denominazione]]&amp;" - "&amp;Tabella1[[#This Row],[Città]]</f>
        <v>AGRITURISMO BIO LA TANA DEL LELE - SERRA SAN QUIRICO</v>
      </c>
    </row>
    <row r="145" spans="1:8" x14ac:dyDescent="0.25">
      <c r="A145" s="1" t="s">
        <v>35</v>
      </c>
      <c r="B145" s="1" t="s">
        <v>7716</v>
      </c>
      <c r="C145" s="1" t="s">
        <v>7717</v>
      </c>
      <c r="D145" s="1" t="s">
        <v>7718</v>
      </c>
      <c r="G145" s="1" t="s">
        <v>7719</v>
      </c>
      <c r="H145" s="2" t="str">
        <f>Tabella1[[#This Row],[Denominazione]]&amp;" - "&amp;Tabella1[[#This Row],[Città]]</f>
        <v>AGRITURISMO BIO VERDE ARMONIA - MONTEMARCIANO</v>
      </c>
    </row>
    <row r="146" spans="1:8" x14ac:dyDescent="0.25">
      <c r="A146" s="1" t="s">
        <v>35</v>
      </c>
      <c r="B146" s="1" t="s">
        <v>15985</v>
      </c>
      <c r="C146" s="1" t="s">
        <v>15986</v>
      </c>
      <c r="D146" s="1" t="s">
        <v>5692</v>
      </c>
      <c r="G146" s="1" t="s">
        <v>15987</v>
      </c>
      <c r="H146" s="2" t="str">
        <f>Tabella1[[#This Row],[Denominazione]]&amp;" - "&amp;Tabella1[[#This Row],[Città]]</f>
        <v>AGRITURISMO BONU' GABRIELE - MASSIGNANO</v>
      </c>
    </row>
    <row r="147" spans="1:8" x14ac:dyDescent="0.25">
      <c r="A147" s="1" t="s">
        <v>35</v>
      </c>
      <c r="B147" s="1" t="s">
        <v>2727</v>
      </c>
      <c r="C147" s="1" t="s">
        <v>2728</v>
      </c>
      <c r="D147" s="1" t="s">
        <v>2729</v>
      </c>
      <c r="G147" s="1" t="s">
        <v>2730</v>
      </c>
      <c r="H147" s="2" t="str">
        <f>Tabella1[[#This Row],[Denominazione]]&amp;" - "&amp;Tabella1[[#This Row],[Città]]</f>
        <v>AGRITURISMO BORGO LA ROVERE - MONDAVIO</v>
      </c>
    </row>
    <row r="148" spans="1:8" x14ac:dyDescent="0.25">
      <c r="A148" s="1" t="s">
        <v>35</v>
      </c>
      <c r="B148" s="1" t="s">
        <v>11838</v>
      </c>
      <c r="C148" s="1" t="s">
        <v>11839</v>
      </c>
      <c r="D148" s="1" t="s">
        <v>11792</v>
      </c>
      <c r="E148" s="1" t="s">
        <v>11792</v>
      </c>
      <c r="H148" s="2" t="str">
        <f>Tabella1[[#This Row],[Denominazione]]&amp;" - "&amp;Tabella1[[#This Row],[Città]]</f>
        <v>AGRITURISMO BORGO RURALE - FIASTRA</v>
      </c>
    </row>
    <row r="149" spans="1:8" x14ac:dyDescent="0.25">
      <c r="A149" s="1" t="s">
        <v>35</v>
      </c>
      <c r="B149" s="1" t="s">
        <v>473</v>
      </c>
      <c r="C149" s="1" t="s">
        <v>474</v>
      </c>
      <c r="D149" s="1" t="s">
        <v>316</v>
      </c>
      <c r="E149" s="1" t="s">
        <v>316</v>
      </c>
      <c r="F149" s="1" t="s">
        <v>475</v>
      </c>
      <c r="G149" s="1" t="s">
        <v>476</v>
      </c>
      <c r="H149" s="2" t="str">
        <f>Tabella1[[#This Row],[Denominazione]]&amp;" - "&amp;Tabella1[[#This Row],[Città]]</f>
        <v>AGRITURISMO BUFANO - CAGLI</v>
      </c>
    </row>
    <row r="150" spans="1:8" x14ac:dyDescent="0.25">
      <c r="A150" s="1" t="s">
        <v>35</v>
      </c>
      <c r="B150" s="1" t="s">
        <v>5186</v>
      </c>
      <c r="C150" s="1" t="s">
        <v>5187</v>
      </c>
      <c r="D150" s="1" t="s">
        <v>9</v>
      </c>
      <c r="E150" s="1" t="s">
        <v>9</v>
      </c>
      <c r="G150" s="1" t="s">
        <v>5188</v>
      </c>
      <c r="H150" s="2" t="str">
        <f>Tabella1[[#This Row],[Denominazione]]&amp;" - "&amp;Tabella1[[#This Row],[Città]]</f>
        <v>AGRITURISMO CA'  BERTO - URBINO</v>
      </c>
    </row>
    <row r="151" spans="1:8" x14ac:dyDescent="0.25">
      <c r="A151" s="1" t="s">
        <v>35</v>
      </c>
      <c r="B151" s="1" t="s">
        <v>5026</v>
      </c>
      <c r="C151" s="1" t="s">
        <v>5027</v>
      </c>
      <c r="D151" s="1" t="s">
        <v>9</v>
      </c>
      <c r="E151" s="1" t="s">
        <v>9</v>
      </c>
      <c r="G151" s="1" t="s">
        <v>5028</v>
      </c>
      <c r="H151" s="2" t="str">
        <f>Tabella1[[#This Row],[Denominazione]]&amp;" - "&amp;Tabella1[[#This Row],[Città]]</f>
        <v>AGRITURISMO CA'  VANZO - URBINO</v>
      </c>
    </row>
    <row r="152" spans="1:8" x14ac:dyDescent="0.25">
      <c r="A152" s="1" t="s">
        <v>35</v>
      </c>
      <c r="B152" s="1" t="s">
        <v>508</v>
      </c>
      <c r="C152" s="1" t="s">
        <v>509</v>
      </c>
      <c r="D152" s="1" t="s">
        <v>316</v>
      </c>
      <c r="G152" s="1" t="s">
        <v>510</v>
      </c>
      <c r="H152" s="2" t="str">
        <f>Tabella1[[#This Row],[Denominazione]]&amp;" - "&amp;Tabella1[[#This Row],[Città]]</f>
        <v>AGRITURISMO CA' BATTISTA - CAGLI</v>
      </c>
    </row>
    <row r="153" spans="1:8" x14ac:dyDescent="0.25">
      <c r="A153" s="1" t="s">
        <v>35</v>
      </c>
      <c r="B153" s="1" t="s">
        <v>2596</v>
      </c>
      <c r="C153" s="1" t="s">
        <v>2597</v>
      </c>
      <c r="D153" s="1" t="s">
        <v>2594</v>
      </c>
      <c r="E153" s="1" t="s">
        <v>2598</v>
      </c>
      <c r="F153" s="1" t="s">
        <v>2599</v>
      </c>
      <c r="G153" s="1" t="s">
        <v>2600</v>
      </c>
      <c r="H153" s="2" t="str">
        <f>Tabella1[[#This Row],[Denominazione]]&amp;" - "&amp;Tabella1[[#This Row],[Città]]</f>
        <v>AGRITURISMO CA' BETANIA - MERCATELLO SUL METAURO</v>
      </c>
    </row>
    <row r="154" spans="1:8" x14ac:dyDescent="0.25">
      <c r="A154" s="1" t="s">
        <v>35</v>
      </c>
      <c r="B154" s="1" t="s">
        <v>3010</v>
      </c>
      <c r="C154" s="1" t="s">
        <v>3011</v>
      </c>
      <c r="D154" s="1" t="s">
        <v>2994</v>
      </c>
      <c r="E154" s="1" t="s">
        <v>2994</v>
      </c>
      <c r="G154" s="1" t="s">
        <v>3012</v>
      </c>
      <c r="H154" s="2" t="str">
        <f>Tabella1[[#This Row],[Denominazione]]&amp;" - "&amp;Tabella1[[#This Row],[Città]]</f>
        <v>AGRITURISMO CA' BRANDANO - MONTECALVO IN FOGLIA</v>
      </c>
    </row>
    <row r="155" spans="1:8" x14ac:dyDescent="0.25">
      <c r="A155" s="1" t="s">
        <v>35</v>
      </c>
      <c r="B155" s="1" t="s">
        <v>4522</v>
      </c>
      <c r="D155" s="1" t="s">
        <v>4493</v>
      </c>
      <c r="E155" s="1" t="s">
        <v>4523</v>
      </c>
      <c r="G155" s="1" t="s">
        <v>4524</v>
      </c>
      <c r="H155" s="2" t="str">
        <f>Tabella1[[#This Row],[Denominazione]]&amp;" - "&amp;Tabella1[[#This Row],[Città]]</f>
        <v>AGRITURISMO CA' CECCHINO - SASSOCORVARO</v>
      </c>
    </row>
    <row r="156" spans="1:8" x14ac:dyDescent="0.25">
      <c r="A156" s="1" t="s">
        <v>35</v>
      </c>
      <c r="B156" s="1" t="s">
        <v>4133</v>
      </c>
      <c r="C156" s="1" t="s">
        <v>4134</v>
      </c>
      <c r="D156" s="1" t="s">
        <v>4130</v>
      </c>
      <c r="E156" s="1" t="s">
        <v>4135</v>
      </c>
      <c r="F156" s="1" t="s">
        <v>4136</v>
      </c>
      <c r="G156" s="1" t="s">
        <v>4137</v>
      </c>
      <c r="H156" s="2" t="str">
        <f>Tabella1[[#This Row],[Denominazione]]&amp;" - "&amp;Tabella1[[#This Row],[Città]]</f>
        <v>AGRITURISMO CA' DELL'AIA - PIANDIMELETO</v>
      </c>
    </row>
    <row r="157" spans="1:8" x14ac:dyDescent="0.25">
      <c r="A157" s="1" t="s">
        <v>35</v>
      </c>
      <c r="B157" s="1" t="s">
        <v>4237</v>
      </c>
      <c r="D157" s="1" t="s">
        <v>4175</v>
      </c>
      <c r="E157" s="1" t="s">
        <v>4238</v>
      </c>
      <c r="G157" s="1" t="s">
        <v>4239</v>
      </c>
      <c r="H157" s="2" t="str">
        <f>Tabella1[[#This Row],[Denominazione]]&amp;" - "&amp;Tabella1[[#This Row],[Città]]</f>
        <v>AGRITURISMO CA' LICOZZO - PIOBBICO</v>
      </c>
    </row>
    <row r="158" spans="1:8" x14ac:dyDescent="0.25">
      <c r="A158" s="1" t="s">
        <v>35</v>
      </c>
      <c r="B158" s="1" t="s">
        <v>4525</v>
      </c>
      <c r="C158" s="1" t="s">
        <v>4526</v>
      </c>
      <c r="D158" s="1" t="s">
        <v>4527</v>
      </c>
      <c r="E158" s="1" t="s">
        <v>4528</v>
      </c>
      <c r="F158" s="1" t="s">
        <v>4529</v>
      </c>
      <c r="G158" s="1" t="s">
        <v>4530</v>
      </c>
      <c r="H158" s="2" t="str">
        <f>Tabella1[[#This Row],[Denominazione]]&amp;" - "&amp;Tabella1[[#This Row],[Città]]</f>
        <v>AGRITURISMO CA' MAGGIO - SASSOFELTRIO</v>
      </c>
    </row>
    <row r="159" spans="1:8" x14ac:dyDescent="0.25">
      <c r="A159" s="1" t="s">
        <v>35</v>
      </c>
      <c r="B159" s="1" t="s">
        <v>4993</v>
      </c>
      <c r="C159" s="1" t="s">
        <v>4994</v>
      </c>
      <c r="D159" s="1" t="s">
        <v>9</v>
      </c>
      <c r="E159" s="1" t="s">
        <v>4995</v>
      </c>
      <c r="G159" s="1" t="s">
        <v>4996</v>
      </c>
      <c r="H159" s="2" t="str">
        <f>Tabella1[[#This Row],[Denominazione]]&amp;" - "&amp;Tabella1[[#This Row],[Città]]</f>
        <v>AGRITURISMO CA' MATTIOLI - URBINO</v>
      </c>
    </row>
    <row r="160" spans="1:8" x14ac:dyDescent="0.25">
      <c r="A160" s="1" t="s">
        <v>35</v>
      </c>
      <c r="B160" s="1" t="s">
        <v>2656</v>
      </c>
      <c r="C160" s="1" t="s">
        <v>2657</v>
      </c>
      <c r="D160" s="1" t="s">
        <v>2594</v>
      </c>
      <c r="E160" s="1" t="s">
        <v>2658</v>
      </c>
      <c r="F160" s="1" t="s">
        <v>2659</v>
      </c>
      <c r="G160" s="1" t="s">
        <v>2660</v>
      </c>
      <c r="H160" s="2" t="str">
        <f>Tabella1[[#This Row],[Denominazione]]&amp;" - "&amp;Tabella1[[#This Row],[Città]]</f>
        <v>AGRITURISMO CA' MONTIONI - MERCATELLO SUL METAURO</v>
      </c>
    </row>
    <row r="161" spans="1:8" x14ac:dyDescent="0.25">
      <c r="A161" s="1" t="s">
        <v>35</v>
      </c>
      <c r="B161" s="1" t="s">
        <v>18194</v>
      </c>
      <c r="C161" s="1" t="s">
        <v>18195</v>
      </c>
      <c r="D161" s="1" t="s">
        <v>17932</v>
      </c>
      <c r="E161" s="1" t="s">
        <v>17932</v>
      </c>
      <c r="F161" s="1" t="s">
        <v>18196</v>
      </c>
      <c r="G161" s="1" t="s">
        <v>18197</v>
      </c>
      <c r="H161" s="2" t="str">
        <f>Tabella1[[#This Row],[Denominazione]]&amp;" - "&amp;Tabella1[[#This Row],[Città]]</f>
        <v>AGRITURISMO CA' NICK - FERMO</v>
      </c>
    </row>
    <row r="162" spans="1:8" x14ac:dyDescent="0.25">
      <c r="A162" s="1" t="s">
        <v>35</v>
      </c>
      <c r="B162" s="1" t="s">
        <v>110</v>
      </c>
      <c r="D162" s="1" t="s">
        <v>102</v>
      </c>
      <c r="E162" s="1" t="s">
        <v>111</v>
      </c>
      <c r="F162" s="1" t="s">
        <v>112</v>
      </c>
      <c r="G162" s="1" t="s">
        <v>113</v>
      </c>
      <c r="H162" s="2" t="str">
        <f>Tabella1[[#This Row],[Denominazione]]&amp;" - "&amp;Tabella1[[#This Row],[Città]]</f>
        <v>AGRITURISMO CA' PIERPAOLI - APECCHIO</v>
      </c>
    </row>
    <row r="163" spans="1:8" x14ac:dyDescent="0.25">
      <c r="A163" s="1" t="s">
        <v>35</v>
      </c>
      <c r="B163" s="1" t="s">
        <v>4800</v>
      </c>
      <c r="C163" s="1" t="s">
        <v>4801</v>
      </c>
      <c r="D163" s="1" t="s">
        <v>4735</v>
      </c>
      <c r="E163" s="1" t="s">
        <v>4802</v>
      </c>
      <c r="F163" s="1" t="s">
        <v>4222</v>
      </c>
      <c r="G163" s="1" t="s">
        <v>4223</v>
      </c>
      <c r="H163" s="2" t="str">
        <f>Tabella1[[#This Row],[Denominazione]]&amp;" - "&amp;Tabella1[[#This Row],[Città]]</f>
        <v>AGRITURISMO CA' SERRANTONIO - CASA FERRI - URBANIA</v>
      </c>
    </row>
    <row r="164" spans="1:8" x14ac:dyDescent="0.25">
      <c r="A164" s="1" t="s">
        <v>35</v>
      </c>
      <c r="B164" s="1" t="s">
        <v>7691</v>
      </c>
      <c r="C164" s="1" t="s">
        <v>7692</v>
      </c>
      <c r="D164" s="1" t="s">
        <v>7678</v>
      </c>
      <c r="E164" s="1" t="s">
        <v>7678</v>
      </c>
      <c r="F164" s="1" t="s">
        <v>7693</v>
      </c>
      <c r="G164" s="1" t="s">
        <v>7694</v>
      </c>
      <c r="H164" s="2" t="str">
        <f>Tabella1[[#This Row],[Denominazione]]&amp;" - "&amp;Tabella1[[#This Row],[Città]]</f>
        <v>AGRITURISMO CADABO' s.s.a. - MONTECAROTTO</v>
      </c>
    </row>
    <row r="165" spans="1:8" x14ac:dyDescent="0.25">
      <c r="A165" s="1" t="s">
        <v>35</v>
      </c>
      <c r="B165" s="1" t="s">
        <v>489</v>
      </c>
      <c r="C165" s="1" t="s">
        <v>490</v>
      </c>
      <c r="D165" s="1" t="s">
        <v>316</v>
      </c>
      <c r="E165" s="1" t="s">
        <v>316</v>
      </c>
      <c r="H165" s="2" t="str">
        <f>Tabella1[[#This Row],[Denominazione]]&amp;" - "&amp;Tabella1[[#This Row],[Città]]</f>
        <v>AGRITURISMO CAMPAGNA - CAGLI</v>
      </c>
    </row>
    <row r="166" spans="1:8" x14ac:dyDescent="0.25">
      <c r="A166" s="1" t="s">
        <v>35</v>
      </c>
      <c r="B166" s="1" t="s">
        <v>12018</v>
      </c>
      <c r="C166" s="1" t="s">
        <v>12019</v>
      </c>
      <c r="D166" s="1" t="s">
        <v>11981</v>
      </c>
      <c r="E166" s="1" t="s">
        <v>11981</v>
      </c>
      <c r="F166" s="1" t="s">
        <v>12020</v>
      </c>
      <c r="G166" s="1" t="s">
        <v>12021</v>
      </c>
      <c r="H166" s="2" t="str">
        <f>Tabella1[[#This Row],[Denominazione]]&amp;" - "&amp;Tabella1[[#This Row],[Città]]</f>
        <v>AGRITURISMO CAMPOLARGO di MARCHESINI ATTILIO - LORO PICENO</v>
      </c>
    </row>
    <row r="167" spans="1:8" x14ac:dyDescent="0.25">
      <c r="A167" s="1" t="s">
        <v>35</v>
      </c>
      <c r="B167" s="1" t="s">
        <v>4173</v>
      </c>
      <c r="C167" s="1" t="s">
        <v>4174</v>
      </c>
      <c r="D167" s="1" t="s">
        <v>4175</v>
      </c>
      <c r="E167" s="1" t="s">
        <v>4176</v>
      </c>
      <c r="G167" s="1" t="s">
        <v>4177</v>
      </c>
      <c r="H167" s="2" t="str">
        <f>Tabella1[[#This Row],[Denominazione]]&amp;" - "&amp;Tabella1[[#This Row],[Città]]</f>
        <v>AGRITURISMO CARDELLA - PIOBBICO</v>
      </c>
    </row>
    <row r="168" spans="1:8" x14ac:dyDescent="0.25">
      <c r="A168" s="1" t="s">
        <v>35</v>
      </c>
      <c r="B168" s="1" t="s">
        <v>15391</v>
      </c>
      <c r="C168" s="1" t="s">
        <v>15392</v>
      </c>
      <c r="D168" s="1" t="s">
        <v>15349</v>
      </c>
      <c r="E168" s="1" t="s">
        <v>15349</v>
      </c>
      <c r="F168" s="1" t="s">
        <v>15393</v>
      </c>
      <c r="H168" s="2" t="str">
        <f>Tabella1[[#This Row],[Denominazione]]&amp;" - "&amp;Tabella1[[#This Row],[Città]]</f>
        <v>AGRITURISMO CASA DEL SOLE - CUPRA MARITTIMA</v>
      </c>
    </row>
    <row r="169" spans="1:8" x14ac:dyDescent="0.25">
      <c r="A169" s="1" t="s">
        <v>35</v>
      </c>
      <c r="B169" s="1" t="s">
        <v>16447</v>
      </c>
      <c r="C169" s="1" t="s">
        <v>16448</v>
      </c>
      <c r="D169" s="1" t="s">
        <v>16440</v>
      </c>
      <c r="E169" s="1" t="s">
        <v>16440</v>
      </c>
      <c r="F169" s="1" t="s">
        <v>16449</v>
      </c>
      <c r="G169" s="1" t="s">
        <v>16450</v>
      </c>
      <c r="H169" s="2" t="str">
        <f>Tabella1[[#This Row],[Denominazione]]&amp;" - "&amp;Tabella1[[#This Row],[Città]]</f>
        <v>AGRITURISMO CASA ROSA - OFFIDA</v>
      </c>
    </row>
    <row r="170" spans="1:8" x14ac:dyDescent="0.25">
      <c r="A170" s="1" t="s">
        <v>35</v>
      </c>
      <c r="B170" s="1" t="s">
        <v>8111</v>
      </c>
      <c r="C170" s="1" t="s">
        <v>8112</v>
      </c>
      <c r="D170" s="1" t="s">
        <v>7889</v>
      </c>
      <c r="E170" s="1" t="s">
        <v>7889</v>
      </c>
      <c r="G170" s="1" t="s">
        <v>8113</v>
      </c>
      <c r="H170" s="2" t="str">
        <f>Tabella1[[#This Row],[Denominazione]]&amp;" - "&amp;Tabella1[[#This Row],[Città]]</f>
        <v>AGRITURISMO CASA ROSSI - NUMANA</v>
      </c>
    </row>
    <row r="171" spans="1:8" x14ac:dyDescent="0.25">
      <c r="A171" s="1" t="s">
        <v>35</v>
      </c>
      <c r="B171" s="1" t="s">
        <v>15159</v>
      </c>
      <c r="C171" s="1" t="s">
        <v>15160</v>
      </c>
      <c r="D171" s="1" t="s">
        <v>15151</v>
      </c>
      <c r="E171" s="1" t="s">
        <v>15151</v>
      </c>
      <c r="G171" s="1" t="s">
        <v>15161</v>
      </c>
      <c r="H171" s="2" t="str">
        <f>Tabella1[[#This Row],[Denominazione]]&amp;" - "&amp;Tabella1[[#This Row],[Città]]</f>
        <v>AGRITURISMO CASA VECCHIA - CASTIGNANO</v>
      </c>
    </row>
    <row r="172" spans="1:8" x14ac:dyDescent="0.25">
      <c r="A172" s="1" t="s">
        <v>35</v>
      </c>
      <c r="B172" s="1" t="s">
        <v>1798</v>
      </c>
      <c r="C172" s="1" t="s">
        <v>1799</v>
      </c>
      <c r="D172" s="1" t="s">
        <v>1796</v>
      </c>
      <c r="E172" s="1" t="s">
        <v>1796</v>
      </c>
      <c r="G172" s="1" t="s">
        <v>1800</v>
      </c>
      <c r="H172" s="2" t="str">
        <f>Tabella1[[#This Row],[Denominazione]]&amp;" - "&amp;Tabella1[[#This Row],[Città]]</f>
        <v>AGRITURISMO CASALE DEL PODESTA' DI BONIFAZI ROBERTO - FRATTE ROSA</v>
      </c>
    </row>
    <row r="173" spans="1:8" x14ac:dyDescent="0.25">
      <c r="A173" s="1" t="s">
        <v>35</v>
      </c>
      <c r="B173" s="1" t="s">
        <v>4780</v>
      </c>
      <c r="C173" s="1" t="s">
        <v>4781</v>
      </c>
      <c r="D173" s="1" t="s">
        <v>4735</v>
      </c>
      <c r="E173" s="1" t="s">
        <v>4735</v>
      </c>
      <c r="H173" s="2" t="str">
        <f>Tabella1[[#This Row],[Denominazione]]&amp;" - "&amp;Tabella1[[#This Row],[Città]]</f>
        <v>AGRITURISMO CASALE TICCHI - URBANIA</v>
      </c>
    </row>
    <row r="174" spans="1:8" x14ac:dyDescent="0.25">
      <c r="A174" s="1" t="s">
        <v>35</v>
      </c>
      <c r="B174" s="1" t="s">
        <v>16291</v>
      </c>
      <c r="C174" s="1" t="s">
        <v>16292</v>
      </c>
      <c r="D174" s="1" t="s">
        <v>16281</v>
      </c>
      <c r="E174" s="1" t="s">
        <v>16293</v>
      </c>
      <c r="F174" s="1" t="s">
        <v>16294</v>
      </c>
      <c r="G174" s="1" t="s">
        <v>16295</v>
      </c>
      <c r="H174" s="2" t="str">
        <f>Tabella1[[#This Row],[Denominazione]]&amp;" - "&amp;Tabella1[[#This Row],[Città]]</f>
        <v>AGRITURISMO CASAVECCHIA di VENTILI TERESA - MONTEGALLO</v>
      </c>
    </row>
    <row r="175" spans="1:8" x14ac:dyDescent="0.25">
      <c r="A175" s="1" t="s">
        <v>35</v>
      </c>
      <c r="B175" s="1" t="s">
        <v>1789</v>
      </c>
      <c r="C175" s="1" t="s">
        <v>1790</v>
      </c>
      <c r="D175" s="1" t="s">
        <v>1724</v>
      </c>
      <c r="E175" s="1" t="s">
        <v>1791</v>
      </c>
      <c r="F175" s="1" t="s">
        <v>1792</v>
      </c>
      <c r="G175" s="1" t="s">
        <v>1793</v>
      </c>
      <c r="H175" s="2" t="str">
        <f>Tabella1[[#This Row],[Denominazione]]&amp;" - "&amp;Tabella1[[#This Row],[Città]]</f>
        <v>AGRITURISMO CASCINA MARIANNA - FOSSOMBRONE</v>
      </c>
    </row>
    <row r="176" spans="1:8" x14ac:dyDescent="0.25">
      <c r="A176" s="1" t="s">
        <v>35</v>
      </c>
      <c r="B176" s="1" t="s">
        <v>7492</v>
      </c>
      <c r="C176" s="1" t="s">
        <v>7493</v>
      </c>
      <c r="D176" s="1" t="s">
        <v>7385</v>
      </c>
      <c r="E176" s="1" t="s">
        <v>7385</v>
      </c>
      <c r="F176" s="1" t="s">
        <v>7494</v>
      </c>
      <c r="G176" s="1" t="s">
        <v>7495</v>
      </c>
      <c r="H176" s="2" t="str">
        <f>Tabella1[[#This Row],[Denominazione]]&amp;" - "&amp;Tabella1[[#This Row],[Città]]</f>
        <v>AGRITURISMO CASE AL SOLE - LORETO</v>
      </c>
    </row>
    <row r="177" spans="1:8" x14ac:dyDescent="0.25">
      <c r="A177" s="1" t="s">
        <v>35</v>
      </c>
      <c r="B177" s="1" t="s">
        <v>54</v>
      </c>
      <c r="C177" s="1" t="s">
        <v>55</v>
      </c>
      <c r="D177" s="1" t="s">
        <v>15</v>
      </c>
      <c r="E177" s="1" t="s">
        <v>15</v>
      </c>
      <c r="G177" s="1" t="s">
        <v>56</v>
      </c>
      <c r="H177" s="2" t="str">
        <f>Tabella1[[#This Row],[Denominazione]]&amp;" - "&amp;Tabella1[[#This Row],[Città]]</f>
        <v>AGRITURISMO CASTELLAGO - ACQUALAGNA</v>
      </c>
    </row>
    <row r="178" spans="1:8" x14ac:dyDescent="0.25">
      <c r="A178" s="1" t="s">
        <v>35</v>
      </c>
      <c r="B178" s="1" t="s">
        <v>6859</v>
      </c>
      <c r="C178" s="1" t="s">
        <v>6860</v>
      </c>
      <c r="D178" s="1" t="s">
        <v>6790</v>
      </c>
      <c r="E178" s="1" t="s">
        <v>6790</v>
      </c>
      <c r="F178" s="1" t="s">
        <v>6861</v>
      </c>
      <c r="G178" s="1" t="s">
        <v>6862</v>
      </c>
      <c r="H178" s="2" t="str">
        <f>Tabella1[[#This Row],[Denominazione]]&amp;" - "&amp;Tabella1[[#This Row],[Città]]</f>
        <v>AGRITURISMO CASTELVECCHIO - FABRIANO</v>
      </c>
    </row>
    <row r="179" spans="1:8" x14ac:dyDescent="0.25">
      <c r="A179" s="1" t="s">
        <v>35</v>
      </c>
      <c r="B179" s="1" t="s">
        <v>15203</v>
      </c>
      <c r="C179" s="1" t="s">
        <v>15204</v>
      </c>
      <c r="D179" s="1" t="s">
        <v>15197</v>
      </c>
      <c r="E179" s="1" t="s">
        <v>15197</v>
      </c>
      <c r="F179" s="1" t="s">
        <v>15205</v>
      </c>
      <c r="G179" s="1" t="s">
        <v>15206</v>
      </c>
      <c r="H179" s="2" t="str">
        <f>Tabella1[[#This Row],[Denominazione]]&amp;" - "&amp;Tabella1[[#This Row],[Città]]</f>
        <v>AGRITURISMO CASTRUM DI MAOLONI GIUSEPPINA - CASTORANO</v>
      </c>
    </row>
    <row r="180" spans="1:8" x14ac:dyDescent="0.25">
      <c r="A180" s="1" t="s">
        <v>35</v>
      </c>
      <c r="B180" s="1" t="s">
        <v>392</v>
      </c>
      <c r="C180" s="1" t="s">
        <v>393</v>
      </c>
      <c r="D180" s="1" t="s">
        <v>316</v>
      </c>
      <c r="E180" s="1" t="s">
        <v>316</v>
      </c>
      <c r="G180" s="1" t="s">
        <v>394</v>
      </c>
      <c r="H180" s="2" t="str">
        <f>Tabella1[[#This Row],[Denominazione]]&amp;" - "&amp;Tabella1[[#This Row],[Città]]</f>
        <v>AGRITURISMO CHE CELLO - CAGLI</v>
      </c>
    </row>
    <row r="181" spans="1:8" x14ac:dyDescent="0.25">
      <c r="A181" s="1" t="s">
        <v>35</v>
      </c>
      <c r="B181" s="1" t="s">
        <v>18164</v>
      </c>
      <c r="C181" s="1" t="s">
        <v>18165</v>
      </c>
      <c r="D181" s="1" t="s">
        <v>17932</v>
      </c>
      <c r="E181" s="1" t="s">
        <v>17932</v>
      </c>
      <c r="G181" s="1" t="s">
        <v>18166</v>
      </c>
      <c r="H181" s="2" t="str">
        <f>Tabella1[[#This Row],[Denominazione]]&amp;" - "&amp;Tabella1[[#This Row],[Città]]</f>
        <v>AGRITURISMO CIFERRI LORELLA - FERMO</v>
      </c>
    </row>
    <row r="182" spans="1:8" x14ac:dyDescent="0.25">
      <c r="A182" s="1" t="s">
        <v>35</v>
      </c>
      <c r="B182" s="1" t="s">
        <v>12628</v>
      </c>
      <c r="C182" s="1" t="s">
        <v>12629</v>
      </c>
      <c r="D182" s="1" t="s">
        <v>12612</v>
      </c>
      <c r="E182" s="1" t="s">
        <v>12612</v>
      </c>
      <c r="F182" s="1" t="s">
        <v>12630</v>
      </c>
      <c r="H182" s="2" t="str">
        <f>Tabella1[[#This Row],[Denominazione]]&amp;" - "&amp;Tabella1[[#This Row],[Città]]</f>
        <v>AGRITURISMO COL DI GIOVE - MUCCIA</v>
      </c>
    </row>
    <row r="183" spans="1:8" x14ac:dyDescent="0.25">
      <c r="A183" s="1" t="s">
        <v>35</v>
      </c>
      <c r="B183" s="1" t="s">
        <v>11029</v>
      </c>
      <c r="C183" s="1" t="s">
        <v>11030</v>
      </c>
      <c r="D183" s="1" t="s">
        <v>11022</v>
      </c>
      <c r="E183" s="1" t="s">
        <v>11031</v>
      </c>
      <c r="F183" s="1" t="s">
        <v>11032</v>
      </c>
      <c r="G183" s="1" t="s">
        <v>11033</v>
      </c>
      <c r="H183" s="2" t="str">
        <f>Tabella1[[#This Row],[Denominazione]]&amp;" - "&amp;Tabella1[[#This Row],[Città]]</f>
        <v>AGRITURISMO COLDIPIETRA - CESSAPALOMBO</v>
      </c>
    </row>
    <row r="184" spans="1:8" x14ac:dyDescent="0.25">
      <c r="A184" s="1" t="s">
        <v>35</v>
      </c>
      <c r="B184" s="1" t="s">
        <v>10701</v>
      </c>
      <c r="D184" s="1" t="s">
        <v>10702</v>
      </c>
      <c r="E184" s="1" t="s">
        <v>10702</v>
      </c>
      <c r="F184" s="1" t="s">
        <v>10703</v>
      </c>
      <c r="G184" s="1" t="s">
        <v>10704</v>
      </c>
      <c r="H184" s="2" t="str">
        <f>Tabella1[[#This Row],[Denominazione]]&amp;" - "&amp;Tabella1[[#This Row],[Città]]</f>
        <v>AGRITURISMO COLLE CASINI CORTESI - CALDAROLA</v>
      </c>
    </row>
    <row r="185" spans="1:8" x14ac:dyDescent="0.25">
      <c r="A185" s="1" t="s">
        <v>35</v>
      </c>
      <c r="B185" s="1" t="s">
        <v>3375</v>
      </c>
      <c r="C185" s="1" t="s">
        <v>3376</v>
      </c>
      <c r="D185" s="1" t="s">
        <v>3305</v>
      </c>
      <c r="E185" s="1" t="s">
        <v>3305</v>
      </c>
      <c r="F185" s="1" t="s">
        <v>3377</v>
      </c>
      <c r="G185" s="1" t="s">
        <v>3378</v>
      </c>
      <c r="H185" s="2" t="str">
        <f>Tabella1[[#This Row],[Denominazione]]&amp;" - "&amp;Tabella1[[#This Row],[Città]]</f>
        <v>AGRITURISMO COLLE DEL LUPO - PERGOLA</v>
      </c>
    </row>
    <row r="186" spans="1:8" x14ac:dyDescent="0.25">
      <c r="A186" s="1" t="s">
        <v>35</v>
      </c>
      <c r="B186" s="1" t="s">
        <v>449</v>
      </c>
      <c r="C186" s="1" t="s">
        <v>450</v>
      </c>
      <c r="D186" s="1" t="s">
        <v>316</v>
      </c>
      <c r="F186" s="1" t="s">
        <v>451</v>
      </c>
      <c r="G186" s="1" t="s">
        <v>452</v>
      </c>
      <c r="H186" s="2" t="str">
        <f>Tabella1[[#This Row],[Denominazione]]&amp;" - "&amp;Tabella1[[#This Row],[Città]]</f>
        <v>AGRITURISMO COLLE DELLE GINESTRELLE DI CAPOCCIA CARLO - CAGLI</v>
      </c>
    </row>
    <row r="187" spans="1:8" x14ac:dyDescent="0.25">
      <c r="A187" s="1" t="s">
        <v>35</v>
      </c>
      <c r="B187" s="1" t="s">
        <v>11861</v>
      </c>
      <c r="C187" s="1" t="s">
        <v>11862</v>
      </c>
      <c r="D187" s="1" t="s">
        <v>11854</v>
      </c>
      <c r="E187" s="1" t="s">
        <v>11854</v>
      </c>
      <c r="F187" s="1" t="s">
        <v>11863</v>
      </c>
      <c r="G187" s="1" t="s">
        <v>11864</v>
      </c>
      <c r="H187" s="2" t="str">
        <f>Tabella1[[#This Row],[Denominazione]]&amp;" - "&amp;Tabella1[[#This Row],[Città]]</f>
        <v>AGRITURISMO COLLE di ROSA OLIVIERI - FIUMINATA</v>
      </c>
    </row>
    <row r="188" spans="1:8" x14ac:dyDescent="0.25">
      <c r="A188" s="1" t="s">
        <v>35</v>
      </c>
      <c r="B188" s="1" t="s">
        <v>14012</v>
      </c>
      <c r="C188" s="1" t="s">
        <v>14013</v>
      </c>
      <c r="D188" s="1" t="s">
        <v>13946</v>
      </c>
      <c r="E188" s="1" t="s">
        <v>13946</v>
      </c>
      <c r="F188" s="1" t="s">
        <v>14014</v>
      </c>
      <c r="G188" s="1" t="s">
        <v>14015</v>
      </c>
      <c r="H188" s="2" t="str">
        <f>Tabella1[[#This Row],[Denominazione]]&amp;" - "&amp;Tabella1[[#This Row],[Città]]</f>
        <v>AGRITURISMO COLLE REGNANO - TOLENTINO</v>
      </c>
    </row>
    <row r="189" spans="1:8" x14ac:dyDescent="0.25">
      <c r="A189" s="1" t="s">
        <v>35</v>
      </c>
      <c r="B189" s="1" t="s">
        <v>6866</v>
      </c>
      <c r="C189" s="1" t="s">
        <v>6867</v>
      </c>
      <c r="D189" s="1" t="s">
        <v>6790</v>
      </c>
      <c r="E189" s="1" t="s">
        <v>6790</v>
      </c>
      <c r="F189" s="1" t="s">
        <v>6868</v>
      </c>
      <c r="G189" s="1" t="s">
        <v>6869</v>
      </c>
      <c r="H189" s="2" t="str">
        <f>Tabella1[[#This Row],[Denominazione]]&amp;" - "&amp;Tabella1[[#This Row],[Città]]</f>
        <v>AGRITURISMO COLLE SERRONE - FABRIANO</v>
      </c>
    </row>
    <row r="190" spans="1:8" x14ac:dyDescent="0.25">
      <c r="A190" s="1" t="s">
        <v>35</v>
      </c>
      <c r="B190" s="1" t="s">
        <v>15980</v>
      </c>
      <c r="C190" s="1" t="s">
        <v>15981</v>
      </c>
      <c r="D190" s="1" t="s">
        <v>5692</v>
      </c>
      <c r="E190" s="1" t="s">
        <v>15982</v>
      </c>
      <c r="F190" s="1" t="s">
        <v>15983</v>
      </c>
      <c r="G190" s="1" t="s">
        <v>15984</v>
      </c>
      <c r="H190" s="2" t="str">
        <f>Tabella1[[#This Row],[Denominazione]]&amp;" - "&amp;Tabella1[[#This Row],[Città]]</f>
        <v>AGRITURISMO COLLELAGO - MASSIGNANO</v>
      </c>
    </row>
    <row r="191" spans="1:8" x14ac:dyDescent="0.25">
      <c r="A191" s="1" t="s">
        <v>35</v>
      </c>
      <c r="B191" s="1" t="s">
        <v>13892</v>
      </c>
      <c r="C191" s="1" t="s">
        <v>13893</v>
      </c>
      <c r="D191" s="1" t="s">
        <v>13894</v>
      </c>
      <c r="E191" s="1" t="s">
        <v>13894</v>
      </c>
      <c r="F191" s="1" t="s">
        <v>13895</v>
      </c>
      <c r="G191" s="1" t="s">
        <v>13896</v>
      </c>
      <c r="H191" s="2" t="str">
        <f>Tabella1[[#This Row],[Denominazione]]&amp;" - "&amp;Tabella1[[#This Row],[Città]]</f>
        <v>AGRITURISMO COLLI DI SERRAPETRONA - SERRAPETRONA</v>
      </c>
    </row>
    <row r="192" spans="1:8" x14ac:dyDescent="0.25">
      <c r="A192" s="1" t="s">
        <v>35</v>
      </c>
      <c r="B192" s="1" t="s">
        <v>4304</v>
      </c>
      <c r="C192" s="1" t="s">
        <v>4305</v>
      </c>
      <c r="D192" s="1" t="s">
        <v>4272</v>
      </c>
      <c r="E192" s="1" t="s">
        <v>4272</v>
      </c>
      <c r="F192" s="1" t="s">
        <v>4306</v>
      </c>
      <c r="G192" s="1" t="s">
        <v>4307</v>
      </c>
      <c r="H192" s="2" t="str">
        <f>Tabella1[[#This Row],[Denominazione]]&amp;" - "&amp;Tabella1[[#This Row],[Città]]</f>
        <v>AGRITURISMO COLOMBONI - SAN COSTANZO</v>
      </c>
    </row>
    <row r="193" spans="1:8" x14ac:dyDescent="0.25">
      <c r="A193" s="1" t="s">
        <v>35</v>
      </c>
      <c r="B193" s="1" t="s">
        <v>14500</v>
      </c>
      <c r="C193" s="1" t="s">
        <v>14501</v>
      </c>
      <c r="D193" s="1" t="s">
        <v>14497</v>
      </c>
      <c r="E193" s="1" t="s">
        <v>14497</v>
      </c>
      <c r="F193" s="1" t="s">
        <v>14502</v>
      </c>
      <c r="G193" s="1" t="s">
        <v>14503</v>
      </c>
      <c r="H193" s="2" t="str">
        <f>Tabella1[[#This Row],[Denominazione]]&amp;" - "&amp;Tabella1[[#This Row],[Città]]</f>
        <v>AGRITURISMO CONCA D'ORO - APPIGNANO DEL TRONTO</v>
      </c>
    </row>
    <row r="194" spans="1:8" x14ac:dyDescent="0.25">
      <c r="A194" s="1" t="s">
        <v>35</v>
      </c>
      <c r="B194" s="1" t="s">
        <v>19665</v>
      </c>
      <c r="C194" s="1" t="s">
        <v>19666</v>
      </c>
      <c r="D194" s="1" t="s">
        <v>19649</v>
      </c>
      <c r="E194" s="1" t="s">
        <v>19667</v>
      </c>
      <c r="F194" s="1" t="s">
        <v>19668</v>
      </c>
      <c r="G194" s="1" t="s">
        <v>19669</v>
      </c>
      <c r="H194" s="2" t="str">
        <f>Tabella1[[#This Row],[Denominazione]]&amp;" - "&amp;Tabella1[[#This Row],[Città]]</f>
        <v>AGRITURISMO CONTRADA DURANO - SMERILLO</v>
      </c>
    </row>
    <row r="195" spans="1:8" x14ac:dyDescent="0.25">
      <c r="A195" s="1" t="s">
        <v>35</v>
      </c>
      <c r="B195" s="1" t="s">
        <v>16127</v>
      </c>
      <c r="C195" s="1" t="s">
        <v>16128</v>
      </c>
      <c r="D195" s="1" t="s">
        <v>16083</v>
      </c>
      <c r="E195" s="1" t="s">
        <v>16129</v>
      </c>
      <c r="F195" s="1" t="s">
        <v>16130</v>
      </c>
      <c r="G195" s="1" t="s">
        <v>16131</v>
      </c>
      <c r="H195" s="2" t="str">
        <f>Tabella1[[#This Row],[Denominazione]]&amp;" - "&amp;Tabella1[[#This Row],[Città]]</f>
        <v>AGRITURISMO COPPO 1873 - MONTALTO DELLE MARCHE</v>
      </c>
    </row>
    <row r="196" spans="1:8" x14ac:dyDescent="0.25">
      <c r="A196" s="1" t="s">
        <v>35</v>
      </c>
      <c r="B196" s="1" t="s">
        <v>18613</v>
      </c>
      <c r="C196" s="1" t="s">
        <v>18614</v>
      </c>
      <c r="D196" s="1" t="s">
        <v>18589</v>
      </c>
      <c r="E196" s="1" t="s">
        <v>18589</v>
      </c>
      <c r="G196" s="1" t="s">
        <v>18615</v>
      </c>
      <c r="H196" s="2" t="str">
        <f>Tabella1[[#This Row],[Denominazione]]&amp;" - "&amp;Tabella1[[#This Row],[Città]]</f>
        <v>AGRITURISMO CORBEZZOLO - MONTE GIBERTO</v>
      </c>
    </row>
    <row r="197" spans="1:8" x14ac:dyDescent="0.25">
      <c r="A197" s="1" t="s">
        <v>35</v>
      </c>
      <c r="B197" s="1" t="s">
        <v>18786</v>
      </c>
      <c r="C197" s="1" t="s">
        <v>18787</v>
      </c>
      <c r="D197" s="1" t="s">
        <v>18783</v>
      </c>
      <c r="E197" s="1" t="s">
        <v>18788</v>
      </c>
      <c r="F197" s="1" t="s">
        <v>18789</v>
      </c>
      <c r="G197" s="1" t="s">
        <v>18790</v>
      </c>
      <c r="H197" s="2" t="str">
        <f>Tabella1[[#This Row],[Denominazione]]&amp;" - "&amp;Tabella1[[#This Row],[Città]]</f>
        <v>AGRITURISMO CROSTA - MONTERUBBIANO</v>
      </c>
    </row>
    <row r="198" spans="1:8" x14ac:dyDescent="0.25">
      <c r="A198" s="1" t="s">
        <v>35</v>
      </c>
      <c r="B198" s="1" t="s">
        <v>12462</v>
      </c>
      <c r="C198" s="1" t="s">
        <v>12463</v>
      </c>
      <c r="D198" s="1" t="s">
        <v>12459</v>
      </c>
      <c r="E198" s="1" t="s">
        <v>12464</v>
      </c>
      <c r="G198" s="1" t="s">
        <v>12465</v>
      </c>
      <c r="H198" s="2" t="str">
        <f>Tabella1[[#This Row],[Denominazione]]&amp;" - "&amp;Tabella1[[#This Row],[Città]]</f>
        <v>AGRITURISMO CYNARA - MONTELUPONE</v>
      </c>
    </row>
    <row r="199" spans="1:8" x14ac:dyDescent="0.25">
      <c r="A199" s="1" t="s">
        <v>35</v>
      </c>
      <c r="B199" s="1" t="s">
        <v>16010</v>
      </c>
      <c r="C199" s="1" t="s">
        <v>16011</v>
      </c>
      <c r="D199" s="1" t="s">
        <v>5692</v>
      </c>
      <c r="G199" s="1" t="s">
        <v>16012</v>
      </c>
      <c r="H199" s="2" t="str">
        <f>Tabella1[[#This Row],[Denominazione]]&amp;" - "&amp;Tabella1[[#This Row],[Città]]</f>
        <v>AGRITURISMO DA FIORO' LA COLLINA DEI SAPORI - MASSIGNANO</v>
      </c>
    </row>
    <row r="200" spans="1:8" x14ac:dyDescent="0.25">
      <c r="A200" s="1" t="s">
        <v>35</v>
      </c>
      <c r="B200" s="1" t="s">
        <v>1808</v>
      </c>
      <c r="C200" s="1" t="s">
        <v>1809</v>
      </c>
      <c r="D200" s="1" t="s">
        <v>1810</v>
      </c>
      <c r="G200" s="1" t="s">
        <v>1811</v>
      </c>
      <c r="H200" s="2" t="str">
        <f>Tabella1[[#This Row],[Denominazione]]&amp;" - "&amp;Tabella1[[#This Row],[Città]]</f>
        <v>AGRITURISMO DAI DU BOURDEI - FRONTINO</v>
      </c>
    </row>
    <row r="201" spans="1:8" x14ac:dyDescent="0.25">
      <c r="A201" s="1" t="s">
        <v>35</v>
      </c>
      <c r="B201" s="1" t="s">
        <v>2539</v>
      </c>
      <c r="C201" s="1" t="s">
        <v>2540</v>
      </c>
      <c r="D201" s="1" t="s">
        <v>2529</v>
      </c>
      <c r="E201" s="1" t="s">
        <v>2529</v>
      </c>
      <c r="F201" s="1" t="s">
        <v>2541</v>
      </c>
      <c r="G201" s="1" t="s">
        <v>2542</v>
      </c>
      <c r="H201" s="2" t="str">
        <f>Tabella1[[#This Row],[Denominazione]]&amp;" - "&amp;Tabella1[[#This Row],[Città]]</f>
        <v>AGRITURISMO DAI MORI - ISOLA DEL PIANO</v>
      </c>
    </row>
    <row r="202" spans="1:8" x14ac:dyDescent="0.25">
      <c r="A202" s="1" t="s">
        <v>35</v>
      </c>
      <c r="B202" s="1" t="s">
        <v>12525</v>
      </c>
      <c r="C202" s="1" t="s">
        <v>12526</v>
      </c>
      <c r="D202" s="1" t="s">
        <v>12519</v>
      </c>
      <c r="H202" s="2" t="str">
        <f>Tabella1[[#This Row],[Denominazione]]&amp;" - "&amp;Tabella1[[#This Row],[Città]]</f>
        <v>AGRITURISMO DE SANTIS CELESTA - MONTE SAN MARTINO</v>
      </c>
    </row>
    <row r="203" spans="1:8" x14ac:dyDescent="0.25">
      <c r="A203" s="1" t="s">
        <v>35</v>
      </c>
      <c r="B203" s="1" t="s">
        <v>18845</v>
      </c>
      <c r="C203" s="1" t="s">
        <v>18846</v>
      </c>
      <c r="D203" s="1" t="s">
        <v>18842</v>
      </c>
      <c r="E203" s="1" t="s">
        <v>18842</v>
      </c>
      <c r="F203" s="1" t="s">
        <v>18847</v>
      </c>
      <c r="G203" s="1" t="s">
        <v>18848</v>
      </c>
      <c r="H203" s="2" t="str">
        <f>Tabella1[[#This Row],[Denominazione]]&amp;" - "&amp;Tabella1[[#This Row],[Città]]</f>
        <v>AGRITURISMO DELLE ROSE - MONTE URANO</v>
      </c>
    </row>
    <row r="204" spans="1:8" x14ac:dyDescent="0.25">
      <c r="A204" s="1" t="s">
        <v>35</v>
      </c>
      <c r="B204" s="1" t="s">
        <v>17820</v>
      </c>
      <c r="C204" s="1" t="s">
        <v>17821</v>
      </c>
      <c r="D204" s="1" t="s">
        <v>17745</v>
      </c>
      <c r="E204" s="1" t="s">
        <v>17822</v>
      </c>
      <c r="G204" s="1" t="s">
        <v>12524</v>
      </c>
      <c r="H204" s="2" t="str">
        <f>Tabella1[[#This Row],[Denominazione]]&amp;" - "&amp;Tabella1[[#This Row],[Città]]</f>
        <v>AGRITURISMO DIMENSIONE NATURA - AMANDOLA</v>
      </c>
    </row>
    <row r="205" spans="1:8" x14ac:dyDescent="0.25">
      <c r="A205" s="1" t="s">
        <v>35</v>
      </c>
      <c r="B205" s="1" t="s">
        <v>16098</v>
      </c>
      <c r="C205" s="1" t="s">
        <v>16099</v>
      </c>
      <c r="D205" s="1" t="s">
        <v>16083</v>
      </c>
      <c r="H205" s="2" t="str">
        <f>Tabella1[[#This Row],[Denominazione]]&amp;" - "&amp;Tabella1[[#This Row],[Città]]</f>
        <v>AGRITURISMO DOLIUM - MONTALTO DELLE MARCHE</v>
      </c>
    </row>
    <row r="206" spans="1:8" x14ac:dyDescent="0.25">
      <c r="A206" s="1" t="s">
        <v>35</v>
      </c>
      <c r="B206" s="1" t="s">
        <v>10821</v>
      </c>
      <c r="C206" s="1" t="s">
        <v>10822</v>
      </c>
      <c r="D206" s="1" t="s">
        <v>10737</v>
      </c>
      <c r="E206" s="1" t="s">
        <v>10737</v>
      </c>
      <c r="F206" s="1" t="s">
        <v>10823</v>
      </c>
      <c r="G206" s="1" t="s">
        <v>10824</v>
      </c>
      <c r="H206" s="2" t="str">
        <f>Tabella1[[#This Row],[Denominazione]]&amp;" - "&amp;Tabella1[[#This Row],[Città]]</f>
        <v>AGRITURISMO DRAGONCELLO - CAMERINO</v>
      </c>
    </row>
    <row r="207" spans="1:8" x14ac:dyDescent="0.25">
      <c r="A207" s="1" t="s">
        <v>35</v>
      </c>
      <c r="B207" s="1" t="s">
        <v>11798</v>
      </c>
      <c r="C207" s="1" t="s">
        <v>11799</v>
      </c>
      <c r="D207" s="1" t="s">
        <v>11792</v>
      </c>
      <c r="F207" s="1" t="s">
        <v>11800</v>
      </c>
      <c r="G207" s="1" t="s">
        <v>11801</v>
      </c>
      <c r="H207" s="2" t="str">
        <f>Tabella1[[#This Row],[Denominazione]]&amp;" - "&amp;Tabella1[[#This Row],[Città]]</f>
        <v>AGRITURISMO DUE SORELLE - FIASTRA</v>
      </c>
    </row>
    <row r="208" spans="1:8" x14ac:dyDescent="0.25">
      <c r="A208" s="1" t="s">
        <v>35</v>
      </c>
      <c r="B208" s="1" t="s">
        <v>18635</v>
      </c>
      <c r="C208" s="1" t="s">
        <v>18636</v>
      </c>
      <c r="D208" s="1" t="s">
        <v>18618</v>
      </c>
      <c r="F208" s="1" t="s">
        <v>18637</v>
      </c>
      <c r="G208" s="1" t="s">
        <v>18638</v>
      </c>
      <c r="H208" s="2" t="str">
        <f>Tabella1[[#This Row],[Denominazione]]&amp;" - "&amp;Tabella1[[#This Row],[Città]]</f>
        <v>AGRITURISMO FARA - MONTEGIORGIO</v>
      </c>
    </row>
    <row r="209" spans="1:8" x14ac:dyDescent="0.25">
      <c r="A209" s="1" t="s">
        <v>35</v>
      </c>
      <c r="B209" s="1" t="s">
        <v>8696</v>
      </c>
      <c r="C209" s="1" t="s">
        <v>8697</v>
      </c>
      <c r="D209" s="1" t="s">
        <v>8683</v>
      </c>
      <c r="E209" s="1" t="s">
        <v>8683</v>
      </c>
      <c r="F209" s="1" t="s">
        <v>8698</v>
      </c>
      <c r="G209" s="1" t="s">
        <v>8699</v>
      </c>
      <c r="H209" s="2" t="str">
        <f>Tabella1[[#This Row],[Denominazione]]&amp;" - "&amp;Tabella1[[#This Row],[Città]]</f>
        <v>AGRITURISMO FATTORIA BRIGNONI - OSTRA VETERE</v>
      </c>
    </row>
    <row r="210" spans="1:8" x14ac:dyDescent="0.25">
      <c r="A210" s="1" t="s">
        <v>35</v>
      </c>
      <c r="B210" s="1" t="s">
        <v>3357</v>
      </c>
      <c r="C210" s="1" t="s">
        <v>3358</v>
      </c>
      <c r="D210" s="1" t="s">
        <v>3305</v>
      </c>
      <c r="E210" s="1" t="s">
        <v>3359</v>
      </c>
      <c r="F210" s="1" t="s">
        <v>3360</v>
      </c>
      <c r="G210" s="1" t="s">
        <v>3361</v>
      </c>
      <c r="H210" s="2" t="str">
        <f>Tabella1[[#This Row],[Denominazione]]&amp;" - "&amp;Tabella1[[#This Row],[Città]]</f>
        <v>AGRITURISMO FATTORIA SANT'ONOFRIO - PERGOLA</v>
      </c>
    </row>
    <row r="211" spans="1:8" x14ac:dyDescent="0.25">
      <c r="A211" s="1" t="s">
        <v>35</v>
      </c>
      <c r="B211" s="1" t="s">
        <v>15322</v>
      </c>
      <c r="C211" s="1" t="s">
        <v>15323</v>
      </c>
      <c r="D211" s="1" t="s">
        <v>15282</v>
      </c>
      <c r="E211" s="1" t="s">
        <v>15282</v>
      </c>
      <c r="F211" s="1" t="s">
        <v>15324</v>
      </c>
      <c r="G211" s="1" t="s">
        <v>15325</v>
      </c>
      <c r="H211" s="2" t="str">
        <f>Tabella1[[#This Row],[Denominazione]]&amp;" - "&amp;Tabella1[[#This Row],[Città]]</f>
        <v>AGRITURISMO FIORANO - COSSIGNANO</v>
      </c>
    </row>
    <row r="212" spans="1:8" x14ac:dyDescent="0.25">
      <c r="A212" s="1" t="s">
        <v>35</v>
      </c>
      <c r="B212" s="1" t="s">
        <v>6890</v>
      </c>
      <c r="C212" s="1" t="s">
        <v>6891</v>
      </c>
      <c r="D212" s="1" t="s">
        <v>6790</v>
      </c>
      <c r="E212" s="1" t="s">
        <v>6790</v>
      </c>
      <c r="G212" s="1" t="s">
        <v>6892</v>
      </c>
      <c r="H212" s="2" t="str">
        <f>Tabella1[[#This Row],[Denominazione]]&amp;" - "&amp;Tabella1[[#This Row],[Città]]</f>
        <v>AGRITURISMO FIORDALISO - FABRIANO</v>
      </c>
    </row>
    <row r="213" spans="1:8" x14ac:dyDescent="0.25">
      <c r="A213" s="1" t="s">
        <v>35</v>
      </c>
      <c r="B213" s="1" t="s">
        <v>18837</v>
      </c>
      <c r="C213" s="1" t="s">
        <v>18838</v>
      </c>
      <c r="D213" s="1" t="s">
        <v>18829</v>
      </c>
      <c r="E213" s="1" t="s">
        <v>18829</v>
      </c>
      <c r="G213" s="1" t="s">
        <v>18839</v>
      </c>
      <c r="H213" s="2" t="str">
        <f>Tabella1[[#This Row],[Denominazione]]&amp;" - "&amp;Tabella1[[#This Row],[Città]]</f>
        <v>AGRITURISMO FONTE CARELLA - MONTE SAN PIETRANGELI</v>
      </c>
    </row>
    <row r="214" spans="1:8" x14ac:dyDescent="0.25">
      <c r="A214" s="1" t="s">
        <v>35</v>
      </c>
      <c r="B214" s="1" t="s">
        <v>11840</v>
      </c>
      <c r="C214" s="1" t="s">
        <v>11841</v>
      </c>
      <c r="D214" s="1" t="s">
        <v>11792</v>
      </c>
      <c r="E214" s="1" t="s">
        <v>11792</v>
      </c>
      <c r="F214" s="1" t="s">
        <v>11842</v>
      </c>
      <c r="G214" s="1" t="s">
        <v>11843</v>
      </c>
      <c r="H214" s="2" t="str">
        <f>Tabella1[[#This Row],[Denominazione]]&amp;" - "&amp;Tabella1[[#This Row],[Città]]</f>
        <v>AGRITURISMO FONTE ROSA - FIASTRA</v>
      </c>
    </row>
    <row r="215" spans="1:8" x14ac:dyDescent="0.25">
      <c r="A215" s="1" t="s">
        <v>35</v>
      </c>
      <c r="B215" s="1" t="s">
        <v>11881</v>
      </c>
      <c r="C215" s="1" t="s">
        <v>11879</v>
      </c>
      <c r="D215" s="1" t="s">
        <v>11869</v>
      </c>
      <c r="E215" s="1" t="s">
        <v>11880</v>
      </c>
      <c r="F215" s="1" t="s">
        <v>11870</v>
      </c>
      <c r="G215" s="1" t="s">
        <v>11871</v>
      </c>
      <c r="H215" s="2" t="str">
        <f>Tabella1[[#This Row],[Denominazione]]&amp;" - "&amp;Tabella1[[#This Row],[Città]]</f>
        <v>AGRITURISMO FONTERAMA di FASHION FUR - GAGLIOLE</v>
      </c>
    </row>
    <row r="216" spans="1:8" x14ac:dyDescent="0.25">
      <c r="A216" s="1" t="s">
        <v>35</v>
      </c>
      <c r="B216" s="1" t="s">
        <v>10645</v>
      </c>
      <c r="C216" s="1" t="s">
        <v>10646</v>
      </c>
      <c r="D216" s="1" t="s">
        <v>10630</v>
      </c>
      <c r="E216" s="1" t="s">
        <v>10630</v>
      </c>
      <c r="F216" s="1" t="s">
        <v>10647</v>
      </c>
      <c r="G216" s="1" t="s">
        <v>10648</v>
      </c>
      <c r="H216" s="2" t="str">
        <f>Tabella1[[#This Row],[Denominazione]]&amp;" - "&amp;Tabella1[[#This Row],[Città]]</f>
        <v>AGRITURISMO FORANO CASA LE PIAGGE - APPIGNANO</v>
      </c>
    </row>
    <row r="217" spans="1:8" x14ac:dyDescent="0.25">
      <c r="A217" s="1" t="s">
        <v>35</v>
      </c>
      <c r="B217" s="1" t="s">
        <v>12113</v>
      </c>
      <c r="D217" s="1" t="s">
        <v>12050</v>
      </c>
      <c r="E217" s="1" t="s">
        <v>12050</v>
      </c>
      <c r="F217" s="1" t="s">
        <v>10647</v>
      </c>
      <c r="G217" s="1" t="s">
        <v>10648</v>
      </c>
      <c r="H217" s="2" t="str">
        <f>Tabella1[[#This Row],[Denominazione]]&amp;" - "&amp;Tabella1[[#This Row],[Città]]</f>
        <v>AGRITURISMO FORANO CASA MONTEFERRO - MACERATA</v>
      </c>
    </row>
    <row r="218" spans="1:8" x14ac:dyDescent="0.25">
      <c r="A218" s="1" t="s">
        <v>35</v>
      </c>
      <c r="B218" s="1" t="s">
        <v>12371</v>
      </c>
      <c r="C218" s="1" t="s">
        <v>12372</v>
      </c>
      <c r="D218" s="1" t="s">
        <v>12342</v>
      </c>
      <c r="E218" s="1" t="s">
        <v>12342</v>
      </c>
      <c r="F218" s="1" t="s">
        <v>10647</v>
      </c>
      <c r="G218" s="1" t="s">
        <v>10648</v>
      </c>
      <c r="H218" s="2" t="str">
        <f>Tabella1[[#This Row],[Denominazione]]&amp;" - "&amp;Tabella1[[#This Row],[Città]]</f>
        <v>AGRITURISMO FORANO CASA MONTELIPA - MONTECASSIANO</v>
      </c>
    </row>
    <row r="219" spans="1:8" x14ac:dyDescent="0.25">
      <c r="A219" s="1" t="s">
        <v>35</v>
      </c>
      <c r="B219" s="1" t="s">
        <v>12114</v>
      </c>
      <c r="C219" s="1" t="s">
        <v>12115</v>
      </c>
      <c r="D219" s="1" t="s">
        <v>12050</v>
      </c>
      <c r="E219" s="1" t="s">
        <v>12050</v>
      </c>
      <c r="F219" s="1" t="s">
        <v>10647</v>
      </c>
      <c r="G219" s="1" t="s">
        <v>10648</v>
      </c>
      <c r="H219" s="2" t="str">
        <f>Tabella1[[#This Row],[Denominazione]]&amp;" - "&amp;Tabella1[[#This Row],[Città]]</f>
        <v>AGRITURISMO FORANO CASA OCCHIO DI GALLO - MACERATA</v>
      </c>
    </row>
    <row r="220" spans="1:8" x14ac:dyDescent="0.25">
      <c r="A220" s="1" t="s">
        <v>35</v>
      </c>
      <c r="B220" s="1" t="s">
        <v>381</v>
      </c>
      <c r="C220" s="1" t="s">
        <v>382</v>
      </c>
      <c r="D220" s="1" t="s">
        <v>316</v>
      </c>
      <c r="E220" s="1" t="s">
        <v>316</v>
      </c>
      <c r="F220" s="1" t="s">
        <v>383</v>
      </c>
      <c r="G220" s="1" t="s">
        <v>384</v>
      </c>
      <c r="H220" s="2" t="str">
        <f>Tabella1[[#This Row],[Denominazione]]&amp;" - "&amp;Tabella1[[#This Row],[Città]]</f>
        <v>AGRITURISMO FRESCINA - CAGLI</v>
      </c>
    </row>
    <row r="221" spans="1:8" x14ac:dyDescent="0.25">
      <c r="A221" s="1" t="s">
        <v>35</v>
      </c>
      <c r="B221" s="1" t="s">
        <v>2685</v>
      </c>
      <c r="C221" s="1" t="s">
        <v>2686</v>
      </c>
      <c r="D221" s="1" t="s">
        <v>2678</v>
      </c>
      <c r="F221" s="1" t="s">
        <v>2687</v>
      </c>
      <c r="G221" s="1" t="s">
        <v>2688</v>
      </c>
      <c r="H221" s="2" t="str">
        <f>Tabella1[[#This Row],[Denominazione]]&amp;" - "&amp;Tabella1[[#This Row],[Città]]</f>
        <v>AGRITURISMO GIANO BIFRONTE - MOMBAROCCIO</v>
      </c>
    </row>
    <row r="222" spans="1:8" x14ac:dyDescent="0.25">
      <c r="A222" s="1" t="s">
        <v>35</v>
      </c>
      <c r="B222" s="1" t="s">
        <v>19574</v>
      </c>
      <c r="C222" s="1" t="s">
        <v>19575</v>
      </c>
      <c r="D222" s="1" t="s">
        <v>19541</v>
      </c>
      <c r="E222" s="1" t="s">
        <v>19576</v>
      </c>
      <c r="F222" s="1" t="s">
        <v>19577</v>
      </c>
      <c r="G222" s="1" t="s">
        <v>19578</v>
      </c>
      <c r="H222" s="2" t="str">
        <f>Tabella1[[#This Row],[Denominazione]]&amp;" - "&amp;Tabella1[[#This Row],[Città]]</f>
        <v>AGRITURISMO GIRO DI VENTO - SANT'ELPIDIO A MARE</v>
      </c>
    </row>
    <row r="223" spans="1:8" x14ac:dyDescent="0.25">
      <c r="A223" s="1" t="s">
        <v>35</v>
      </c>
      <c r="B223" s="1" t="s">
        <v>11086</v>
      </c>
      <c r="C223" s="1" t="s">
        <v>11087</v>
      </c>
      <c r="D223" s="1" t="s">
        <v>11058</v>
      </c>
      <c r="E223" s="1" t="s">
        <v>11058</v>
      </c>
      <c r="F223" s="1" t="s">
        <v>11088</v>
      </c>
      <c r="G223" s="1" t="s">
        <v>11089</v>
      </c>
      <c r="H223" s="2" t="str">
        <f>Tabella1[[#This Row],[Denominazione]]&amp;" - "&amp;Tabella1[[#This Row],[Città]]</f>
        <v>AGRITURISMO GLI ULIVI - CINGOLI</v>
      </c>
    </row>
    <row r="224" spans="1:8" x14ac:dyDescent="0.25">
      <c r="A224" s="1" t="s">
        <v>35</v>
      </c>
      <c r="B224" s="1" t="s">
        <v>7901</v>
      </c>
      <c r="C224" s="1" t="s">
        <v>7902</v>
      </c>
      <c r="D224" s="1" t="s">
        <v>7889</v>
      </c>
      <c r="F224" s="1" t="s">
        <v>7903</v>
      </c>
      <c r="G224" s="1" t="s">
        <v>7904</v>
      </c>
      <c r="H224" s="2" t="str">
        <f>Tabella1[[#This Row],[Denominazione]]&amp;" - "&amp;Tabella1[[#This Row],[Città]]</f>
        <v>AGRITURISMO HORNOS - NUMANA</v>
      </c>
    </row>
    <row r="225" spans="1:8" x14ac:dyDescent="0.25">
      <c r="A225" s="1" t="s">
        <v>35</v>
      </c>
      <c r="B225" s="1" t="s">
        <v>7198</v>
      </c>
      <c r="C225" s="1" t="s">
        <v>7199</v>
      </c>
      <c r="D225" s="1" t="s">
        <v>7200</v>
      </c>
      <c r="E225" s="1" t="s">
        <v>7201</v>
      </c>
      <c r="H225" s="2" t="str">
        <f>Tabella1[[#This Row],[Denominazione]]&amp;" - "&amp;Tabella1[[#This Row],[Città]]</f>
        <v>AGRITURISMO I BARONCI - GENGA</v>
      </c>
    </row>
    <row r="226" spans="1:8" x14ac:dyDescent="0.25">
      <c r="A226" s="1" t="s">
        <v>35</v>
      </c>
      <c r="B226" s="1" t="s">
        <v>8951</v>
      </c>
      <c r="C226" s="1" t="s">
        <v>8952</v>
      </c>
      <c r="D226" s="1" t="s">
        <v>8949</v>
      </c>
      <c r="E226" s="1" t="s">
        <v>8953</v>
      </c>
      <c r="F226" s="1" t="s">
        <v>8954</v>
      </c>
      <c r="G226" s="1" t="s">
        <v>8955</v>
      </c>
      <c r="H226" s="2" t="str">
        <f>Tabella1[[#This Row],[Denominazione]]&amp;" - "&amp;Tabella1[[#This Row],[Città]]</f>
        <v>AGRITURISMO I CILIEGI - SENIGALLIA</v>
      </c>
    </row>
    <row r="227" spans="1:8" x14ac:dyDescent="0.25">
      <c r="A227" s="1" t="s">
        <v>35</v>
      </c>
      <c r="B227" s="1" t="s">
        <v>67</v>
      </c>
      <c r="C227" s="1" t="s">
        <v>68</v>
      </c>
      <c r="D227" s="1" t="s">
        <v>15</v>
      </c>
      <c r="E227" s="1" t="s">
        <v>69</v>
      </c>
      <c r="F227" s="1" t="s">
        <v>70</v>
      </c>
      <c r="G227" s="1" t="s">
        <v>71</v>
      </c>
      <c r="H227" s="2" t="str">
        <f>Tabella1[[#This Row],[Denominazione]]&amp;" - "&amp;Tabella1[[#This Row],[Città]]</f>
        <v>AGRITURISMO I CONTI - ACQUALAGNA</v>
      </c>
    </row>
    <row r="228" spans="1:8" x14ac:dyDescent="0.25">
      <c r="A228" s="1" t="s">
        <v>35</v>
      </c>
      <c r="B228" s="1" t="s">
        <v>17772</v>
      </c>
      <c r="D228" s="1" t="s">
        <v>17745</v>
      </c>
      <c r="E228" s="1" t="s">
        <v>17745</v>
      </c>
      <c r="G228" s="1" t="s">
        <v>17773</v>
      </c>
      <c r="H228" s="2" t="str">
        <f>Tabella1[[#This Row],[Denominazione]]&amp;" - "&amp;Tabella1[[#This Row],[Città]]</f>
        <v>AGRITURISMO I GELSI - AMANDOLA</v>
      </c>
    </row>
    <row r="229" spans="1:8" x14ac:dyDescent="0.25">
      <c r="A229" s="1" t="s">
        <v>35</v>
      </c>
      <c r="B229" s="1" t="s">
        <v>12636</v>
      </c>
      <c r="C229" s="1" t="s">
        <v>12637</v>
      </c>
      <c r="D229" s="1" t="s">
        <v>12635</v>
      </c>
      <c r="E229" s="1" t="s">
        <v>12635</v>
      </c>
      <c r="F229" s="1" t="s">
        <v>12638</v>
      </c>
      <c r="G229" s="1" t="s">
        <v>12639</v>
      </c>
      <c r="H229" s="2" t="str">
        <f>Tabella1[[#This Row],[Denominazione]]&amp;" - "&amp;Tabella1[[#This Row],[Città]]</f>
        <v>AGRITURISMO I GIRASOLI - PENNA SAN GIOVANNI</v>
      </c>
    </row>
    <row r="230" spans="1:8" x14ac:dyDescent="0.25">
      <c r="A230" s="1" t="s">
        <v>35</v>
      </c>
      <c r="B230" s="1" t="s">
        <v>11160</v>
      </c>
      <c r="C230" s="1" t="s">
        <v>11161</v>
      </c>
      <c r="D230" s="1" t="s">
        <v>11058</v>
      </c>
      <c r="E230" s="1" t="s">
        <v>11162</v>
      </c>
      <c r="F230" s="1" t="s">
        <v>11065</v>
      </c>
      <c r="G230" s="1" t="s">
        <v>11066</v>
      </c>
      <c r="H230" s="2" t="str">
        <f>Tabella1[[#This Row],[Denominazione]]&amp;" - "&amp;Tabella1[[#This Row],[Città]]</f>
        <v>AGRITURISMO I MORI - CINGOLI</v>
      </c>
    </row>
    <row r="231" spans="1:8" x14ac:dyDescent="0.25">
      <c r="A231" s="1" t="s">
        <v>35</v>
      </c>
      <c r="B231" s="1" t="s">
        <v>4418</v>
      </c>
      <c r="C231" s="1" t="s">
        <v>4419</v>
      </c>
      <c r="D231" s="1" t="s">
        <v>4397</v>
      </c>
      <c r="E231" s="1" t="s">
        <v>4420</v>
      </c>
      <c r="F231" s="1" t="s">
        <v>4421</v>
      </c>
      <c r="G231" s="1" t="s">
        <v>4422</v>
      </c>
      <c r="H231" s="2" t="str">
        <f>Tabella1[[#This Row],[Denominazione]]&amp;" - "&amp;Tabella1[[#This Row],[Città]]</f>
        <v>AGRITURISMO I PALAZZI - SANT'ANGELO IN VADO</v>
      </c>
    </row>
    <row r="232" spans="1:8" x14ac:dyDescent="0.25">
      <c r="A232" s="1" t="s">
        <v>35</v>
      </c>
      <c r="B232" s="1" t="s">
        <v>12090</v>
      </c>
      <c r="C232" s="1" t="s">
        <v>12091</v>
      </c>
      <c r="D232" s="1" t="s">
        <v>12050</v>
      </c>
      <c r="E232" s="1" t="s">
        <v>12050</v>
      </c>
      <c r="G232" s="1" t="s">
        <v>12092</v>
      </c>
      <c r="H232" s="2" t="str">
        <f>Tabella1[[#This Row],[Denominazione]]&amp;" - "&amp;Tabella1[[#This Row],[Città]]</f>
        <v>AGRITURISMO I VALERIANI - MACERATA</v>
      </c>
    </row>
    <row r="233" spans="1:8" x14ac:dyDescent="0.25">
      <c r="A233" s="1" t="s">
        <v>35</v>
      </c>
      <c r="B233" s="1" t="s">
        <v>497</v>
      </c>
      <c r="D233" s="1" t="s">
        <v>316</v>
      </c>
      <c r="E233" s="1" t="s">
        <v>498</v>
      </c>
      <c r="F233" s="1" t="s">
        <v>499</v>
      </c>
      <c r="G233" s="1" t="s">
        <v>500</v>
      </c>
      <c r="H233" s="2" t="str">
        <f>Tabella1[[#This Row],[Denominazione]]&amp;" - "&amp;Tabella1[[#This Row],[Città]]</f>
        <v>AGRITURISMO IL BORGHETTO AL POGGIO - CAGLI</v>
      </c>
    </row>
    <row r="234" spans="1:8" x14ac:dyDescent="0.25">
      <c r="A234" s="1" t="s">
        <v>35</v>
      </c>
      <c r="B234" s="1" t="s">
        <v>16535</v>
      </c>
      <c r="D234" s="1" t="s">
        <v>16440</v>
      </c>
      <c r="H234" s="2" t="str">
        <f>Tabella1[[#This Row],[Denominazione]]&amp;" - "&amp;Tabella1[[#This Row],[Città]]</f>
        <v>AGRITURISMO IL CHIERICO - OFFIDA</v>
      </c>
    </row>
    <row r="235" spans="1:8" x14ac:dyDescent="0.25">
      <c r="A235" s="1" t="s">
        <v>35</v>
      </c>
      <c r="B235" s="1" t="s">
        <v>12732</v>
      </c>
      <c r="C235" s="1" t="s">
        <v>12733</v>
      </c>
      <c r="D235" s="1" t="s">
        <v>12730</v>
      </c>
      <c r="E235" s="1" t="s">
        <v>12730</v>
      </c>
      <c r="G235" s="1" t="s">
        <v>12734</v>
      </c>
      <c r="H235" s="2" t="str">
        <f>Tabella1[[#This Row],[Denominazione]]&amp;" - "&amp;Tabella1[[#This Row],[Città]]</f>
        <v>AGRITURISMO IL CONVENTINO - PIEVE TORINA</v>
      </c>
    </row>
    <row r="236" spans="1:8" x14ac:dyDescent="0.25">
      <c r="A236" s="1" t="s">
        <v>35</v>
      </c>
      <c r="B236" s="1" t="s">
        <v>6934</v>
      </c>
      <c r="C236" s="1" t="s">
        <v>6935</v>
      </c>
      <c r="D236" s="1" t="s">
        <v>6790</v>
      </c>
      <c r="E236" s="1" t="s">
        <v>6790</v>
      </c>
      <c r="F236" s="1" t="s">
        <v>6936</v>
      </c>
      <c r="G236" s="1" t="s">
        <v>6937</v>
      </c>
      <c r="H236" s="2" t="str">
        <f>Tabella1[[#This Row],[Denominazione]]&amp;" - "&amp;Tabella1[[#This Row],[Città]]</f>
        <v>AGRITURISMO IL FAGGIO - FABRIANO</v>
      </c>
    </row>
    <row r="237" spans="1:8" x14ac:dyDescent="0.25">
      <c r="A237" s="1" t="s">
        <v>35</v>
      </c>
      <c r="B237" s="1" t="s">
        <v>6934</v>
      </c>
      <c r="C237" s="1" t="s">
        <v>19676</v>
      </c>
      <c r="D237" s="1" t="s">
        <v>19649</v>
      </c>
      <c r="E237" s="1" t="s">
        <v>19649</v>
      </c>
      <c r="H237" s="2" t="str">
        <f>Tabella1[[#This Row],[Denominazione]]&amp;" - "&amp;Tabella1[[#This Row],[Città]]</f>
        <v>AGRITURISMO IL FAGGIO - SMERILLO</v>
      </c>
    </row>
    <row r="238" spans="1:8" x14ac:dyDescent="0.25">
      <c r="A238" s="1" t="s">
        <v>35</v>
      </c>
      <c r="B238" s="1" t="s">
        <v>4500</v>
      </c>
      <c r="C238" s="1" t="s">
        <v>4501</v>
      </c>
      <c r="D238" s="1" t="s">
        <v>4493</v>
      </c>
      <c r="E238" s="1" t="s">
        <v>4493</v>
      </c>
      <c r="H238" s="2" t="str">
        <f>Tabella1[[#This Row],[Denominazione]]&amp;" - "&amp;Tabella1[[#This Row],[Città]]</f>
        <v>AGRITURISMO IL GELSO - SASSOCORVARO</v>
      </c>
    </row>
    <row r="239" spans="1:8" x14ac:dyDescent="0.25">
      <c r="A239" s="1" t="s">
        <v>35</v>
      </c>
      <c r="B239" s="1" t="s">
        <v>4500</v>
      </c>
      <c r="C239" s="1" t="s">
        <v>6926</v>
      </c>
      <c r="D239" s="1" t="s">
        <v>6790</v>
      </c>
      <c r="E239" s="1" t="s">
        <v>6790</v>
      </c>
      <c r="F239" s="1" t="s">
        <v>6872</v>
      </c>
      <c r="G239" s="1" t="s">
        <v>6873</v>
      </c>
      <c r="H239" s="2" t="str">
        <f>Tabella1[[#This Row],[Denominazione]]&amp;" - "&amp;Tabella1[[#This Row],[Città]]</f>
        <v>AGRITURISMO IL GELSO - FABRIANO</v>
      </c>
    </row>
    <row r="240" spans="1:8" x14ac:dyDescent="0.25">
      <c r="A240" s="1" t="s">
        <v>35</v>
      </c>
      <c r="B240" s="1" t="s">
        <v>15247</v>
      </c>
      <c r="C240" s="1" t="s">
        <v>15248</v>
      </c>
      <c r="D240" s="1" t="s">
        <v>15249</v>
      </c>
      <c r="G240" s="1" t="s">
        <v>15250</v>
      </c>
      <c r="H240" s="2" t="str">
        <f>Tabella1[[#This Row],[Denominazione]]&amp;" - "&amp;Tabella1[[#This Row],[Città]]</f>
        <v>AGRITURISMO IL GELSO ROSSO - COMUNANZA</v>
      </c>
    </row>
    <row r="241" spans="1:8" x14ac:dyDescent="0.25">
      <c r="A241" s="1" t="s">
        <v>35</v>
      </c>
      <c r="B241" s="1" t="s">
        <v>307</v>
      </c>
      <c r="C241" s="1" t="s">
        <v>308</v>
      </c>
      <c r="D241" s="1" t="s">
        <v>266</v>
      </c>
      <c r="E241" s="1" t="s">
        <v>266</v>
      </c>
      <c r="G241" s="1" t="s">
        <v>309</v>
      </c>
      <c r="H241" s="2" t="str">
        <f>Tabella1[[#This Row],[Denominazione]]&amp;" - "&amp;Tabella1[[#This Row],[Città]]</f>
        <v>AGRITURISMO IL GINEPRO - BORGO PACE</v>
      </c>
    </row>
    <row r="242" spans="1:8" x14ac:dyDescent="0.25">
      <c r="A242" s="1" t="s">
        <v>35</v>
      </c>
      <c r="B242" s="1" t="s">
        <v>7220</v>
      </c>
      <c r="C242" s="1" t="s">
        <v>7221</v>
      </c>
      <c r="D242" s="1" t="s">
        <v>7200</v>
      </c>
      <c r="E242" s="1" t="s">
        <v>7200</v>
      </c>
      <c r="H242" s="2" t="str">
        <f>Tabella1[[#This Row],[Denominazione]]&amp;" - "&amp;Tabella1[[#This Row],[Città]]</f>
        <v>AGRITURISMO IL MELO - GENGA</v>
      </c>
    </row>
    <row r="243" spans="1:8" x14ac:dyDescent="0.25">
      <c r="A243" s="1" t="s">
        <v>35</v>
      </c>
      <c r="B243" s="1" t="s">
        <v>13743</v>
      </c>
      <c r="C243" s="1" t="s">
        <v>13744</v>
      </c>
      <c r="D243" s="1" t="s">
        <v>13739</v>
      </c>
      <c r="E243" s="1" t="s">
        <v>13739</v>
      </c>
      <c r="F243" s="1" t="s">
        <v>13745</v>
      </c>
      <c r="H243" s="2" t="str">
        <f>Tabella1[[#This Row],[Denominazione]]&amp;" - "&amp;Tabella1[[#This Row],[Città]]</f>
        <v>AGRITURISMO IL MELOGRANO - SANT'ANGELO IN PONTANO</v>
      </c>
    </row>
    <row r="244" spans="1:8" x14ac:dyDescent="0.25">
      <c r="A244" s="1" t="s">
        <v>35</v>
      </c>
      <c r="B244" s="1" t="s">
        <v>12505</v>
      </c>
      <c r="C244" s="1" t="s">
        <v>12506</v>
      </c>
      <c r="D244" s="1" t="s">
        <v>12502</v>
      </c>
      <c r="E244" s="1" t="s">
        <v>12502</v>
      </c>
      <c r="F244" s="1" t="s">
        <v>12507</v>
      </c>
      <c r="G244" s="1" t="s">
        <v>12508</v>
      </c>
      <c r="H244" s="2" t="str">
        <f>Tabella1[[#This Row],[Denominazione]]&amp;" - "&amp;Tabella1[[#This Row],[Città]]</f>
        <v>AGRITURISMO IL NOCETO - MONTE SAN GIUSTO</v>
      </c>
    </row>
    <row r="245" spans="1:8" x14ac:dyDescent="0.25">
      <c r="A245" s="1" t="s">
        <v>35</v>
      </c>
      <c r="B245" s="1" t="s">
        <v>10097</v>
      </c>
      <c r="C245" s="1" t="s">
        <v>10098</v>
      </c>
      <c r="D245" s="1" t="s">
        <v>10074</v>
      </c>
      <c r="E245" s="1" t="s">
        <v>10074</v>
      </c>
      <c r="F245" s="1" t="s">
        <v>10099</v>
      </c>
      <c r="G245" s="1" t="s">
        <v>10100</v>
      </c>
      <c r="H245" s="2" t="str">
        <f>Tabella1[[#This Row],[Denominazione]]&amp;" - "&amp;Tabella1[[#This Row],[Città]]</f>
        <v>AGRITURISMO IL PICCHIO VERDE di VALENTINI SARA - SERRA DE' CONTI</v>
      </c>
    </row>
    <row r="246" spans="1:8" x14ac:dyDescent="0.25">
      <c r="A246" s="1" t="s">
        <v>35</v>
      </c>
      <c r="B246" s="1" t="s">
        <v>10542</v>
      </c>
      <c r="C246" s="1" t="s">
        <v>10543</v>
      </c>
      <c r="D246" s="1" t="s">
        <v>10519</v>
      </c>
      <c r="E246" s="1" t="s">
        <v>3174</v>
      </c>
      <c r="F246" s="1" t="s">
        <v>10544</v>
      </c>
      <c r="G246" s="1" t="s">
        <v>10545</v>
      </c>
      <c r="H246" s="2" t="str">
        <f>Tabella1[[#This Row],[Denominazione]]&amp;" - "&amp;Tabella1[[#This Row],[Città]]</f>
        <v>AGRITURISMO IL PRATO - TRECASTELLI</v>
      </c>
    </row>
    <row r="247" spans="1:8" x14ac:dyDescent="0.25">
      <c r="A247" s="1" t="s">
        <v>35</v>
      </c>
      <c r="B247" s="1" t="s">
        <v>16230</v>
      </c>
      <c r="C247" s="1" t="s">
        <v>16231</v>
      </c>
      <c r="D247" s="1" t="s">
        <v>16202</v>
      </c>
      <c r="E247" s="1" t="s">
        <v>16203</v>
      </c>
      <c r="F247" s="1" t="s">
        <v>16232</v>
      </c>
      <c r="G247" s="1" t="s">
        <v>16233</v>
      </c>
      <c r="H247" s="2" t="str">
        <f>Tabella1[[#This Row],[Denominazione]]&amp;" - "&amp;Tabella1[[#This Row],[Città]]</f>
        <v>AGRITURISMO IL ROCCHETTO - MONTEFIORE DELL'ASO</v>
      </c>
    </row>
    <row r="248" spans="1:8" x14ac:dyDescent="0.25">
      <c r="A248" s="1" t="s">
        <v>35</v>
      </c>
      <c r="B248" s="1" t="s">
        <v>14361</v>
      </c>
      <c r="C248" s="1" t="s">
        <v>14362</v>
      </c>
      <c r="D248" s="1" t="s">
        <v>14334</v>
      </c>
      <c r="E248" s="1" t="s">
        <v>14334</v>
      </c>
      <c r="F248" s="1" t="s">
        <v>14363</v>
      </c>
      <c r="G248" s="1" t="s">
        <v>14364</v>
      </c>
      <c r="H248" s="2" t="str">
        <f>Tabella1[[#This Row],[Denominazione]]&amp;" - "&amp;Tabella1[[#This Row],[Città]]</f>
        <v>AGRITURISMO IL ROCCOLO - ACQUASANTA TERME</v>
      </c>
    </row>
    <row r="249" spans="1:8" x14ac:dyDescent="0.25">
      <c r="A249" s="1" t="s">
        <v>35</v>
      </c>
      <c r="B249" s="1" t="s">
        <v>16109</v>
      </c>
      <c r="C249" s="1" t="s">
        <v>16110</v>
      </c>
      <c r="D249" s="1" t="s">
        <v>16083</v>
      </c>
      <c r="F249" s="1" t="s">
        <v>16111</v>
      </c>
      <c r="G249" s="1" t="s">
        <v>16112</v>
      </c>
      <c r="H249" s="2" t="str">
        <f>Tabella1[[#This Row],[Denominazione]]&amp;" - "&amp;Tabella1[[#This Row],[Città]]</f>
        <v>AGRITURISMO IL VECCHIO ACERO - MONTALTO DELLE MARCHE</v>
      </c>
    </row>
    <row r="250" spans="1:8" x14ac:dyDescent="0.25">
      <c r="A250" s="1" t="s">
        <v>35</v>
      </c>
      <c r="B250" s="1" t="s">
        <v>6870</v>
      </c>
      <c r="C250" s="1" t="s">
        <v>6871</v>
      </c>
      <c r="D250" s="1" t="s">
        <v>6790</v>
      </c>
      <c r="E250" s="1" t="s">
        <v>6790</v>
      </c>
      <c r="F250" s="1" t="s">
        <v>6872</v>
      </c>
      <c r="G250" s="1" t="s">
        <v>6873</v>
      </c>
      <c r="H250" s="2" t="str">
        <f>Tabella1[[#This Row],[Denominazione]]&amp;" - "&amp;Tabella1[[#This Row],[Città]]</f>
        <v>AGRITURISMO IL VECCHIO GELSO - FABRIANO</v>
      </c>
    </row>
    <row r="251" spans="1:8" x14ac:dyDescent="0.25">
      <c r="A251" s="1" t="s">
        <v>35</v>
      </c>
      <c r="B251" s="1" t="s">
        <v>13905</v>
      </c>
      <c r="C251" s="1" t="s">
        <v>13906</v>
      </c>
      <c r="D251" s="1" t="s">
        <v>13894</v>
      </c>
      <c r="E251" s="1" t="s">
        <v>13894</v>
      </c>
      <c r="G251" s="1" t="s">
        <v>13907</v>
      </c>
      <c r="H251" s="2" t="str">
        <f>Tabella1[[#This Row],[Denominazione]]&amp;" - "&amp;Tabella1[[#This Row],[Città]]</f>
        <v>AGRITURISMO L' ARENARIA - SERRAPETRONA</v>
      </c>
    </row>
    <row r="252" spans="1:8" x14ac:dyDescent="0.25">
      <c r="A252" s="1" t="s">
        <v>35</v>
      </c>
      <c r="B252" s="1" t="s">
        <v>11052</v>
      </c>
      <c r="C252" s="1" t="s">
        <v>11053</v>
      </c>
      <c r="D252" s="1" t="s">
        <v>11022</v>
      </c>
      <c r="E252" s="1" t="s">
        <v>11028</v>
      </c>
      <c r="F252" s="1" t="s">
        <v>11054</v>
      </c>
      <c r="G252" s="1" t="s">
        <v>11055</v>
      </c>
      <c r="H252" s="2" t="str">
        <f>Tabella1[[#This Row],[Denominazione]]&amp;" - "&amp;Tabella1[[#This Row],[Città]]</f>
        <v>AGRITURISMO L' OLMO DI CASIGLIANO - CESSAPALOMBO</v>
      </c>
    </row>
    <row r="253" spans="1:8" x14ac:dyDescent="0.25">
      <c r="A253" s="1" t="s">
        <v>35</v>
      </c>
      <c r="B253" s="1" t="s">
        <v>2992</v>
      </c>
      <c r="C253" s="1" t="s">
        <v>2993</v>
      </c>
      <c r="D253" s="1" t="s">
        <v>2994</v>
      </c>
      <c r="E253" s="1" t="s">
        <v>2995</v>
      </c>
      <c r="F253" s="1" t="s">
        <v>2996</v>
      </c>
      <c r="G253" s="1" t="s">
        <v>2997</v>
      </c>
      <c r="H253" s="2" t="str">
        <f>Tabella1[[#This Row],[Denominazione]]&amp;" - "&amp;Tabella1[[#This Row],[Città]]</f>
        <v>AGRITURISMO LA BADIA - MONTECALVO IN FOGLIA</v>
      </c>
    </row>
    <row r="254" spans="1:8" x14ac:dyDescent="0.25">
      <c r="A254" s="1" t="s">
        <v>35</v>
      </c>
      <c r="B254" s="1" t="s">
        <v>4195</v>
      </c>
      <c r="C254" s="1" t="s">
        <v>4196</v>
      </c>
      <c r="D254" s="1" t="s">
        <v>4175</v>
      </c>
      <c r="E254" s="1" t="s">
        <v>4175</v>
      </c>
      <c r="F254" s="1" t="s">
        <v>4197</v>
      </c>
      <c r="G254" s="1" t="s">
        <v>4198</v>
      </c>
      <c r="H254" s="2" t="str">
        <f>Tabella1[[#This Row],[Denominazione]]&amp;" - "&amp;Tabella1[[#This Row],[Città]]</f>
        <v>AGRITURISMO LA CAPRARECCIA - PIOBBICO</v>
      </c>
    </row>
    <row r="255" spans="1:8" x14ac:dyDescent="0.25">
      <c r="A255" s="1" t="s">
        <v>35</v>
      </c>
      <c r="B255" s="1" t="s">
        <v>4803</v>
      </c>
      <c r="C255" s="1" t="s">
        <v>4804</v>
      </c>
      <c r="D255" s="1" t="s">
        <v>4735</v>
      </c>
      <c r="E255" s="1" t="s">
        <v>4735</v>
      </c>
      <c r="G255" s="1" t="s">
        <v>4805</v>
      </c>
      <c r="H255" s="2" t="str">
        <f>Tabella1[[#This Row],[Denominazione]]&amp;" - "&amp;Tabella1[[#This Row],[Città]]</f>
        <v>AGRITURISMO LA CAPUTA - URBANIA</v>
      </c>
    </row>
    <row r="256" spans="1:8" x14ac:dyDescent="0.25">
      <c r="A256" s="1" t="s">
        <v>35</v>
      </c>
      <c r="B256" s="1" t="s">
        <v>10620</v>
      </c>
      <c r="C256" s="1" t="s">
        <v>10621</v>
      </c>
      <c r="D256" s="1" t="s">
        <v>10589</v>
      </c>
      <c r="E256" s="1" t="s">
        <v>10589</v>
      </c>
      <c r="F256" s="1" t="s">
        <v>10622</v>
      </c>
      <c r="G256" s="1" t="s">
        <v>10623</v>
      </c>
      <c r="H256" s="2" t="str">
        <f>Tabella1[[#This Row],[Denominazione]]&amp;" - "&amp;Tabella1[[#This Row],[Città]]</f>
        <v>AGRITURISMO LA CASA DEL SOLE - APIRO</v>
      </c>
    </row>
    <row r="257" spans="1:8" x14ac:dyDescent="0.25">
      <c r="A257" s="1" t="s">
        <v>35</v>
      </c>
      <c r="B257" s="1" t="s">
        <v>16200</v>
      </c>
      <c r="C257" s="1" t="s">
        <v>16201</v>
      </c>
      <c r="D257" s="1" t="s">
        <v>16202</v>
      </c>
      <c r="E257" s="1" t="s">
        <v>16203</v>
      </c>
      <c r="F257" s="1" t="s">
        <v>16204</v>
      </c>
      <c r="G257" s="1" t="s">
        <v>16205</v>
      </c>
      <c r="H257" s="2" t="str">
        <f>Tabella1[[#This Row],[Denominazione]]&amp;" - "&amp;Tabella1[[#This Row],[Città]]</f>
        <v>AGRITURISMO LA CASETTA DELLE MARCHE - MONTEFIORE DELL'ASO</v>
      </c>
    </row>
    <row r="258" spans="1:8" x14ac:dyDescent="0.25">
      <c r="A258" s="1" t="s">
        <v>35</v>
      </c>
      <c r="B258" s="1" t="s">
        <v>15115</v>
      </c>
      <c r="C258" s="1" t="s">
        <v>15116</v>
      </c>
      <c r="D258" s="1" t="s">
        <v>15096</v>
      </c>
      <c r="E258" s="1" t="s">
        <v>15096</v>
      </c>
      <c r="F258" s="1" t="s">
        <v>15117</v>
      </c>
      <c r="G258" s="1" t="s">
        <v>15118</v>
      </c>
      <c r="H258" s="2" t="str">
        <f>Tabella1[[#This Row],[Denominazione]]&amp;" - "&amp;Tabella1[[#This Row],[Città]]</f>
        <v>AGRITURISMO LA CICALA - CARASSAI</v>
      </c>
    </row>
    <row r="259" spans="1:8" x14ac:dyDescent="0.25">
      <c r="A259" s="1" t="s">
        <v>35</v>
      </c>
      <c r="B259" s="1" t="s">
        <v>2560</v>
      </c>
      <c r="C259" s="1" t="s">
        <v>2561</v>
      </c>
      <c r="D259" s="1" t="s">
        <v>2557</v>
      </c>
      <c r="E259" s="1" t="s">
        <v>2557</v>
      </c>
      <c r="F259" s="1" t="s">
        <v>2562</v>
      </c>
      <c r="G259" s="1" t="s">
        <v>2563</v>
      </c>
      <c r="H259" s="2" t="str">
        <f>Tabella1[[#This Row],[Denominazione]]&amp;" - "&amp;Tabella1[[#This Row],[Città]]</f>
        <v>AGRITURISMO LA CISTERNA - MACERATA FELTRIA</v>
      </c>
    </row>
    <row r="260" spans="1:8" x14ac:dyDescent="0.25">
      <c r="A260" s="1" t="s">
        <v>35</v>
      </c>
      <c r="B260" s="1" t="s">
        <v>2555</v>
      </c>
      <c r="C260" s="1" t="s">
        <v>2556</v>
      </c>
      <c r="D260" s="1" t="s">
        <v>2557</v>
      </c>
      <c r="E260" s="1" t="s">
        <v>2558</v>
      </c>
      <c r="G260" s="1" t="s">
        <v>2559</v>
      </c>
      <c r="H260" s="2" t="str">
        <f>Tabella1[[#This Row],[Denominazione]]&amp;" - "&amp;Tabella1[[#This Row],[Città]]</f>
        <v>AGRITURISMO LA FAGGIOLA - MACERATA FELTRIA</v>
      </c>
    </row>
    <row r="261" spans="1:8" x14ac:dyDescent="0.25">
      <c r="A261" s="1" t="s">
        <v>35</v>
      </c>
      <c r="B261" s="1" t="s">
        <v>5308</v>
      </c>
      <c r="C261" s="1" t="s">
        <v>5309</v>
      </c>
      <c r="D261" s="1" t="s">
        <v>9</v>
      </c>
      <c r="G261" s="1" t="s">
        <v>5310</v>
      </c>
      <c r="H261" s="2" t="str">
        <f>Tabella1[[#This Row],[Denominazione]]&amp;" - "&amp;Tabella1[[#This Row],[Città]]</f>
        <v>AGRITURISMO LA FATTORIA DEI CANTORI - URBINO</v>
      </c>
    </row>
    <row r="262" spans="1:8" x14ac:dyDescent="0.25">
      <c r="A262" s="1" t="s">
        <v>35</v>
      </c>
      <c r="B262" s="1" t="s">
        <v>10681</v>
      </c>
      <c r="C262" s="1" t="s">
        <v>10682</v>
      </c>
      <c r="D262" s="1" t="s">
        <v>10654</v>
      </c>
      <c r="E262" s="1" t="s">
        <v>10654</v>
      </c>
      <c r="F262" s="1" t="s">
        <v>10683</v>
      </c>
      <c r="H262" s="2" t="str">
        <f>Tabella1[[#This Row],[Denominazione]]&amp;" - "&amp;Tabella1[[#This Row],[Città]]</f>
        <v>AGRITURISMO LA FONTE - BELFORTE DEL CHIENTI</v>
      </c>
    </row>
    <row r="263" spans="1:8" x14ac:dyDescent="0.25">
      <c r="A263" s="1" t="s">
        <v>35</v>
      </c>
      <c r="B263" s="1" t="s">
        <v>2616</v>
      </c>
      <c r="C263" s="1" t="s">
        <v>2617</v>
      </c>
      <c r="D263" s="1" t="s">
        <v>2594</v>
      </c>
      <c r="E263" s="1" t="s">
        <v>2594</v>
      </c>
      <c r="F263" s="1" t="s">
        <v>2618</v>
      </c>
      <c r="G263" s="1" t="s">
        <v>2619</v>
      </c>
      <c r="H263" s="2" t="str">
        <f>Tabella1[[#This Row],[Denominazione]]&amp;" - "&amp;Tabella1[[#This Row],[Città]]</f>
        <v>AGRITURISMO LA GROTTA DEI FOLLETTI - MERCATELLO SUL METAURO</v>
      </c>
    </row>
    <row r="264" spans="1:8" x14ac:dyDescent="0.25">
      <c r="A264" s="1" t="s">
        <v>35</v>
      </c>
      <c r="B264" s="1" t="s">
        <v>2734</v>
      </c>
      <c r="C264" s="1" t="s">
        <v>2735</v>
      </c>
      <c r="D264" s="1" t="s">
        <v>2729</v>
      </c>
      <c r="E264" s="1" t="s">
        <v>2729</v>
      </c>
      <c r="G264" s="1" t="s">
        <v>2736</v>
      </c>
      <c r="H264" s="2" t="str">
        <f>Tabella1[[#This Row],[Denominazione]]&amp;" - "&amp;Tabella1[[#This Row],[Città]]</f>
        <v>AGRITURISMO LA LIMONAIA - MONDAVIO</v>
      </c>
    </row>
    <row r="265" spans="1:8" x14ac:dyDescent="0.25">
      <c r="A265" s="1" t="s">
        <v>35</v>
      </c>
      <c r="B265" s="1" t="s">
        <v>670</v>
      </c>
      <c r="C265" s="1" t="s">
        <v>671</v>
      </c>
      <c r="D265" s="1" t="s">
        <v>634</v>
      </c>
      <c r="E265" s="1" t="s">
        <v>634</v>
      </c>
      <c r="F265" s="1" t="s">
        <v>672</v>
      </c>
      <c r="G265" s="1" t="s">
        <v>673</v>
      </c>
      <c r="H265" s="2" t="str">
        <f>Tabella1[[#This Row],[Denominazione]]&amp;" - "&amp;Tabella1[[#This Row],[Città]]</f>
        <v>AGRITURISMO LA LOCANDA DEL GELSO - CARTOCETO</v>
      </c>
    </row>
    <row r="266" spans="1:8" x14ac:dyDescent="0.25">
      <c r="A266" s="1" t="s">
        <v>35</v>
      </c>
      <c r="B266" s="1" t="s">
        <v>10744</v>
      </c>
      <c r="C266" s="1" t="s">
        <v>10745</v>
      </c>
      <c r="D266" s="1" t="s">
        <v>10737</v>
      </c>
      <c r="E266" s="1" t="s">
        <v>10746</v>
      </c>
      <c r="F266" s="1" t="s">
        <v>10747</v>
      </c>
      <c r="G266" s="1" t="s">
        <v>10748</v>
      </c>
      <c r="H266" s="2" t="str">
        <f>Tabella1[[#This Row],[Denominazione]]&amp;" - "&amp;Tabella1[[#This Row],[Città]]</f>
        <v>AGRITURISMO LA LOGGIA - CAMERINO</v>
      </c>
    </row>
    <row r="267" spans="1:8" x14ac:dyDescent="0.25">
      <c r="A267" s="1" t="s">
        <v>35</v>
      </c>
      <c r="B267" s="1" t="s">
        <v>9796</v>
      </c>
      <c r="C267" s="1" t="s">
        <v>9797</v>
      </c>
      <c r="D267" s="1" t="s">
        <v>8949</v>
      </c>
      <c r="E267" s="1" t="s">
        <v>8949</v>
      </c>
      <c r="F267" s="1" t="s">
        <v>9798</v>
      </c>
      <c r="G267" s="1" t="s">
        <v>9799</v>
      </c>
      <c r="H267" s="2" t="str">
        <f>Tabella1[[#This Row],[Denominazione]]&amp;" - "&amp;Tabella1[[#This Row],[Città]]</f>
        <v>AGRITURISMO LA MARAZZANA - SENIGALLIA</v>
      </c>
    </row>
    <row r="268" spans="1:8" x14ac:dyDescent="0.25">
      <c r="A268" s="1" t="s">
        <v>35</v>
      </c>
      <c r="B268" s="1" t="s">
        <v>10817</v>
      </c>
      <c r="C268" s="1" t="s">
        <v>10818</v>
      </c>
      <c r="D268" s="1" t="s">
        <v>10737</v>
      </c>
      <c r="E268" s="1" t="s">
        <v>10737</v>
      </c>
      <c r="F268" s="1" t="s">
        <v>10819</v>
      </c>
      <c r="G268" s="1" t="s">
        <v>10820</v>
      </c>
      <c r="H268" s="2" t="str">
        <f>Tabella1[[#This Row],[Denominazione]]&amp;" - "&amp;Tabella1[[#This Row],[Città]]</f>
        <v>AGRITURISMO LA MARCA - CAMERINO</v>
      </c>
    </row>
    <row r="269" spans="1:8" x14ac:dyDescent="0.25">
      <c r="A269" s="1" t="s">
        <v>35</v>
      </c>
      <c r="B269" s="1" t="s">
        <v>4612</v>
      </c>
      <c r="C269" s="1" t="s">
        <v>4613</v>
      </c>
      <c r="D269" s="1" t="s">
        <v>4578</v>
      </c>
      <c r="E269" s="1" t="s">
        <v>4578</v>
      </c>
      <c r="F269" s="1" t="s">
        <v>4614</v>
      </c>
      <c r="G269" s="1" t="s">
        <v>4615</v>
      </c>
      <c r="H269" s="2" t="str">
        <f>Tabella1[[#This Row],[Denominazione]]&amp;" - "&amp;Tabella1[[#This Row],[Città]]</f>
        <v>AGRITURISMO LA MERIDIANA di PURCARO ARIBERTO - SERRUNGARINA</v>
      </c>
    </row>
    <row r="270" spans="1:8" x14ac:dyDescent="0.25">
      <c r="A270" s="1" t="s">
        <v>35</v>
      </c>
      <c r="B270" s="1" t="s">
        <v>12785</v>
      </c>
      <c r="C270" s="1" t="s">
        <v>12786</v>
      </c>
      <c r="D270" s="1" t="s">
        <v>12772</v>
      </c>
      <c r="F270" s="1" t="s">
        <v>12787</v>
      </c>
      <c r="G270" s="1" t="s">
        <v>12788</v>
      </c>
      <c r="H270" s="2" t="str">
        <f>Tabella1[[#This Row],[Denominazione]]&amp;" - "&amp;Tabella1[[#This Row],[Città]]</f>
        <v>AGRITURISMO LA MORLA - POLLENZA</v>
      </c>
    </row>
    <row r="271" spans="1:8" x14ac:dyDescent="0.25">
      <c r="A271" s="1" t="s">
        <v>35</v>
      </c>
      <c r="B271" s="1" t="s">
        <v>7726</v>
      </c>
      <c r="C271" s="1" t="s">
        <v>7727</v>
      </c>
      <c r="D271" s="1" t="s">
        <v>7718</v>
      </c>
      <c r="H271" s="2" t="str">
        <f>Tabella1[[#This Row],[Denominazione]]&amp;" - "&amp;Tabella1[[#This Row],[Città]]</f>
        <v>AGRITURISMO LA PALOMBARA - MONTEMARCIANO</v>
      </c>
    </row>
    <row r="272" spans="1:8" x14ac:dyDescent="0.25">
      <c r="A272" s="1" t="s">
        <v>35</v>
      </c>
      <c r="B272" s="1" t="s">
        <v>19494</v>
      </c>
      <c r="C272" s="1" t="s">
        <v>19495</v>
      </c>
      <c r="D272" s="1" t="s">
        <v>19489</v>
      </c>
      <c r="F272" s="1" t="s">
        <v>19496</v>
      </c>
      <c r="G272" s="1" t="s">
        <v>19497</v>
      </c>
      <c r="H272" s="2" t="str">
        <f>Tabella1[[#This Row],[Denominazione]]&amp;" - "&amp;Tabella1[[#This Row],[Città]]</f>
        <v>AGRITURISMO LA PERLA - RAPAGNANO</v>
      </c>
    </row>
    <row r="273" spans="1:8" x14ac:dyDescent="0.25">
      <c r="A273" s="1" t="s">
        <v>35</v>
      </c>
      <c r="B273" s="1" t="s">
        <v>11896</v>
      </c>
      <c r="C273" s="1" t="s">
        <v>11897</v>
      </c>
      <c r="D273" s="1" t="s">
        <v>11883</v>
      </c>
      <c r="E273" s="1" t="s">
        <v>11883</v>
      </c>
      <c r="F273" s="1" t="s">
        <v>11898</v>
      </c>
      <c r="G273" s="1" t="s">
        <v>11899</v>
      </c>
      <c r="H273" s="2" t="str">
        <f>Tabella1[[#This Row],[Denominazione]]&amp;" - "&amp;Tabella1[[#This Row],[Città]]</f>
        <v>AGRITURISMO LA PIEVE di STRAFFI ADINO &amp; ERMINI MARIA LUISA - GUALDO</v>
      </c>
    </row>
    <row r="274" spans="1:8" x14ac:dyDescent="0.25">
      <c r="A274" s="1" t="s">
        <v>35</v>
      </c>
      <c r="B274" s="1" t="s">
        <v>2670</v>
      </c>
      <c r="C274" s="1" t="s">
        <v>2671</v>
      </c>
      <c r="D274" s="1" t="s">
        <v>2672</v>
      </c>
      <c r="E274" s="1" t="s">
        <v>2673</v>
      </c>
      <c r="H274" s="2" t="str">
        <f>Tabella1[[#This Row],[Denominazione]]&amp;" - "&amp;Tabella1[[#This Row],[Città]]</f>
        <v>AGRITURISMO LA POSSIONE - MERCATINO CONCA</v>
      </c>
    </row>
    <row r="275" spans="1:8" x14ac:dyDescent="0.25">
      <c r="A275" s="1" t="s">
        <v>35</v>
      </c>
      <c r="B275" s="1" t="s">
        <v>16168</v>
      </c>
      <c r="C275" s="1" t="s">
        <v>16169</v>
      </c>
      <c r="D275" s="1" t="s">
        <v>16165</v>
      </c>
      <c r="E275" s="1" t="s">
        <v>16165</v>
      </c>
      <c r="F275" s="1" t="s">
        <v>16170</v>
      </c>
      <c r="G275" s="1" t="s">
        <v>15182</v>
      </c>
      <c r="H275" s="2" t="str">
        <f>Tabella1[[#This Row],[Denominazione]]&amp;" - "&amp;Tabella1[[#This Row],[Città]]</f>
        <v>AGRITURISMO LA PRIORA DI VALLORANI MARIA LUIGINA - MONTEDINOVE</v>
      </c>
    </row>
    <row r="276" spans="1:8" x14ac:dyDescent="0.25">
      <c r="A276" s="1" t="s">
        <v>35</v>
      </c>
      <c r="B276" s="1" t="s">
        <v>8746</v>
      </c>
      <c r="C276" s="1" t="s">
        <v>8747</v>
      </c>
      <c r="D276" s="1" t="s">
        <v>8731</v>
      </c>
      <c r="E276" s="1" t="s">
        <v>8731</v>
      </c>
      <c r="F276" s="1" t="s">
        <v>8748</v>
      </c>
      <c r="G276" s="1" t="s">
        <v>8749</v>
      </c>
      <c r="H276" s="2" t="str">
        <f>Tabella1[[#This Row],[Denominazione]]&amp;" - "&amp;Tabella1[[#This Row],[Città]]</f>
        <v>AGRITURISMO LA QUIETE - POLVERIGI</v>
      </c>
    </row>
    <row r="277" spans="1:8" x14ac:dyDescent="0.25">
      <c r="A277" s="1" t="s">
        <v>35</v>
      </c>
      <c r="B277" s="1" t="s">
        <v>107</v>
      </c>
      <c r="D277" s="1" t="s">
        <v>102</v>
      </c>
      <c r="E277" s="1" t="s">
        <v>108</v>
      </c>
      <c r="G277" s="1" t="s">
        <v>109</v>
      </c>
      <c r="H277" s="2" t="str">
        <f>Tabella1[[#This Row],[Denominazione]]&amp;" - "&amp;Tabella1[[#This Row],[Città]]</f>
        <v>AGRITURISMO LA ROCCA - APECCHIO</v>
      </c>
    </row>
    <row r="278" spans="1:8" x14ac:dyDescent="0.25">
      <c r="A278" s="1" t="s">
        <v>35</v>
      </c>
      <c r="B278" s="1" t="s">
        <v>107</v>
      </c>
      <c r="C278" s="1" t="s">
        <v>4232</v>
      </c>
      <c r="D278" s="1" t="s">
        <v>4175</v>
      </c>
      <c r="E278" s="1" t="s">
        <v>4175</v>
      </c>
      <c r="F278" s="1" t="s">
        <v>4197</v>
      </c>
      <c r="G278" s="1" t="s">
        <v>4233</v>
      </c>
      <c r="H278" s="2" t="str">
        <f>Tabella1[[#This Row],[Denominazione]]&amp;" - "&amp;Tabella1[[#This Row],[Città]]</f>
        <v>AGRITURISMO LA ROCCA - PIOBBICO</v>
      </c>
    </row>
    <row r="279" spans="1:8" x14ac:dyDescent="0.25">
      <c r="A279" s="1" t="s">
        <v>35</v>
      </c>
      <c r="B279" s="1" t="s">
        <v>107</v>
      </c>
      <c r="C279" s="1" t="s">
        <v>16733</v>
      </c>
      <c r="D279" s="1" t="s">
        <v>16714</v>
      </c>
      <c r="E279" s="1" t="s">
        <v>16734</v>
      </c>
      <c r="F279" s="1" t="s">
        <v>16735</v>
      </c>
      <c r="G279" s="1" t="s">
        <v>16736</v>
      </c>
      <c r="H279" s="2" t="str">
        <f>Tabella1[[#This Row],[Denominazione]]&amp;" - "&amp;Tabella1[[#This Row],[Città]]</f>
        <v>AGRITURISMO LA ROCCA - ROCCAFLUVIONE</v>
      </c>
    </row>
    <row r="280" spans="1:8" x14ac:dyDescent="0.25">
      <c r="A280" s="1" t="s">
        <v>35</v>
      </c>
      <c r="B280" s="1" t="s">
        <v>7167</v>
      </c>
      <c r="C280" s="1" t="s">
        <v>7168</v>
      </c>
      <c r="D280" s="1" t="s">
        <v>7161</v>
      </c>
      <c r="E280" s="1" t="s">
        <v>7161</v>
      </c>
      <c r="F280" s="1" t="s">
        <v>7169</v>
      </c>
      <c r="G280" s="1" t="s">
        <v>7170</v>
      </c>
      <c r="H280" s="2" t="str">
        <f>Tabella1[[#This Row],[Denominazione]]&amp;" - "&amp;Tabella1[[#This Row],[Città]]</f>
        <v>AGRITURISMO LA ROVERELLA - FILOTTRANO</v>
      </c>
    </row>
    <row r="281" spans="1:8" x14ac:dyDescent="0.25">
      <c r="A281" s="1" t="s">
        <v>35</v>
      </c>
      <c r="B281" s="1" t="s">
        <v>5811</v>
      </c>
      <c r="C281" s="1" t="s">
        <v>5812</v>
      </c>
      <c r="D281" s="1" t="s">
        <v>1864</v>
      </c>
      <c r="E281" s="1" t="s">
        <v>1864</v>
      </c>
      <c r="F281" s="1" t="s">
        <v>5813</v>
      </c>
      <c r="G281" s="1" t="s">
        <v>5814</v>
      </c>
      <c r="H281" s="2" t="str">
        <f>Tabella1[[#This Row],[Denominazione]]&amp;" - "&amp;Tabella1[[#This Row],[Città]]</f>
        <v>AGRITURISMO LA SORGENTE - ANCONA</v>
      </c>
    </row>
    <row r="282" spans="1:8" x14ac:dyDescent="0.25">
      <c r="A282" s="1" t="s">
        <v>35</v>
      </c>
      <c r="B282" s="1" t="s">
        <v>3449</v>
      </c>
      <c r="C282" s="1" t="s">
        <v>3450</v>
      </c>
      <c r="D282" s="1" t="s">
        <v>2386</v>
      </c>
      <c r="G282" s="1" t="s">
        <v>3451</v>
      </c>
      <c r="H282" s="2" t="str">
        <f>Tabella1[[#This Row],[Denominazione]]&amp;" - "&amp;Tabella1[[#This Row],[Città]]</f>
        <v>AGRITURISMO LA STRADACCIA - PESARO</v>
      </c>
    </row>
    <row r="283" spans="1:8" x14ac:dyDescent="0.25">
      <c r="A283" s="1" t="s">
        <v>35</v>
      </c>
      <c r="B283" s="1" t="s">
        <v>13472</v>
      </c>
      <c r="C283" s="1" t="s">
        <v>13473</v>
      </c>
      <c r="D283" s="1" t="s">
        <v>6072</v>
      </c>
      <c r="E283" s="1" t="s">
        <v>6072</v>
      </c>
      <c r="H283" s="2" t="str">
        <f>Tabella1[[#This Row],[Denominazione]]&amp;" - "&amp;Tabella1[[#This Row],[Città]]</f>
        <v>AGRITURISMO LA TORRE - SAN GINESIO</v>
      </c>
    </row>
    <row r="284" spans="1:8" x14ac:dyDescent="0.25">
      <c r="A284" s="1" t="s">
        <v>35</v>
      </c>
      <c r="B284" s="1" t="s">
        <v>17722</v>
      </c>
      <c r="C284" s="1" t="s">
        <v>17723</v>
      </c>
      <c r="D284" s="1" t="s">
        <v>17703</v>
      </c>
      <c r="E284" s="1" t="s">
        <v>17703</v>
      </c>
      <c r="F284" s="1" t="s">
        <v>17724</v>
      </c>
      <c r="G284" s="1" t="s">
        <v>17725</v>
      </c>
      <c r="H284" s="2" t="str">
        <f>Tabella1[[#This Row],[Denominazione]]&amp;" - "&amp;Tabella1[[#This Row],[Città]]</f>
        <v>AGRITURISMO LA VERGARA - ALTIDONA</v>
      </c>
    </row>
    <row r="285" spans="1:8" x14ac:dyDescent="0.25">
      <c r="A285" s="1" t="s">
        <v>35</v>
      </c>
      <c r="B285" s="1" t="s">
        <v>12471</v>
      </c>
      <c r="C285" s="1" t="s">
        <v>12472</v>
      </c>
      <c r="D285" s="1" t="s">
        <v>12459</v>
      </c>
      <c r="E285" s="1" t="s">
        <v>12473</v>
      </c>
      <c r="G285" s="1" t="s">
        <v>12474</v>
      </c>
      <c r="H285" s="2" t="str">
        <f>Tabella1[[#This Row],[Denominazione]]&amp;" - "&amp;Tabella1[[#This Row],[Città]]</f>
        <v>AGRITURISMO L'ALTERNATIVA - MONTELUPONE</v>
      </c>
    </row>
    <row r="286" spans="1:8" x14ac:dyDescent="0.25">
      <c r="A286" s="1" t="s">
        <v>35</v>
      </c>
      <c r="B286" s="1" t="s">
        <v>15296</v>
      </c>
      <c r="C286" s="1" t="s">
        <v>15297</v>
      </c>
      <c r="D286" s="1" t="s">
        <v>15282</v>
      </c>
      <c r="E286" s="1" t="s">
        <v>15282</v>
      </c>
      <c r="G286" s="1" t="s">
        <v>15298</v>
      </c>
      <c r="H286" s="2" t="str">
        <f>Tabella1[[#This Row],[Denominazione]]&amp;" - "&amp;Tabella1[[#This Row],[Città]]</f>
        <v>AGRITURISMO LANCIOTTI - COSSIGNANO</v>
      </c>
    </row>
    <row r="287" spans="1:8" x14ac:dyDescent="0.25">
      <c r="A287" s="1" t="s">
        <v>35</v>
      </c>
      <c r="B287" s="1" t="s">
        <v>10825</v>
      </c>
      <c r="C287" s="1" t="s">
        <v>10826</v>
      </c>
      <c r="D287" s="1" t="s">
        <v>10737</v>
      </c>
      <c r="E287" s="1" t="s">
        <v>10737</v>
      </c>
      <c r="F287" s="1" t="s">
        <v>10827</v>
      </c>
      <c r="G287" s="1" t="s">
        <v>10828</v>
      </c>
      <c r="H287" s="2" t="str">
        <f>Tabella1[[#This Row],[Denominazione]]&amp;" - "&amp;Tabella1[[#This Row],[Città]]</f>
        <v>AGRITURISMO LE ARCATE DI SANT'ANGELO - CAMERINO</v>
      </c>
    </row>
    <row r="288" spans="1:8" x14ac:dyDescent="0.25">
      <c r="A288" s="1" t="s">
        <v>35</v>
      </c>
      <c r="B288" s="1" t="s">
        <v>10813</v>
      </c>
      <c r="C288" s="1" t="s">
        <v>10814</v>
      </c>
      <c r="D288" s="1" t="s">
        <v>10737</v>
      </c>
      <c r="E288" s="1" t="s">
        <v>10737</v>
      </c>
      <c r="F288" s="1" t="s">
        <v>10815</v>
      </c>
      <c r="G288" s="1" t="s">
        <v>10816</v>
      </c>
      <c r="H288" s="2" t="str">
        <f>Tabella1[[#This Row],[Denominazione]]&amp;" - "&amp;Tabella1[[#This Row],[Città]]</f>
        <v>AGRITURISMO LE CORTINE - CAMERINO</v>
      </c>
    </row>
    <row r="289" spans="1:8" x14ac:dyDescent="0.25">
      <c r="A289" s="1" t="s">
        <v>35</v>
      </c>
      <c r="B289" s="1" t="s">
        <v>5124</v>
      </c>
      <c r="C289" s="1" t="s">
        <v>5125</v>
      </c>
      <c r="D289" s="1" t="s">
        <v>9</v>
      </c>
      <c r="E289" s="1" t="s">
        <v>9</v>
      </c>
      <c r="F289" s="1" t="s">
        <v>5126</v>
      </c>
      <c r="G289" s="1" t="s">
        <v>5127</v>
      </c>
      <c r="H289" s="2" t="str">
        <f>Tabella1[[#This Row],[Denominazione]]&amp;" - "&amp;Tabella1[[#This Row],[Città]]</f>
        <v>AGRITURISMO LE FONTANE - URBINO</v>
      </c>
    </row>
    <row r="290" spans="1:8" x14ac:dyDescent="0.25">
      <c r="A290" s="1" t="s">
        <v>35</v>
      </c>
      <c r="B290" s="1" t="s">
        <v>10566</v>
      </c>
      <c r="C290" s="1" t="s">
        <v>10567</v>
      </c>
      <c r="D290" s="1" t="s">
        <v>10519</v>
      </c>
      <c r="E290" s="1" t="s">
        <v>10568</v>
      </c>
      <c r="G290" s="1" t="s">
        <v>10569</v>
      </c>
      <c r="H290" s="2" t="str">
        <f>Tabella1[[#This Row],[Denominazione]]&amp;" - "&amp;Tabella1[[#This Row],[Città]]</f>
        <v>AGRITURISMO LE FONTANELLE - TRECASTELLI</v>
      </c>
    </row>
    <row r="291" spans="1:8" x14ac:dyDescent="0.25">
      <c r="A291" s="1" t="s">
        <v>35</v>
      </c>
      <c r="B291" s="1" t="s">
        <v>3267</v>
      </c>
      <c r="C291" s="1" t="s">
        <v>3268</v>
      </c>
      <c r="D291" s="1" t="s">
        <v>3257</v>
      </c>
      <c r="E291" s="1" t="s">
        <v>3257</v>
      </c>
      <c r="G291" s="1" t="s">
        <v>3269</v>
      </c>
      <c r="H291" s="2" t="str">
        <f>Tabella1[[#This Row],[Denominazione]]&amp;" - "&amp;Tabella1[[#This Row],[Città]]</f>
        <v>AGRITURISMO LE FONTI - ORCIANO DI PESARO</v>
      </c>
    </row>
    <row r="292" spans="1:8" x14ac:dyDescent="0.25">
      <c r="A292" s="1" t="s">
        <v>35</v>
      </c>
      <c r="B292" s="1" t="s">
        <v>18263</v>
      </c>
      <c r="C292" s="1" t="s">
        <v>18264</v>
      </c>
      <c r="D292" s="1" t="s">
        <v>17932</v>
      </c>
      <c r="E292" s="1" t="s">
        <v>17932</v>
      </c>
      <c r="F292" s="1" t="s">
        <v>18265</v>
      </c>
      <c r="G292" s="1" t="s">
        <v>18266</v>
      </c>
      <c r="H292" s="2" t="str">
        <f>Tabella1[[#This Row],[Denominazione]]&amp;" - "&amp;Tabella1[[#This Row],[Città]]</f>
        <v>AGRITURISMO LE GAZZE - FERMO</v>
      </c>
    </row>
    <row r="293" spans="1:8" x14ac:dyDescent="0.25">
      <c r="A293" s="1" t="s">
        <v>35</v>
      </c>
      <c r="B293" s="1" t="s">
        <v>11977</v>
      </c>
      <c r="C293" s="1" t="s">
        <v>11978</v>
      </c>
      <c r="D293" s="1" t="s">
        <v>11883</v>
      </c>
      <c r="E293" s="1" t="s">
        <v>11883</v>
      </c>
      <c r="H293" s="2" t="str">
        <f>Tabella1[[#This Row],[Denominazione]]&amp;" - "&amp;Tabella1[[#This Row],[Città]]</f>
        <v>AGRITURISMO LE MORRETTE - GUALDO</v>
      </c>
    </row>
    <row r="294" spans="1:8" x14ac:dyDescent="0.25">
      <c r="A294" s="1" t="s">
        <v>35</v>
      </c>
      <c r="B294" s="1" t="s">
        <v>6484</v>
      </c>
      <c r="C294" s="1" t="s">
        <v>6485</v>
      </c>
      <c r="D294" s="1" t="s">
        <v>6467</v>
      </c>
      <c r="E294" s="1" t="s">
        <v>6467</v>
      </c>
      <c r="F294" s="1" t="s">
        <v>6486</v>
      </c>
      <c r="G294" s="1" t="s">
        <v>6487</v>
      </c>
      <c r="H294" s="2" t="str">
        <f>Tabella1[[#This Row],[Denominazione]]&amp;" - "&amp;Tabella1[[#This Row],[Città]]</f>
        <v>AGRITURISMO LE PIAGGE - CASTELPLANIO</v>
      </c>
    </row>
    <row r="295" spans="1:8" x14ac:dyDescent="0.25">
      <c r="A295" s="1" t="s">
        <v>35</v>
      </c>
      <c r="B295" s="1" t="s">
        <v>14032</v>
      </c>
      <c r="C295" s="1" t="s">
        <v>14033</v>
      </c>
      <c r="D295" s="1" t="s">
        <v>13946</v>
      </c>
      <c r="E295" s="1" t="s">
        <v>13946</v>
      </c>
      <c r="F295" s="1" t="s">
        <v>14034</v>
      </c>
      <c r="G295" s="1" t="s">
        <v>14035</v>
      </c>
      <c r="H295" s="2" t="str">
        <f>Tabella1[[#This Row],[Denominazione]]&amp;" - "&amp;Tabella1[[#This Row],[Città]]</f>
        <v>AGRITURISMO LE QUATTRO STAGIONI - SOCIETA' AGRICOLA S.S. - TOLENTINO</v>
      </c>
    </row>
    <row r="296" spans="1:8" x14ac:dyDescent="0.25">
      <c r="A296" s="1" t="s">
        <v>35</v>
      </c>
      <c r="B296" s="1" t="s">
        <v>15268</v>
      </c>
      <c r="C296" s="1" t="s">
        <v>15269</v>
      </c>
      <c r="D296" s="1" t="s">
        <v>15249</v>
      </c>
      <c r="E296" s="1" t="s">
        <v>15249</v>
      </c>
      <c r="F296" s="1" t="s">
        <v>15270</v>
      </c>
      <c r="G296" s="1" t="s">
        <v>15271</v>
      </c>
      <c r="H296" s="2" t="str">
        <f>Tabella1[[#This Row],[Denominazione]]&amp;" - "&amp;Tabella1[[#This Row],[Città]]</f>
        <v>AGRITURISMO LE SELVE - COMUNANZA</v>
      </c>
    </row>
    <row r="297" spans="1:8" x14ac:dyDescent="0.25">
      <c r="A297" s="1" t="s">
        <v>35</v>
      </c>
      <c r="B297" s="1" t="s">
        <v>13007</v>
      </c>
      <c r="C297" s="1" t="s">
        <v>13008</v>
      </c>
      <c r="D297" s="1" t="s">
        <v>12801</v>
      </c>
      <c r="E297" s="1" t="s">
        <v>12801</v>
      </c>
      <c r="G297" s="1" t="s">
        <v>13009</v>
      </c>
      <c r="H297" s="2" t="str">
        <f>Tabella1[[#This Row],[Denominazione]]&amp;" - "&amp;Tabella1[[#This Row],[Città]]</f>
        <v>AGRITURISMO LE SPIGHE - PORTO RECANATI</v>
      </c>
    </row>
    <row r="298" spans="1:8" x14ac:dyDescent="0.25">
      <c r="A298" s="1" t="s">
        <v>35</v>
      </c>
      <c r="B298" s="1" t="s">
        <v>12493</v>
      </c>
      <c r="C298" s="1" t="s">
        <v>12494</v>
      </c>
      <c r="D298" s="1" t="s">
        <v>12459</v>
      </c>
      <c r="E298" s="1" t="s">
        <v>12464</v>
      </c>
      <c r="G298" s="1" t="s">
        <v>12495</v>
      </c>
      <c r="H298" s="2" t="str">
        <f>Tabella1[[#This Row],[Denominazione]]&amp;" - "&amp;Tabella1[[#This Row],[Città]]</f>
        <v>AGRITURISMO LE TATE - MONTELUPONE</v>
      </c>
    </row>
    <row r="299" spans="1:8" x14ac:dyDescent="0.25">
      <c r="A299" s="1" t="s">
        <v>35</v>
      </c>
      <c r="B299" s="1" t="s">
        <v>18318</v>
      </c>
      <c r="C299" s="1" t="s">
        <v>18319</v>
      </c>
      <c r="D299" s="1" t="s">
        <v>17932</v>
      </c>
      <c r="E299" s="1" t="s">
        <v>18320</v>
      </c>
      <c r="F299" s="1" t="s">
        <v>18321</v>
      </c>
      <c r="G299" s="1" t="s">
        <v>18322</v>
      </c>
      <c r="H299" s="2" t="str">
        <f>Tabella1[[#This Row],[Denominazione]]&amp;" - "&amp;Tabella1[[#This Row],[Città]]</f>
        <v>AGRITURISMO LE VIGNE - FERMO</v>
      </c>
    </row>
    <row r="300" spans="1:8" x14ac:dyDescent="0.25">
      <c r="A300" s="1" t="s">
        <v>35</v>
      </c>
      <c r="B300" s="1" t="s">
        <v>4178</v>
      </c>
      <c r="C300" s="1" t="s">
        <v>4179</v>
      </c>
      <c r="D300" s="1" t="s">
        <v>4175</v>
      </c>
      <c r="E300" s="1" t="s">
        <v>4175</v>
      </c>
      <c r="G300" s="1" t="s">
        <v>4180</v>
      </c>
      <c r="H300" s="2" t="str">
        <f>Tabella1[[#This Row],[Denominazione]]&amp;" - "&amp;Tabella1[[#This Row],[Città]]</f>
        <v>AGRITURISMO L'EIA DI CARETTI - PIOBBICO</v>
      </c>
    </row>
    <row r="301" spans="1:8" x14ac:dyDescent="0.25">
      <c r="A301" s="1" t="s">
        <v>35</v>
      </c>
      <c r="B301" s="1" t="s">
        <v>11968</v>
      </c>
      <c r="C301" s="1" t="s">
        <v>11969</v>
      </c>
      <c r="D301" s="1" t="s">
        <v>11883</v>
      </c>
      <c r="E301" s="1" t="s">
        <v>11883</v>
      </c>
      <c r="H301" s="2" t="str">
        <f>Tabella1[[#This Row],[Denominazione]]&amp;" - "&amp;Tabella1[[#This Row],[Città]]</f>
        <v>AGRITURISMO LOCALITA' CASTELLO - GUALDO</v>
      </c>
    </row>
    <row r="302" spans="1:8" x14ac:dyDescent="0.25">
      <c r="A302" s="1" t="s">
        <v>35</v>
      </c>
      <c r="B302" s="1" t="s">
        <v>17778</v>
      </c>
      <c r="C302" s="1" t="s">
        <v>17779</v>
      </c>
      <c r="D302" s="1" t="s">
        <v>17745</v>
      </c>
      <c r="E302" s="1" t="s">
        <v>17745</v>
      </c>
      <c r="G302" s="1" t="s">
        <v>17780</v>
      </c>
      <c r="H302" s="2" t="str">
        <f>Tabella1[[#This Row],[Denominazione]]&amp;" - "&amp;Tabella1[[#This Row],[Città]]</f>
        <v>AGRITURISMO MADONNA DI PIANA - AMANDOLA</v>
      </c>
    </row>
    <row r="303" spans="1:8" x14ac:dyDescent="0.25">
      <c r="A303" s="1" t="s">
        <v>35</v>
      </c>
      <c r="B303" s="1" t="s">
        <v>13985</v>
      </c>
      <c r="C303" s="1" t="s">
        <v>13986</v>
      </c>
      <c r="D303" s="1" t="s">
        <v>13946</v>
      </c>
      <c r="E303" s="1" t="s">
        <v>13946</v>
      </c>
      <c r="F303" s="1" t="s">
        <v>13987</v>
      </c>
      <c r="G303" s="1" t="s">
        <v>13988</v>
      </c>
      <c r="H303" s="2" t="str">
        <f>Tabella1[[#This Row],[Denominazione]]&amp;" - "&amp;Tabella1[[#This Row],[Città]]</f>
        <v>AGRITURISMO MAMMA ROSA - TOLENTINO</v>
      </c>
    </row>
    <row r="304" spans="1:8" x14ac:dyDescent="0.25">
      <c r="A304" s="1" t="s">
        <v>35</v>
      </c>
      <c r="B304" s="1" t="s">
        <v>2731</v>
      </c>
      <c r="C304" s="1" t="s">
        <v>2732</v>
      </c>
      <c r="D304" s="1" t="s">
        <v>2729</v>
      </c>
      <c r="E304" s="1" t="s">
        <v>2729</v>
      </c>
      <c r="G304" s="1" t="s">
        <v>2733</v>
      </c>
      <c r="H304" s="2" t="str">
        <f>Tabella1[[#This Row],[Denominazione]]&amp;" - "&amp;Tabella1[[#This Row],[Città]]</f>
        <v>AGRITURISMO MARIA FABRIZI - MONDAVIO</v>
      </c>
    </row>
    <row r="305" spans="1:8" x14ac:dyDescent="0.25">
      <c r="A305" s="1" t="s">
        <v>35</v>
      </c>
      <c r="B305" s="1" t="s">
        <v>18497</v>
      </c>
      <c r="C305" s="1" t="s">
        <v>18498</v>
      </c>
      <c r="D305" s="1" t="s">
        <v>18499</v>
      </c>
      <c r="E305" s="1" t="s">
        <v>18499</v>
      </c>
      <c r="F305" s="1" t="s">
        <v>18500</v>
      </c>
      <c r="G305" s="1" t="s">
        <v>18501</v>
      </c>
      <c r="H305" s="2" t="str">
        <f>Tabella1[[#This Row],[Denominazione]]&amp;" - "&amp;Tabella1[[#This Row],[Città]]</f>
        <v>AGRITURISMO MARULLA - MONTEFALCONE APPENNINO</v>
      </c>
    </row>
    <row r="306" spans="1:8" x14ac:dyDescent="0.25">
      <c r="A306" s="1" t="s">
        <v>35</v>
      </c>
      <c r="B306" s="1" t="s">
        <v>14057</v>
      </c>
      <c r="C306" s="1" t="s">
        <v>14058</v>
      </c>
      <c r="D306" s="1" t="s">
        <v>13946</v>
      </c>
      <c r="E306" s="1" t="s">
        <v>13946</v>
      </c>
      <c r="G306" s="1" t="s">
        <v>14059</v>
      </c>
      <c r="H306" s="2" t="str">
        <f>Tabella1[[#This Row],[Denominazione]]&amp;" - "&amp;Tabella1[[#This Row],[Città]]</f>
        <v>AGRITURISMO MERLINI - TOLENTINO</v>
      </c>
    </row>
    <row r="307" spans="1:8" x14ac:dyDescent="0.25">
      <c r="A307" s="1" t="s">
        <v>35</v>
      </c>
      <c r="B307" s="1" t="s">
        <v>4378</v>
      </c>
      <c r="C307" s="1" t="s">
        <v>4379</v>
      </c>
      <c r="D307" s="1" t="s">
        <v>4359</v>
      </c>
      <c r="E307" s="1" t="s">
        <v>4359</v>
      </c>
      <c r="F307" s="1" t="s">
        <v>4380</v>
      </c>
      <c r="G307" s="1" t="s">
        <v>4381</v>
      </c>
      <c r="H307" s="2" t="str">
        <f>Tabella1[[#This Row],[Denominazione]]&amp;" - "&amp;Tabella1[[#This Row],[Città]]</f>
        <v>AGRITURISMO MIRALBELLO - SAN LORENZO IN CAMPO</v>
      </c>
    </row>
    <row r="308" spans="1:8" x14ac:dyDescent="0.25">
      <c r="A308" s="1" t="s">
        <v>35</v>
      </c>
      <c r="B308" s="1" t="s">
        <v>471</v>
      </c>
      <c r="C308" s="1" t="s">
        <v>472</v>
      </c>
      <c r="D308" s="1" t="s">
        <v>316</v>
      </c>
      <c r="E308" s="1" t="s">
        <v>316</v>
      </c>
      <c r="H308" s="2" t="str">
        <f>Tabella1[[#This Row],[Denominazione]]&amp;" - "&amp;Tabella1[[#This Row],[Città]]</f>
        <v>AGRITURISMO MOLLEONE - CAGLI</v>
      </c>
    </row>
    <row r="309" spans="1:8" x14ac:dyDescent="0.25">
      <c r="A309" s="1" t="s">
        <v>35</v>
      </c>
      <c r="B309" s="1" t="s">
        <v>1227</v>
      </c>
      <c r="C309" s="1" t="s">
        <v>958</v>
      </c>
      <c r="D309" s="1" t="s">
        <v>682</v>
      </c>
      <c r="E309" s="1" t="s">
        <v>682</v>
      </c>
      <c r="G309" s="1" t="s">
        <v>1228</v>
      </c>
      <c r="H309" s="2" t="str">
        <f>Tabella1[[#This Row],[Denominazione]]&amp;" - "&amp;Tabella1[[#This Row],[Città]]</f>
        <v>AGRITURISMO MONTE GIOVE - FANO</v>
      </c>
    </row>
    <row r="310" spans="1:8" x14ac:dyDescent="0.25">
      <c r="A310" s="1" t="s">
        <v>35</v>
      </c>
      <c r="B310" s="1" t="s">
        <v>18436</v>
      </c>
      <c r="C310" s="1" t="s">
        <v>18437</v>
      </c>
      <c r="D310" s="1" t="s">
        <v>18389</v>
      </c>
      <c r="E310" s="1" t="s">
        <v>18438</v>
      </c>
      <c r="F310" s="1" t="s">
        <v>18439</v>
      </c>
      <c r="G310" s="1" t="s">
        <v>18440</v>
      </c>
      <c r="H310" s="2" t="str">
        <f>Tabella1[[#This Row],[Denominazione]]&amp;" - "&amp;Tabella1[[#This Row],[Città]]</f>
        <v>AGRITURISMO MONTE MAGGIO - LAPEDONA</v>
      </c>
    </row>
    <row r="311" spans="1:8" x14ac:dyDescent="0.25">
      <c r="A311" s="1" t="s">
        <v>35</v>
      </c>
      <c r="B311" s="1" t="s">
        <v>1827</v>
      </c>
      <c r="C311" s="1" t="s">
        <v>1828</v>
      </c>
      <c r="D311" s="1" t="s">
        <v>1810</v>
      </c>
      <c r="E311" s="1" t="s">
        <v>1829</v>
      </c>
      <c r="F311" s="1" t="s">
        <v>1830</v>
      </c>
      <c r="G311" s="1" t="s">
        <v>1831</v>
      </c>
      <c r="H311" s="2" t="str">
        <f>Tabella1[[#This Row],[Denominazione]]&amp;" - "&amp;Tabella1[[#This Row],[Città]]</f>
        <v>AGRITURISMO MONTEFIORENTINO - FRONTINO</v>
      </c>
    </row>
    <row r="312" spans="1:8" x14ac:dyDescent="0.25">
      <c r="A312" s="1" t="s">
        <v>35</v>
      </c>
      <c r="B312" s="1" t="s">
        <v>18004</v>
      </c>
      <c r="C312" s="1" t="s">
        <v>18005</v>
      </c>
      <c r="D312" s="1" t="s">
        <v>17932</v>
      </c>
      <c r="E312" s="1" t="s">
        <v>17932</v>
      </c>
      <c r="G312" s="1" t="s">
        <v>18006</v>
      </c>
      <c r="H312" s="2" t="str">
        <f>Tabella1[[#This Row],[Denominazione]]&amp;" - "&amp;Tabella1[[#This Row],[Città]]</f>
        <v>AGRITURISMO MONTEROSATO - FERMO</v>
      </c>
    </row>
    <row r="313" spans="1:8" x14ac:dyDescent="0.25">
      <c r="A313" s="1" t="s">
        <v>35</v>
      </c>
      <c r="B313" s="1" t="s">
        <v>18806</v>
      </c>
      <c r="C313" s="1" t="s">
        <v>18807</v>
      </c>
      <c r="D313" s="1" t="s">
        <v>18783</v>
      </c>
      <c r="E313" s="1" t="s">
        <v>18783</v>
      </c>
      <c r="F313" s="1" t="s">
        <v>18808</v>
      </c>
      <c r="G313" s="1" t="s">
        <v>18809</v>
      </c>
      <c r="H313" s="2" t="str">
        <f>Tabella1[[#This Row],[Denominazione]]&amp;" - "&amp;Tabella1[[#This Row],[Città]]</f>
        <v>AGRITURISMO MONTESICURO - MONTERUBBIANO</v>
      </c>
    </row>
    <row r="314" spans="1:8" x14ac:dyDescent="0.25">
      <c r="A314" s="1" t="s">
        <v>35</v>
      </c>
      <c r="B314" s="1" t="s">
        <v>18733</v>
      </c>
      <c r="D314" s="1" t="s">
        <v>18702</v>
      </c>
      <c r="E314" s="1" t="s">
        <v>18734</v>
      </c>
      <c r="G314" s="1" t="s">
        <v>18735</v>
      </c>
      <c r="H314" s="2" t="str">
        <f>Tabella1[[#This Row],[Denominazione]]&amp;" - "&amp;Tabella1[[#This Row],[Città]]</f>
        <v>AGRITURISMO MONTEVERDE - MONTELPARO</v>
      </c>
    </row>
    <row r="315" spans="1:8" x14ac:dyDescent="0.25">
      <c r="A315" s="1" t="s">
        <v>35</v>
      </c>
      <c r="B315" s="1" t="s">
        <v>18777</v>
      </c>
      <c r="C315" s="1" t="s">
        <v>18778</v>
      </c>
      <c r="D315" s="1" t="s">
        <v>18757</v>
      </c>
      <c r="E315" s="1" t="s">
        <v>18757</v>
      </c>
      <c r="F315" s="1" t="s">
        <v>18779</v>
      </c>
      <c r="G315" s="1" t="s">
        <v>18780</v>
      </c>
      <c r="H315" s="2" t="str">
        <f>Tabella1[[#This Row],[Denominazione]]&amp;" - "&amp;Tabella1[[#This Row],[Città]]</f>
        <v>AGRITURISMO MONTORSO - MONTE RINALDO</v>
      </c>
    </row>
    <row r="316" spans="1:8" x14ac:dyDescent="0.25">
      <c r="A316" s="1" t="s">
        <v>35</v>
      </c>
      <c r="B316" s="1" t="s">
        <v>277</v>
      </c>
      <c r="C316" s="1" t="s">
        <v>278</v>
      </c>
      <c r="D316" s="1" t="s">
        <v>266</v>
      </c>
      <c r="E316" s="1" t="s">
        <v>266</v>
      </c>
      <c r="H316" s="2" t="str">
        <f>Tabella1[[#This Row],[Denominazione]]&amp;" - "&amp;Tabella1[[#This Row],[Città]]</f>
        <v>AGRITURISMO MORETTI MARCO - BORGO PACE</v>
      </c>
    </row>
    <row r="317" spans="1:8" x14ac:dyDescent="0.25">
      <c r="A317" s="1" t="s">
        <v>35</v>
      </c>
      <c r="B317" s="1" t="s">
        <v>13949</v>
      </c>
      <c r="C317" s="1" t="s">
        <v>13950</v>
      </c>
      <c r="D317" s="1" t="s">
        <v>13946</v>
      </c>
      <c r="E317" s="1" t="s">
        <v>13946</v>
      </c>
      <c r="F317" s="1" t="s">
        <v>13951</v>
      </c>
      <c r="G317" s="1" t="s">
        <v>13952</v>
      </c>
      <c r="H317" s="2" t="str">
        <f>Tabella1[[#This Row],[Denominazione]]&amp;" - "&amp;Tabella1[[#This Row],[Città]]</f>
        <v>AGRITURISMO NONNO GIRO' - TOLENTINO</v>
      </c>
    </row>
    <row r="318" spans="1:8" x14ac:dyDescent="0.25">
      <c r="A318" s="1" t="s">
        <v>35</v>
      </c>
      <c r="B318" s="1" t="s">
        <v>16464</v>
      </c>
      <c r="C318" s="1" t="s">
        <v>16465</v>
      </c>
      <c r="D318" s="1" t="s">
        <v>16440</v>
      </c>
      <c r="E318" s="1" t="s">
        <v>16466</v>
      </c>
      <c r="G318" s="1" t="s">
        <v>16467</v>
      </c>
      <c r="H318" s="2" t="str">
        <f>Tabella1[[#This Row],[Denominazione]]&amp;" - "&amp;Tabella1[[#This Row],[Città]]</f>
        <v>AGRITURISMO NONNO PIO - OFFIDA</v>
      </c>
    </row>
    <row r="319" spans="1:8" x14ac:dyDescent="0.25">
      <c r="A319" s="1" t="s">
        <v>35</v>
      </c>
      <c r="B319" s="1" t="s">
        <v>15969</v>
      </c>
      <c r="C319" s="1" t="s">
        <v>15970</v>
      </c>
      <c r="D319" s="1" t="s">
        <v>5692</v>
      </c>
      <c r="E319" s="1" t="s">
        <v>5692</v>
      </c>
      <c r="F319" s="1" t="s">
        <v>15971</v>
      </c>
      <c r="G319" s="1" t="s">
        <v>15972</v>
      </c>
      <c r="H319" s="2" t="str">
        <f>Tabella1[[#This Row],[Denominazione]]&amp;" - "&amp;Tabella1[[#This Row],[Città]]</f>
        <v>AGRITURISMO OASI - MASSIGNANO</v>
      </c>
    </row>
    <row r="320" spans="1:8" x14ac:dyDescent="0.25">
      <c r="A320" s="1" t="s">
        <v>35</v>
      </c>
      <c r="B320" s="1" t="s">
        <v>9838</v>
      </c>
      <c r="C320" s="1" t="s">
        <v>9839</v>
      </c>
      <c r="D320" s="1" t="s">
        <v>8949</v>
      </c>
      <c r="E320" s="1" t="s">
        <v>8949</v>
      </c>
      <c r="F320" s="1" t="s">
        <v>9840</v>
      </c>
      <c r="G320" s="1" t="s">
        <v>9841</v>
      </c>
      <c r="H320" s="2" t="str">
        <f>Tabella1[[#This Row],[Denominazione]]&amp;" - "&amp;Tabella1[[#This Row],[Città]]</f>
        <v>AGRITURISMO OASI  BIO VERDE MARINA - SENIGALLIA</v>
      </c>
    </row>
    <row r="321" spans="1:8" x14ac:dyDescent="0.25">
      <c r="A321" s="1" t="s">
        <v>35</v>
      </c>
      <c r="B321" s="1" t="s">
        <v>7818</v>
      </c>
      <c r="C321" s="1" t="s">
        <v>7819</v>
      </c>
      <c r="D321" s="1" t="s">
        <v>7811</v>
      </c>
      <c r="F321" s="1" t="s">
        <v>7820</v>
      </c>
      <c r="G321" s="1" t="s">
        <v>7821</v>
      </c>
      <c r="H321" s="2" t="str">
        <f>Tabella1[[#This Row],[Denominazione]]&amp;" - "&amp;Tabella1[[#This Row],[Città]]</f>
        <v>AGRITURISMO OLIODIVINO - MONTE ROBERTO</v>
      </c>
    </row>
    <row r="322" spans="1:8" x14ac:dyDescent="0.25">
      <c r="A322" s="1" t="s">
        <v>35</v>
      </c>
      <c r="B322" s="1" t="s">
        <v>4792</v>
      </c>
      <c r="C322" s="1" t="s">
        <v>4793</v>
      </c>
      <c r="D322" s="1" t="s">
        <v>4735</v>
      </c>
      <c r="E322" s="1" t="s">
        <v>4735</v>
      </c>
      <c r="F322" s="1" t="s">
        <v>4794</v>
      </c>
      <c r="G322" s="1" t="s">
        <v>4795</v>
      </c>
      <c r="H322" s="2" t="str">
        <f>Tabella1[[#This Row],[Denominazione]]&amp;" - "&amp;Tabella1[[#This Row],[Città]]</f>
        <v>AGRITURISMO ORSAIOLA - URBANIA</v>
      </c>
    </row>
    <row r="323" spans="1:8" x14ac:dyDescent="0.25">
      <c r="A323" s="1" t="s">
        <v>35</v>
      </c>
      <c r="B323" s="1" t="s">
        <v>19656</v>
      </c>
      <c r="C323" s="1" t="s">
        <v>19657</v>
      </c>
      <c r="D323" s="1" t="s">
        <v>19649</v>
      </c>
      <c r="E323" s="1" t="s">
        <v>19649</v>
      </c>
      <c r="H323" s="2" t="str">
        <f>Tabella1[[#This Row],[Denominazione]]&amp;" - "&amp;Tabella1[[#This Row],[Città]]</f>
        <v>AGRITURISMO PACIOTTI PACIFICO - SMERILLO</v>
      </c>
    </row>
    <row r="324" spans="1:8" x14ac:dyDescent="0.25">
      <c r="A324" s="1" t="s">
        <v>35</v>
      </c>
      <c r="B324" s="1" t="s">
        <v>2605</v>
      </c>
      <c r="C324" s="1" t="s">
        <v>2606</v>
      </c>
      <c r="D324" s="1" t="s">
        <v>2594</v>
      </c>
      <c r="E324" s="1" t="s">
        <v>2594</v>
      </c>
      <c r="F324" s="1" t="s">
        <v>2607</v>
      </c>
      <c r="G324" s="1" t="s">
        <v>2608</v>
      </c>
      <c r="H324" s="2" t="str">
        <f>Tabella1[[#This Row],[Denominazione]]&amp;" - "&amp;Tabella1[[#This Row],[Città]]</f>
        <v>AGRITURISMO PALAZZO DONATI - MERCATELLO SUL METAURO</v>
      </c>
    </row>
    <row r="325" spans="1:8" x14ac:dyDescent="0.25">
      <c r="A325" s="1" t="s">
        <v>35</v>
      </c>
      <c r="B325" s="1" t="s">
        <v>8635</v>
      </c>
      <c r="C325" s="1" t="s">
        <v>8636</v>
      </c>
      <c r="D325" s="1" t="s">
        <v>8608</v>
      </c>
      <c r="E325" s="1" t="s">
        <v>8608</v>
      </c>
      <c r="H325" s="2" t="str">
        <f>Tabella1[[#This Row],[Denominazione]]&amp;" - "&amp;Tabella1[[#This Row],[Città]]</f>
        <v>AGRITURISMO PARADISO - OSTRA</v>
      </c>
    </row>
    <row r="326" spans="1:8" x14ac:dyDescent="0.25">
      <c r="A326" s="1" t="s">
        <v>35</v>
      </c>
      <c r="B326" s="1" t="s">
        <v>3913</v>
      </c>
      <c r="C326" s="1" t="s">
        <v>3914</v>
      </c>
      <c r="D326" s="1" t="s">
        <v>2386</v>
      </c>
      <c r="E326" s="1" t="s">
        <v>2386</v>
      </c>
      <c r="F326" s="1" t="s">
        <v>3915</v>
      </c>
      <c r="G326" s="1" t="s">
        <v>3916</v>
      </c>
      <c r="H326" s="2" t="str">
        <f>Tabella1[[#This Row],[Denominazione]]&amp;" - "&amp;Tabella1[[#This Row],[Città]]</f>
        <v>AGRITURISMO PARADISOINCOLLINA - PESARO</v>
      </c>
    </row>
    <row r="327" spans="1:8" x14ac:dyDescent="0.25">
      <c r="A327" s="1" t="s">
        <v>35</v>
      </c>
      <c r="B327" s="1" t="s">
        <v>11666</v>
      </c>
      <c r="C327" s="1" t="s">
        <v>11667</v>
      </c>
      <c r="D327" s="1" t="s">
        <v>11244</v>
      </c>
      <c r="E327" s="1" t="s">
        <v>11244</v>
      </c>
      <c r="F327" s="1" t="s">
        <v>11668</v>
      </c>
      <c r="G327" s="1" t="s">
        <v>11669</v>
      </c>
      <c r="H327" s="2" t="str">
        <f>Tabella1[[#This Row],[Denominazione]]&amp;" - "&amp;Tabella1[[#This Row],[Città]]</f>
        <v>AGRITURISMO PARISI - CIVITANOVA MARCHE</v>
      </c>
    </row>
    <row r="328" spans="1:8" x14ac:dyDescent="0.25">
      <c r="A328" s="1" t="s">
        <v>35</v>
      </c>
      <c r="B328" s="1" t="s">
        <v>7687</v>
      </c>
      <c r="C328" s="1" t="s">
        <v>7688</v>
      </c>
      <c r="D328" s="1" t="s">
        <v>7678</v>
      </c>
      <c r="E328" s="1" t="s">
        <v>7678</v>
      </c>
      <c r="F328" s="1" t="s">
        <v>7689</v>
      </c>
      <c r="G328" s="1" t="s">
        <v>7690</v>
      </c>
      <c r="H328" s="2" t="str">
        <f>Tabella1[[#This Row],[Denominazione]]&amp;" - "&amp;Tabella1[[#This Row],[Città]]</f>
        <v>AGRITURISMO PARVA DOMUS - MONTECAROTTO</v>
      </c>
    </row>
    <row r="329" spans="1:8" x14ac:dyDescent="0.25">
      <c r="A329" s="1" t="s">
        <v>35</v>
      </c>
      <c r="B329" s="1" t="s">
        <v>754</v>
      </c>
      <c r="C329" s="1" t="s">
        <v>755</v>
      </c>
      <c r="D329" s="1" t="s">
        <v>682</v>
      </c>
      <c r="E329" s="1" t="s">
        <v>682</v>
      </c>
      <c r="F329" s="1" t="s">
        <v>756</v>
      </c>
      <c r="G329" s="1" t="s">
        <v>757</v>
      </c>
      <c r="H329" s="2" t="str">
        <f>Tabella1[[#This Row],[Denominazione]]&amp;" - "&amp;Tabella1[[#This Row],[Città]]</f>
        <v>AGRITURISMO PETTIROSSO - FANO</v>
      </c>
    </row>
    <row r="330" spans="1:8" x14ac:dyDescent="0.25">
      <c r="A330" s="1" t="s">
        <v>35</v>
      </c>
      <c r="B330" s="1" t="s">
        <v>1897</v>
      </c>
      <c r="C330" s="1" t="s">
        <v>1898</v>
      </c>
      <c r="D330" s="1" t="s">
        <v>356</v>
      </c>
      <c r="E330" s="1" t="s">
        <v>356</v>
      </c>
      <c r="G330" s="1" t="s">
        <v>1899</v>
      </c>
      <c r="H330" s="2" t="str">
        <f>Tabella1[[#This Row],[Denominazione]]&amp;" - "&amp;Tabella1[[#This Row],[Città]]</f>
        <v>AGRITURISMO PIAN DI GALLO - FRONTONE</v>
      </c>
    </row>
    <row r="331" spans="1:8" x14ac:dyDescent="0.25">
      <c r="A331" s="1" t="s">
        <v>35</v>
      </c>
      <c r="B331" s="1" t="s">
        <v>114</v>
      </c>
      <c r="C331" s="1" t="s">
        <v>115</v>
      </c>
      <c r="D331" s="1" t="s">
        <v>102</v>
      </c>
      <c r="E331" s="1" t="s">
        <v>116</v>
      </c>
      <c r="F331" s="1" t="s">
        <v>117</v>
      </c>
      <c r="G331" s="1" t="s">
        <v>118</v>
      </c>
      <c r="H331" s="2" t="str">
        <f>Tabella1[[#This Row],[Denominazione]]&amp;" - "&amp;Tabella1[[#This Row],[Città]]</f>
        <v>AGRITURISMO PIANDIMOLINO - APECCHIO</v>
      </c>
    </row>
    <row r="332" spans="1:8" x14ac:dyDescent="0.25">
      <c r="A332" s="1" t="s">
        <v>35</v>
      </c>
      <c r="B332" s="1" t="s">
        <v>16649</v>
      </c>
      <c r="D332" s="1" t="s">
        <v>16585</v>
      </c>
      <c r="F332" s="1" t="s">
        <v>16650</v>
      </c>
      <c r="G332" s="1" t="s">
        <v>16651</v>
      </c>
      <c r="H332" s="2" t="str">
        <f>Tabella1[[#This Row],[Denominazione]]&amp;" - "&amp;Tabella1[[#This Row],[Città]]</f>
        <v>AGRITURISMO PIETRA ANTICA - RIPATRANSONE</v>
      </c>
    </row>
    <row r="333" spans="1:8" x14ac:dyDescent="0.25">
      <c r="A333" s="1" t="s">
        <v>35</v>
      </c>
      <c r="B333" s="1" t="s">
        <v>140</v>
      </c>
      <c r="C333" s="1" t="s">
        <v>141</v>
      </c>
      <c r="D333" s="1" t="s">
        <v>102</v>
      </c>
      <c r="E333" s="1" t="s">
        <v>142</v>
      </c>
      <c r="F333" s="1" t="s">
        <v>143</v>
      </c>
      <c r="G333" s="1" t="s">
        <v>144</v>
      </c>
      <c r="H333" s="2" t="str">
        <f>Tabella1[[#This Row],[Denominazione]]&amp;" - "&amp;Tabella1[[#This Row],[Città]]</f>
        <v>AGRITURISMO PIEVE DI SAN PAOLO - APECCHIO</v>
      </c>
    </row>
    <row r="334" spans="1:8" x14ac:dyDescent="0.25">
      <c r="A334" s="1" t="s">
        <v>35</v>
      </c>
      <c r="B334" s="1" t="s">
        <v>14063</v>
      </c>
      <c r="C334" s="1" t="s">
        <v>14064</v>
      </c>
      <c r="D334" s="1" t="s">
        <v>14065</v>
      </c>
      <c r="E334" s="1" t="s">
        <v>14066</v>
      </c>
      <c r="G334" s="1" t="s">
        <v>14067</v>
      </c>
      <c r="H334" s="2" t="str">
        <f>Tabella1[[#This Row],[Denominazione]]&amp;" - "&amp;Tabella1[[#This Row],[Città]]</f>
        <v>AGRITURISMO POGGIO AJANO - TREIA</v>
      </c>
    </row>
    <row r="335" spans="1:8" x14ac:dyDescent="0.25">
      <c r="A335" s="1" t="s">
        <v>35</v>
      </c>
      <c r="B335" s="1" t="s">
        <v>4484</v>
      </c>
      <c r="C335" s="1" t="s">
        <v>4485</v>
      </c>
      <c r="D335" s="1" t="s">
        <v>4465</v>
      </c>
      <c r="E335" s="1" t="s">
        <v>4469</v>
      </c>
      <c r="F335" s="1" t="s">
        <v>4486</v>
      </c>
      <c r="G335" s="1" t="s">
        <v>4487</v>
      </c>
      <c r="H335" s="2" t="str">
        <f>Tabella1[[#This Row],[Denominazione]]&amp;" - "&amp;Tabella1[[#This Row],[Città]]</f>
        <v>AGRITURISMO POGGIOLIVO - SANT'IPPOLITO</v>
      </c>
    </row>
    <row r="336" spans="1:8" x14ac:dyDescent="0.25">
      <c r="A336" s="1" t="s">
        <v>35</v>
      </c>
      <c r="B336" s="1" t="s">
        <v>12585</v>
      </c>
      <c r="C336" s="1" t="s">
        <v>12586</v>
      </c>
      <c r="D336" s="1" t="s">
        <v>12546</v>
      </c>
      <c r="E336" s="1" t="s">
        <v>12587</v>
      </c>
      <c r="F336" s="1" t="s">
        <v>12588</v>
      </c>
      <c r="G336" s="1" t="s">
        <v>12589</v>
      </c>
      <c r="H336" s="2" t="str">
        <f>Tabella1[[#This Row],[Denominazione]]&amp;" - "&amp;Tabella1[[#This Row],[Città]]</f>
        <v>AGRITURISMO PONTEROSA - MORROVALLE</v>
      </c>
    </row>
    <row r="337" spans="1:8" x14ac:dyDescent="0.25">
      <c r="A337" s="1" t="s">
        <v>35</v>
      </c>
      <c r="B337" s="1" t="s">
        <v>13964</v>
      </c>
      <c r="D337" s="1" t="s">
        <v>13946</v>
      </c>
      <c r="E337" s="1" t="s">
        <v>13946</v>
      </c>
      <c r="H337" s="2" t="str">
        <f>Tabella1[[#This Row],[Denominazione]]&amp;" - "&amp;Tabella1[[#This Row],[Città]]</f>
        <v>AGRITURISMO PONZI-ORFINI - TOLENTINO</v>
      </c>
    </row>
    <row r="338" spans="1:8" x14ac:dyDescent="0.25">
      <c r="A338" s="1" t="s">
        <v>35</v>
      </c>
      <c r="B338" s="1" t="s">
        <v>8644</v>
      </c>
      <c r="C338" s="1" t="s">
        <v>8645</v>
      </c>
      <c r="D338" s="1" t="s">
        <v>8608</v>
      </c>
      <c r="E338" s="1" t="s">
        <v>8608</v>
      </c>
      <c r="F338" s="1" t="s">
        <v>8646</v>
      </c>
      <c r="G338" s="1" t="s">
        <v>8647</v>
      </c>
      <c r="H338" s="2" t="str">
        <f>Tabella1[[#This Row],[Denominazione]]&amp;" - "&amp;Tabella1[[#This Row],[Città]]</f>
        <v>AGRITURISMO POZZOSANTO - OSTRA</v>
      </c>
    </row>
    <row r="339" spans="1:8" x14ac:dyDescent="0.25">
      <c r="A339" s="1" t="s">
        <v>35</v>
      </c>
      <c r="B339" s="1" t="s">
        <v>4604</v>
      </c>
      <c r="C339" s="1" t="s">
        <v>4605</v>
      </c>
      <c r="D339" s="1" t="s">
        <v>4578</v>
      </c>
      <c r="E339" s="1" t="s">
        <v>4578</v>
      </c>
      <c r="F339" s="1" t="s">
        <v>4606</v>
      </c>
      <c r="G339" s="1" t="s">
        <v>4607</v>
      </c>
      <c r="H339" s="2" t="str">
        <f>Tabella1[[#This Row],[Denominazione]]&amp;" - "&amp;Tabella1[[#This Row],[Città]]</f>
        <v>AGRITURISMO POZZUOLO - SERRUNGARINA</v>
      </c>
    </row>
    <row r="340" spans="1:8" x14ac:dyDescent="0.25">
      <c r="A340" s="1" t="s">
        <v>35</v>
      </c>
      <c r="B340" s="1" t="s">
        <v>15558</v>
      </c>
      <c r="C340" s="1" t="s">
        <v>15559</v>
      </c>
      <c r="D340" s="1" t="s">
        <v>15560</v>
      </c>
      <c r="E340" s="1" t="s">
        <v>15561</v>
      </c>
      <c r="F340" s="1" t="s">
        <v>15562</v>
      </c>
      <c r="G340" s="1" t="s">
        <v>15563</v>
      </c>
      <c r="H340" s="2" t="str">
        <f>Tabella1[[#This Row],[Denominazione]]&amp;" - "&amp;Tabella1[[#This Row],[Città]]</f>
        <v>AGRITURISMO RAMUSE di CICCIOLI PAOLO - FORCE</v>
      </c>
    </row>
    <row r="341" spans="1:8" x14ac:dyDescent="0.25">
      <c r="A341" s="1" t="s">
        <v>35</v>
      </c>
      <c r="B341" s="1" t="s">
        <v>3227</v>
      </c>
      <c r="C341" s="1" t="s">
        <v>3228</v>
      </c>
      <c r="D341" s="1" t="s">
        <v>3222</v>
      </c>
      <c r="G341" s="1" t="s">
        <v>3229</v>
      </c>
      <c r="H341" s="2" t="str">
        <f>Tabella1[[#This Row],[Denominazione]]&amp;" - "&amp;Tabella1[[#This Row],[Città]]</f>
        <v>AGRITURISMO REGINA DI FIORI - MONTE PORZIO</v>
      </c>
    </row>
    <row r="342" spans="1:8" x14ac:dyDescent="0.25">
      <c r="A342" s="1" t="s">
        <v>35</v>
      </c>
      <c r="B342" s="1" t="s">
        <v>16669</v>
      </c>
      <c r="C342" s="1" t="s">
        <v>16670</v>
      </c>
      <c r="D342" s="1" t="s">
        <v>16585</v>
      </c>
      <c r="E342" s="1" t="s">
        <v>16585</v>
      </c>
      <c r="F342" s="1" t="s">
        <v>16671</v>
      </c>
      <c r="G342" s="1" t="s">
        <v>16672</v>
      </c>
      <c r="H342" s="2" t="str">
        <f>Tabella1[[#This Row],[Denominazione]]&amp;" - "&amp;Tabella1[[#This Row],[Città]]</f>
        <v>AGRITURISMO RELAIS DEL COLLE - RIPATRANSONE</v>
      </c>
    </row>
    <row r="343" spans="1:8" x14ac:dyDescent="0.25">
      <c r="A343" s="1" t="s">
        <v>35</v>
      </c>
      <c r="B343" s="1" t="s">
        <v>18707</v>
      </c>
      <c r="C343" s="1" t="s">
        <v>18708</v>
      </c>
      <c r="D343" s="1" t="s">
        <v>18702</v>
      </c>
      <c r="E343" s="1" t="s">
        <v>18702</v>
      </c>
      <c r="F343" s="1" t="s">
        <v>18709</v>
      </c>
      <c r="G343" s="1" t="s">
        <v>18710</v>
      </c>
      <c r="H343" s="2" t="str">
        <f>Tabella1[[#This Row],[Denominazione]]&amp;" - "&amp;Tabella1[[#This Row],[Città]]</f>
        <v>AGRITURISMO RESIDENCE SINFONIE DEL BOSCO - MONTELPARO</v>
      </c>
    </row>
    <row r="344" spans="1:8" x14ac:dyDescent="0.25">
      <c r="A344" s="1" t="s">
        <v>35</v>
      </c>
      <c r="B344" s="1" t="s">
        <v>10935</v>
      </c>
      <c r="C344" s="1" t="s">
        <v>10936</v>
      </c>
      <c r="D344" s="1" t="s">
        <v>10932</v>
      </c>
      <c r="E344" s="1" t="s">
        <v>10932</v>
      </c>
      <c r="F344" s="1" t="s">
        <v>10937</v>
      </c>
      <c r="G344" s="1" t="s">
        <v>10938</v>
      </c>
      <c r="H344" s="2" t="str">
        <f>Tabella1[[#This Row],[Denominazione]]&amp;" - "&amp;Tabella1[[#This Row],[Città]]</f>
        <v>AGRITURISMO ROTABELLA - CASTELRAIMONDO</v>
      </c>
    </row>
    <row r="345" spans="1:8" x14ac:dyDescent="0.25">
      <c r="A345" s="1" t="s">
        <v>35</v>
      </c>
      <c r="B345" s="1" t="s">
        <v>4811</v>
      </c>
      <c r="C345" s="1" t="s">
        <v>4812</v>
      </c>
      <c r="D345" s="1" t="s">
        <v>4735</v>
      </c>
      <c r="E345" s="1" t="s">
        <v>4735</v>
      </c>
      <c r="F345" s="1" t="s">
        <v>4813</v>
      </c>
      <c r="G345" s="1" t="s">
        <v>4814</v>
      </c>
      <c r="H345" s="2" t="str">
        <f>Tabella1[[#This Row],[Denominazione]]&amp;" - "&amp;Tabella1[[#This Row],[Città]]</f>
        <v>AGRITURISMO S. ALESSANDRO - URBANIA</v>
      </c>
    </row>
    <row r="346" spans="1:8" x14ac:dyDescent="0.25">
      <c r="A346" s="1" t="s">
        <v>35</v>
      </c>
      <c r="B346" s="1" t="s">
        <v>310</v>
      </c>
      <c r="D346" s="1" t="s">
        <v>266</v>
      </c>
      <c r="E346" s="1" t="s">
        <v>311</v>
      </c>
      <c r="F346" s="1" t="s">
        <v>312</v>
      </c>
      <c r="G346" s="1" t="s">
        <v>313</v>
      </c>
      <c r="H346" s="2" t="str">
        <f>Tabella1[[#This Row],[Denominazione]]&amp;" - "&amp;Tabella1[[#This Row],[Città]]</f>
        <v>AGRITURISMO SACCHIA ART FARM - BORGO PACE</v>
      </c>
    </row>
    <row r="347" spans="1:8" x14ac:dyDescent="0.25">
      <c r="A347" s="1" t="s">
        <v>35</v>
      </c>
      <c r="B347" s="1" t="s">
        <v>4467</v>
      </c>
      <c r="C347" s="1" t="s">
        <v>4468</v>
      </c>
      <c r="D347" s="1" t="s">
        <v>4465</v>
      </c>
      <c r="E347" s="1" t="s">
        <v>4469</v>
      </c>
      <c r="F347" s="1" t="s">
        <v>4470</v>
      </c>
      <c r="G347" s="1" t="s">
        <v>4471</v>
      </c>
      <c r="H347" s="2" t="str">
        <f>Tabella1[[#This Row],[Denominazione]]&amp;" - "&amp;Tabella1[[#This Row],[Città]]</f>
        <v>AGRITURISMO SAMSARA - SANT'IPPOLITO</v>
      </c>
    </row>
    <row r="348" spans="1:8" x14ac:dyDescent="0.25">
      <c r="A348" s="1" t="s">
        <v>35</v>
      </c>
      <c r="B348" s="1" t="s">
        <v>12251</v>
      </c>
      <c r="C348" s="1" t="s">
        <v>12252</v>
      </c>
      <c r="D348" s="1" t="s">
        <v>12208</v>
      </c>
      <c r="G348" s="1" t="s">
        <v>12253</v>
      </c>
      <c r="H348" s="2" t="str">
        <f>Tabella1[[#This Row],[Denominazione]]&amp;" - "&amp;Tabella1[[#This Row],[Città]]</f>
        <v>AGRITURISMO SAN BIAGIO - MATELICA</v>
      </c>
    </row>
    <row r="349" spans="1:8" x14ac:dyDescent="0.25">
      <c r="A349" s="1" t="s">
        <v>35</v>
      </c>
      <c r="B349" s="1" t="s">
        <v>12251</v>
      </c>
      <c r="C349" s="1" t="s">
        <v>13891</v>
      </c>
      <c r="D349" s="1" t="s">
        <v>13881</v>
      </c>
      <c r="E349" s="1" t="s">
        <v>13881</v>
      </c>
      <c r="G349" s="1" t="s">
        <v>12253</v>
      </c>
      <c r="H349" s="2" t="str">
        <f>Tabella1[[#This Row],[Denominazione]]&amp;" - "&amp;Tabella1[[#This Row],[Città]]</f>
        <v>AGRITURISMO SAN BIAGIO - SEFRO</v>
      </c>
    </row>
    <row r="350" spans="1:8" x14ac:dyDescent="0.25">
      <c r="A350" s="1" t="s">
        <v>35</v>
      </c>
      <c r="B350" s="1" t="s">
        <v>3293</v>
      </c>
      <c r="C350" s="1" t="s">
        <v>3294</v>
      </c>
      <c r="D350" s="1" t="s">
        <v>3282</v>
      </c>
      <c r="F350" s="1" t="s">
        <v>3295</v>
      </c>
      <c r="G350" s="1" t="s">
        <v>3296</v>
      </c>
      <c r="H350" s="2" t="str">
        <f>Tabella1[[#This Row],[Denominazione]]&amp;" - "&amp;Tabella1[[#This Row],[Città]]</f>
        <v>AGRITURISMO SAN GIUSEPPE - PEGLIO</v>
      </c>
    </row>
    <row r="351" spans="1:8" x14ac:dyDescent="0.25">
      <c r="A351" s="1" t="s">
        <v>35</v>
      </c>
      <c r="B351" s="1" t="s">
        <v>17774</v>
      </c>
      <c r="C351" s="1" t="s">
        <v>17775</v>
      </c>
      <c r="D351" s="1" t="s">
        <v>17745</v>
      </c>
      <c r="E351" s="1" t="s">
        <v>17745</v>
      </c>
      <c r="F351" s="1" t="s">
        <v>17776</v>
      </c>
      <c r="G351" s="1" t="s">
        <v>17777</v>
      </c>
      <c r="H351" s="2" t="str">
        <f>Tabella1[[#This Row],[Denominazione]]&amp;" - "&amp;Tabella1[[#This Row],[Città]]</f>
        <v>AGRITURISMO SAN LORENZO - AMANDOLA</v>
      </c>
    </row>
    <row r="352" spans="1:8" x14ac:dyDescent="0.25">
      <c r="A352" s="1" t="s">
        <v>35</v>
      </c>
      <c r="B352" s="1" t="s">
        <v>4300</v>
      </c>
      <c r="C352" s="1" t="s">
        <v>4301</v>
      </c>
      <c r="D352" s="1" t="s">
        <v>4272</v>
      </c>
      <c r="E352" s="1" t="s">
        <v>4272</v>
      </c>
      <c r="F352" s="1" t="s">
        <v>4302</v>
      </c>
      <c r="G352" s="1" t="s">
        <v>4303</v>
      </c>
      <c r="H352" s="2" t="str">
        <f>Tabella1[[#This Row],[Denominazione]]&amp;" - "&amp;Tabella1[[#This Row],[Città]]</f>
        <v>AGRITURISMO SAN MARTINO - SAN COSTANZO</v>
      </c>
    </row>
    <row r="353" spans="1:8" x14ac:dyDescent="0.25">
      <c r="A353" s="1" t="s">
        <v>35</v>
      </c>
      <c r="B353" s="1" t="s">
        <v>4300</v>
      </c>
      <c r="C353" s="1" t="s">
        <v>12541</v>
      </c>
      <c r="D353" s="1" t="s">
        <v>12519</v>
      </c>
      <c r="E353" s="1" t="s">
        <v>12519</v>
      </c>
      <c r="F353" s="1" t="s">
        <v>12542</v>
      </c>
      <c r="G353" s="1" t="s">
        <v>12543</v>
      </c>
      <c r="H353" s="2" t="str">
        <f>Tabella1[[#This Row],[Denominazione]]&amp;" - "&amp;Tabella1[[#This Row],[Città]]</f>
        <v>AGRITURISMO SAN MARTINO - MONTE SAN MARTINO</v>
      </c>
    </row>
    <row r="354" spans="1:8" x14ac:dyDescent="0.25">
      <c r="A354" s="1" t="s">
        <v>35</v>
      </c>
      <c r="B354" s="1" t="s">
        <v>4300</v>
      </c>
      <c r="C354" s="1" t="s">
        <v>14504</v>
      </c>
      <c r="D354" s="1" t="s">
        <v>14497</v>
      </c>
      <c r="E354" s="1" t="s">
        <v>14497</v>
      </c>
      <c r="G354" s="1" t="s">
        <v>14505</v>
      </c>
      <c r="H354" s="2" t="str">
        <f>Tabella1[[#This Row],[Denominazione]]&amp;" - "&amp;Tabella1[[#This Row],[Città]]</f>
        <v>AGRITURISMO SAN MARTINO - APPIGNANO DEL TRONTO</v>
      </c>
    </row>
    <row r="355" spans="1:8" x14ac:dyDescent="0.25">
      <c r="A355" s="1" t="s">
        <v>35</v>
      </c>
      <c r="B355" s="1" t="s">
        <v>6886</v>
      </c>
      <c r="C355" s="1" t="s">
        <v>6887</v>
      </c>
      <c r="D355" s="1" t="s">
        <v>6790</v>
      </c>
      <c r="E355" s="1" t="s">
        <v>6790</v>
      </c>
      <c r="F355" s="1" t="s">
        <v>6888</v>
      </c>
      <c r="G355" s="1" t="s">
        <v>6889</v>
      </c>
      <c r="H355" s="2" t="str">
        <f>Tabella1[[#This Row],[Denominazione]]&amp;" - "&amp;Tabella1[[#This Row],[Città]]</f>
        <v>AGRITURISMO SAN ROMUALDO - FABRIANO</v>
      </c>
    </row>
    <row r="356" spans="1:8" x14ac:dyDescent="0.25">
      <c r="A356" s="1" t="s">
        <v>35</v>
      </c>
      <c r="B356" s="1" t="s">
        <v>19554</v>
      </c>
      <c r="C356" s="1" t="s">
        <v>19555</v>
      </c>
      <c r="D356" s="1" t="s">
        <v>19541</v>
      </c>
      <c r="E356" s="1" t="s">
        <v>19549</v>
      </c>
      <c r="F356" s="1" t="s">
        <v>19556</v>
      </c>
      <c r="G356" s="1" t="s">
        <v>19557</v>
      </c>
      <c r="H356" s="2" t="str">
        <f>Tabella1[[#This Row],[Denominazione]]&amp;" - "&amp;Tabella1[[#This Row],[Città]]</f>
        <v>AGRITURISMO SANTA CROCE - SANT'ELPIDIO A MARE</v>
      </c>
    </row>
    <row r="357" spans="1:8" x14ac:dyDescent="0.25">
      <c r="A357" s="1" t="s">
        <v>35</v>
      </c>
      <c r="B357" s="1" t="s">
        <v>10624</v>
      </c>
      <c r="C357" s="1" t="s">
        <v>10625</v>
      </c>
      <c r="D357" s="1" t="s">
        <v>10589</v>
      </c>
      <c r="E357" s="1" t="s">
        <v>10589</v>
      </c>
      <c r="F357" s="1" t="s">
        <v>10626</v>
      </c>
      <c r="G357" s="1" t="s">
        <v>10627</v>
      </c>
      <c r="H357" s="2" t="str">
        <f>Tabella1[[#This Row],[Denominazione]]&amp;" - "&amp;Tabella1[[#This Row],[Città]]</f>
        <v>AGRITURISMO SANTA MARIA DEL GALLO - APIRO</v>
      </c>
    </row>
    <row r="358" spans="1:8" x14ac:dyDescent="0.25">
      <c r="A358" s="1" t="s">
        <v>35</v>
      </c>
      <c r="B358" s="1" t="s">
        <v>286</v>
      </c>
      <c r="C358" s="1" t="s">
        <v>287</v>
      </c>
      <c r="D358" s="1" t="s">
        <v>266</v>
      </c>
      <c r="E358" s="1" t="s">
        <v>288</v>
      </c>
      <c r="H358" s="2" t="str">
        <f>Tabella1[[#This Row],[Denominazione]]&amp;" - "&amp;Tabella1[[#This Row],[Città]]</f>
        <v>AGRITURISMO SANTI GILBERTO - BORGO PACE</v>
      </c>
    </row>
    <row r="359" spans="1:8" x14ac:dyDescent="0.25">
      <c r="A359" s="1" t="s">
        <v>35</v>
      </c>
      <c r="B359" s="1" t="s">
        <v>6908</v>
      </c>
      <c r="C359" s="1" t="s">
        <v>6909</v>
      </c>
      <c r="D359" s="1" t="s">
        <v>6790</v>
      </c>
      <c r="E359" s="1" t="s">
        <v>6790</v>
      </c>
      <c r="H359" s="2" t="str">
        <f>Tabella1[[#This Row],[Denominazione]]&amp;" - "&amp;Tabella1[[#This Row],[Città]]</f>
        <v>AGRITURISMO SASCIA - FABRIANO</v>
      </c>
    </row>
    <row r="360" spans="1:8" x14ac:dyDescent="0.25">
      <c r="A360" s="1" t="s">
        <v>35</v>
      </c>
      <c r="B360" s="1" t="s">
        <v>18020</v>
      </c>
      <c r="C360" s="1" t="s">
        <v>18021</v>
      </c>
      <c r="D360" s="1" t="s">
        <v>17932</v>
      </c>
      <c r="E360" s="1" t="s">
        <v>17932</v>
      </c>
      <c r="F360" s="1" t="s">
        <v>18022</v>
      </c>
      <c r="G360" s="1" t="s">
        <v>18023</v>
      </c>
      <c r="H360" s="2" t="str">
        <f>Tabella1[[#This Row],[Denominazione]]&amp;" - "&amp;Tabella1[[#This Row],[Città]]</f>
        <v>Agriturismo SERENA - FERMO</v>
      </c>
    </row>
    <row r="361" spans="1:8" x14ac:dyDescent="0.25">
      <c r="A361" s="1" t="s">
        <v>35</v>
      </c>
      <c r="B361" s="1" t="s">
        <v>19012</v>
      </c>
      <c r="C361" s="1" t="s">
        <v>19013</v>
      </c>
      <c r="D361" s="1" t="s">
        <v>18971</v>
      </c>
      <c r="E361" s="1" t="s">
        <v>18971</v>
      </c>
      <c r="F361" s="1" t="s">
        <v>18022</v>
      </c>
      <c r="G361" s="1" t="s">
        <v>18023</v>
      </c>
      <c r="H361" s="2" t="str">
        <f>Tabella1[[#This Row],[Denominazione]]&amp;" - "&amp;Tabella1[[#This Row],[Città]]</f>
        <v>AGRITURISMO SERENA - PETRITOLI</v>
      </c>
    </row>
    <row r="362" spans="1:8" x14ac:dyDescent="0.25">
      <c r="A362" s="1" t="s">
        <v>35</v>
      </c>
      <c r="B362" s="1" t="s">
        <v>527</v>
      </c>
      <c r="C362" s="1" t="s">
        <v>528</v>
      </c>
      <c r="D362" s="1" t="s">
        <v>316</v>
      </c>
      <c r="F362" s="1" t="s">
        <v>387</v>
      </c>
      <c r="G362" s="1" t="s">
        <v>388</v>
      </c>
      <c r="H362" s="2" t="str">
        <f>Tabella1[[#This Row],[Denominazione]]&amp;" - "&amp;Tabella1[[#This Row],[Città]]</f>
        <v>AGRITURISMO SERRA CANINA - CAGLI</v>
      </c>
    </row>
    <row r="363" spans="1:8" x14ac:dyDescent="0.25">
      <c r="A363" s="1" t="s">
        <v>35</v>
      </c>
      <c r="B363" s="1" t="s">
        <v>12544</v>
      </c>
      <c r="C363" s="1" t="s">
        <v>12545</v>
      </c>
      <c r="D363" s="1" t="s">
        <v>12546</v>
      </c>
      <c r="E363" s="1" t="s">
        <v>12546</v>
      </c>
      <c r="F363" s="1" t="s">
        <v>12547</v>
      </c>
      <c r="G363" s="1" t="s">
        <v>12548</v>
      </c>
      <c r="H363" s="2" t="str">
        <f>Tabella1[[#This Row],[Denominazione]]&amp;" - "&amp;Tabella1[[#This Row],[Città]]</f>
        <v>AGRITURISMO SEVERINI - MORROVALLE</v>
      </c>
    </row>
    <row r="364" spans="1:8" x14ac:dyDescent="0.25">
      <c r="A364" s="1" t="s">
        <v>35</v>
      </c>
      <c r="B364" s="1" t="s">
        <v>4185</v>
      </c>
      <c r="C364" s="1" t="s">
        <v>4186</v>
      </c>
      <c r="D364" s="1" t="s">
        <v>4175</v>
      </c>
      <c r="E364" s="1" t="s">
        <v>4187</v>
      </c>
      <c r="F364" s="1" t="s">
        <v>4188</v>
      </c>
      <c r="G364" s="1" t="s">
        <v>4189</v>
      </c>
      <c r="H364" s="2" t="str">
        <f>Tabella1[[#This Row],[Denominazione]]&amp;" - "&amp;Tabella1[[#This Row],[Città]]</f>
        <v>AGRITURISMO SLOWCANDA - PIOBBICO</v>
      </c>
    </row>
    <row r="365" spans="1:8" x14ac:dyDescent="0.25">
      <c r="A365" s="1" t="s">
        <v>35</v>
      </c>
      <c r="B365" s="1" t="s">
        <v>13148</v>
      </c>
      <c r="C365" s="1" t="s">
        <v>13149</v>
      </c>
      <c r="D365" s="1" t="s">
        <v>13026</v>
      </c>
      <c r="F365" s="1" t="s">
        <v>13150</v>
      </c>
      <c r="G365" s="1" t="s">
        <v>13151</v>
      </c>
      <c r="H365" s="2" t="str">
        <f>Tabella1[[#This Row],[Denominazione]]&amp;" - "&amp;Tabella1[[#This Row],[Città]]</f>
        <v>AGRITURISMO SOGNO D' ESTATE - POTENZA PICENA</v>
      </c>
    </row>
    <row r="366" spans="1:8" x14ac:dyDescent="0.25">
      <c r="A366" s="1" t="s">
        <v>35</v>
      </c>
      <c r="B366" s="1" t="s">
        <v>6863</v>
      </c>
      <c r="C366" s="1" t="s">
        <v>6864</v>
      </c>
      <c r="D366" s="1" t="s">
        <v>6790</v>
      </c>
      <c r="E366" s="1" t="s">
        <v>6790</v>
      </c>
      <c r="G366" s="1" t="s">
        <v>6865</v>
      </c>
      <c r="H366" s="2" t="str">
        <f>Tabella1[[#This Row],[Denominazione]]&amp;" - "&amp;Tabella1[[#This Row],[Città]]</f>
        <v>AGRITURISMO STROPPA ELEONORA - FABRIANO</v>
      </c>
    </row>
    <row r="367" spans="1:8" x14ac:dyDescent="0.25">
      <c r="A367" s="1" t="s">
        <v>35</v>
      </c>
      <c r="B367" s="1" t="s">
        <v>6878</v>
      </c>
      <c r="C367" s="1" t="s">
        <v>6879</v>
      </c>
      <c r="D367" s="1" t="s">
        <v>6790</v>
      </c>
      <c r="E367" s="1" t="s">
        <v>6880</v>
      </c>
      <c r="G367" s="1" t="s">
        <v>6881</v>
      </c>
      <c r="H367" s="2" t="str">
        <f>Tabella1[[#This Row],[Denominazione]]&amp;" - "&amp;Tabella1[[#This Row],[Città]]</f>
        <v>AGRITURISMO STROPPA VALENTINA - FABRIANO</v>
      </c>
    </row>
    <row r="368" spans="1:8" x14ac:dyDescent="0.25">
      <c r="A368" s="1" t="s">
        <v>35</v>
      </c>
      <c r="B368" s="1" t="s">
        <v>18267</v>
      </c>
      <c r="C368" s="1" t="s">
        <v>18268</v>
      </c>
      <c r="D368" s="1" t="s">
        <v>17932</v>
      </c>
      <c r="E368" s="1" t="s">
        <v>17932</v>
      </c>
      <c r="G368" s="1" t="s">
        <v>18269</v>
      </c>
      <c r="H368" s="2" t="str">
        <f>Tabella1[[#This Row],[Denominazione]]&amp;" - "&amp;Tabella1[[#This Row],[Città]]</f>
        <v>AGRITURISMO SUAVIA PICENA - FERMO</v>
      </c>
    </row>
    <row r="369" spans="1:8" x14ac:dyDescent="0.25">
      <c r="A369" s="1" t="s">
        <v>35</v>
      </c>
      <c r="B369" s="1" t="s">
        <v>6279</v>
      </c>
      <c r="C369" s="1" t="s">
        <v>6280</v>
      </c>
      <c r="D369" s="1" t="s">
        <v>6262</v>
      </c>
      <c r="F369" s="1" t="s">
        <v>6281</v>
      </c>
      <c r="G369" s="1" t="s">
        <v>6282</v>
      </c>
      <c r="H369" s="2" t="str">
        <f>Tabella1[[#This Row],[Denominazione]]&amp;" - "&amp;Tabella1[[#This Row],[Città]]</f>
        <v>AGRITURISMO TENUTA BELVEDERE - BELVEDERE OSTRENSE</v>
      </c>
    </row>
    <row r="370" spans="1:8" x14ac:dyDescent="0.25">
      <c r="A370" s="1" t="s">
        <v>35</v>
      </c>
      <c r="B370" s="1" t="s">
        <v>17689</v>
      </c>
      <c r="C370" s="1" t="s">
        <v>17690</v>
      </c>
      <c r="D370" s="1" t="s">
        <v>17691</v>
      </c>
      <c r="E370" s="1" t="s">
        <v>17691</v>
      </c>
      <c r="G370" s="1" t="s">
        <v>17692</v>
      </c>
      <c r="H370" s="2" t="str">
        <f>Tabella1[[#This Row],[Denominazione]]&amp;" - "&amp;Tabella1[[#This Row],[Città]]</f>
        <v>AGRITURISMO TENUTA BORGIO - VENAROTTA</v>
      </c>
    </row>
    <row r="371" spans="1:8" x14ac:dyDescent="0.25">
      <c r="A371" s="1" t="s">
        <v>35</v>
      </c>
      <c r="B371" s="1" t="s">
        <v>16070</v>
      </c>
      <c r="C371" s="1" t="s">
        <v>16071</v>
      </c>
      <c r="D371" s="1" t="s">
        <v>16040</v>
      </c>
      <c r="F371" s="1" t="s">
        <v>16072</v>
      </c>
      <c r="G371" s="1" t="s">
        <v>16073</v>
      </c>
      <c r="H371" s="2" t="str">
        <f>Tabella1[[#This Row],[Denominazione]]&amp;" - "&amp;Tabella1[[#This Row],[Città]]</f>
        <v>AGRITURISMO TENUTA SOLALTO - MONSAMPOLO DEL TRONTO</v>
      </c>
    </row>
    <row r="372" spans="1:8" x14ac:dyDescent="0.25">
      <c r="A372" s="1" t="s">
        <v>35</v>
      </c>
      <c r="B372" s="1" t="s">
        <v>17810</v>
      </c>
      <c r="C372" s="1" t="s">
        <v>17811</v>
      </c>
      <c r="D372" s="1" t="s">
        <v>17745</v>
      </c>
      <c r="E372" s="1" t="s">
        <v>17745</v>
      </c>
      <c r="F372" s="1" t="s">
        <v>17812</v>
      </c>
      <c r="G372" s="1" t="s">
        <v>17813</v>
      </c>
      <c r="H372" s="2" t="str">
        <f>Tabella1[[#This Row],[Denominazione]]&amp;" - "&amp;Tabella1[[#This Row],[Città]]</f>
        <v>AGRITURISMO TERRA DI MAGIE - AMANDOLA</v>
      </c>
    </row>
    <row r="373" spans="1:8" x14ac:dyDescent="0.25">
      <c r="A373" s="1" t="s">
        <v>35</v>
      </c>
      <c r="B373" s="1" t="s">
        <v>10972</v>
      </c>
      <c r="C373" s="1" t="s">
        <v>10973</v>
      </c>
      <c r="D373" s="1" t="s">
        <v>10932</v>
      </c>
      <c r="E373" s="1" t="s">
        <v>10974</v>
      </c>
      <c r="G373" s="1" t="s">
        <v>10975</v>
      </c>
      <c r="H373" s="2" t="str">
        <f>Tabella1[[#This Row],[Denominazione]]&amp;" - "&amp;Tabella1[[#This Row],[Città]]</f>
        <v>AGRITURISMO TORRAIMUNI - CASTELRAIMONDO</v>
      </c>
    </row>
    <row r="374" spans="1:8" x14ac:dyDescent="0.25">
      <c r="A374" s="1" t="s">
        <v>35</v>
      </c>
      <c r="B374" s="1" t="s">
        <v>4786</v>
      </c>
      <c r="C374" s="1" t="s">
        <v>4787</v>
      </c>
      <c r="D374" s="1" t="s">
        <v>4735</v>
      </c>
      <c r="E374" s="1" t="s">
        <v>4735</v>
      </c>
      <c r="H374" s="2" t="str">
        <f>Tabella1[[#This Row],[Denominazione]]&amp;" - "&amp;Tabella1[[#This Row],[Città]]</f>
        <v>AGRITURISMO VAL PIETRO - URBANIA</v>
      </c>
    </row>
    <row r="375" spans="1:8" x14ac:dyDescent="0.25">
      <c r="A375" s="1" t="s">
        <v>35</v>
      </c>
      <c r="B375" s="1" t="s">
        <v>2754</v>
      </c>
      <c r="C375" s="1" t="s">
        <v>2755</v>
      </c>
      <c r="D375" s="1" t="s">
        <v>2729</v>
      </c>
      <c r="E375" s="1" t="s">
        <v>2729</v>
      </c>
      <c r="F375" s="1" t="s">
        <v>2756</v>
      </c>
      <c r="G375" s="1" t="s">
        <v>2757</v>
      </c>
      <c r="H375" s="2" t="str">
        <f>Tabella1[[#This Row],[Denominazione]]&amp;" - "&amp;Tabella1[[#This Row],[Città]]</f>
        <v>AGRITURISMO VILLA BEATRICE - MONDAVIO</v>
      </c>
    </row>
    <row r="376" spans="1:8" x14ac:dyDescent="0.25">
      <c r="A376" s="1" t="s">
        <v>35</v>
      </c>
      <c r="B376" s="1" t="s">
        <v>16078</v>
      </c>
      <c r="C376" s="1" t="s">
        <v>16079</v>
      </c>
      <c r="D376" s="1" t="s">
        <v>16040</v>
      </c>
      <c r="E376" s="1" t="s">
        <v>16040</v>
      </c>
      <c r="G376" s="1" t="s">
        <v>16080</v>
      </c>
      <c r="H376" s="2" t="str">
        <f>Tabella1[[#This Row],[Denominazione]]&amp;" - "&amp;Tabella1[[#This Row],[Città]]</f>
        <v>AGRITURISMO VILLA BUSSOLA - MONSAMPOLO DEL TRONTO</v>
      </c>
    </row>
    <row r="377" spans="1:8" x14ac:dyDescent="0.25">
      <c r="A377" s="1" t="s">
        <v>35</v>
      </c>
      <c r="B377" s="1" t="s">
        <v>7175</v>
      </c>
      <c r="C377" s="1" t="s">
        <v>7176</v>
      </c>
      <c r="D377" s="1" t="s">
        <v>7161</v>
      </c>
      <c r="E377" s="1" t="s">
        <v>7161</v>
      </c>
      <c r="F377" s="1" t="s">
        <v>7177</v>
      </c>
      <c r="G377" s="1" t="s">
        <v>7178</v>
      </c>
      <c r="H377" s="2" t="str">
        <f>Tabella1[[#This Row],[Denominazione]]&amp;" - "&amp;Tabella1[[#This Row],[Città]]</f>
        <v>AGRITURISMO VILLA CENTOFINESTRE - FILOTTRANO</v>
      </c>
    </row>
    <row r="378" spans="1:8" x14ac:dyDescent="0.25">
      <c r="A378" s="1" t="s">
        <v>35</v>
      </c>
      <c r="B378" s="1" t="s">
        <v>14614</v>
      </c>
      <c r="C378" s="1" t="s">
        <v>14615</v>
      </c>
      <c r="D378" s="1" t="s">
        <v>14576</v>
      </c>
      <c r="E378" s="1" t="s">
        <v>14576</v>
      </c>
      <c r="F378" s="1" t="s">
        <v>14616</v>
      </c>
      <c r="G378" s="1" t="s">
        <v>14617</v>
      </c>
      <c r="H378" s="2" t="str">
        <f>Tabella1[[#This Row],[Denominazione]]&amp;" - "&amp;Tabella1[[#This Row],[Città]]</f>
        <v>AGRITURISMO VILLA CICCHI - ASCOLI PICENO</v>
      </c>
    </row>
    <row r="379" spans="1:8" x14ac:dyDescent="0.25">
      <c r="A379" s="1" t="s">
        <v>35</v>
      </c>
      <c r="B379" s="1" t="s">
        <v>1651</v>
      </c>
      <c r="C379" s="1" t="s">
        <v>1652</v>
      </c>
      <c r="D379" s="1" t="s">
        <v>1653</v>
      </c>
      <c r="F379" s="1" t="s">
        <v>1654</v>
      </c>
      <c r="G379" s="1" t="s">
        <v>1655</v>
      </c>
      <c r="H379" s="2" t="str">
        <f>Tabella1[[#This Row],[Denominazione]]&amp;" - "&amp;Tabella1[[#This Row],[Città]]</f>
        <v>AGRITURISMO VILLA FURLO - FERMIGNANO</v>
      </c>
    </row>
    <row r="380" spans="1:8" x14ac:dyDescent="0.25">
      <c r="A380" s="1" t="s">
        <v>35</v>
      </c>
      <c r="B380" s="1" t="s">
        <v>11988</v>
      </c>
      <c r="C380" s="1" t="s">
        <v>11989</v>
      </c>
      <c r="D380" s="1" t="s">
        <v>11981</v>
      </c>
      <c r="E380" s="1" t="s">
        <v>11981</v>
      </c>
      <c r="F380" s="1" t="s">
        <v>11990</v>
      </c>
      <c r="G380" s="1" t="s">
        <v>11991</v>
      </c>
      <c r="H380" s="2" t="str">
        <f>Tabella1[[#This Row],[Denominazione]]&amp;" - "&amp;Tabella1[[#This Row],[Città]]</f>
        <v>AGRITURISMO VILLA LE VIGNE di SAPUTI ALVARO - LORO PICENO</v>
      </c>
    </row>
    <row r="381" spans="1:8" x14ac:dyDescent="0.25">
      <c r="A381" s="1" t="s">
        <v>35</v>
      </c>
      <c r="B381" s="1" t="s">
        <v>10715</v>
      </c>
      <c r="C381" s="1" t="s">
        <v>10716</v>
      </c>
      <c r="D381" s="1" t="s">
        <v>10702</v>
      </c>
      <c r="F381" s="1" t="s">
        <v>10717</v>
      </c>
      <c r="G381" s="1" t="s">
        <v>10718</v>
      </c>
      <c r="H381" s="2" t="str">
        <f>Tabella1[[#This Row],[Denominazione]]&amp;" - "&amp;Tabella1[[#This Row],[Città]]</f>
        <v>AGRITURISMO VILLA NINETTA - CALDAROLA</v>
      </c>
    </row>
    <row r="382" spans="1:8" x14ac:dyDescent="0.25">
      <c r="A382" s="1" t="s">
        <v>35</v>
      </c>
      <c r="B382" s="1" t="s">
        <v>11959</v>
      </c>
      <c r="C382" s="1" t="s">
        <v>11960</v>
      </c>
      <c r="D382" s="1" t="s">
        <v>11883</v>
      </c>
      <c r="F382" s="1" t="s">
        <v>11961</v>
      </c>
      <c r="G382" s="1" t="s">
        <v>11962</v>
      </c>
      <c r="H382" s="2" t="str">
        <f>Tabella1[[#This Row],[Denominazione]]&amp;" - "&amp;Tabella1[[#This Row],[Città]]</f>
        <v>AGRITURISMO VILLA TI AMO - GUALDO</v>
      </c>
    </row>
    <row r="383" spans="1:8" x14ac:dyDescent="0.25">
      <c r="A383" s="1" t="s">
        <v>35</v>
      </c>
      <c r="B383" s="1" t="s">
        <v>12669</v>
      </c>
      <c r="C383" s="1" t="s">
        <v>12670</v>
      </c>
      <c r="D383" s="1" t="s">
        <v>12635</v>
      </c>
      <c r="E383" s="1" t="s">
        <v>12635</v>
      </c>
      <c r="F383" s="1" t="s">
        <v>12671</v>
      </c>
      <c r="G383" s="1" t="s">
        <v>12672</v>
      </c>
      <c r="H383" s="2" t="str">
        <f>Tabella1[[#This Row],[Denominazione]]&amp;" - "&amp;Tabella1[[#This Row],[Città]]</f>
        <v>AGRITURISMO VILLA VALENTE - PENNA SAN GIOVANNI</v>
      </c>
    </row>
    <row r="384" spans="1:8" x14ac:dyDescent="0.25">
      <c r="A384" s="1" t="s">
        <v>35</v>
      </c>
      <c r="B384" s="1" t="s">
        <v>19647</v>
      </c>
      <c r="C384" s="1" t="s">
        <v>19648</v>
      </c>
      <c r="D384" s="1" t="s">
        <v>19649</v>
      </c>
      <c r="H384" s="2" t="str">
        <f>Tabella1[[#This Row],[Denominazione]]&amp;" - "&amp;Tabella1[[#This Row],[Città]]</f>
        <v>AGRITURISMO VILLA VIOLA - SMERILLO</v>
      </c>
    </row>
    <row r="385" spans="1:8" x14ac:dyDescent="0.25">
      <c r="A385" s="1" t="s">
        <v>35</v>
      </c>
      <c r="B385" s="1" t="s">
        <v>16313</v>
      </c>
      <c r="C385" s="1" t="s">
        <v>16314</v>
      </c>
      <c r="D385" s="1" t="s">
        <v>16312</v>
      </c>
      <c r="E385" s="1" t="s">
        <v>16312</v>
      </c>
      <c r="H385" s="2" t="str">
        <f>Tabella1[[#This Row],[Denominazione]]&amp;" - "&amp;Tabella1[[#This Row],[Città]]</f>
        <v>AGRITURISMO VILLA VITTORIA - MONTEMONACO</v>
      </c>
    </row>
    <row r="386" spans="1:8" x14ac:dyDescent="0.25">
      <c r="A386" s="1" t="s">
        <v>35</v>
      </c>
      <c r="B386" s="1" t="s">
        <v>3303</v>
      </c>
      <c r="C386" s="1" t="s">
        <v>3304</v>
      </c>
      <c r="D386" s="1" t="s">
        <v>3305</v>
      </c>
      <c r="E386" s="1" t="s">
        <v>3305</v>
      </c>
      <c r="G386" s="1" t="s">
        <v>3306</v>
      </c>
      <c r="H386" s="2" t="str">
        <f>Tabella1[[#This Row],[Denominazione]]&amp;" - "&amp;Tabella1[[#This Row],[Città]]</f>
        <v>AGRITURISMO XIX SECOLO - PERGOLA</v>
      </c>
    </row>
    <row r="387" spans="1:8" x14ac:dyDescent="0.25">
      <c r="A387" s="1" t="s">
        <v>35</v>
      </c>
      <c r="B387" s="1" t="s">
        <v>15154</v>
      </c>
      <c r="C387" s="1" t="s">
        <v>15155</v>
      </c>
      <c r="D387" s="1" t="s">
        <v>15151</v>
      </c>
      <c r="E387" s="1" t="s">
        <v>15151</v>
      </c>
      <c r="G387" s="1" t="s">
        <v>15156</v>
      </c>
      <c r="H387" s="2" t="str">
        <f>Tabella1[[#This Row],[Denominazione]]&amp;" - "&amp;Tabella1[[#This Row],[Città]]</f>
        <v>AGRITURISMO ZUCCHERA - CASTIGNANO</v>
      </c>
    </row>
    <row r="388" spans="1:8" x14ac:dyDescent="0.25">
      <c r="A388" s="1" t="s">
        <v>35</v>
      </c>
      <c r="B388" s="1" t="s">
        <v>10082</v>
      </c>
      <c r="C388" s="1" t="s">
        <v>10083</v>
      </c>
      <c r="D388" s="1" t="s">
        <v>10074</v>
      </c>
      <c r="E388" s="1" t="s">
        <v>10074</v>
      </c>
      <c r="F388" s="1" t="s">
        <v>10084</v>
      </c>
      <c r="G388" s="1" t="s">
        <v>10085</v>
      </c>
      <c r="H388" s="2" t="str">
        <f>Tabella1[[#This Row],[Denominazione]]&amp;" - "&amp;Tabella1[[#This Row],[Città]]</f>
        <v>AGRITURIST LA FONTE - SERRA DE' CONTI</v>
      </c>
    </row>
    <row r="389" spans="1:8" x14ac:dyDescent="0.25">
      <c r="A389" s="1" t="s">
        <v>35</v>
      </c>
      <c r="B389" s="1" t="s">
        <v>10546</v>
      </c>
      <c r="C389" s="1" t="s">
        <v>10547</v>
      </c>
      <c r="D389" s="1" t="s">
        <v>10519</v>
      </c>
      <c r="G389" s="1" t="s">
        <v>10548</v>
      </c>
      <c r="H389" s="2" t="str">
        <f>Tabella1[[#This Row],[Denominazione]]&amp;" - "&amp;Tabella1[[#This Row],[Città]]</f>
        <v>AGRITURIST L'ULIVO - TRECASTELLI</v>
      </c>
    </row>
    <row r="390" spans="1:8" x14ac:dyDescent="0.25">
      <c r="A390" s="1" t="s">
        <v>82</v>
      </c>
      <c r="B390" s="1" t="s">
        <v>16558</v>
      </c>
      <c r="C390" s="1" t="s">
        <v>16559</v>
      </c>
      <c r="D390" s="1" t="s">
        <v>16440</v>
      </c>
      <c r="H390" s="2" t="str">
        <f>Tabella1[[#This Row],[Denominazione]]&amp;" - "&amp;Tabella1[[#This Row],[Città]]</f>
        <v>AI 2 GELSI - OFFIDA</v>
      </c>
    </row>
    <row r="391" spans="1:8" x14ac:dyDescent="0.25">
      <c r="A391" s="1" t="s">
        <v>35</v>
      </c>
      <c r="B391" s="1" t="s">
        <v>10955</v>
      </c>
      <c r="C391" s="1" t="s">
        <v>10956</v>
      </c>
      <c r="D391" s="1" t="s">
        <v>10932</v>
      </c>
      <c r="E391" s="1" t="s">
        <v>10957</v>
      </c>
      <c r="G391" s="1" t="s">
        <v>10958</v>
      </c>
      <c r="H391" s="2" t="str">
        <f>Tabella1[[#This Row],[Denominazione]]&amp;" - "&amp;Tabella1[[#This Row],[Città]]</f>
        <v>AI RANGHI - CASTELRAIMONDO</v>
      </c>
    </row>
    <row r="392" spans="1:8" x14ac:dyDescent="0.25">
      <c r="A392" s="1" t="s">
        <v>12</v>
      </c>
      <c r="B392" s="1" t="s">
        <v>6835</v>
      </c>
      <c r="C392" s="1" t="s">
        <v>6836</v>
      </c>
      <c r="D392" s="1" t="s">
        <v>6790</v>
      </c>
      <c r="F392" s="1" t="s">
        <v>6837</v>
      </c>
      <c r="G392" s="1" t="s">
        <v>6838</v>
      </c>
      <c r="H392" s="2" t="str">
        <f>Tabella1[[#This Row],[Denominazione]]&amp;" - "&amp;Tabella1[[#This Row],[Città]]</f>
        <v>AIA D'ALTO - FABRIANO</v>
      </c>
    </row>
    <row r="393" spans="1:8" x14ac:dyDescent="0.25">
      <c r="A393" s="1" t="s">
        <v>29</v>
      </c>
      <c r="B393" s="1" t="s">
        <v>11305</v>
      </c>
      <c r="C393" s="1" t="s">
        <v>11306</v>
      </c>
      <c r="D393" s="1" t="s">
        <v>11244</v>
      </c>
      <c r="E393" s="1" t="s">
        <v>11244</v>
      </c>
      <c r="G393" s="1" t="s">
        <v>11307</v>
      </c>
      <c r="H393" s="2" t="str">
        <f>Tabella1[[#This Row],[Denominazione]]&amp;" - "&amp;Tabella1[[#This Row],[Città]]</f>
        <v>AIRIS B&amp;B - CIVITANOVA MARCHE</v>
      </c>
    </row>
    <row r="394" spans="1:8" x14ac:dyDescent="0.25">
      <c r="A394" s="1" t="s">
        <v>6</v>
      </c>
      <c r="B394" s="1" t="s">
        <v>7230</v>
      </c>
      <c r="C394" s="1" t="s">
        <v>7231</v>
      </c>
      <c r="D394" s="1" t="s">
        <v>7200</v>
      </c>
      <c r="E394" s="1" t="s">
        <v>7200</v>
      </c>
      <c r="F394" s="1" t="s">
        <v>7232</v>
      </c>
      <c r="G394" s="1" t="s">
        <v>7233</v>
      </c>
      <c r="H394" s="2" t="str">
        <f>Tabella1[[#This Row],[Denominazione]]&amp;" - "&amp;Tabella1[[#This Row],[Città]]</f>
        <v>AIRONE COUNTRY HOUSE - GENGA</v>
      </c>
    </row>
    <row r="395" spans="1:8" x14ac:dyDescent="0.25">
      <c r="A395" s="1" t="s">
        <v>6</v>
      </c>
      <c r="B395" s="1" t="s">
        <v>7230</v>
      </c>
      <c r="C395" s="1" t="s">
        <v>8517</v>
      </c>
      <c r="D395" s="1" t="s">
        <v>8454</v>
      </c>
      <c r="E395" s="1" t="s">
        <v>8454</v>
      </c>
      <c r="F395" s="1" t="s">
        <v>8518</v>
      </c>
      <c r="G395" s="1" t="s">
        <v>8519</v>
      </c>
      <c r="H395" s="2" t="str">
        <f>Tabella1[[#This Row],[Denominazione]]&amp;" - "&amp;Tabella1[[#This Row],[Città]]</f>
        <v>AIRONE COUNTRY HOUSE - OSIMO</v>
      </c>
    </row>
    <row r="396" spans="1:8" x14ac:dyDescent="0.25">
      <c r="A396" s="1" t="s">
        <v>12</v>
      </c>
      <c r="B396" s="1" t="s">
        <v>778</v>
      </c>
      <c r="C396" s="1" t="s">
        <v>779</v>
      </c>
      <c r="D396" s="1" t="s">
        <v>682</v>
      </c>
      <c r="E396" s="1" t="s">
        <v>682</v>
      </c>
      <c r="G396" s="1" t="s">
        <v>780</v>
      </c>
      <c r="H396" s="2" t="str">
        <f>Tabella1[[#This Row],[Denominazione]]&amp;" - "&amp;Tabella1[[#This Row],[Città]]</f>
        <v>AIUDI ALBERTO - FANO</v>
      </c>
    </row>
    <row r="397" spans="1:8" x14ac:dyDescent="0.25">
      <c r="A397" s="1" t="s">
        <v>12</v>
      </c>
      <c r="B397" s="1" t="s">
        <v>11935</v>
      </c>
      <c r="C397" s="1" t="s">
        <v>11936</v>
      </c>
      <c r="D397" s="1" t="s">
        <v>11883</v>
      </c>
      <c r="G397" s="1" t="s">
        <v>11937</v>
      </c>
      <c r="H397" s="2" t="str">
        <f>Tabella1[[#This Row],[Denominazione]]&amp;" - "&amp;Tabella1[[#This Row],[Città]]</f>
        <v>AKIKO GOTO - GUALDO</v>
      </c>
    </row>
    <row r="398" spans="1:8" x14ac:dyDescent="0.25">
      <c r="A398" s="1" t="s">
        <v>20</v>
      </c>
      <c r="B398" s="1" t="s">
        <v>5435</v>
      </c>
      <c r="C398" s="1" t="s">
        <v>5436</v>
      </c>
      <c r="D398" s="1" t="s">
        <v>5423</v>
      </c>
      <c r="E398" s="1" t="s">
        <v>5423</v>
      </c>
      <c r="F398" s="1" t="s">
        <v>5437</v>
      </c>
      <c r="G398" s="1" t="s">
        <v>5438</v>
      </c>
      <c r="H398" s="2" t="str">
        <f>Tabella1[[#This Row],[Denominazione]]&amp;" - "&amp;Tabella1[[#This Row],[Città]]</f>
        <v>AL BELVEDERE - AGUGLIANO</v>
      </c>
    </row>
    <row r="399" spans="1:8" x14ac:dyDescent="0.25">
      <c r="A399" s="1" t="s">
        <v>82</v>
      </c>
      <c r="B399" s="1" t="s">
        <v>2463</v>
      </c>
      <c r="C399" s="1" t="s">
        <v>2464</v>
      </c>
      <c r="D399" s="1" t="s">
        <v>2425</v>
      </c>
      <c r="E399" s="1" t="s">
        <v>2425</v>
      </c>
      <c r="F399" s="1" t="s">
        <v>2465</v>
      </c>
      <c r="G399" s="1" t="s">
        <v>2466</v>
      </c>
      <c r="H399" s="2" t="str">
        <f>Tabella1[[#This Row],[Denominazione]]&amp;" - "&amp;Tabella1[[#This Row],[Città]]</f>
        <v>AL BORGO - GRADARA</v>
      </c>
    </row>
    <row r="400" spans="1:8" x14ac:dyDescent="0.25">
      <c r="A400" s="1" t="s">
        <v>6</v>
      </c>
      <c r="B400" s="1" t="s">
        <v>12564</v>
      </c>
      <c r="C400" s="1" t="s">
        <v>12565</v>
      </c>
      <c r="D400" s="1" t="s">
        <v>12546</v>
      </c>
      <c r="E400" s="1" t="s">
        <v>12546</v>
      </c>
      <c r="F400" s="1" t="s">
        <v>12566</v>
      </c>
      <c r="G400" s="1" t="s">
        <v>12567</v>
      </c>
      <c r="H400" s="2" t="str">
        <f>Tabella1[[#This Row],[Denominazione]]&amp;" - "&amp;Tabella1[[#This Row],[Città]]</f>
        <v>AL CASALE DI MORRO - MORROVALLE</v>
      </c>
    </row>
    <row r="401" spans="1:8" x14ac:dyDescent="0.25">
      <c r="A401" s="1" t="s">
        <v>20</v>
      </c>
      <c r="B401" s="1" t="s">
        <v>6613</v>
      </c>
      <c r="C401" s="1" t="s">
        <v>6614</v>
      </c>
      <c r="D401" s="1" t="s">
        <v>6536</v>
      </c>
      <c r="E401" s="1" t="s">
        <v>6536</v>
      </c>
      <c r="F401" s="1" t="s">
        <v>6615</v>
      </c>
      <c r="G401" s="1" t="s">
        <v>6616</v>
      </c>
      <c r="H401" s="2" t="str">
        <f>Tabella1[[#This Row],[Denominazione]]&amp;" - "&amp;Tabella1[[#This Row],[Città]]</f>
        <v>AL CASOLARE - CORINALDO</v>
      </c>
    </row>
    <row r="402" spans="1:8" x14ac:dyDescent="0.25">
      <c r="A402" s="1" t="s">
        <v>82</v>
      </c>
      <c r="B402" s="1" t="s">
        <v>4676</v>
      </c>
      <c r="C402" s="1" t="s">
        <v>4677</v>
      </c>
      <c r="D402" s="1" t="s">
        <v>4657</v>
      </c>
      <c r="F402" s="1" t="s">
        <v>4678</v>
      </c>
      <c r="G402" s="1" t="s">
        <v>4679</v>
      </c>
      <c r="H402" s="2" t="str">
        <f>Tabella1[[#This Row],[Denominazione]]&amp;" - "&amp;Tabella1[[#This Row],[Città]]</f>
        <v>AL CASTELLO - TAVULLIA</v>
      </c>
    </row>
    <row r="403" spans="1:8" x14ac:dyDescent="0.25">
      <c r="A403" s="1" t="s">
        <v>35</v>
      </c>
      <c r="B403" s="1" t="s">
        <v>6158</v>
      </c>
      <c r="C403" s="1" t="s">
        <v>6159</v>
      </c>
      <c r="D403" s="1" t="s">
        <v>6049</v>
      </c>
      <c r="E403" s="1" t="s">
        <v>6160</v>
      </c>
      <c r="G403" s="1" t="s">
        <v>6161</v>
      </c>
      <c r="H403" s="2" t="str">
        <f>Tabella1[[#This Row],[Denominazione]]&amp;" - "&amp;Tabella1[[#This Row],[Città]]</f>
        <v>AL COLLE - ARCEVIA</v>
      </c>
    </row>
    <row r="404" spans="1:8" x14ac:dyDescent="0.25">
      <c r="A404" s="1" t="s">
        <v>29</v>
      </c>
      <c r="B404" s="1" t="s">
        <v>935</v>
      </c>
      <c r="C404" s="1" t="s">
        <v>936</v>
      </c>
      <c r="D404" s="1" t="s">
        <v>682</v>
      </c>
      <c r="E404" s="1" t="s">
        <v>682</v>
      </c>
      <c r="G404" s="1" t="s">
        <v>937</v>
      </c>
      <c r="H404" s="2" t="str">
        <f>Tabella1[[#This Row],[Denominazione]]&amp;" - "&amp;Tabella1[[#This Row],[Città]]</f>
        <v>AL COLLE SAN GIOVANNI - FANO</v>
      </c>
    </row>
    <row r="405" spans="1:8" x14ac:dyDescent="0.25">
      <c r="A405" s="1" t="s">
        <v>35</v>
      </c>
      <c r="B405" s="1" t="s">
        <v>18379</v>
      </c>
      <c r="C405" s="1" t="s">
        <v>18380</v>
      </c>
      <c r="D405" s="1" t="s">
        <v>18372</v>
      </c>
      <c r="E405" s="1" t="s">
        <v>18372</v>
      </c>
      <c r="F405" s="1" t="s">
        <v>18381</v>
      </c>
      <c r="G405" s="1" t="s">
        <v>18382</v>
      </c>
      <c r="H405" s="2" t="str">
        <f>Tabella1[[#This Row],[Denominazione]]&amp;" - "&amp;Tabella1[[#This Row],[Città]]</f>
        <v>AL FIUME - GROTTAZZOLINA</v>
      </c>
    </row>
    <row r="406" spans="1:8" x14ac:dyDescent="0.25">
      <c r="A406" s="1" t="s">
        <v>29</v>
      </c>
      <c r="B406" s="1" t="s">
        <v>1337</v>
      </c>
      <c r="C406" s="1" t="s">
        <v>1338</v>
      </c>
      <c r="D406" s="1" t="s">
        <v>682</v>
      </c>
      <c r="E406" s="1" t="s">
        <v>682</v>
      </c>
      <c r="F406" s="1" t="s">
        <v>1339</v>
      </c>
      <c r="G406" s="1" t="s">
        <v>1340</v>
      </c>
      <c r="H406" s="2" t="str">
        <f>Tabella1[[#This Row],[Denominazione]]&amp;" - "&amp;Tabella1[[#This Row],[Città]]</f>
        <v>AL GIRASOLE B&amp;B - FANO</v>
      </c>
    </row>
    <row r="407" spans="1:8" x14ac:dyDescent="0.25">
      <c r="A407" s="1" t="s">
        <v>20</v>
      </c>
      <c r="B407" s="1" t="s">
        <v>14570</v>
      </c>
      <c r="C407" s="1" t="s">
        <v>14571</v>
      </c>
      <c r="D407" s="1" t="s">
        <v>14510</v>
      </c>
      <c r="E407" s="1" t="s">
        <v>14537</v>
      </c>
      <c r="F407" s="1" t="s">
        <v>14363</v>
      </c>
      <c r="G407" s="1" t="s">
        <v>14516</v>
      </c>
      <c r="H407" s="2" t="str">
        <f>Tabella1[[#This Row],[Denominazione]]&amp;" - "&amp;Tabella1[[#This Row],[Città]]</f>
        <v>AL KAPRIOL - ARQUATA DEL TRONTO</v>
      </c>
    </row>
    <row r="408" spans="1:8" x14ac:dyDescent="0.25">
      <c r="A408" s="1" t="s">
        <v>20</v>
      </c>
      <c r="B408" s="1" t="s">
        <v>1754</v>
      </c>
      <c r="C408" s="1" t="s">
        <v>1755</v>
      </c>
      <c r="D408" s="1" t="s">
        <v>1724</v>
      </c>
      <c r="E408" s="1" t="s">
        <v>1724</v>
      </c>
      <c r="F408" s="1" t="s">
        <v>1756</v>
      </c>
      <c r="G408" s="1" t="s">
        <v>1757</v>
      </c>
      <c r="H408" s="2" t="str">
        <f>Tabella1[[#This Row],[Denominazione]]&amp;" - "&amp;Tabella1[[#This Row],[Città]]</f>
        <v>AL LAGO - FOSSOMBRONE</v>
      </c>
    </row>
    <row r="409" spans="1:8" x14ac:dyDescent="0.25">
      <c r="A409" s="1" t="s">
        <v>35</v>
      </c>
      <c r="B409" s="1" t="s">
        <v>4618</v>
      </c>
      <c r="C409" s="1" t="s">
        <v>4619</v>
      </c>
      <c r="D409" s="1" t="s">
        <v>4578</v>
      </c>
      <c r="E409" s="1" t="s">
        <v>4578</v>
      </c>
      <c r="H409" s="2" t="str">
        <f>Tabella1[[#This Row],[Denominazione]]&amp;" - "&amp;Tabella1[[#This Row],[Città]]</f>
        <v>AL MANDORLO - SERRUNGARINA</v>
      </c>
    </row>
    <row r="410" spans="1:8" x14ac:dyDescent="0.25">
      <c r="A410" s="1" t="s">
        <v>29</v>
      </c>
      <c r="B410" s="1" t="s">
        <v>11350</v>
      </c>
      <c r="C410" s="1" t="s">
        <v>11351</v>
      </c>
      <c r="D410" s="1" t="s">
        <v>11244</v>
      </c>
      <c r="E410" s="1" t="s">
        <v>11244</v>
      </c>
      <c r="G410" s="1" t="s">
        <v>11352</v>
      </c>
      <c r="H410" s="2" t="str">
        <f>Tabella1[[#This Row],[Denominazione]]&amp;" - "&amp;Tabella1[[#This Row],[Città]]</f>
        <v>AL MAR - CIVITANOVA MARCHE</v>
      </c>
    </row>
    <row r="411" spans="1:8" x14ac:dyDescent="0.25">
      <c r="A411" s="1" t="s">
        <v>6</v>
      </c>
      <c r="B411" s="1" t="s">
        <v>8761</v>
      </c>
      <c r="C411" s="1" t="s">
        <v>8762</v>
      </c>
      <c r="D411" s="1" t="s">
        <v>8763</v>
      </c>
      <c r="E411" s="1" t="s">
        <v>8763</v>
      </c>
      <c r="G411" s="1" t="s">
        <v>8764</v>
      </c>
      <c r="H411" s="2" t="str">
        <f>Tabella1[[#This Row],[Denominazione]]&amp;" - "&amp;Tabella1[[#This Row],[Città]]</f>
        <v>AL MASSIMO COUNTRY HOUSE - ROSORA</v>
      </c>
    </row>
    <row r="412" spans="1:8" x14ac:dyDescent="0.25">
      <c r="A412" s="1" t="s">
        <v>29</v>
      </c>
      <c r="B412" s="1" t="s">
        <v>5033</v>
      </c>
      <c r="C412" s="1" t="s">
        <v>5034</v>
      </c>
      <c r="D412" s="1" t="s">
        <v>9</v>
      </c>
      <c r="E412" s="1" t="s">
        <v>5035</v>
      </c>
      <c r="F412" s="1" t="s">
        <v>5036</v>
      </c>
      <c r="G412" s="1" t="s">
        <v>5037</v>
      </c>
      <c r="H412" s="2" t="str">
        <f>Tabella1[[#This Row],[Denominazione]]&amp;" - "&amp;Tabella1[[#This Row],[Città]]</f>
        <v>AL NOCE BIANCO - URBINO</v>
      </c>
    </row>
    <row r="413" spans="1:8" x14ac:dyDescent="0.25">
      <c r="A413" s="1" t="s">
        <v>29</v>
      </c>
      <c r="B413" s="1" t="s">
        <v>7269</v>
      </c>
      <c r="C413" s="1" t="s">
        <v>7270</v>
      </c>
      <c r="D413" s="1" t="s">
        <v>7254</v>
      </c>
      <c r="F413" s="1" t="s">
        <v>7271</v>
      </c>
      <c r="G413" s="1" t="s">
        <v>7272</v>
      </c>
      <c r="H413" s="2" t="str">
        <f>Tabella1[[#This Row],[Denominazione]]&amp;" - "&amp;Tabella1[[#This Row],[Città]]</f>
        <v>AL PERGOLESI - JESI</v>
      </c>
    </row>
    <row r="414" spans="1:8" x14ac:dyDescent="0.25">
      <c r="A414" s="1" t="s">
        <v>35</v>
      </c>
      <c r="B414" s="1" t="s">
        <v>10910</v>
      </c>
      <c r="C414" s="1" t="s">
        <v>10911</v>
      </c>
      <c r="D414" s="1" t="s">
        <v>10912</v>
      </c>
      <c r="E414" s="1" t="s">
        <v>10912</v>
      </c>
      <c r="F414" s="1" t="s">
        <v>10913</v>
      </c>
      <c r="G414" s="1" t="s">
        <v>10914</v>
      </c>
      <c r="H414" s="2" t="str">
        <f>Tabella1[[#This Row],[Denominazione]]&amp;" - "&amp;Tabella1[[#This Row],[Città]]</f>
        <v>AL RESPIRO NEL BOSCO - CAMPOROTONDO DI FIASTRONE</v>
      </c>
    </row>
    <row r="415" spans="1:8" x14ac:dyDescent="0.25">
      <c r="A415" s="1" t="s">
        <v>82</v>
      </c>
      <c r="B415" s="1" t="s">
        <v>13677</v>
      </c>
      <c r="C415" s="1" t="s">
        <v>13678</v>
      </c>
      <c r="D415" s="1" t="s">
        <v>13548</v>
      </c>
      <c r="E415" s="1" t="s">
        <v>13548</v>
      </c>
      <c r="F415" s="1" t="s">
        <v>13679</v>
      </c>
      <c r="G415" s="1" t="s">
        <v>13680</v>
      </c>
      <c r="H415" s="2" t="str">
        <f>Tabella1[[#This Row],[Denominazione]]&amp;" - "&amp;Tabella1[[#This Row],[Città]]</f>
        <v>AL TORRONE - SAN SEVERINO MARCHE</v>
      </c>
    </row>
    <row r="416" spans="1:8" x14ac:dyDescent="0.25">
      <c r="A416" s="1" t="s">
        <v>82</v>
      </c>
      <c r="B416" s="1" t="s">
        <v>7589</v>
      </c>
      <c r="C416" s="1" t="s">
        <v>7590</v>
      </c>
      <c r="D416" s="1" t="s">
        <v>7571</v>
      </c>
      <c r="E416" s="1" t="s">
        <v>7571</v>
      </c>
      <c r="F416" s="1" t="s">
        <v>7591</v>
      </c>
      <c r="G416" s="1" t="s">
        <v>7592</v>
      </c>
      <c r="H416" s="2" t="str">
        <f>Tabella1[[#This Row],[Denominazione]]&amp;" - "&amp;Tabella1[[#This Row],[Città]]</f>
        <v>AL VECCHIO ROTONE - MAIOLATI SPONTINI</v>
      </c>
    </row>
    <row r="417" spans="1:8" x14ac:dyDescent="0.25">
      <c r="A417" s="1" t="s">
        <v>29</v>
      </c>
      <c r="B417" s="1" t="s">
        <v>6658</v>
      </c>
      <c r="C417" s="1" t="s">
        <v>6659</v>
      </c>
      <c r="D417" s="1" t="s">
        <v>6652</v>
      </c>
      <c r="G417" s="1" t="s">
        <v>6660</v>
      </c>
      <c r="H417" s="2" t="str">
        <f>Tabella1[[#This Row],[Denominazione]]&amp;" - "&amp;Tabella1[[#This Row],[Città]]</f>
        <v>AL VICOLETTO - CUPRAMONTANA</v>
      </c>
    </row>
    <row r="418" spans="1:8" x14ac:dyDescent="0.25">
      <c r="A418" s="1" t="s">
        <v>20</v>
      </c>
      <c r="B418" s="1" t="s">
        <v>2308</v>
      </c>
      <c r="C418" s="1" t="s">
        <v>2309</v>
      </c>
      <c r="D418" s="1" t="s">
        <v>1907</v>
      </c>
      <c r="E418" s="1" t="s">
        <v>1907</v>
      </c>
      <c r="F418" s="1" t="s">
        <v>2310</v>
      </c>
      <c r="G418" s="1" t="s">
        <v>2311</v>
      </c>
      <c r="H418" s="2" t="str">
        <f>Tabella1[[#This Row],[Denominazione]]&amp;" - "&amp;Tabella1[[#This Row],[Città]]</f>
        <v>ALBA - GABICCE MARE</v>
      </c>
    </row>
    <row r="419" spans="1:8" x14ac:dyDescent="0.25">
      <c r="A419" s="1" t="s">
        <v>679</v>
      </c>
      <c r="B419" s="1" t="s">
        <v>17119</v>
      </c>
      <c r="C419" s="1" t="s">
        <v>17120</v>
      </c>
      <c r="D419" s="1" t="s">
        <v>15819</v>
      </c>
      <c r="H419" s="2" t="str">
        <f>Tabella1[[#This Row],[Denominazione]]&amp;" - "&amp;Tabella1[[#This Row],[Città]]</f>
        <v>ALBA CHIARA - SAN BENEDETTO DEL TRONTO</v>
      </c>
    </row>
    <row r="420" spans="1:8" x14ac:dyDescent="0.25">
      <c r="A420" s="1" t="s">
        <v>679</v>
      </c>
      <c r="B420" s="1" t="s">
        <v>17119</v>
      </c>
      <c r="D420" s="1" t="s">
        <v>18082</v>
      </c>
      <c r="E420" s="1" t="s">
        <v>18082</v>
      </c>
      <c r="F420" s="1" t="s">
        <v>19120</v>
      </c>
      <c r="H420" s="2" t="str">
        <f>Tabella1[[#This Row],[Denominazione]]&amp;" - "&amp;Tabella1[[#This Row],[Città]]</f>
        <v>ALBA CHIARA - PORTO SAN GIORGIO</v>
      </c>
    </row>
    <row r="421" spans="1:8" x14ac:dyDescent="0.25">
      <c r="A421" s="1" t="s">
        <v>20</v>
      </c>
      <c r="B421" s="1" t="s">
        <v>7669</v>
      </c>
      <c r="C421" s="1" t="s">
        <v>7670</v>
      </c>
      <c r="D421" s="1" t="s">
        <v>7660</v>
      </c>
      <c r="E421" s="1" t="s">
        <v>7660</v>
      </c>
      <c r="F421" s="1" t="s">
        <v>7671</v>
      </c>
      <c r="G421" s="1" t="s">
        <v>7672</v>
      </c>
      <c r="H421" s="2" t="str">
        <f>Tabella1[[#This Row],[Denominazione]]&amp;" - "&amp;Tabella1[[#This Row],[Città]]</f>
        <v>ALBERGO 2000 - MONSANO</v>
      </c>
    </row>
    <row r="422" spans="1:8" x14ac:dyDescent="0.25">
      <c r="A422" s="1" t="s">
        <v>20</v>
      </c>
      <c r="B422" s="1" t="s">
        <v>57</v>
      </c>
      <c r="C422" s="1" t="s">
        <v>58</v>
      </c>
      <c r="D422" s="1" t="s">
        <v>15</v>
      </c>
      <c r="E422" s="1" t="s">
        <v>15</v>
      </c>
      <c r="F422" s="1" t="s">
        <v>59</v>
      </c>
      <c r="G422" s="1" t="s">
        <v>60</v>
      </c>
      <c r="H422" s="2" t="str">
        <f>Tabella1[[#This Row],[Denominazione]]&amp;" - "&amp;Tabella1[[#This Row],[Città]]</f>
        <v>ALBERGO ANTICO FURLO - ACQUALAGNA</v>
      </c>
    </row>
    <row r="423" spans="1:8" x14ac:dyDescent="0.25">
      <c r="A423" s="1" t="s">
        <v>20</v>
      </c>
      <c r="B423" s="1" t="s">
        <v>19408</v>
      </c>
      <c r="C423" s="1" t="s">
        <v>19409</v>
      </c>
      <c r="D423" s="1" t="s">
        <v>19283</v>
      </c>
      <c r="E423" s="1" t="s">
        <v>19363</v>
      </c>
      <c r="F423" s="1" t="s">
        <v>19410</v>
      </c>
      <c r="G423" s="1" t="s">
        <v>19411</v>
      </c>
      <c r="H423" s="2" t="str">
        <f>Tabella1[[#This Row],[Denominazione]]&amp;" - "&amp;Tabella1[[#This Row],[Città]]</f>
        <v>ALBERGO BELVEDERE - PORTO SANT'ELPIDIO</v>
      </c>
    </row>
    <row r="424" spans="1:8" x14ac:dyDescent="0.25">
      <c r="A424" s="1" t="s">
        <v>20</v>
      </c>
      <c r="B424" s="1" t="s">
        <v>9794</v>
      </c>
      <c r="C424" s="1" t="s">
        <v>9795</v>
      </c>
      <c r="D424" s="1" t="s">
        <v>8949</v>
      </c>
      <c r="E424" s="1" t="s">
        <v>8949</v>
      </c>
      <c r="F424" s="1" t="s">
        <v>9495</v>
      </c>
      <c r="G424" s="1" t="s">
        <v>9496</v>
      </c>
      <c r="H424" s="2" t="str">
        <f>Tabella1[[#This Row],[Denominazione]]&amp;" - "&amp;Tabella1[[#This Row],[Città]]</f>
        <v>ALBERGO BICE DEPENDANCE - SENIGALLIA</v>
      </c>
    </row>
    <row r="425" spans="1:8" x14ac:dyDescent="0.25">
      <c r="A425" s="1" t="s">
        <v>20</v>
      </c>
      <c r="B425" s="1" t="s">
        <v>7954</v>
      </c>
      <c r="C425" s="1" t="s">
        <v>7955</v>
      </c>
      <c r="D425" s="1" t="s">
        <v>7889</v>
      </c>
      <c r="E425" s="1" t="s">
        <v>7889</v>
      </c>
      <c r="F425" s="1" t="s">
        <v>7956</v>
      </c>
      <c r="G425" s="1" t="s">
        <v>7957</v>
      </c>
      <c r="H425" s="2" t="str">
        <f>Tabella1[[#This Row],[Denominazione]]&amp;" - "&amp;Tabella1[[#This Row],[Città]]</f>
        <v>ALBERGO CANTARINI - NUMANA</v>
      </c>
    </row>
    <row r="426" spans="1:8" x14ac:dyDescent="0.25">
      <c r="A426" s="1" t="s">
        <v>20</v>
      </c>
      <c r="B426" s="1" t="s">
        <v>5779</v>
      </c>
      <c r="C426" s="1" t="s">
        <v>5780</v>
      </c>
      <c r="D426" s="1" t="s">
        <v>1864</v>
      </c>
      <c r="E426" s="1" t="s">
        <v>1864</v>
      </c>
      <c r="G426" s="1" t="s">
        <v>5781</v>
      </c>
      <c r="H426" s="2" t="str">
        <f>Tabella1[[#This Row],[Denominazione]]&amp;" - "&amp;Tabella1[[#This Row],[Città]]</f>
        <v>ALBERGO CANTIANI - ANCONA</v>
      </c>
    </row>
    <row r="427" spans="1:8" x14ac:dyDescent="0.25">
      <c r="A427" s="1" t="s">
        <v>20</v>
      </c>
      <c r="B427" s="1" t="s">
        <v>3074</v>
      </c>
      <c r="C427" s="1" t="s">
        <v>3075</v>
      </c>
      <c r="D427" s="1" t="s">
        <v>3067</v>
      </c>
      <c r="E427" s="1" t="s">
        <v>3067</v>
      </c>
      <c r="F427" s="1" t="s">
        <v>3076</v>
      </c>
      <c r="G427" s="1" t="s">
        <v>3077</v>
      </c>
      <c r="H427" s="2" t="str">
        <f>Tabella1[[#This Row],[Denominazione]]&amp;" - "&amp;Tabella1[[#This Row],[Città]]</f>
        <v>ALBERGO CASETTA - MONTECOPIOLO</v>
      </c>
    </row>
    <row r="428" spans="1:8" x14ac:dyDescent="0.25">
      <c r="A428" s="1" t="s">
        <v>20</v>
      </c>
      <c r="B428" s="1" t="s">
        <v>13505</v>
      </c>
      <c r="C428" s="1" t="s">
        <v>13506</v>
      </c>
      <c r="D428" s="1" t="s">
        <v>6072</v>
      </c>
      <c r="E428" s="1" t="s">
        <v>6072</v>
      </c>
      <c r="F428" s="1" t="s">
        <v>13507</v>
      </c>
      <c r="G428" s="1" t="s">
        <v>13508</v>
      </c>
      <c r="H428" s="2" t="str">
        <f>Tabella1[[#This Row],[Denominazione]]&amp;" - "&amp;Tabella1[[#This Row],[Città]]</f>
        <v>ALBERGO CENTRALE - SAN GINESIO</v>
      </c>
    </row>
    <row r="429" spans="1:8" x14ac:dyDescent="0.25">
      <c r="A429" s="1" t="s">
        <v>679</v>
      </c>
      <c r="B429" s="1" t="s">
        <v>9913</v>
      </c>
      <c r="C429" s="1" t="s">
        <v>9914</v>
      </c>
      <c r="D429" s="1" t="s">
        <v>8949</v>
      </c>
      <c r="E429" s="1" t="s">
        <v>8949</v>
      </c>
      <c r="H429" s="2" t="str">
        <f>Tabella1[[#This Row],[Denominazione]]&amp;" - "&amp;Tabella1[[#This Row],[Città]]</f>
        <v>ALBERGO DEL SOLE - BAGNI N° 90 - SENIGALLIA</v>
      </c>
    </row>
    <row r="430" spans="1:8" x14ac:dyDescent="0.25">
      <c r="A430" s="1" t="s">
        <v>20</v>
      </c>
      <c r="B430" s="1" t="s">
        <v>8885</v>
      </c>
      <c r="C430" s="1" t="s">
        <v>8886</v>
      </c>
      <c r="D430" s="1" t="s">
        <v>8849</v>
      </c>
      <c r="E430" s="1" t="s">
        <v>8887</v>
      </c>
      <c r="F430" s="1" t="s">
        <v>8888</v>
      </c>
      <c r="G430" s="1" t="s">
        <v>8889</v>
      </c>
      <c r="H430" s="2" t="str">
        <f>Tabella1[[#This Row],[Denominazione]]&amp;" - "&amp;Tabella1[[#This Row],[Città]]</f>
        <v>ALBERGO DELLA STREGA - SASSOFERRATO</v>
      </c>
    </row>
    <row r="431" spans="1:8" x14ac:dyDescent="0.25">
      <c r="A431" s="1" t="s">
        <v>20</v>
      </c>
      <c r="B431" s="1" t="s">
        <v>23</v>
      </c>
      <c r="C431" s="1" t="s">
        <v>24</v>
      </c>
      <c r="D431" s="1" t="s">
        <v>15</v>
      </c>
      <c r="E431" s="1" t="s">
        <v>15</v>
      </c>
      <c r="G431" s="1" t="s">
        <v>25</v>
      </c>
      <c r="H431" s="2" t="str">
        <f>Tabella1[[#This Row],[Denominazione]]&amp;" - "&amp;Tabella1[[#This Row],[Città]]</f>
        <v>ALBERGO DOMUS MARIAE - ACQUALAGNA</v>
      </c>
    </row>
    <row r="432" spans="1:8" x14ac:dyDescent="0.25">
      <c r="A432" s="1" t="s">
        <v>20</v>
      </c>
      <c r="B432" s="1" t="s">
        <v>9576</v>
      </c>
      <c r="C432" s="1" t="s">
        <v>9577</v>
      </c>
      <c r="D432" s="1" t="s">
        <v>8949</v>
      </c>
      <c r="E432" s="1" t="s">
        <v>8949</v>
      </c>
      <c r="F432" s="1" t="s">
        <v>9578</v>
      </c>
      <c r="G432" s="1" t="s">
        <v>9579</v>
      </c>
      <c r="H432" s="2" t="str">
        <f>Tabella1[[#This Row],[Denominazione]]&amp;" - "&amp;Tabella1[[#This Row],[Città]]</f>
        <v>ALBERGO ELENA - SENIGALLIA</v>
      </c>
    </row>
    <row r="433" spans="1:8" x14ac:dyDescent="0.25">
      <c r="A433" s="1" t="s">
        <v>20</v>
      </c>
      <c r="B433" s="1" t="s">
        <v>4141</v>
      </c>
      <c r="C433" s="1" t="s">
        <v>4142</v>
      </c>
      <c r="D433" s="1" t="s">
        <v>4130</v>
      </c>
      <c r="E433" s="1" t="s">
        <v>4130</v>
      </c>
      <c r="F433" s="1" t="s">
        <v>4143</v>
      </c>
      <c r="G433" s="1" t="s">
        <v>4144</v>
      </c>
      <c r="H433" s="2" t="str">
        <f>Tabella1[[#This Row],[Denominazione]]&amp;" - "&amp;Tabella1[[#This Row],[Città]]</f>
        <v>ALBERGO ESTER - PIANDIMELETO</v>
      </c>
    </row>
    <row r="434" spans="1:8" x14ac:dyDescent="0.25">
      <c r="A434" s="1" t="s">
        <v>20</v>
      </c>
      <c r="B434" s="1" t="s">
        <v>825</v>
      </c>
      <c r="C434" s="1" t="s">
        <v>822</v>
      </c>
      <c r="D434" s="1" t="s">
        <v>682</v>
      </c>
      <c r="E434" s="1" t="s">
        <v>682</v>
      </c>
      <c r="F434" s="1" t="s">
        <v>823</v>
      </c>
      <c r="G434" s="1" t="s">
        <v>824</v>
      </c>
      <c r="H434" s="2" t="str">
        <f>Tabella1[[#This Row],[Denominazione]]&amp;" - "&amp;Tabella1[[#This Row],[Città]]</f>
        <v>ALBERGO EURO - FANO</v>
      </c>
    </row>
    <row r="435" spans="1:8" x14ac:dyDescent="0.25">
      <c r="A435" s="1" t="s">
        <v>20</v>
      </c>
      <c r="B435" s="1" t="s">
        <v>2143</v>
      </c>
      <c r="C435" s="1" t="s">
        <v>2144</v>
      </c>
      <c r="D435" s="1" t="s">
        <v>1907</v>
      </c>
      <c r="E435" s="1" t="s">
        <v>1907</v>
      </c>
      <c r="F435" s="1" t="s">
        <v>2145</v>
      </c>
      <c r="G435" s="1" t="s">
        <v>2146</v>
      </c>
      <c r="H435" s="2" t="str">
        <f>Tabella1[[#This Row],[Denominazione]]&amp;" - "&amp;Tabella1[[#This Row],[Città]]</f>
        <v>ALBERGO EVEREST MEUBLE' GARNI - GABICCE MARE</v>
      </c>
    </row>
    <row r="436" spans="1:8" x14ac:dyDescent="0.25">
      <c r="A436" s="1" t="s">
        <v>20</v>
      </c>
      <c r="B436" s="1" t="s">
        <v>7463</v>
      </c>
      <c r="C436" s="1" t="s">
        <v>7464</v>
      </c>
      <c r="D436" s="1" t="s">
        <v>7385</v>
      </c>
      <c r="E436" s="1" t="s">
        <v>7385</v>
      </c>
      <c r="G436" s="1" t="s">
        <v>7465</v>
      </c>
      <c r="H436" s="2" t="str">
        <f>Tabella1[[#This Row],[Denominazione]]&amp;" - "&amp;Tabella1[[#This Row],[Città]]</f>
        <v>ALBERGO GIOVANNI XXIII - LORETO</v>
      </c>
    </row>
    <row r="437" spans="1:8" x14ac:dyDescent="0.25">
      <c r="A437" s="1" t="s">
        <v>20</v>
      </c>
      <c r="B437" s="1" t="s">
        <v>560</v>
      </c>
      <c r="C437" s="1" t="s">
        <v>561</v>
      </c>
      <c r="D437" s="1" t="s">
        <v>535</v>
      </c>
      <c r="E437" s="1" t="s">
        <v>562</v>
      </c>
      <c r="G437" s="1" t="s">
        <v>559</v>
      </c>
      <c r="H437" s="2" t="str">
        <f>Tabella1[[#This Row],[Denominazione]]&amp;" - "&amp;Tabella1[[#This Row],[Città]]</f>
        <v>ALBERGO I CORDELLI - CANTIANO</v>
      </c>
    </row>
    <row r="438" spans="1:8" x14ac:dyDescent="0.25">
      <c r="A438" s="1" t="s">
        <v>20</v>
      </c>
      <c r="B438" s="1" t="s">
        <v>7329</v>
      </c>
      <c r="C438" s="1" t="s">
        <v>7330</v>
      </c>
      <c r="D438" s="1" t="s">
        <v>7254</v>
      </c>
      <c r="E438" s="1" t="s">
        <v>7254</v>
      </c>
      <c r="H438" s="2" t="str">
        <f>Tabella1[[#This Row],[Denominazione]]&amp;" - "&amp;Tabella1[[#This Row],[Città]]</f>
        <v>ALBERGO ITALIA - JESI</v>
      </c>
    </row>
    <row r="439" spans="1:8" x14ac:dyDescent="0.25">
      <c r="A439" s="1" t="s">
        <v>20</v>
      </c>
      <c r="B439" s="1" t="s">
        <v>2744</v>
      </c>
      <c r="C439" s="1" t="s">
        <v>2745</v>
      </c>
      <c r="D439" s="1" t="s">
        <v>2729</v>
      </c>
      <c r="E439" s="1" t="s">
        <v>2729</v>
      </c>
      <c r="F439" s="1" t="s">
        <v>2746</v>
      </c>
      <c r="G439" s="1" t="s">
        <v>2743</v>
      </c>
      <c r="H439" s="2" t="str">
        <f>Tabella1[[#This Row],[Denominazione]]&amp;" - "&amp;Tabella1[[#This Row],[Città]]</f>
        <v>ALBERGO LA PALOMBA - MONDAVIO</v>
      </c>
    </row>
    <row r="440" spans="1:8" x14ac:dyDescent="0.25">
      <c r="A440" s="1" t="s">
        <v>20</v>
      </c>
      <c r="B440" s="1" t="s">
        <v>19166</v>
      </c>
      <c r="C440" s="1" t="s">
        <v>7351</v>
      </c>
      <c r="D440" s="1" t="s">
        <v>18082</v>
      </c>
      <c r="E440" s="1" t="s">
        <v>18082</v>
      </c>
      <c r="F440" s="1" t="s">
        <v>19167</v>
      </c>
      <c r="G440" s="1" t="s">
        <v>19168</v>
      </c>
      <c r="H440" s="2" t="str">
        <f>Tabella1[[#This Row],[Denominazione]]&amp;" - "&amp;Tabella1[[#This Row],[Città]]</f>
        <v>ALBERGO LA TERRAZZA - PORTO SAN GIORGIO</v>
      </c>
    </row>
    <row r="441" spans="1:8" x14ac:dyDescent="0.25">
      <c r="A441" s="1" t="s">
        <v>20</v>
      </c>
      <c r="B441" s="1" t="s">
        <v>18840</v>
      </c>
      <c r="C441" s="1" t="s">
        <v>18841</v>
      </c>
      <c r="D441" s="1" t="s">
        <v>18842</v>
      </c>
      <c r="E441" s="1" t="s">
        <v>18842</v>
      </c>
      <c r="F441" s="1" t="s">
        <v>18843</v>
      </c>
      <c r="G441" s="1" t="s">
        <v>18844</v>
      </c>
      <c r="H441" s="2" t="str">
        <f>Tabella1[[#This Row],[Denominazione]]&amp;" - "&amp;Tabella1[[#This Row],[Città]]</f>
        <v>ALBERGO LA VECCHIA FORNACE - MONTE URANO</v>
      </c>
    </row>
    <row r="442" spans="1:8" x14ac:dyDescent="0.25">
      <c r="A442" s="1" t="s">
        <v>20</v>
      </c>
      <c r="B442" s="1" t="s">
        <v>7454</v>
      </c>
      <c r="C442" s="1" t="s">
        <v>7455</v>
      </c>
      <c r="D442" s="1" t="s">
        <v>7385</v>
      </c>
      <c r="E442" s="1" t="s">
        <v>7385</v>
      </c>
      <c r="F442" s="1" t="s">
        <v>7456</v>
      </c>
      <c r="G442" s="1" t="s">
        <v>7457</v>
      </c>
      <c r="H442" s="2" t="str">
        <f>Tabella1[[#This Row],[Denominazione]]&amp;" - "&amp;Tabella1[[#This Row],[Città]]</f>
        <v>ALBERGO MADONNA DI LORETO - CASA DEL CLERO - LORETO</v>
      </c>
    </row>
    <row r="443" spans="1:8" x14ac:dyDescent="0.25">
      <c r="A443" s="1" t="s">
        <v>20</v>
      </c>
      <c r="B443" s="1" t="s">
        <v>1152</v>
      </c>
      <c r="C443" s="1" t="s">
        <v>1153</v>
      </c>
      <c r="D443" s="1" t="s">
        <v>682</v>
      </c>
      <c r="E443" s="1" t="s">
        <v>682</v>
      </c>
      <c r="G443" s="1" t="s">
        <v>1154</v>
      </c>
      <c r="H443" s="2" t="str">
        <f>Tabella1[[#This Row],[Denominazione]]&amp;" - "&amp;Tabella1[[#This Row],[Città]]</f>
        <v>ALBERGO METAURO - FANO</v>
      </c>
    </row>
    <row r="444" spans="1:8" x14ac:dyDescent="0.25">
      <c r="A444" s="1" t="s">
        <v>20</v>
      </c>
      <c r="B444" s="1" t="s">
        <v>52</v>
      </c>
      <c r="C444" s="1" t="s">
        <v>53</v>
      </c>
      <c r="D444" s="1" t="s">
        <v>15</v>
      </c>
      <c r="E444" s="1" t="s">
        <v>15</v>
      </c>
      <c r="H444" s="2" t="str">
        <f>Tabella1[[#This Row],[Denominazione]]&amp;" - "&amp;Tabella1[[#This Row],[Città]]</f>
        <v>ALBERGO MEUBLE' SHINE - ACQUALAGNA</v>
      </c>
    </row>
    <row r="445" spans="1:8" x14ac:dyDescent="0.25">
      <c r="A445" s="1" t="s">
        <v>20</v>
      </c>
      <c r="B445" s="1" t="s">
        <v>3821</v>
      </c>
      <c r="C445" s="1" t="s">
        <v>3822</v>
      </c>
      <c r="D445" s="1" t="s">
        <v>2386</v>
      </c>
      <c r="E445" s="1" t="s">
        <v>2386</v>
      </c>
      <c r="G445" s="1" t="s">
        <v>3823</v>
      </c>
      <c r="H445" s="2" t="str">
        <f>Tabella1[[#This Row],[Denominazione]]&amp;" - "&amp;Tabella1[[#This Row],[Città]]</f>
        <v>ALBERGO MEUBLE' VILLA FASTIGGI - PESARO</v>
      </c>
    </row>
    <row r="446" spans="1:8" x14ac:dyDescent="0.25">
      <c r="A446" s="1" t="s">
        <v>20</v>
      </c>
      <c r="B446" s="1" t="s">
        <v>279</v>
      </c>
      <c r="C446" s="1" t="s">
        <v>280</v>
      </c>
      <c r="D446" s="1" t="s">
        <v>266</v>
      </c>
      <c r="E446" s="1" t="s">
        <v>274</v>
      </c>
      <c r="G446" s="1" t="s">
        <v>281</v>
      </c>
      <c r="H446" s="2" t="str">
        <f>Tabella1[[#This Row],[Denominazione]]&amp;" - "&amp;Tabella1[[#This Row],[Città]]</f>
        <v>ALBERGO OASI SAN BENEDETTO - BORGO PACE</v>
      </c>
    </row>
    <row r="447" spans="1:8" x14ac:dyDescent="0.25">
      <c r="A447" s="1" t="s">
        <v>20</v>
      </c>
      <c r="B447" s="1" t="s">
        <v>5107</v>
      </c>
      <c r="C447" s="1" t="s">
        <v>5108</v>
      </c>
      <c r="D447" s="1" t="s">
        <v>9</v>
      </c>
      <c r="E447" s="1" t="s">
        <v>9</v>
      </c>
      <c r="F447" s="1" t="s">
        <v>4976</v>
      </c>
      <c r="G447" s="1" t="s">
        <v>4977</v>
      </c>
      <c r="H447" s="2" t="str">
        <f>Tabella1[[#This Row],[Denominazione]]&amp;" - "&amp;Tabella1[[#This Row],[Città]]</f>
        <v>ALBERGO RAFFAELLO - URBINO</v>
      </c>
    </row>
    <row r="448" spans="1:8" x14ac:dyDescent="0.25">
      <c r="A448" s="1" t="s">
        <v>20</v>
      </c>
      <c r="B448" s="1" t="s">
        <v>3280</v>
      </c>
      <c r="C448" s="1" t="s">
        <v>3281</v>
      </c>
      <c r="D448" s="1" t="s">
        <v>3282</v>
      </c>
      <c r="E448" s="1" t="s">
        <v>3282</v>
      </c>
      <c r="F448" s="1" t="s">
        <v>3283</v>
      </c>
      <c r="G448" s="1" t="s">
        <v>3284</v>
      </c>
      <c r="H448" s="2" t="str">
        <f>Tabella1[[#This Row],[Denominazione]]&amp;" - "&amp;Tabella1[[#This Row],[Città]]</f>
        <v>ALBERGO RISTORANTE BALCONE SUL METAURO - PEGLIO</v>
      </c>
    </row>
    <row r="449" spans="1:8" x14ac:dyDescent="0.25">
      <c r="A449" s="1" t="s">
        <v>20</v>
      </c>
      <c r="B449" s="1" t="s">
        <v>13908</v>
      </c>
      <c r="C449" s="1" t="s">
        <v>13909</v>
      </c>
      <c r="D449" s="1" t="s">
        <v>13894</v>
      </c>
      <c r="E449" s="1" t="s">
        <v>13894</v>
      </c>
      <c r="G449" s="1" t="s">
        <v>13910</v>
      </c>
      <c r="H449" s="2" t="str">
        <f>Tabella1[[#This Row],[Denominazione]]&amp;" - "&amp;Tabella1[[#This Row],[Città]]</f>
        <v>ALBERGO RISTORANTE BAR DA LORE' - SERRAPETRONA</v>
      </c>
    </row>
    <row r="450" spans="1:8" x14ac:dyDescent="0.25">
      <c r="A450" s="1" t="s">
        <v>20</v>
      </c>
      <c r="B450" s="1" t="s">
        <v>19532</v>
      </c>
      <c r="C450" s="1" t="s">
        <v>19533</v>
      </c>
      <c r="D450" s="1" t="s">
        <v>19500</v>
      </c>
      <c r="E450" s="1" t="s">
        <v>19500</v>
      </c>
      <c r="G450" s="1" t="s">
        <v>19534</v>
      </c>
      <c r="H450" s="2" t="str">
        <f>Tabella1[[#This Row],[Denominazione]]&amp;" - "&amp;Tabella1[[#This Row],[Città]]</f>
        <v>ALBERGO RISTORANTE BAR FARFENSE - SANTA VITTORIA IN MATENANO</v>
      </c>
    </row>
    <row r="451" spans="1:8" x14ac:dyDescent="0.25">
      <c r="A451" s="1" t="s">
        <v>20</v>
      </c>
      <c r="B451" s="1" t="s">
        <v>15315</v>
      </c>
      <c r="C451" s="1" t="s">
        <v>15316</v>
      </c>
      <c r="D451" s="1" t="s">
        <v>15282</v>
      </c>
      <c r="E451" s="1" t="s">
        <v>15282</v>
      </c>
      <c r="G451" s="1" t="s">
        <v>15317</v>
      </c>
      <c r="H451" s="2" t="str">
        <f>Tabella1[[#This Row],[Denominazione]]&amp;" - "&amp;Tabella1[[#This Row],[Città]]</f>
        <v>ALBERGO RISTORANTE ELVIRA - COSSIGNANO</v>
      </c>
    </row>
    <row r="452" spans="1:8" x14ac:dyDescent="0.25">
      <c r="A452" s="1" t="s">
        <v>20</v>
      </c>
      <c r="B452" s="1" t="s">
        <v>12747</v>
      </c>
      <c r="C452" s="1" t="s">
        <v>12748</v>
      </c>
      <c r="D452" s="1" t="s">
        <v>12749</v>
      </c>
      <c r="E452" s="1" t="s">
        <v>12749</v>
      </c>
      <c r="F452" s="1" t="s">
        <v>12750</v>
      </c>
      <c r="G452" s="1" t="s">
        <v>12751</v>
      </c>
      <c r="H452" s="2" t="str">
        <f>Tabella1[[#This Row],[Denominazione]]&amp;" - "&amp;Tabella1[[#This Row],[Città]]</f>
        <v>ALBERGO RISTORANTE IL GIARDINO - PIORACO</v>
      </c>
    </row>
    <row r="453" spans="1:8" x14ac:dyDescent="0.25">
      <c r="A453" s="1" t="s">
        <v>20</v>
      </c>
      <c r="B453" s="1" t="s">
        <v>13996</v>
      </c>
      <c r="C453" s="1" t="s">
        <v>8279</v>
      </c>
      <c r="D453" s="1" t="s">
        <v>13946</v>
      </c>
      <c r="E453" s="1" t="s">
        <v>13946</v>
      </c>
      <c r="F453" s="1" t="s">
        <v>13997</v>
      </c>
      <c r="G453" s="1" t="s">
        <v>13998</v>
      </c>
      <c r="H453" s="2" t="str">
        <f>Tabella1[[#This Row],[Denominazione]]&amp;" - "&amp;Tabella1[[#This Row],[Città]]</f>
        <v>ALBERGO RISTORANTE MILANO *** - TOLENTINO</v>
      </c>
    </row>
    <row r="454" spans="1:8" x14ac:dyDescent="0.25">
      <c r="A454" s="1" t="s">
        <v>20</v>
      </c>
      <c r="B454" s="1" t="s">
        <v>13317</v>
      </c>
      <c r="C454" s="1" t="s">
        <v>13318</v>
      </c>
      <c r="D454" s="1" t="s">
        <v>13298</v>
      </c>
      <c r="E454" s="1" t="s">
        <v>13298</v>
      </c>
      <c r="G454" s="1" t="s">
        <v>13319</v>
      </c>
      <c r="H454" s="2" t="str">
        <f>Tabella1[[#This Row],[Denominazione]]&amp;" - "&amp;Tabella1[[#This Row],[Città]]</f>
        <v>ALBERGO RISTORANTE PASSERO SOLITARIO - RECANATI</v>
      </c>
    </row>
    <row r="455" spans="1:8" x14ac:dyDescent="0.25">
      <c r="A455" s="1" t="s">
        <v>20</v>
      </c>
      <c r="B455" s="1" t="s">
        <v>18802</v>
      </c>
      <c r="C455" s="1" t="s">
        <v>18803</v>
      </c>
      <c r="D455" s="1" t="s">
        <v>18783</v>
      </c>
      <c r="E455" s="1" t="s">
        <v>18783</v>
      </c>
      <c r="H455" s="2" t="str">
        <f>Tabella1[[#This Row],[Denominazione]]&amp;" - "&amp;Tabella1[[#This Row],[Città]]</f>
        <v>ALBERGO RISTORANTE PAZZI - MONTERUBBIANO</v>
      </c>
    </row>
    <row r="456" spans="1:8" x14ac:dyDescent="0.25">
      <c r="A456" s="1" t="s">
        <v>20</v>
      </c>
      <c r="B456" s="1" t="s">
        <v>3084</v>
      </c>
      <c r="C456" s="1" t="s">
        <v>3085</v>
      </c>
      <c r="D456" s="1" t="s">
        <v>3067</v>
      </c>
      <c r="E456" s="1" t="s">
        <v>3067</v>
      </c>
      <c r="F456" s="1" t="s">
        <v>3086</v>
      </c>
      <c r="G456" s="1" t="s">
        <v>3087</v>
      </c>
      <c r="H456" s="2" t="str">
        <f>Tabella1[[#This Row],[Denominazione]]&amp;" - "&amp;Tabella1[[#This Row],[Città]]</f>
        <v>ALBERGO RISTORANTE SCIBAR LA BAITA - MONTECOPIOLO</v>
      </c>
    </row>
    <row r="457" spans="1:8" x14ac:dyDescent="0.25">
      <c r="A457" s="1" t="s">
        <v>20</v>
      </c>
      <c r="B457" s="1" t="s">
        <v>14354</v>
      </c>
      <c r="C457" s="1" t="s">
        <v>14355</v>
      </c>
      <c r="D457" s="1" t="s">
        <v>14334</v>
      </c>
      <c r="E457" s="1" t="s">
        <v>14334</v>
      </c>
      <c r="F457" s="1" t="s">
        <v>14356</v>
      </c>
      <c r="G457" s="1" t="s">
        <v>14357</v>
      </c>
      <c r="H457" s="2" t="str">
        <f>Tabella1[[#This Row],[Denominazione]]&amp;" - "&amp;Tabella1[[#This Row],[Città]]</f>
        <v>ALBERGO RISTORANTE TERME - ACQUASANTA TERME</v>
      </c>
    </row>
    <row r="458" spans="1:8" x14ac:dyDescent="0.25">
      <c r="A458" s="1" t="s">
        <v>20</v>
      </c>
      <c r="B458" s="1" t="s">
        <v>15028</v>
      </c>
      <c r="C458" s="1" t="s">
        <v>15029</v>
      </c>
      <c r="D458" s="1" t="s">
        <v>14576</v>
      </c>
      <c r="E458" s="1" t="s">
        <v>14576</v>
      </c>
      <c r="F458" s="1" t="s">
        <v>15030</v>
      </c>
      <c r="G458" s="1" t="s">
        <v>15031</v>
      </c>
      <c r="H458" s="2" t="str">
        <f>Tabella1[[#This Row],[Denominazione]]&amp;" - "&amp;Tabella1[[#This Row],[Città]]</f>
        <v>ALBERGO SANT'EMIDIO - ASCOLI PICENO</v>
      </c>
    </row>
    <row r="459" spans="1:8" x14ac:dyDescent="0.25">
      <c r="A459" s="1" t="s">
        <v>20</v>
      </c>
      <c r="B459" s="1" t="s">
        <v>11818</v>
      </c>
      <c r="C459" s="1" t="s">
        <v>11819</v>
      </c>
      <c r="D459" s="1" t="s">
        <v>11792</v>
      </c>
      <c r="E459" s="1" t="s">
        <v>11792</v>
      </c>
      <c r="F459" s="1" t="s">
        <v>11820</v>
      </c>
      <c r="G459" s="1" t="s">
        <v>11821</v>
      </c>
      <c r="H459" s="2" t="str">
        <f>Tabella1[[#This Row],[Denominazione]]&amp;" - "&amp;Tabella1[[#This Row],[Città]]</f>
        <v>ALBERGO SASSO BIANCO - FIASTRA</v>
      </c>
    </row>
    <row r="460" spans="1:8" x14ac:dyDescent="0.25">
      <c r="A460" s="1" t="s">
        <v>20</v>
      </c>
      <c r="B460" s="1" t="s">
        <v>7855</v>
      </c>
      <c r="C460" s="1" t="s">
        <v>7856</v>
      </c>
      <c r="D460" s="1" t="s">
        <v>7849</v>
      </c>
      <c r="E460" s="1" t="s">
        <v>7857</v>
      </c>
      <c r="F460" s="1" t="s">
        <v>7858</v>
      </c>
      <c r="G460" s="1" t="s">
        <v>7859</v>
      </c>
      <c r="H460" s="2" t="str">
        <f>Tabella1[[#This Row],[Denominazione]]&amp;" - "&amp;Tabella1[[#This Row],[Città]]</f>
        <v>ALBERGO SHANTI HOUSE DAL MAGO - MORRO D'ALBA</v>
      </c>
    </row>
    <row r="461" spans="1:8" x14ac:dyDescent="0.25">
      <c r="A461" s="1" t="s">
        <v>20</v>
      </c>
      <c r="B461" s="1" t="s">
        <v>17571</v>
      </c>
      <c r="C461" s="1" t="s">
        <v>17572</v>
      </c>
      <c r="D461" s="1" t="s">
        <v>15819</v>
      </c>
      <c r="E461" s="1" t="s">
        <v>15819</v>
      </c>
      <c r="F461" s="1" t="s">
        <v>17183</v>
      </c>
      <c r="G461" s="1" t="s">
        <v>17182</v>
      </c>
      <c r="H461" s="2" t="str">
        <f>Tabella1[[#This Row],[Denominazione]]&amp;" - "&amp;Tabella1[[#This Row],[Città]]</f>
        <v>ALBERGO SORAYA - SAN BENEDETTO DEL TRONTO</v>
      </c>
    </row>
    <row r="462" spans="1:8" x14ac:dyDescent="0.25">
      <c r="A462" s="1" t="s">
        <v>20</v>
      </c>
      <c r="B462" s="1" t="s">
        <v>6318</v>
      </c>
      <c r="C462" s="1" t="s">
        <v>6319</v>
      </c>
      <c r="D462" s="1" t="s">
        <v>6290</v>
      </c>
      <c r="E462" s="1" t="s">
        <v>6290</v>
      </c>
      <c r="G462" s="1" t="s">
        <v>6320</v>
      </c>
      <c r="H462" s="2" t="str">
        <f>Tabella1[[#This Row],[Denominazione]]&amp;" - "&amp;Tabella1[[#This Row],[Città]]</f>
        <v>ALBERGO STROLOGO - CAMERANO</v>
      </c>
    </row>
    <row r="463" spans="1:8" x14ac:dyDescent="0.25">
      <c r="A463" s="1" t="s">
        <v>20</v>
      </c>
      <c r="B463" s="1" t="s">
        <v>17591</v>
      </c>
      <c r="C463" s="1" t="s">
        <v>17592</v>
      </c>
      <c r="D463" s="1" t="s">
        <v>15819</v>
      </c>
      <c r="E463" s="1" t="s">
        <v>15819</v>
      </c>
      <c r="F463" s="1" t="s">
        <v>17593</v>
      </c>
      <c r="G463" s="1" t="s">
        <v>17594</v>
      </c>
      <c r="H463" s="2" t="str">
        <f>Tabella1[[#This Row],[Denominazione]]&amp;" - "&amp;Tabella1[[#This Row],[Città]]</f>
        <v>ALBERGO-RISTORANTE DESIREE - SAN BENEDETTO DEL TRONTO</v>
      </c>
    </row>
    <row r="464" spans="1:8" x14ac:dyDescent="0.25">
      <c r="A464" s="1" t="s">
        <v>679</v>
      </c>
      <c r="B464" s="1" t="s">
        <v>5714</v>
      </c>
      <c r="D464" s="1" t="s">
        <v>1864</v>
      </c>
      <c r="E464" s="1" t="s">
        <v>5715</v>
      </c>
      <c r="F464" s="1" t="s">
        <v>5716</v>
      </c>
      <c r="H464" s="2" t="str">
        <f>Tabella1[[#This Row],[Denominazione]]&amp;" - "&amp;Tabella1[[#This Row],[Città]]</f>
        <v>ALBINA - ANCONA</v>
      </c>
    </row>
    <row r="465" spans="1:8" x14ac:dyDescent="0.25">
      <c r="A465" s="1" t="s">
        <v>12</v>
      </c>
      <c r="B465" s="1" t="s">
        <v>1472</v>
      </c>
      <c r="C465" s="1" t="s">
        <v>1473</v>
      </c>
      <c r="D465" s="1" t="s">
        <v>682</v>
      </c>
      <c r="G465" s="1" t="s">
        <v>1460</v>
      </c>
      <c r="H465" s="2" t="str">
        <f>Tabella1[[#This Row],[Denominazione]]&amp;" - "&amp;Tabella1[[#This Row],[Città]]</f>
        <v>ALESSANDRINI DANIELE - FANO</v>
      </c>
    </row>
    <row r="466" spans="1:8" x14ac:dyDescent="0.25">
      <c r="A466" s="1" t="s">
        <v>12</v>
      </c>
      <c r="B466" s="1" t="s">
        <v>1458</v>
      </c>
      <c r="C466" s="1" t="s">
        <v>1459</v>
      </c>
      <c r="D466" s="1" t="s">
        <v>682</v>
      </c>
      <c r="G466" s="1" t="s">
        <v>1460</v>
      </c>
      <c r="H466" s="2" t="str">
        <f>Tabella1[[#This Row],[Denominazione]]&amp;" - "&amp;Tabella1[[#This Row],[Città]]</f>
        <v>ALESSANDRINI MANUELA - FANO</v>
      </c>
    </row>
    <row r="467" spans="1:8" x14ac:dyDescent="0.25">
      <c r="A467" s="1" t="s">
        <v>20</v>
      </c>
      <c r="B467" s="1" t="s">
        <v>2084</v>
      </c>
      <c r="C467" s="1" t="s">
        <v>2085</v>
      </c>
      <c r="D467" s="1" t="s">
        <v>1907</v>
      </c>
      <c r="E467" s="1" t="s">
        <v>1907</v>
      </c>
      <c r="F467" s="1" t="s">
        <v>2086</v>
      </c>
      <c r="G467" s="1" t="s">
        <v>2087</v>
      </c>
      <c r="H467" s="2" t="str">
        <f>Tabella1[[#This Row],[Denominazione]]&amp;" - "&amp;Tabella1[[#This Row],[Città]]</f>
        <v>ALEXANDER - GABICCE MARE</v>
      </c>
    </row>
    <row r="468" spans="1:8" x14ac:dyDescent="0.25">
      <c r="A468" s="1" t="s">
        <v>20</v>
      </c>
      <c r="B468" s="1" t="s">
        <v>4101</v>
      </c>
      <c r="C468" s="1" t="s">
        <v>4102</v>
      </c>
      <c r="D468" s="1" t="s">
        <v>2386</v>
      </c>
      <c r="E468" s="1" t="s">
        <v>2386</v>
      </c>
      <c r="F468" s="1" t="s">
        <v>4103</v>
      </c>
      <c r="G468" s="1" t="s">
        <v>4104</v>
      </c>
      <c r="H468" s="2" t="str">
        <f>Tabella1[[#This Row],[Denominazione]]&amp;" - "&amp;Tabella1[[#This Row],[Città]]</f>
        <v>ALEXANDER MUSEUM PALACE HOTEL - PESARO</v>
      </c>
    </row>
    <row r="469" spans="1:8" x14ac:dyDescent="0.25">
      <c r="A469" s="1" t="s">
        <v>12</v>
      </c>
      <c r="B469" s="1" t="s">
        <v>7643</v>
      </c>
      <c r="C469" s="1" t="s">
        <v>7644</v>
      </c>
      <c r="D469" s="1" t="s">
        <v>7611</v>
      </c>
      <c r="G469" s="1" t="s">
        <v>7645</v>
      </c>
      <c r="H469" s="2" t="str">
        <f>Tabella1[[#This Row],[Denominazione]]&amp;" - "&amp;Tabella1[[#This Row],[Città]]</f>
        <v>ALEXANDRA HOFMEISTER - MERGO</v>
      </c>
    </row>
    <row r="470" spans="1:8" x14ac:dyDescent="0.25">
      <c r="A470" s="1" t="s">
        <v>12</v>
      </c>
      <c r="B470" s="1" t="s">
        <v>9041</v>
      </c>
      <c r="C470" s="1" t="s">
        <v>9042</v>
      </c>
      <c r="D470" s="1" t="s">
        <v>8949</v>
      </c>
      <c r="E470" s="1" t="s">
        <v>8949</v>
      </c>
      <c r="G470" s="1" t="s">
        <v>9043</v>
      </c>
      <c r="H470" s="2" t="str">
        <f>Tabella1[[#This Row],[Denominazione]]&amp;" - "&amp;Tabella1[[#This Row],[Città]]</f>
        <v>ALFONSI STEFANIA - SENIGALLIA</v>
      </c>
    </row>
    <row r="471" spans="1:8" x14ac:dyDescent="0.25">
      <c r="A471" s="1" t="s">
        <v>12</v>
      </c>
      <c r="B471" s="1" t="s">
        <v>16325</v>
      </c>
      <c r="D471" s="1" t="s">
        <v>16312</v>
      </c>
      <c r="E471" s="1" t="s">
        <v>16326</v>
      </c>
      <c r="G471" s="1" t="s">
        <v>16327</v>
      </c>
      <c r="H471" s="2" t="str">
        <f>Tabella1[[#This Row],[Denominazione]]&amp;" - "&amp;Tabella1[[#This Row],[Città]]</f>
        <v>ALFONSO VETRI BURATTI - MONTEMONACO</v>
      </c>
    </row>
    <row r="472" spans="1:8" x14ac:dyDescent="0.25">
      <c r="A472" s="1" t="s">
        <v>12</v>
      </c>
      <c r="B472" s="1" t="s">
        <v>13075</v>
      </c>
      <c r="C472" s="1" t="s">
        <v>13076</v>
      </c>
      <c r="D472" s="1" t="s">
        <v>13026</v>
      </c>
      <c r="E472" s="1" t="s">
        <v>13026</v>
      </c>
      <c r="H472" s="2" t="str">
        <f>Tabella1[[#This Row],[Denominazione]]&amp;" - "&amp;Tabella1[[#This Row],[Città]]</f>
        <v>ALFREDO BOCCACCINI - POTENZA PICENA</v>
      </c>
    </row>
    <row r="473" spans="1:8" x14ac:dyDescent="0.25">
      <c r="A473" s="1" t="s">
        <v>29</v>
      </c>
      <c r="B473" s="1" t="s">
        <v>8596</v>
      </c>
      <c r="C473" s="1" t="s">
        <v>8597</v>
      </c>
      <c r="D473" s="1" t="s">
        <v>8454</v>
      </c>
      <c r="E473" s="1" t="s">
        <v>8535</v>
      </c>
      <c r="G473" s="1" t="s">
        <v>8598</v>
      </c>
      <c r="H473" s="2" t="str">
        <f>Tabella1[[#This Row],[Denominazione]]&amp;" - "&amp;Tabella1[[#This Row],[Città]]</f>
        <v>ALLA BIGATTIERA - OSIMO</v>
      </c>
    </row>
    <row r="474" spans="1:8" x14ac:dyDescent="0.25">
      <c r="A474" s="1" t="s">
        <v>35</v>
      </c>
      <c r="B474" s="1" t="s">
        <v>18606</v>
      </c>
      <c r="C474" s="1" t="s">
        <v>18607</v>
      </c>
      <c r="D474" s="1" t="s">
        <v>18589</v>
      </c>
      <c r="E474" s="1" t="s">
        <v>18589</v>
      </c>
      <c r="F474" s="1" t="s">
        <v>18608</v>
      </c>
      <c r="G474" s="1" t="s">
        <v>18609</v>
      </c>
      <c r="H474" s="2" t="str">
        <f>Tabella1[[#This Row],[Denominazione]]&amp;" - "&amp;Tabella1[[#This Row],[Città]]</f>
        <v>ALLA CORTE DI CAROLINA - MONTE GIBERTO</v>
      </c>
    </row>
    <row r="475" spans="1:8" x14ac:dyDescent="0.25">
      <c r="A475" s="1" t="s">
        <v>20</v>
      </c>
      <c r="B475" s="1" t="s">
        <v>1105</v>
      </c>
      <c r="C475" s="1" t="s">
        <v>1106</v>
      </c>
      <c r="D475" s="1" t="s">
        <v>682</v>
      </c>
      <c r="E475" s="1" t="s">
        <v>682</v>
      </c>
      <c r="F475" s="1" t="s">
        <v>1107</v>
      </c>
      <c r="G475" s="1" t="s">
        <v>1108</v>
      </c>
      <c r="H475" s="2" t="str">
        <f>Tabella1[[#This Row],[Denominazione]]&amp;" - "&amp;Tabella1[[#This Row],[Città]]</f>
        <v>ALLA LANTERNA - FANO</v>
      </c>
    </row>
    <row r="476" spans="1:8" x14ac:dyDescent="0.25">
      <c r="A476" s="1" t="s">
        <v>82</v>
      </c>
      <c r="B476" s="1" t="s">
        <v>10888</v>
      </c>
      <c r="C476" s="1" t="s">
        <v>10889</v>
      </c>
      <c r="D476" s="1" t="s">
        <v>10737</v>
      </c>
      <c r="F476" s="1" t="s">
        <v>10890</v>
      </c>
      <c r="G476" s="1" t="s">
        <v>10891</v>
      </c>
      <c r="H476" s="2" t="str">
        <f>Tabella1[[#This Row],[Denominazione]]&amp;" - "&amp;Tabella1[[#This Row],[Città]]</f>
        <v>ALLA SCOPERTA DELLE MARCHE - CAMERINO</v>
      </c>
    </row>
    <row r="477" spans="1:8" x14ac:dyDescent="0.25">
      <c r="A477" s="1" t="s">
        <v>35</v>
      </c>
      <c r="B477" s="1" t="s">
        <v>3387</v>
      </c>
      <c r="C477" s="1" t="s">
        <v>3388</v>
      </c>
      <c r="D477" s="1" t="s">
        <v>3305</v>
      </c>
      <c r="E477" s="1" t="s">
        <v>3305</v>
      </c>
      <c r="F477" s="1" t="s">
        <v>3389</v>
      </c>
      <c r="G477" s="1" t="s">
        <v>3390</v>
      </c>
      <c r="H477" s="2" t="str">
        <f>Tabella1[[#This Row],[Denominazione]]&amp;" - "&amp;Tabella1[[#This Row],[Città]]</f>
        <v>ALLA VECCHIA QUERCIA - PERGOLA</v>
      </c>
    </row>
    <row r="478" spans="1:8" x14ac:dyDescent="0.25">
      <c r="A478" s="1" t="s">
        <v>29</v>
      </c>
      <c r="B478" s="1" t="s">
        <v>5549</v>
      </c>
      <c r="C478" s="1" t="s">
        <v>5550</v>
      </c>
      <c r="D478" s="1" t="s">
        <v>1864</v>
      </c>
      <c r="E478" s="1" t="s">
        <v>1864</v>
      </c>
      <c r="G478" s="1" t="s">
        <v>5551</v>
      </c>
      <c r="H478" s="2" t="str">
        <f>Tabella1[[#This Row],[Denominazione]]&amp;" - "&amp;Tabella1[[#This Row],[Città]]</f>
        <v>ALLE PORTE DELLA CITTA' - ANCONA</v>
      </c>
    </row>
    <row r="479" spans="1:8" x14ac:dyDescent="0.25">
      <c r="A479" s="1" t="s">
        <v>35</v>
      </c>
      <c r="B479" s="1" t="s">
        <v>10616</v>
      </c>
      <c r="C479" s="1" t="s">
        <v>10617</v>
      </c>
      <c r="D479" s="1" t="s">
        <v>10589</v>
      </c>
      <c r="E479" s="1" t="s">
        <v>10589</v>
      </c>
      <c r="F479" s="1" t="s">
        <v>10618</v>
      </c>
      <c r="G479" s="1" t="s">
        <v>10619</v>
      </c>
      <c r="H479" s="2" t="str">
        <f>Tabella1[[#This Row],[Denominazione]]&amp;" - "&amp;Tabella1[[#This Row],[Città]]</f>
        <v>ALLOGGIO AGRITURISTICO COLLEVERDE - APIRO</v>
      </c>
    </row>
    <row r="480" spans="1:8" x14ac:dyDescent="0.25">
      <c r="A480" s="1" t="s">
        <v>29</v>
      </c>
      <c r="B480" s="1" t="s">
        <v>10451</v>
      </c>
      <c r="C480" s="1" t="s">
        <v>10452</v>
      </c>
      <c r="D480" s="1" t="s">
        <v>10206</v>
      </c>
      <c r="E480" s="1" t="s">
        <v>10206</v>
      </c>
      <c r="F480" s="1" t="s">
        <v>10453</v>
      </c>
      <c r="G480" s="1" t="s">
        <v>10454</v>
      </c>
      <c r="H480" s="2" t="str">
        <f>Tabella1[[#This Row],[Denominazione]]&amp;" - "&amp;Tabella1[[#This Row],[Città]]</f>
        <v>ALLOGGIO FIORI D'OLMO - SIROLO</v>
      </c>
    </row>
    <row r="481" spans="1:8" x14ac:dyDescent="0.25">
      <c r="A481" s="1" t="s">
        <v>29</v>
      </c>
      <c r="B481" s="1" t="s">
        <v>11334</v>
      </c>
      <c r="C481" s="1" t="s">
        <v>11335</v>
      </c>
      <c r="D481" s="1" t="s">
        <v>11244</v>
      </c>
      <c r="E481" s="1" t="s">
        <v>11244</v>
      </c>
      <c r="G481" s="1" t="s">
        <v>11336</v>
      </c>
      <c r="H481" s="2" t="str">
        <f>Tabella1[[#This Row],[Denominazione]]&amp;" - "&amp;Tabella1[[#This Row],[Città]]</f>
        <v>ALLORO MARINO - CIVITANOVA MARCHE</v>
      </c>
    </row>
    <row r="482" spans="1:8" x14ac:dyDescent="0.25">
      <c r="A482" s="1" t="s">
        <v>679</v>
      </c>
      <c r="B482" s="1" t="s">
        <v>11617</v>
      </c>
      <c r="C482" s="1" t="s">
        <v>11614</v>
      </c>
      <c r="D482" s="1" t="s">
        <v>11244</v>
      </c>
      <c r="E482" s="1" t="s">
        <v>11244</v>
      </c>
      <c r="F482" s="1" t="s">
        <v>11618</v>
      </c>
      <c r="H482" s="2" t="str">
        <f>Tabella1[[#This Row],[Denominazione]]&amp;" - "&amp;Tabella1[[#This Row],[Città]]</f>
        <v>ALOHA - CIVITANOVA MARCHE</v>
      </c>
    </row>
    <row r="483" spans="1:8" x14ac:dyDescent="0.25">
      <c r="A483" s="1" t="s">
        <v>12</v>
      </c>
      <c r="B483" s="1" t="s">
        <v>6630</v>
      </c>
      <c r="C483" s="1" t="s">
        <v>6631</v>
      </c>
      <c r="D483" s="1" t="s">
        <v>6536</v>
      </c>
      <c r="G483" s="1" t="s">
        <v>6632</v>
      </c>
      <c r="H483" s="2" t="str">
        <f>Tabella1[[#This Row],[Denominazione]]&amp;" - "&amp;Tabella1[[#This Row],[Città]]</f>
        <v>ALOISI SERENA - CORINALDO</v>
      </c>
    </row>
    <row r="484" spans="1:8" x14ac:dyDescent="0.25">
      <c r="A484" s="1" t="s">
        <v>679</v>
      </c>
      <c r="B484" s="1" t="s">
        <v>15540</v>
      </c>
      <c r="C484" s="1" t="s">
        <v>15541</v>
      </c>
      <c r="D484" s="1" t="s">
        <v>15349</v>
      </c>
      <c r="E484" s="1" t="s">
        <v>15349</v>
      </c>
      <c r="F484" s="1" t="s">
        <v>15542</v>
      </c>
      <c r="G484" s="1" t="s">
        <v>15543</v>
      </c>
      <c r="H484" s="2" t="str">
        <f>Tabella1[[#This Row],[Denominazione]]&amp;" - "&amp;Tabella1[[#This Row],[Città]]</f>
        <v>ALTA MAREA - CUPRA MARITTIMA</v>
      </c>
    </row>
    <row r="485" spans="1:8" x14ac:dyDescent="0.25">
      <c r="A485" s="1" t="s">
        <v>12</v>
      </c>
      <c r="B485" s="1" t="s">
        <v>14322</v>
      </c>
      <c r="C485" s="1" t="s">
        <v>14323</v>
      </c>
      <c r="D485" s="1" t="s">
        <v>14276</v>
      </c>
      <c r="E485" s="1" t="s">
        <v>14276</v>
      </c>
      <c r="H485" s="2" t="str">
        <f>Tabella1[[#This Row],[Denominazione]]&amp;" - "&amp;Tabella1[[#This Row],[Città]]</f>
        <v>ALTAROCCA MARIA CRISTINA - VISSO</v>
      </c>
    </row>
    <row r="486" spans="1:8" x14ac:dyDescent="0.25">
      <c r="A486" s="1" t="s">
        <v>679</v>
      </c>
      <c r="B486" s="1" t="s">
        <v>2810</v>
      </c>
      <c r="C486" s="1" t="s">
        <v>2811</v>
      </c>
      <c r="D486" s="1" t="s">
        <v>1605</v>
      </c>
      <c r="E486" s="1" t="s">
        <v>1456</v>
      </c>
      <c r="H486" s="2" t="str">
        <f>Tabella1[[#This Row],[Denominazione]]&amp;" - "&amp;Tabella1[[#This Row],[Città]]</f>
        <v>ALTRA MAREA di CORSALETTI DAVIDE E GUIDI GIANLUCA - MONDOLFO</v>
      </c>
    </row>
    <row r="487" spans="1:8" x14ac:dyDescent="0.25">
      <c r="A487" s="1" t="s">
        <v>12</v>
      </c>
      <c r="B487" s="1" t="s">
        <v>6017</v>
      </c>
      <c r="C487" s="1" t="s">
        <v>6018</v>
      </c>
      <c r="D487" s="1" t="s">
        <v>1864</v>
      </c>
      <c r="E487" s="1" t="s">
        <v>1864</v>
      </c>
      <c r="G487" s="1" t="s">
        <v>6019</v>
      </c>
      <c r="H487" s="2" t="str">
        <f>Tabella1[[#This Row],[Denominazione]]&amp;" - "&amp;Tabella1[[#This Row],[Città]]</f>
        <v>ALUIGI GIUSI - ANCONA</v>
      </c>
    </row>
    <row r="488" spans="1:8" x14ac:dyDescent="0.25">
      <c r="A488" s="1" t="s">
        <v>29</v>
      </c>
      <c r="B488" s="1" t="s">
        <v>15130</v>
      </c>
      <c r="C488" s="1" t="s">
        <v>15131</v>
      </c>
      <c r="D488" s="1" t="s">
        <v>15129</v>
      </c>
      <c r="E488" s="1" t="s">
        <v>15129</v>
      </c>
      <c r="H488" s="2" t="str">
        <f>Tabella1[[#This Row],[Denominazione]]&amp;" - "&amp;Tabella1[[#This Row],[Città]]</f>
        <v>AMADIO MARY - CASTEL DI LAMA</v>
      </c>
    </row>
    <row r="489" spans="1:8" x14ac:dyDescent="0.25">
      <c r="A489" s="1" t="s">
        <v>12</v>
      </c>
      <c r="B489" s="1" t="s">
        <v>529</v>
      </c>
      <c r="D489" s="1" t="s">
        <v>316</v>
      </c>
      <c r="E489" s="1" t="s">
        <v>530</v>
      </c>
      <c r="F489" s="1" t="s">
        <v>531</v>
      </c>
      <c r="G489" s="1" t="s">
        <v>532</v>
      </c>
      <c r="H489" s="2" t="str">
        <f>Tabella1[[#This Row],[Denominazione]]&amp;" - "&amp;Tabella1[[#This Row],[Città]]</f>
        <v>AMADUZZI GIOVANNA - CAGLI</v>
      </c>
    </row>
    <row r="490" spans="1:8" x14ac:dyDescent="0.25">
      <c r="A490" s="1" t="s">
        <v>82</v>
      </c>
      <c r="B490" s="1" t="s">
        <v>6446</v>
      </c>
      <c r="C490" s="1" t="s">
        <v>6447</v>
      </c>
      <c r="D490" s="1" t="s">
        <v>6371</v>
      </c>
      <c r="E490" s="1" t="s">
        <v>6448</v>
      </c>
      <c r="G490" s="1" t="s">
        <v>6449</v>
      </c>
      <c r="H490" s="2" t="str">
        <f>Tabella1[[#This Row],[Denominazione]]&amp;" - "&amp;Tabella1[[#This Row],[Città]]</f>
        <v>AMARANTO'S - CASTELFIDARDO</v>
      </c>
    </row>
    <row r="491" spans="1:8" x14ac:dyDescent="0.25">
      <c r="A491" s="1" t="s">
        <v>82</v>
      </c>
      <c r="B491" s="1" t="s">
        <v>7984</v>
      </c>
      <c r="C491" s="1" t="s">
        <v>7985</v>
      </c>
      <c r="D491" s="1" t="s">
        <v>7889</v>
      </c>
      <c r="E491" s="1" t="s">
        <v>7986</v>
      </c>
      <c r="F491" s="1" t="s">
        <v>7987</v>
      </c>
      <c r="G491" s="1" t="s">
        <v>7988</v>
      </c>
      <c r="H491" s="2" t="str">
        <f>Tabella1[[#This Row],[Denominazione]]&amp;" - "&amp;Tabella1[[#This Row],[Città]]</f>
        <v>AMARE NUMANA - NUMANA</v>
      </c>
    </row>
    <row r="492" spans="1:8" x14ac:dyDescent="0.25">
      <c r="A492" s="1" t="s">
        <v>20</v>
      </c>
      <c r="B492" s="1" t="s">
        <v>9701</v>
      </c>
      <c r="C492" s="1" t="s">
        <v>9702</v>
      </c>
      <c r="D492" s="1" t="s">
        <v>8949</v>
      </c>
      <c r="E492" s="1" t="s">
        <v>8949</v>
      </c>
      <c r="F492" s="1" t="s">
        <v>9703</v>
      </c>
      <c r="G492" s="1" t="s">
        <v>9704</v>
      </c>
      <c r="H492" s="2" t="str">
        <f>Tabella1[[#This Row],[Denominazione]]&amp;" - "&amp;Tabella1[[#This Row],[Città]]</f>
        <v>AMBASCIATORI - SENIGALLIA</v>
      </c>
    </row>
    <row r="493" spans="1:8" x14ac:dyDescent="0.25">
      <c r="A493" s="1" t="s">
        <v>20</v>
      </c>
      <c r="B493" s="1" t="s">
        <v>2088</v>
      </c>
      <c r="C493" s="1" t="s">
        <v>2089</v>
      </c>
      <c r="D493" s="1" t="s">
        <v>1907</v>
      </c>
      <c r="E493" s="1" t="s">
        <v>1907</v>
      </c>
      <c r="F493" s="1" t="s">
        <v>2090</v>
      </c>
      <c r="G493" s="1" t="s">
        <v>2091</v>
      </c>
      <c r="H493" s="2" t="str">
        <f>Tabella1[[#This Row],[Denominazione]]&amp;" - "&amp;Tabella1[[#This Row],[Città]]</f>
        <v>AMBRA - GABICCE MARE</v>
      </c>
    </row>
    <row r="494" spans="1:8" x14ac:dyDescent="0.25">
      <c r="A494" s="1" t="s">
        <v>12</v>
      </c>
      <c r="B494" s="1" t="s">
        <v>9242</v>
      </c>
      <c r="C494" s="1" t="s">
        <v>9243</v>
      </c>
      <c r="D494" s="1" t="s">
        <v>8949</v>
      </c>
      <c r="E494" s="1" t="s">
        <v>8949</v>
      </c>
      <c r="G494" s="1" t="s">
        <v>9037</v>
      </c>
      <c r="H494" s="2" t="str">
        <f>Tabella1[[#This Row],[Denominazione]]&amp;" - "&amp;Tabella1[[#This Row],[Città]]</f>
        <v>AMBROGI CLAUDIO - SENIGALLIA</v>
      </c>
    </row>
    <row r="495" spans="1:8" x14ac:dyDescent="0.25">
      <c r="A495" s="1" t="s">
        <v>20</v>
      </c>
      <c r="B495" s="1" t="s">
        <v>1109</v>
      </c>
      <c r="C495" s="1" t="s">
        <v>1110</v>
      </c>
      <c r="D495" s="1" t="s">
        <v>682</v>
      </c>
      <c r="E495" s="1" t="s">
        <v>682</v>
      </c>
      <c r="F495" s="1" t="s">
        <v>1111</v>
      </c>
      <c r="G495" s="1" t="s">
        <v>1112</v>
      </c>
      <c r="H495" s="2" t="str">
        <f>Tabella1[[#This Row],[Denominazione]]&amp;" - "&amp;Tabella1[[#This Row],[Città]]</f>
        <v>AMELIA - FANO</v>
      </c>
    </row>
    <row r="496" spans="1:8" x14ac:dyDescent="0.25">
      <c r="A496" s="1" t="s">
        <v>679</v>
      </c>
      <c r="B496" s="1" t="s">
        <v>17165</v>
      </c>
      <c r="C496" s="1" t="s">
        <v>17166</v>
      </c>
      <c r="D496" s="1" t="s">
        <v>15819</v>
      </c>
      <c r="F496" s="1" t="s">
        <v>17167</v>
      </c>
      <c r="H496" s="2" t="str">
        <f>Tabella1[[#This Row],[Denominazione]]&amp;" - "&amp;Tabella1[[#This Row],[Città]]</f>
        <v>AMERICO VILLAGE - SAN BENEDETTO DEL TRONTO</v>
      </c>
    </row>
    <row r="497" spans="1:8" x14ac:dyDescent="0.25">
      <c r="A497" s="1" t="s">
        <v>35</v>
      </c>
      <c r="B497" s="1" t="s">
        <v>10157</v>
      </c>
      <c r="C497" s="1" t="s">
        <v>10158</v>
      </c>
      <c r="D497" s="1" t="s">
        <v>10117</v>
      </c>
      <c r="G497" s="1" t="s">
        <v>10159</v>
      </c>
      <c r="H497" s="2" t="str">
        <f>Tabella1[[#This Row],[Denominazione]]&amp;" - "&amp;Tabella1[[#This Row],[Città]]</f>
        <v>AMICO - SERRA SAN QUIRICO</v>
      </c>
    </row>
    <row r="498" spans="1:8" x14ac:dyDescent="0.25">
      <c r="A498" s="1" t="s">
        <v>679</v>
      </c>
      <c r="B498" s="1" t="s">
        <v>12858</v>
      </c>
      <c r="D498" s="1" t="s">
        <v>12801</v>
      </c>
      <c r="H498" s="2" t="str">
        <f>Tabella1[[#This Row],[Denominazione]]&amp;" - "&amp;Tabella1[[#This Row],[Città]]</f>
        <v>AMNERIS - PORTO RECANATI</v>
      </c>
    </row>
    <row r="499" spans="1:8" x14ac:dyDescent="0.25">
      <c r="A499" s="1" t="s">
        <v>679</v>
      </c>
      <c r="B499" s="1" t="s">
        <v>19047</v>
      </c>
      <c r="C499" s="1" t="s">
        <v>19048</v>
      </c>
      <c r="D499" s="1" t="s">
        <v>18082</v>
      </c>
      <c r="E499" s="1" t="s">
        <v>18082</v>
      </c>
      <c r="F499" s="1" t="s">
        <v>19049</v>
      </c>
      <c r="H499" s="2" t="str">
        <f>Tabella1[[#This Row],[Denominazione]]&amp;" - "&amp;Tabella1[[#This Row],[Città]]</f>
        <v>AMORINO - PORTO SAN GIORGIO</v>
      </c>
    </row>
    <row r="500" spans="1:8" x14ac:dyDescent="0.25">
      <c r="A500" s="1" t="s">
        <v>12</v>
      </c>
      <c r="B500" s="1" t="s">
        <v>11946</v>
      </c>
      <c r="C500" s="1" t="s">
        <v>11947</v>
      </c>
      <c r="D500" s="1" t="s">
        <v>11883</v>
      </c>
      <c r="E500" s="1" t="s">
        <v>11948</v>
      </c>
      <c r="F500" s="1" t="s">
        <v>11949</v>
      </c>
      <c r="G500" s="1" t="s">
        <v>11950</v>
      </c>
      <c r="H500" s="2" t="str">
        <f>Tabella1[[#This Row],[Denominazione]]&amp;" - "&amp;Tabella1[[#This Row],[Città]]</f>
        <v>AMSTERDAM - GUALDO</v>
      </c>
    </row>
    <row r="501" spans="1:8" x14ac:dyDescent="0.25">
      <c r="A501" s="1" t="s">
        <v>20</v>
      </c>
      <c r="B501" s="1" t="s">
        <v>9763</v>
      </c>
      <c r="C501" s="1" t="s">
        <v>9764</v>
      </c>
      <c r="D501" s="1" t="s">
        <v>8949</v>
      </c>
      <c r="E501" s="1" t="s">
        <v>8949</v>
      </c>
      <c r="F501" s="1" t="s">
        <v>9765</v>
      </c>
      <c r="G501" s="1" t="s">
        <v>9766</v>
      </c>
      <c r="H501" s="2" t="str">
        <f>Tabella1[[#This Row],[Denominazione]]&amp;" - "&amp;Tabella1[[#This Row],[Città]]</f>
        <v>ANCORE - SENIGALLIA</v>
      </c>
    </row>
    <row r="502" spans="1:8" x14ac:dyDescent="0.25">
      <c r="A502" s="1" t="s">
        <v>12</v>
      </c>
      <c r="B502" s="1" t="s">
        <v>12496</v>
      </c>
      <c r="C502" s="1" t="s">
        <v>12497</v>
      </c>
      <c r="D502" s="1" t="s">
        <v>12459</v>
      </c>
      <c r="E502" s="1" t="s">
        <v>12459</v>
      </c>
      <c r="G502" s="1" t="s">
        <v>12498</v>
      </c>
      <c r="H502" s="2" t="str">
        <f>Tabella1[[#This Row],[Denominazione]]&amp;" - "&amp;Tabella1[[#This Row],[Città]]</f>
        <v>ANDREANI CARLA APP.TO - MONTELUPONE</v>
      </c>
    </row>
    <row r="503" spans="1:8" x14ac:dyDescent="0.25">
      <c r="A503" s="1" t="s">
        <v>12</v>
      </c>
      <c r="B503" s="1" t="s">
        <v>9067</v>
      </c>
      <c r="C503" s="1" t="s">
        <v>9068</v>
      </c>
      <c r="D503" s="1" t="s">
        <v>8949</v>
      </c>
      <c r="E503" s="1" t="s">
        <v>8949</v>
      </c>
      <c r="G503" s="1" t="s">
        <v>9037</v>
      </c>
      <c r="H503" s="2" t="str">
        <f>Tabella1[[#This Row],[Denominazione]]&amp;" - "&amp;Tabella1[[#This Row],[Città]]</f>
        <v>ANDRIANI ANNA - SENIGALLIA</v>
      </c>
    </row>
    <row r="504" spans="1:8" x14ac:dyDescent="0.25">
      <c r="A504" s="1" t="s">
        <v>20</v>
      </c>
      <c r="B504" s="1" t="s">
        <v>1113</v>
      </c>
      <c r="C504" s="1" t="s">
        <v>1114</v>
      </c>
      <c r="D504" s="1" t="s">
        <v>682</v>
      </c>
      <c r="E504" s="1" t="s">
        <v>682</v>
      </c>
      <c r="F504" s="1" t="s">
        <v>1115</v>
      </c>
      <c r="G504" s="1" t="s">
        <v>1116</v>
      </c>
      <c r="H504" s="2" t="str">
        <f>Tabella1[[#This Row],[Denominazione]]&amp;" - "&amp;Tabella1[[#This Row],[Città]]</f>
        <v>ANGELA - FANO</v>
      </c>
    </row>
    <row r="505" spans="1:8" x14ac:dyDescent="0.25">
      <c r="A505" s="1" t="s">
        <v>82</v>
      </c>
      <c r="B505" s="1" t="s">
        <v>10343</v>
      </c>
      <c r="C505" s="1" t="s">
        <v>10344</v>
      </c>
      <c r="D505" s="1" t="s">
        <v>10206</v>
      </c>
      <c r="E505" s="1" t="s">
        <v>10345</v>
      </c>
      <c r="G505" s="1" t="s">
        <v>10346</v>
      </c>
      <c r="H505" s="2" t="str">
        <f>Tabella1[[#This Row],[Denominazione]]&amp;" - "&amp;Tabella1[[#This Row],[Città]]</f>
        <v>ANGELA CAMERE SIROLO - SIROLO</v>
      </c>
    </row>
    <row r="506" spans="1:8" x14ac:dyDescent="0.25">
      <c r="A506" s="1" t="s">
        <v>12</v>
      </c>
      <c r="B506" s="1" t="s">
        <v>13773</v>
      </c>
      <c r="C506" s="1" t="s">
        <v>13774</v>
      </c>
      <c r="D506" s="1" t="s">
        <v>13756</v>
      </c>
      <c r="E506" s="1" t="s">
        <v>13756</v>
      </c>
      <c r="G506" s="1" t="s">
        <v>13775</v>
      </c>
      <c r="H506" s="2" t="str">
        <f>Tabella1[[#This Row],[Denominazione]]&amp;" - "&amp;Tabella1[[#This Row],[Città]]</f>
        <v>ANGELA PESCI - SARNANO</v>
      </c>
    </row>
    <row r="507" spans="1:8" x14ac:dyDescent="0.25">
      <c r="A507" s="1" t="s">
        <v>12</v>
      </c>
      <c r="B507" s="1" t="s">
        <v>15047</v>
      </c>
      <c r="C507" s="1" t="s">
        <v>15048</v>
      </c>
      <c r="D507" s="1" t="s">
        <v>14576</v>
      </c>
      <c r="E507" s="1" t="s">
        <v>14576</v>
      </c>
      <c r="G507" s="1" t="s">
        <v>15049</v>
      </c>
      <c r="H507" s="2" t="str">
        <f>Tabella1[[#This Row],[Denominazione]]&amp;" - "&amp;Tabella1[[#This Row],[Città]]</f>
        <v>ANGELETTI ANTONELLA - ASCOLI PICENO</v>
      </c>
    </row>
    <row r="508" spans="1:8" x14ac:dyDescent="0.25">
      <c r="A508" s="1" t="s">
        <v>12</v>
      </c>
      <c r="B508" s="1" t="s">
        <v>2952</v>
      </c>
      <c r="C508" s="1" t="s">
        <v>2953</v>
      </c>
      <c r="D508" s="1" t="s">
        <v>1605</v>
      </c>
      <c r="E508" s="1" t="s">
        <v>1605</v>
      </c>
      <c r="H508" s="2" t="str">
        <f>Tabella1[[#This Row],[Denominazione]]&amp;" - "&amp;Tabella1[[#This Row],[Città]]</f>
        <v>ANGELI AGOSTINO - MONDOLFO</v>
      </c>
    </row>
    <row r="509" spans="1:8" x14ac:dyDescent="0.25">
      <c r="A509" s="1" t="s">
        <v>35</v>
      </c>
      <c r="B509" s="1" t="s">
        <v>16275</v>
      </c>
      <c r="C509" s="1" t="s">
        <v>16276</v>
      </c>
      <c r="D509" s="1" t="s">
        <v>16202</v>
      </c>
      <c r="E509" s="1" t="s">
        <v>16203</v>
      </c>
      <c r="F509" s="1" t="s">
        <v>16277</v>
      </c>
      <c r="G509" s="1" t="s">
        <v>16278</v>
      </c>
      <c r="H509" s="2" t="str">
        <f>Tabella1[[#This Row],[Denominazione]]&amp;" - "&amp;Tabella1[[#This Row],[Città]]</f>
        <v>ANGELI DI MONTEFIORE - MONTEFIORE DELL'ASO</v>
      </c>
    </row>
    <row r="510" spans="1:8" x14ac:dyDescent="0.25">
      <c r="A510" s="1" t="s">
        <v>82</v>
      </c>
      <c r="B510" s="1" t="s">
        <v>12417</v>
      </c>
      <c r="C510" s="1" t="s">
        <v>12418</v>
      </c>
      <c r="D510" s="1" t="s">
        <v>12382</v>
      </c>
      <c r="G510" s="1" t="s">
        <v>12419</v>
      </c>
      <c r="H510" s="2" t="str">
        <f>Tabella1[[#This Row],[Denominazione]]&amp;" - "&amp;Tabella1[[#This Row],[Città]]</f>
        <v>ANGELI INNAMORATI - MONTECOSARO</v>
      </c>
    </row>
    <row r="511" spans="1:8" x14ac:dyDescent="0.25">
      <c r="A511" s="1" t="s">
        <v>82</v>
      </c>
      <c r="B511" s="1" t="s">
        <v>13978</v>
      </c>
      <c r="C511" s="1" t="s">
        <v>13979</v>
      </c>
      <c r="D511" s="1" t="s">
        <v>13946</v>
      </c>
      <c r="F511" s="1" t="s">
        <v>13980</v>
      </c>
      <c r="G511" s="1" t="s">
        <v>13981</v>
      </c>
      <c r="H511" s="2" t="str">
        <f>Tabella1[[#This Row],[Denominazione]]&amp;" - "&amp;Tabella1[[#This Row],[Città]]</f>
        <v>ANGELINA URBAN LODGE - TOLENTINO</v>
      </c>
    </row>
    <row r="512" spans="1:8" x14ac:dyDescent="0.25">
      <c r="A512" s="1" t="s">
        <v>12</v>
      </c>
      <c r="B512" s="1" t="s">
        <v>9246</v>
      </c>
      <c r="C512" s="1" t="s">
        <v>9247</v>
      </c>
      <c r="D512" s="1" t="s">
        <v>8949</v>
      </c>
      <c r="E512" s="1" t="s">
        <v>8949</v>
      </c>
      <c r="G512" s="1" t="s">
        <v>9037</v>
      </c>
      <c r="H512" s="2" t="str">
        <f>Tabella1[[#This Row],[Denominazione]]&amp;" - "&amp;Tabella1[[#This Row],[Città]]</f>
        <v>ANGELINI GIULIANA - SENIGALLIA</v>
      </c>
    </row>
    <row r="513" spans="1:8" x14ac:dyDescent="0.25">
      <c r="A513" s="1" t="s">
        <v>29</v>
      </c>
      <c r="B513" s="1" t="s">
        <v>14553</v>
      </c>
      <c r="C513" s="1" t="s">
        <v>14554</v>
      </c>
      <c r="D513" s="1" t="s">
        <v>14510</v>
      </c>
      <c r="E513" s="1" t="s">
        <v>14510</v>
      </c>
      <c r="H513" s="2" t="str">
        <f>Tabella1[[#This Row],[Denominazione]]&amp;" - "&amp;Tabella1[[#This Row],[Città]]</f>
        <v>ANGELO PERLA - ARQUATA DEL TRONTO</v>
      </c>
    </row>
    <row r="514" spans="1:8" x14ac:dyDescent="0.25">
      <c r="A514" s="1" t="s">
        <v>12</v>
      </c>
      <c r="B514" s="1" t="s">
        <v>6991</v>
      </c>
      <c r="C514" s="1" t="s">
        <v>6992</v>
      </c>
      <c r="D514" s="1" t="s">
        <v>6790</v>
      </c>
      <c r="G514" s="1" t="s">
        <v>6993</v>
      </c>
      <c r="H514" s="2" t="str">
        <f>Tabella1[[#This Row],[Denominazione]]&amp;" - "&amp;Tabella1[[#This Row],[Città]]</f>
        <v>ANGELONI STEFANIA - FABRIANO</v>
      </c>
    </row>
    <row r="515" spans="1:8" x14ac:dyDescent="0.25">
      <c r="A515" s="1" t="s">
        <v>186</v>
      </c>
      <c r="B515" s="1" t="s">
        <v>13441</v>
      </c>
      <c r="C515" s="1" t="s">
        <v>13442</v>
      </c>
      <c r="D515" s="1" t="s">
        <v>6072</v>
      </c>
      <c r="E515" s="1" t="s">
        <v>6072</v>
      </c>
      <c r="F515" s="1" t="s">
        <v>13443</v>
      </c>
      <c r="G515" s="1" t="s">
        <v>13444</v>
      </c>
      <c r="H515" s="2" t="str">
        <f>Tabella1[[#This Row],[Denominazione]]&amp;" - "&amp;Tabella1[[#This Row],[Città]]</f>
        <v>ANGOLO DI PARADISO - SAN GINESIO</v>
      </c>
    </row>
    <row r="516" spans="1:8" x14ac:dyDescent="0.25">
      <c r="A516" s="1" t="s">
        <v>82</v>
      </c>
      <c r="B516" s="1" t="s">
        <v>7555</v>
      </c>
      <c r="C516" s="1" t="s">
        <v>7556</v>
      </c>
      <c r="D516" s="1" t="s">
        <v>7385</v>
      </c>
      <c r="F516" s="1" t="s">
        <v>7557</v>
      </c>
      <c r="G516" s="1" t="s">
        <v>7558</v>
      </c>
      <c r="H516" s="2" t="str">
        <f>Tabella1[[#This Row],[Denominazione]]&amp;" - "&amp;Tabella1[[#This Row],[Città]]</f>
        <v>ANGOLO DIVINO - LORETO</v>
      </c>
    </row>
    <row r="517" spans="1:8" x14ac:dyDescent="0.25">
      <c r="A517" s="1" t="s">
        <v>679</v>
      </c>
      <c r="B517" s="1" t="s">
        <v>15375</v>
      </c>
      <c r="C517" s="1" t="s">
        <v>15376</v>
      </c>
      <c r="D517" s="1" t="s">
        <v>15349</v>
      </c>
      <c r="H517" s="2" t="str">
        <f>Tabella1[[#This Row],[Denominazione]]&amp;" - "&amp;Tabella1[[#This Row],[Città]]</f>
        <v>ANITA - CUPRA MARITTIMA</v>
      </c>
    </row>
    <row r="518" spans="1:8" x14ac:dyDescent="0.25">
      <c r="A518" s="1" t="s">
        <v>20</v>
      </c>
      <c r="B518" s="1" t="s">
        <v>15375</v>
      </c>
      <c r="C518" s="1" t="s">
        <v>15444</v>
      </c>
      <c r="D518" s="1" t="s">
        <v>15349</v>
      </c>
      <c r="E518" s="1" t="s">
        <v>15349</v>
      </c>
      <c r="F518" s="1" t="s">
        <v>15445</v>
      </c>
      <c r="G518" s="1" t="s">
        <v>15446</v>
      </c>
      <c r="H518" s="2" t="str">
        <f>Tabella1[[#This Row],[Denominazione]]&amp;" - "&amp;Tabella1[[#This Row],[Città]]</f>
        <v>ANITA - CUPRA MARITTIMA</v>
      </c>
    </row>
    <row r="519" spans="1:8" x14ac:dyDescent="0.25">
      <c r="A519" s="1" t="s">
        <v>20</v>
      </c>
      <c r="B519" s="1" t="s">
        <v>5893</v>
      </c>
      <c r="C519" s="1" t="s">
        <v>5894</v>
      </c>
      <c r="D519" s="1" t="s">
        <v>1864</v>
      </c>
      <c r="E519" s="1" t="s">
        <v>1864</v>
      </c>
      <c r="F519" s="1" t="s">
        <v>5895</v>
      </c>
      <c r="G519" s="1" t="s">
        <v>5896</v>
      </c>
      <c r="H519" s="2" t="str">
        <f>Tabella1[[#This Row],[Denominazione]]&amp;" - "&amp;Tabella1[[#This Row],[Città]]</f>
        <v>ANKON HOTEL - ANCONA</v>
      </c>
    </row>
    <row r="520" spans="1:8" x14ac:dyDescent="0.25">
      <c r="A520" s="1" t="s">
        <v>29</v>
      </c>
      <c r="B520" s="1" t="s">
        <v>4964</v>
      </c>
      <c r="C520" s="1" t="s">
        <v>4965</v>
      </c>
      <c r="D520" s="1" t="s">
        <v>9</v>
      </c>
      <c r="E520" s="1" t="s">
        <v>9</v>
      </c>
      <c r="F520" s="1" t="s">
        <v>4966</v>
      </c>
      <c r="G520" s="1" t="s">
        <v>4967</v>
      </c>
      <c r="H520" s="2" t="str">
        <f>Tabella1[[#This Row],[Denominazione]]&amp;" - "&amp;Tabella1[[#This Row],[Città]]</f>
        <v>ANNA BED &amp; BREAKFAST - URBINO</v>
      </c>
    </row>
    <row r="521" spans="1:8" x14ac:dyDescent="0.25">
      <c r="A521" s="1" t="s">
        <v>12</v>
      </c>
      <c r="B521" s="1" t="s">
        <v>5928</v>
      </c>
      <c r="C521" s="1" t="s">
        <v>5929</v>
      </c>
      <c r="D521" s="1" t="s">
        <v>1864</v>
      </c>
      <c r="G521" s="1" t="s">
        <v>5817</v>
      </c>
      <c r="H521" s="2" t="str">
        <f>Tabella1[[#This Row],[Denominazione]]&amp;" - "&amp;Tabella1[[#This Row],[Città]]</f>
        <v>ANNA MARIA PERGOLESI - ANCONA</v>
      </c>
    </row>
    <row r="522" spans="1:8" x14ac:dyDescent="0.25">
      <c r="A522" s="1" t="s">
        <v>35</v>
      </c>
      <c r="B522" s="1" t="s">
        <v>15094</v>
      </c>
      <c r="C522" s="1" t="s">
        <v>15095</v>
      </c>
      <c r="D522" s="1" t="s">
        <v>15096</v>
      </c>
      <c r="E522" s="1" t="s">
        <v>15096</v>
      </c>
      <c r="G522" s="1" t="s">
        <v>15097</v>
      </c>
      <c r="H522" s="2" t="str">
        <f>Tabella1[[#This Row],[Denominazione]]&amp;" - "&amp;Tabella1[[#This Row],[Città]]</f>
        <v>ANNARELLA - CARASSAI</v>
      </c>
    </row>
    <row r="523" spans="1:8" x14ac:dyDescent="0.25">
      <c r="A523" s="1" t="s">
        <v>679</v>
      </c>
      <c r="B523" s="1" t="s">
        <v>12800</v>
      </c>
      <c r="D523" s="1" t="s">
        <v>12801</v>
      </c>
      <c r="H523" s="2" t="str">
        <f>Tabella1[[#This Row],[Denominazione]]&amp;" - "&amp;Tabella1[[#This Row],[Città]]</f>
        <v>ANNITO E FIGLI - PORTO RECANATI</v>
      </c>
    </row>
    <row r="524" spans="1:8" x14ac:dyDescent="0.25">
      <c r="A524" s="1" t="s">
        <v>679</v>
      </c>
      <c r="B524" s="1" t="s">
        <v>17104</v>
      </c>
      <c r="D524" s="1" t="s">
        <v>15819</v>
      </c>
      <c r="H524" s="2" t="str">
        <f>Tabella1[[#This Row],[Denominazione]]&amp;" - "&amp;Tabella1[[#This Row],[Città]]</f>
        <v>ANTARES - SAN BENEDETTO DEL TRONTO</v>
      </c>
    </row>
    <row r="525" spans="1:8" x14ac:dyDescent="0.25">
      <c r="A525" s="1" t="s">
        <v>20</v>
      </c>
      <c r="B525" s="1" t="s">
        <v>17104</v>
      </c>
      <c r="C525" s="1" t="s">
        <v>17585</v>
      </c>
      <c r="D525" s="1" t="s">
        <v>15819</v>
      </c>
      <c r="E525" s="1" t="s">
        <v>15819</v>
      </c>
      <c r="F525" s="1" t="s">
        <v>17586</v>
      </c>
      <c r="G525" s="1" t="s">
        <v>17587</v>
      </c>
      <c r="H525" s="2" t="str">
        <f>Tabella1[[#This Row],[Denominazione]]&amp;" - "&amp;Tabella1[[#This Row],[Città]]</f>
        <v>ANTARES - SAN BENEDETTO DEL TRONTO</v>
      </c>
    </row>
    <row r="526" spans="1:8" x14ac:dyDescent="0.25">
      <c r="A526" s="1" t="s">
        <v>679</v>
      </c>
      <c r="B526" s="1" t="s">
        <v>17157</v>
      </c>
      <c r="D526" s="1" t="s">
        <v>15819</v>
      </c>
      <c r="H526" s="2" t="str">
        <f>Tabella1[[#This Row],[Denominazione]]&amp;" - "&amp;Tabella1[[#This Row],[Città]]</f>
        <v>ANTARES - DA GINO  (SAS) - SAN BENEDETTO DEL TRONTO</v>
      </c>
    </row>
    <row r="527" spans="1:8" x14ac:dyDescent="0.25">
      <c r="A527" s="1" t="s">
        <v>679</v>
      </c>
      <c r="B527" s="1" t="s">
        <v>17103</v>
      </c>
      <c r="D527" s="1" t="s">
        <v>15819</v>
      </c>
      <c r="H527" s="2" t="str">
        <f>Tabella1[[#This Row],[Denominazione]]&amp;" - "&amp;Tabella1[[#This Row],[Città]]</f>
        <v>ANTARES - DA GINO (SNC) - SAN BENEDETTO DEL TRONTO</v>
      </c>
    </row>
    <row r="528" spans="1:8" x14ac:dyDescent="0.25">
      <c r="A528" s="1" t="s">
        <v>679</v>
      </c>
      <c r="B528" s="1" t="s">
        <v>17158</v>
      </c>
      <c r="D528" s="1" t="s">
        <v>15819</v>
      </c>
      <c r="H528" s="2" t="str">
        <f>Tabella1[[#This Row],[Denominazione]]&amp;" - "&amp;Tabella1[[#This Row],[Città]]</f>
        <v>ANTARES Da Nadia - SAN BENEDETTO DEL TRONTO</v>
      </c>
    </row>
    <row r="529" spans="1:8" x14ac:dyDescent="0.25">
      <c r="A529" s="1" t="s">
        <v>679</v>
      </c>
      <c r="B529" s="1" t="s">
        <v>17118</v>
      </c>
      <c r="C529" s="1" t="s">
        <v>3805</v>
      </c>
      <c r="D529" s="1" t="s">
        <v>15819</v>
      </c>
      <c r="H529" s="2" t="str">
        <f>Tabella1[[#This Row],[Denominazione]]&amp;" - "&amp;Tabella1[[#This Row],[Città]]</f>
        <v>ANTARES da Rosetti - SAN BENEDETTO DEL TRONTO</v>
      </c>
    </row>
    <row r="530" spans="1:8" x14ac:dyDescent="0.25">
      <c r="A530" s="1" t="s">
        <v>679</v>
      </c>
      <c r="B530" s="1" t="s">
        <v>17159</v>
      </c>
      <c r="D530" s="1" t="s">
        <v>15819</v>
      </c>
      <c r="H530" s="2" t="str">
        <f>Tabella1[[#This Row],[Denominazione]]&amp;" - "&amp;Tabella1[[#This Row],[Città]]</f>
        <v>ANTARES di Falaschetti Nadia Snc - SAN BENEDETTO DEL TRONTO</v>
      </c>
    </row>
    <row r="531" spans="1:8" x14ac:dyDescent="0.25">
      <c r="A531" s="1" t="s">
        <v>679</v>
      </c>
      <c r="B531" s="1" t="s">
        <v>17116</v>
      </c>
      <c r="D531" s="1" t="s">
        <v>15819</v>
      </c>
      <c r="F531" s="1" t="s">
        <v>17117</v>
      </c>
      <c r="H531" s="2" t="str">
        <f>Tabella1[[#This Row],[Denominazione]]&amp;" - "&amp;Tabella1[[#This Row],[Città]]</f>
        <v>ANTARES SRL - SAN BENEDETTO DEL TRONTO</v>
      </c>
    </row>
    <row r="532" spans="1:8" x14ac:dyDescent="0.25">
      <c r="A532" s="1" t="s">
        <v>29</v>
      </c>
      <c r="B532" s="1" t="s">
        <v>6664</v>
      </c>
      <c r="C532" s="1" t="s">
        <v>6665</v>
      </c>
      <c r="D532" s="1" t="s">
        <v>6652</v>
      </c>
      <c r="E532" s="1" t="s">
        <v>6652</v>
      </c>
      <c r="G532" s="1" t="s">
        <v>6666</v>
      </c>
      <c r="H532" s="2" t="str">
        <f>Tabella1[[#This Row],[Denominazione]]&amp;" - "&amp;Tabella1[[#This Row],[Città]]</f>
        <v>ANTERA - CUPRAMONTANA</v>
      </c>
    </row>
    <row r="533" spans="1:8" x14ac:dyDescent="0.25">
      <c r="A533" s="1" t="s">
        <v>6</v>
      </c>
      <c r="B533" s="1" t="s">
        <v>9786</v>
      </c>
      <c r="C533" s="1" t="s">
        <v>9787</v>
      </c>
      <c r="D533" s="1" t="s">
        <v>8949</v>
      </c>
      <c r="E533" s="1" t="s">
        <v>8949</v>
      </c>
      <c r="F533" s="1" t="s">
        <v>9788</v>
      </c>
      <c r="G533" s="1" t="s">
        <v>9789</v>
      </c>
      <c r="H533" s="2" t="str">
        <f>Tabella1[[#This Row],[Denominazione]]&amp;" - "&amp;Tabella1[[#This Row],[Città]]</f>
        <v>ANTICA ARMONIA - SENIGALLIA</v>
      </c>
    </row>
    <row r="534" spans="1:8" x14ac:dyDescent="0.25">
      <c r="A534" s="1" t="s">
        <v>12</v>
      </c>
      <c r="B534" s="1" t="s">
        <v>6822</v>
      </c>
      <c r="C534" s="1" t="s">
        <v>6823</v>
      </c>
      <c r="D534" s="1" t="s">
        <v>6790</v>
      </c>
      <c r="E534" s="1" t="s">
        <v>5035</v>
      </c>
      <c r="G534" s="1" t="s">
        <v>6824</v>
      </c>
      <c r="H534" s="2" t="str">
        <f>Tabella1[[#This Row],[Denominazione]]&amp;" - "&amp;Tabella1[[#This Row],[Città]]</f>
        <v>ANTICA DIMORA - FABRIANO</v>
      </c>
    </row>
    <row r="535" spans="1:8" x14ac:dyDescent="0.25">
      <c r="A535" s="1" t="s">
        <v>6</v>
      </c>
      <c r="B535" s="1" t="s">
        <v>6822</v>
      </c>
      <c r="D535" s="1" t="s">
        <v>13756</v>
      </c>
      <c r="E535" s="1" t="s">
        <v>13756</v>
      </c>
      <c r="F535" s="1" t="s">
        <v>13783</v>
      </c>
      <c r="G535" s="1" t="s">
        <v>13784</v>
      </c>
      <c r="H535" s="2" t="str">
        <f>Tabella1[[#This Row],[Denominazione]]&amp;" - "&amp;Tabella1[[#This Row],[Città]]</f>
        <v>ANTICA DIMORA - SARNANO</v>
      </c>
    </row>
    <row r="536" spans="1:8" x14ac:dyDescent="0.25">
      <c r="A536" s="1" t="s">
        <v>6</v>
      </c>
      <c r="B536" s="1" t="s">
        <v>3991</v>
      </c>
      <c r="C536" s="1" t="s">
        <v>3992</v>
      </c>
      <c r="D536" s="1" t="s">
        <v>2386</v>
      </c>
      <c r="F536" s="1" t="s">
        <v>3993</v>
      </c>
      <c r="G536" s="1" t="s">
        <v>3994</v>
      </c>
      <c r="H536" s="2" t="str">
        <f>Tabella1[[#This Row],[Denominazione]]&amp;" - "&amp;Tabella1[[#This Row],[Città]]</f>
        <v>ANTICA DIMORA DI VAL REGINA - PESARO</v>
      </c>
    </row>
    <row r="537" spans="1:8" x14ac:dyDescent="0.25">
      <c r="A537" s="1" t="s">
        <v>29</v>
      </c>
      <c r="B537" s="1" t="s">
        <v>4719</v>
      </c>
      <c r="C537" s="1" t="s">
        <v>4720</v>
      </c>
      <c r="D537" s="1" t="s">
        <v>4657</v>
      </c>
      <c r="E537" s="1" t="s">
        <v>4657</v>
      </c>
      <c r="F537" s="1" t="s">
        <v>4721</v>
      </c>
      <c r="G537" s="1" t="s">
        <v>4722</v>
      </c>
      <c r="H537" s="2" t="str">
        <f>Tabella1[[#This Row],[Denominazione]]&amp;" - "&amp;Tabella1[[#This Row],[Città]]</f>
        <v>ANTICA FONTE - TAVULLIA</v>
      </c>
    </row>
    <row r="538" spans="1:8" x14ac:dyDescent="0.25">
      <c r="A538" s="1" t="s">
        <v>29</v>
      </c>
      <c r="B538" s="1" t="s">
        <v>6903</v>
      </c>
      <c r="C538" s="1" t="s">
        <v>6904</v>
      </c>
      <c r="D538" s="1" t="s">
        <v>6790</v>
      </c>
      <c r="E538" s="1" t="s">
        <v>6790</v>
      </c>
      <c r="F538" s="1" t="s">
        <v>6841</v>
      </c>
      <c r="G538" s="1" t="s">
        <v>6842</v>
      </c>
      <c r="H538" s="2" t="str">
        <f>Tabella1[[#This Row],[Denominazione]]&amp;" - "&amp;Tabella1[[#This Row],[Città]]</f>
        <v>ANTICA LOGGIA - FABRIANO</v>
      </c>
    </row>
    <row r="539" spans="1:8" x14ac:dyDescent="0.25">
      <c r="A539" s="1" t="s">
        <v>29</v>
      </c>
      <c r="B539" s="1" t="s">
        <v>7521</v>
      </c>
      <c r="C539" s="1" t="s">
        <v>7522</v>
      </c>
      <c r="D539" s="1" t="s">
        <v>7385</v>
      </c>
      <c r="E539" s="1" t="s">
        <v>7385</v>
      </c>
      <c r="G539" s="1" t="s">
        <v>7523</v>
      </c>
      <c r="H539" s="2" t="str">
        <f>Tabella1[[#This Row],[Denominazione]]&amp;" - "&amp;Tabella1[[#This Row],[Città]]</f>
        <v>ANTICA MAISON - LORETO</v>
      </c>
    </row>
    <row r="540" spans="1:8" x14ac:dyDescent="0.25">
      <c r="A540" s="1" t="s">
        <v>29</v>
      </c>
      <c r="B540" s="1" t="s">
        <v>7521</v>
      </c>
      <c r="C540" s="1" t="s">
        <v>15057</v>
      </c>
      <c r="D540" s="1" t="s">
        <v>14576</v>
      </c>
      <c r="E540" s="1" t="s">
        <v>14576</v>
      </c>
      <c r="G540" s="1" t="s">
        <v>15058</v>
      </c>
      <c r="H540" s="2" t="str">
        <f>Tabella1[[#This Row],[Denominazione]]&amp;" - "&amp;Tabella1[[#This Row],[Città]]</f>
        <v>ANTICA MAISON - ASCOLI PICENO</v>
      </c>
    </row>
    <row r="541" spans="1:8" x14ac:dyDescent="0.25">
      <c r="A541" s="1" t="s">
        <v>20</v>
      </c>
      <c r="B541" s="1" t="s">
        <v>211</v>
      </c>
      <c r="C541" s="1" t="s">
        <v>212</v>
      </c>
      <c r="D541" s="1" t="s">
        <v>199</v>
      </c>
      <c r="E541" s="1" t="s">
        <v>213</v>
      </c>
      <c r="F541" s="1" t="s">
        <v>214</v>
      </c>
      <c r="G541" s="1" t="s">
        <v>215</v>
      </c>
      <c r="H541" s="2" t="str">
        <f>Tabella1[[#This Row],[Denominazione]]&amp;" - "&amp;Tabella1[[#This Row],[Città]]</f>
        <v>ANTICA OSTERIA DA ORESTE - AUDITORE</v>
      </c>
    </row>
    <row r="542" spans="1:8" x14ac:dyDescent="0.25">
      <c r="A542" s="1" t="s">
        <v>29</v>
      </c>
      <c r="B542" s="1" t="s">
        <v>15329</v>
      </c>
      <c r="C542" s="1" t="s">
        <v>15330</v>
      </c>
      <c r="D542" s="1" t="s">
        <v>15282</v>
      </c>
      <c r="E542" s="1" t="s">
        <v>15282</v>
      </c>
      <c r="G542" s="1" t="s">
        <v>15331</v>
      </c>
      <c r="H542" s="2" t="str">
        <f>Tabella1[[#This Row],[Denominazione]]&amp;" - "&amp;Tabella1[[#This Row],[Città]]</f>
        <v>ANTICA SELVA - COSSIGNANO</v>
      </c>
    </row>
    <row r="543" spans="1:8" x14ac:dyDescent="0.25">
      <c r="A543" s="1" t="s">
        <v>20</v>
      </c>
      <c r="B543" s="1" t="s">
        <v>11127</v>
      </c>
      <c r="C543" s="1" t="s">
        <v>11128</v>
      </c>
      <c r="D543" s="1" t="s">
        <v>11058</v>
      </c>
      <c r="E543" s="1" t="s">
        <v>11058</v>
      </c>
      <c r="F543" s="1" t="s">
        <v>11129</v>
      </c>
      <c r="G543" s="1" t="s">
        <v>11130</v>
      </c>
      <c r="H543" s="2" t="str">
        <f>Tabella1[[#This Row],[Denominazione]]&amp;" - "&amp;Tabella1[[#This Row],[Città]]</f>
        <v>ANTICA TAVERNA ALLA SELVA - CINGOLI</v>
      </c>
    </row>
    <row r="544" spans="1:8" x14ac:dyDescent="0.25">
      <c r="A544" s="1" t="s">
        <v>6</v>
      </c>
      <c r="B544" s="1" t="s">
        <v>6120</v>
      </c>
      <c r="C544" s="1" t="s">
        <v>6121</v>
      </c>
      <c r="D544" s="1" t="s">
        <v>6049</v>
      </c>
      <c r="E544" s="1" t="s">
        <v>6050</v>
      </c>
      <c r="F544" s="1" t="s">
        <v>6122</v>
      </c>
      <c r="G544" s="1" t="s">
        <v>6123</v>
      </c>
      <c r="H544" s="2" t="str">
        <f>Tabella1[[#This Row],[Denominazione]]&amp;" - "&amp;Tabella1[[#This Row],[Città]]</f>
        <v>ANTICO BORGO - ARCEVIA</v>
      </c>
    </row>
    <row r="545" spans="1:8" x14ac:dyDescent="0.25">
      <c r="A545" s="1" t="s">
        <v>35</v>
      </c>
      <c r="B545" s="1" t="s">
        <v>12743</v>
      </c>
      <c r="C545" s="1" t="s">
        <v>12744</v>
      </c>
      <c r="D545" s="1" t="s">
        <v>12730</v>
      </c>
      <c r="E545" s="1" t="s">
        <v>12730</v>
      </c>
      <c r="F545" s="1" t="s">
        <v>12745</v>
      </c>
      <c r="G545" s="1" t="s">
        <v>12746</v>
      </c>
      <c r="H545" s="2" t="str">
        <f>Tabella1[[#This Row],[Denominazione]]&amp;" - "&amp;Tabella1[[#This Row],[Città]]</f>
        <v>ANTICO BORGO DI GALLANO - PIEVE TORINA</v>
      </c>
    </row>
    <row r="546" spans="1:8" x14ac:dyDescent="0.25">
      <c r="A546" s="1" t="s">
        <v>82</v>
      </c>
      <c r="B546" s="1" t="s">
        <v>14737</v>
      </c>
      <c r="C546" s="1" t="s">
        <v>14738</v>
      </c>
      <c r="D546" s="1" t="s">
        <v>14576</v>
      </c>
      <c r="E546" s="1" t="s">
        <v>14739</v>
      </c>
      <c r="F546" s="1" t="s">
        <v>14740</v>
      </c>
      <c r="G546" s="1" t="s">
        <v>14741</v>
      </c>
      <c r="H546" s="2" t="str">
        <f>Tabella1[[#This Row],[Denominazione]]&amp;" - "&amp;Tabella1[[#This Row],[Città]]</f>
        <v>ANTICO BORGO PICENO - ASCOLI PICENO</v>
      </c>
    </row>
    <row r="547" spans="1:8" x14ac:dyDescent="0.25">
      <c r="A547" s="1" t="s">
        <v>29</v>
      </c>
      <c r="B547" s="1" t="s">
        <v>11311</v>
      </c>
      <c r="C547" s="1" t="s">
        <v>11312</v>
      </c>
      <c r="D547" s="1" t="s">
        <v>11244</v>
      </c>
      <c r="G547" s="1" t="s">
        <v>11313</v>
      </c>
      <c r="H547" s="2" t="str">
        <f>Tabella1[[#This Row],[Denominazione]]&amp;" - "&amp;Tabella1[[#This Row],[Città]]</f>
        <v>ANTICO CASALE NAPOLEONICO FOSSA CIECA - CIVITANOVA MARCHE</v>
      </c>
    </row>
    <row r="548" spans="1:8" x14ac:dyDescent="0.25">
      <c r="A548" s="1" t="s">
        <v>35</v>
      </c>
      <c r="B548" s="1" t="s">
        <v>18557</v>
      </c>
      <c r="C548" s="1" t="s">
        <v>18558</v>
      </c>
      <c r="D548" s="1" t="s">
        <v>18522</v>
      </c>
      <c r="E548" s="1" t="s">
        <v>18559</v>
      </c>
      <c r="F548" s="1" t="s">
        <v>18560</v>
      </c>
      <c r="G548" s="1" t="s">
        <v>18561</v>
      </c>
      <c r="H548" s="2" t="str">
        <f>Tabella1[[#This Row],[Denominazione]]&amp;" - "&amp;Tabella1[[#This Row],[Città]]</f>
        <v>ANTICO MULINO - MONTEFORTINO</v>
      </c>
    </row>
    <row r="549" spans="1:8" x14ac:dyDescent="0.25">
      <c r="A549" s="1" t="s">
        <v>35</v>
      </c>
      <c r="B549" s="1" t="s">
        <v>8903</v>
      </c>
      <c r="C549" s="1" t="s">
        <v>8904</v>
      </c>
      <c r="D549" s="1" t="s">
        <v>8849</v>
      </c>
      <c r="E549" s="1" t="s">
        <v>8905</v>
      </c>
      <c r="F549" s="1" t="s">
        <v>8906</v>
      </c>
      <c r="G549" s="1" t="s">
        <v>8907</v>
      </c>
      <c r="H549" s="2" t="str">
        <f>Tabella1[[#This Row],[Denominazione]]&amp;" - "&amp;Tabella1[[#This Row],[Città]]</f>
        <v>ANTICO MURO - SASSOFERRATO</v>
      </c>
    </row>
    <row r="550" spans="1:8" x14ac:dyDescent="0.25">
      <c r="A550" s="1" t="s">
        <v>20</v>
      </c>
      <c r="B550" s="1" t="s">
        <v>13872</v>
      </c>
      <c r="C550" s="1" t="s">
        <v>13873</v>
      </c>
      <c r="D550" s="1" t="s">
        <v>13756</v>
      </c>
      <c r="F550" s="1" t="s">
        <v>13874</v>
      </c>
      <c r="G550" s="1" t="s">
        <v>13875</v>
      </c>
      <c r="H550" s="2" t="str">
        <f>Tabella1[[#This Row],[Denominazione]]&amp;" - "&amp;Tabella1[[#This Row],[Città]]</f>
        <v>ANTICO PALAZZO DAL PERO - SARNANO</v>
      </c>
    </row>
    <row r="551" spans="1:8" x14ac:dyDescent="0.25">
      <c r="A551" s="1" t="s">
        <v>12</v>
      </c>
      <c r="B551" s="1" t="s">
        <v>13042</v>
      </c>
      <c r="C551" s="1" t="s">
        <v>13043</v>
      </c>
      <c r="D551" s="1" t="s">
        <v>13026</v>
      </c>
      <c r="E551" s="1" t="s">
        <v>13026</v>
      </c>
      <c r="H551" s="2" t="str">
        <f>Tabella1[[#This Row],[Denominazione]]&amp;" - "&amp;Tabella1[[#This Row],[Città]]</f>
        <v>ANTINOGENE MARIA GRAZIA - POTENZA PICENA</v>
      </c>
    </row>
    <row r="552" spans="1:8" x14ac:dyDescent="0.25">
      <c r="A552" s="1" t="s">
        <v>82</v>
      </c>
      <c r="B552" s="1" t="s">
        <v>8602</v>
      </c>
      <c r="C552" s="1" t="s">
        <v>8603</v>
      </c>
      <c r="D552" s="1" t="s">
        <v>8454</v>
      </c>
      <c r="E552" s="1" t="s">
        <v>8454</v>
      </c>
      <c r="F552" s="1" t="s">
        <v>8604</v>
      </c>
      <c r="G552" s="1" t="s">
        <v>8605</v>
      </c>
      <c r="H552" s="2" t="str">
        <f>Tabella1[[#This Row],[Denominazione]]&amp;" - "&amp;Tabella1[[#This Row],[Città]]</f>
        <v>ANTISTRESS AFFITTACAMERE - OSIMO</v>
      </c>
    </row>
    <row r="553" spans="1:8" x14ac:dyDescent="0.25">
      <c r="A553" s="1" t="s">
        <v>35</v>
      </c>
      <c r="B553" s="1" t="s">
        <v>18274</v>
      </c>
      <c r="C553" s="1" t="s">
        <v>18275</v>
      </c>
      <c r="D553" s="1" t="s">
        <v>17932</v>
      </c>
      <c r="E553" s="1" t="s">
        <v>17932</v>
      </c>
      <c r="H553" s="2" t="str">
        <f>Tabella1[[#This Row],[Denominazione]]&amp;" - "&amp;Tabella1[[#This Row],[Città]]</f>
        <v>ANTOLINI OVIDIO - FERMO</v>
      </c>
    </row>
    <row r="554" spans="1:8" x14ac:dyDescent="0.25">
      <c r="A554" s="1" t="s">
        <v>12</v>
      </c>
      <c r="B554" s="1" t="s">
        <v>1994</v>
      </c>
      <c r="C554" s="1" t="s">
        <v>1995</v>
      </c>
      <c r="D554" s="1" t="s">
        <v>1907</v>
      </c>
      <c r="H554" s="2" t="str">
        <f>Tabella1[[#This Row],[Denominazione]]&amp;" - "&amp;Tabella1[[#This Row],[Città]]</f>
        <v>ANTONELLI NORMA - GABICCE MARE</v>
      </c>
    </row>
    <row r="555" spans="1:8" x14ac:dyDescent="0.25">
      <c r="A555" s="1" t="s">
        <v>679</v>
      </c>
      <c r="B555" s="1" t="s">
        <v>11433</v>
      </c>
      <c r="C555" s="1" t="s">
        <v>11434</v>
      </c>
      <c r="D555" s="1" t="s">
        <v>11244</v>
      </c>
      <c r="G555" s="1" t="s">
        <v>11435</v>
      </c>
      <c r="H555" s="2" t="str">
        <f>Tabella1[[#This Row],[Denominazione]]&amp;" - "&amp;Tabella1[[#This Row],[Città]]</f>
        <v>ANTONIO - CIVITANOVA MARCHE</v>
      </c>
    </row>
    <row r="556" spans="1:8" x14ac:dyDescent="0.25">
      <c r="A556" s="1" t="s">
        <v>679</v>
      </c>
      <c r="B556" s="1" t="s">
        <v>11433</v>
      </c>
      <c r="D556" s="1" t="s">
        <v>12801</v>
      </c>
      <c r="H556" s="2" t="str">
        <f>Tabella1[[#This Row],[Denominazione]]&amp;" - "&amp;Tabella1[[#This Row],[Città]]</f>
        <v>ANTONIO - PORTO RECANATI</v>
      </c>
    </row>
    <row r="557" spans="1:8" x14ac:dyDescent="0.25">
      <c r="A557" s="1" t="s">
        <v>12</v>
      </c>
      <c r="B557" s="1" t="s">
        <v>1624</v>
      </c>
      <c r="C557" s="1" t="s">
        <v>1625</v>
      </c>
      <c r="D557" s="1" t="s">
        <v>682</v>
      </c>
      <c r="E557" s="1" t="s">
        <v>1626</v>
      </c>
      <c r="G557" s="1" t="s">
        <v>1627</v>
      </c>
      <c r="H557" s="2" t="str">
        <f>Tabella1[[#This Row],[Denominazione]]&amp;" - "&amp;Tabella1[[#This Row],[Città]]</f>
        <v>ANTONIO VIA - FANO</v>
      </c>
    </row>
    <row r="558" spans="1:8" x14ac:dyDescent="0.25">
      <c r="A558" s="1" t="s">
        <v>29</v>
      </c>
      <c r="B558" s="1" t="s">
        <v>12650</v>
      </c>
      <c r="C558" s="1" t="s">
        <v>12651</v>
      </c>
      <c r="D558" s="1" t="s">
        <v>12635</v>
      </c>
      <c r="E558" s="1" t="s">
        <v>12635</v>
      </c>
      <c r="G558" s="1" t="s">
        <v>12652</v>
      </c>
      <c r="H558" s="2" t="str">
        <f>Tabella1[[#This Row],[Denominazione]]&amp;" - "&amp;Tabella1[[#This Row],[Città]]</f>
        <v>ANTONIO VIGLIETTI - PENNA SAN GIOVANNI</v>
      </c>
    </row>
    <row r="559" spans="1:8" x14ac:dyDescent="0.25">
      <c r="A559" s="1" t="s">
        <v>12</v>
      </c>
      <c r="B559" s="1" t="s">
        <v>2973</v>
      </c>
      <c r="C559" s="1" t="s">
        <v>2974</v>
      </c>
      <c r="D559" s="1" t="s">
        <v>1605</v>
      </c>
      <c r="G559" s="1" t="s">
        <v>2975</v>
      </c>
      <c r="H559" s="2" t="str">
        <f>Tabella1[[#This Row],[Denominazione]]&amp;" - "&amp;Tabella1[[#This Row],[Città]]</f>
        <v>ANTONUCCI MARCO - MONDOLFO</v>
      </c>
    </row>
    <row r="560" spans="1:8" x14ac:dyDescent="0.25">
      <c r="A560" s="1" t="s">
        <v>12</v>
      </c>
      <c r="B560" s="1" t="s">
        <v>2978</v>
      </c>
      <c r="C560" s="1" t="s">
        <v>2979</v>
      </c>
      <c r="D560" s="1" t="s">
        <v>1605</v>
      </c>
      <c r="G560" s="1" t="s">
        <v>2980</v>
      </c>
      <c r="H560" s="2" t="str">
        <f>Tabella1[[#This Row],[Denominazione]]&amp;" - "&amp;Tabella1[[#This Row],[Città]]</f>
        <v>ANTONUCCI OMBRETTA - MONDOLFO</v>
      </c>
    </row>
    <row r="561" spans="1:8" x14ac:dyDescent="0.25">
      <c r="A561" s="1" t="s">
        <v>403</v>
      </c>
      <c r="B561" s="1" t="s">
        <v>8049</v>
      </c>
      <c r="C561" s="1" t="s">
        <v>7943</v>
      </c>
      <c r="D561" s="1" t="s">
        <v>7889</v>
      </c>
      <c r="E561" s="1" t="s">
        <v>7889</v>
      </c>
      <c r="F561" s="1" t="s">
        <v>7944</v>
      </c>
      <c r="G561" s="1" t="s">
        <v>7945</v>
      </c>
      <c r="H561" s="2" t="str">
        <f>Tabella1[[#This Row],[Denominazione]]&amp;" - "&amp;Tabella1[[#This Row],[Città]]</f>
        <v>APARTHOTEL IL CONERO 2 - NUMANA</v>
      </c>
    </row>
    <row r="562" spans="1:8" x14ac:dyDescent="0.25">
      <c r="A562" s="1" t="s">
        <v>20</v>
      </c>
      <c r="B562" s="1" t="s">
        <v>11756</v>
      </c>
      <c r="C562" s="1" t="s">
        <v>11757</v>
      </c>
      <c r="D562" s="1" t="s">
        <v>11728</v>
      </c>
      <c r="E562" s="1" t="s">
        <v>11728</v>
      </c>
      <c r="G562" s="1" t="s">
        <v>11758</v>
      </c>
      <c r="H562" s="2" t="str">
        <f>Tabella1[[#This Row],[Denominazione]]&amp;" - "&amp;Tabella1[[#This Row],[Città]]</f>
        <v>APOLLO 17 - CORRIDONIA</v>
      </c>
    </row>
    <row r="563" spans="1:8" x14ac:dyDescent="0.25">
      <c r="A563" s="1" t="s">
        <v>82</v>
      </c>
      <c r="B563" s="1" t="s">
        <v>10297</v>
      </c>
      <c r="C563" s="1" t="s">
        <v>10298</v>
      </c>
      <c r="D563" s="1" t="s">
        <v>10206</v>
      </c>
      <c r="E563" s="1" t="s">
        <v>10206</v>
      </c>
      <c r="F563" s="1" t="s">
        <v>10299</v>
      </c>
      <c r="G563" s="1" t="s">
        <v>10281</v>
      </c>
      <c r="H563" s="2" t="str">
        <f>Tabella1[[#This Row],[Denominazione]]&amp;" - "&amp;Tabella1[[#This Row],[Città]]</f>
        <v>APPARTAMENTI ANNALISA MENGANI - SIROLO</v>
      </c>
    </row>
    <row r="564" spans="1:8" x14ac:dyDescent="0.25">
      <c r="A564" s="1" t="s">
        <v>12</v>
      </c>
      <c r="B564" s="1" t="s">
        <v>1973</v>
      </c>
      <c r="C564" s="1" t="s">
        <v>1974</v>
      </c>
      <c r="D564" s="1" t="s">
        <v>1907</v>
      </c>
      <c r="G564" s="1" t="s">
        <v>1975</v>
      </c>
      <c r="H564" s="2" t="str">
        <f>Tabella1[[#This Row],[Denominazione]]&amp;" - "&amp;Tabella1[[#This Row],[Città]]</f>
        <v>APPARTAMENTI FONTAINEBLEAU - GABICCE MARE</v>
      </c>
    </row>
    <row r="565" spans="1:8" x14ac:dyDescent="0.25">
      <c r="A565" s="1" t="s">
        <v>82</v>
      </c>
      <c r="B565" s="1" t="s">
        <v>1986</v>
      </c>
      <c r="C565" s="1" t="s">
        <v>1987</v>
      </c>
      <c r="D565" s="1" t="s">
        <v>1907</v>
      </c>
      <c r="F565" s="1" t="s">
        <v>1988</v>
      </c>
      <c r="G565" s="1" t="s">
        <v>1989</v>
      </c>
      <c r="H565" s="2" t="str">
        <f>Tabella1[[#This Row],[Denominazione]]&amp;" - "&amp;Tabella1[[#This Row],[Città]]</f>
        <v>APPARTAMENTI GRAZIELLA - GABICCE MARE</v>
      </c>
    </row>
    <row r="566" spans="1:8" x14ac:dyDescent="0.25">
      <c r="A566" s="1" t="s">
        <v>82</v>
      </c>
      <c r="B566" s="1" t="s">
        <v>9320</v>
      </c>
      <c r="C566" s="1" t="s">
        <v>9321</v>
      </c>
      <c r="D566" s="1" t="s">
        <v>8949</v>
      </c>
      <c r="G566" s="1" t="s">
        <v>9319</v>
      </c>
      <c r="H566" s="2" t="str">
        <f>Tabella1[[#This Row],[Denominazione]]&amp;" - "&amp;Tabella1[[#This Row],[Città]]</f>
        <v>APPARTAMENTI LUNGOMARE ALIGHIERI - SENIGALLIA</v>
      </c>
    </row>
    <row r="567" spans="1:8" x14ac:dyDescent="0.25">
      <c r="A567" s="1" t="s">
        <v>82</v>
      </c>
      <c r="B567" s="1" t="s">
        <v>9317</v>
      </c>
      <c r="C567" s="1" t="s">
        <v>9318</v>
      </c>
      <c r="D567" s="1" t="s">
        <v>8949</v>
      </c>
      <c r="G567" s="1" t="s">
        <v>9319</v>
      </c>
      <c r="H567" s="2" t="str">
        <f>Tabella1[[#This Row],[Denominazione]]&amp;" - "&amp;Tabella1[[#This Row],[Città]]</f>
        <v>APPARTAMENTI LUNGOMARE ITALIA - SENIGALLIA</v>
      </c>
    </row>
    <row r="568" spans="1:8" x14ac:dyDescent="0.25">
      <c r="A568" s="1" t="s">
        <v>82</v>
      </c>
      <c r="B568" s="1" t="s">
        <v>15113</v>
      </c>
      <c r="C568" s="1" t="s">
        <v>3164</v>
      </c>
      <c r="D568" s="1" t="s">
        <v>15096</v>
      </c>
      <c r="E568" s="1" t="s">
        <v>15096</v>
      </c>
      <c r="G568" s="1" t="s">
        <v>15114</v>
      </c>
      <c r="H568" s="2" t="str">
        <f>Tabella1[[#This Row],[Denominazione]]&amp;" - "&amp;Tabella1[[#This Row],[Città]]</f>
        <v>APPARTAMENTI PER VACANZE BIZZARRI IVANA - CARASSAI</v>
      </c>
    </row>
    <row r="569" spans="1:8" x14ac:dyDescent="0.25">
      <c r="A569" s="1" t="s">
        <v>82</v>
      </c>
      <c r="B569" s="1" t="s">
        <v>9629</v>
      </c>
      <c r="C569" s="1" t="s">
        <v>9630</v>
      </c>
      <c r="D569" s="1" t="s">
        <v>8949</v>
      </c>
      <c r="E569" s="1" t="s">
        <v>8949</v>
      </c>
      <c r="F569" s="1" t="s">
        <v>9631</v>
      </c>
      <c r="G569" s="1" t="s">
        <v>9632</v>
      </c>
      <c r="H569" s="2" t="str">
        <f>Tabella1[[#This Row],[Denominazione]]&amp;" - "&amp;Tabella1[[#This Row],[Città]]</f>
        <v>APPARTAMENTI REGNI - SENIGALLIA</v>
      </c>
    </row>
    <row r="570" spans="1:8" x14ac:dyDescent="0.25">
      <c r="A570" s="1" t="s">
        <v>82</v>
      </c>
      <c r="B570" s="1" t="s">
        <v>14318</v>
      </c>
      <c r="C570" s="1" t="s">
        <v>14319</v>
      </c>
      <c r="D570" s="1" t="s">
        <v>14276</v>
      </c>
      <c r="E570" s="1" t="s">
        <v>14276</v>
      </c>
      <c r="G570" s="1" t="s">
        <v>14314</v>
      </c>
      <c r="H570" s="2" t="str">
        <f>Tabella1[[#This Row],[Denominazione]]&amp;" - "&amp;Tabella1[[#This Row],[Città]]</f>
        <v>APPARTAMENTI TRE MONTI - VISSO</v>
      </c>
    </row>
    <row r="571" spans="1:8" x14ac:dyDescent="0.25">
      <c r="A571" s="1" t="s">
        <v>12</v>
      </c>
      <c r="B571" s="1" t="s">
        <v>3999</v>
      </c>
      <c r="C571" s="1" t="s">
        <v>4000</v>
      </c>
      <c r="D571" s="1" t="s">
        <v>2386</v>
      </c>
      <c r="G571" s="1" t="s">
        <v>4001</v>
      </c>
      <c r="H571" s="2" t="str">
        <f>Tabella1[[#This Row],[Denominazione]]&amp;" - "&amp;Tabella1[[#This Row],[Città]]</f>
        <v>APPARTAMENTIO TURISTICO MALTEMPI - PESARO</v>
      </c>
    </row>
    <row r="572" spans="1:8" x14ac:dyDescent="0.25">
      <c r="A572" s="1" t="s">
        <v>12</v>
      </c>
      <c r="B572" s="1" t="s">
        <v>13746</v>
      </c>
      <c r="C572" s="1" t="s">
        <v>13747</v>
      </c>
      <c r="D572" s="1" t="s">
        <v>13739</v>
      </c>
      <c r="E572" s="1" t="s">
        <v>13740</v>
      </c>
      <c r="H572" s="2" t="str">
        <f>Tabella1[[#This Row],[Denominazione]]&amp;" - "&amp;Tabella1[[#This Row],[Città]]</f>
        <v>APPARTAMENTO AMMOBILIATO PER USO TURISTICO LUCCERINI BENITO - SANT'ANGELO IN PONTANO</v>
      </c>
    </row>
    <row r="573" spans="1:8" x14ac:dyDescent="0.25">
      <c r="A573" s="1" t="s">
        <v>12</v>
      </c>
      <c r="B573" s="1" t="s">
        <v>8389</v>
      </c>
      <c r="C573" s="1" t="s">
        <v>8390</v>
      </c>
      <c r="D573" s="1" t="s">
        <v>7889</v>
      </c>
      <c r="E573" s="1" t="s">
        <v>7889</v>
      </c>
      <c r="G573" s="1" t="s">
        <v>8391</v>
      </c>
      <c r="H573" s="2" t="str">
        <f>Tabella1[[#This Row],[Denominazione]]&amp;" - "&amp;Tabella1[[#This Row],[Città]]</f>
        <v>APPARTAMENTO BABINI MARCELLO - NUMANA</v>
      </c>
    </row>
    <row r="574" spans="1:8" x14ac:dyDescent="0.25">
      <c r="A574" s="1" t="s">
        <v>6</v>
      </c>
      <c r="B574" s="1" t="s">
        <v>16100</v>
      </c>
      <c r="C574" s="1" t="s">
        <v>16101</v>
      </c>
      <c r="D574" s="1" t="s">
        <v>16083</v>
      </c>
      <c r="E574" s="1" t="s">
        <v>16083</v>
      </c>
      <c r="G574" s="1" t="s">
        <v>16102</v>
      </c>
      <c r="H574" s="2" t="str">
        <f>Tabella1[[#This Row],[Denominazione]]&amp;" - "&amp;Tabella1[[#This Row],[Città]]</f>
        <v>APPARTAMENTO DEI FIORI - MONTALTO DELLE MARCHE</v>
      </c>
    </row>
    <row r="575" spans="1:8" x14ac:dyDescent="0.25">
      <c r="A575" s="1" t="s">
        <v>12</v>
      </c>
      <c r="B575" s="1" t="s">
        <v>6647</v>
      </c>
      <c r="C575" s="1" t="s">
        <v>6648</v>
      </c>
      <c r="D575" s="1" t="s">
        <v>6536</v>
      </c>
      <c r="E575" s="1" t="s">
        <v>6536</v>
      </c>
      <c r="G575" s="1" t="s">
        <v>6649</v>
      </c>
      <c r="H575" s="2" t="str">
        <f>Tabella1[[#This Row],[Denominazione]]&amp;" - "&amp;Tabella1[[#This Row],[Città]]</f>
        <v>APPARTAMENTO ROBERT BUNNENS - CORINALDO</v>
      </c>
    </row>
    <row r="576" spans="1:8" x14ac:dyDescent="0.25">
      <c r="A576" s="1" t="s">
        <v>12</v>
      </c>
      <c r="B576" s="1" t="s">
        <v>12389</v>
      </c>
      <c r="C576" s="1" t="s">
        <v>12390</v>
      </c>
      <c r="D576" s="1" t="s">
        <v>12382</v>
      </c>
      <c r="E576" s="1" t="s">
        <v>12382</v>
      </c>
      <c r="G576" s="1" t="s">
        <v>12391</v>
      </c>
      <c r="H576" s="2" t="str">
        <f>Tabella1[[#This Row],[Denominazione]]&amp;" - "&amp;Tabella1[[#This Row],[Città]]</f>
        <v>APPARTAMENTO USO TURISTICO DI GIULIANO PISELLI - MONTECOSARO</v>
      </c>
    </row>
    <row r="577" spans="1:8" x14ac:dyDescent="0.25">
      <c r="A577" s="1" t="s">
        <v>12</v>
      </c>
      <c r="B577" s="1" t="s">
        <v>6035</v>
      </c>
      <c r="C577" s="1" t="s">
        <v>5831</v>
      </c>
      <c r="D577" s="1" t="s">
        <v>1864</v>
      </c>
      <c r="G577" s="1" t="s">
        <v>5832</v>
      </c>
      <c r="H577" s="2" t="str">
        <f>Tabella1[[#This Row],[Denominazione]]&amp;" - "&amp;Tabella1[[#This Row],[Città]]</f>
        <v>APPARTAMENTO USO TURISTICO dI ROSSETTI C. e BENADDUCCI P. - ANCONA</v>
      </c>
    </row>
    <row r="578" spans="1:8" x14ac:dyDescent="0.25">
      <c r="A578" s="1" t="s">
        <v>12</v>
      </c>
      <c r="B578" s="1" t="s">
        <v>7120</v>
      </c>
      <c r="C578" s="1" t="s">
        <v>7121</v>
      </c>
      <c r="D578" s="1" t="s">
        <v>5735</v>
      </c>
      <c r="E578" s="1" t="s">
        <v>5735</v>
      </c>
      <c r="G578" s="1" t="s">
        <v>7122</v>
      </c>
      <c r="H578" s="2" t="str">
        <f>Tabella1[[#This Row],[Denominazione]]&amp;" - "&amp;Tabella1[[#This Row],[Città]]</f>
        <v>APPARTAMENTO USO TURISTICO LAURA CARRERA - FALCONARA MARITTIMA</v>
      </c>
    </row>
    <row r="579" spans="1:8" x14ac:dyDescent="0.25">
      <c r="A579" s="1" t="s">
        <v>12</v>
      </c>
      <c r="B579" s="1" t="s">
        <v>7145</v>
      </c>
      <c r="C579" s="1" t="s">
        <v>7146</v>
      </c>
      <c r="D579" s="1" t="s">
        <v>5735</v>
      </c>
      <c r="E579" s="1" t="s">
        <v>7147</v>
      </c>
      <c r="H579" s="2" t="str">
        <f>Tabella1[[#This Row],[Denominazione]]&amp;" - "&amp;Tabella1[[#This Row],[Città]]</f>
        <v>APPARTAMENTO USO TURISTICO LAURA CARRERA 2 - FALCONARA MARITTIMA</v>
      </c>
    </row>
    <row r="580" spans="1:8" x14ac:dyDescent="0.25">
      <c r="A580" s="1" t="s">
        <v>20</v>
      </c>
      <c r="B580" s="1" t="s">
        <v>8853</v>
      </c>
      <c r="C580" s="1" t="s">
        <v>8854</v>
      </c>
      <c r="D580" s="1" t="s">
        <v>8849</v>
      </c>
      <c r="E580" s="1" t="s">
        <v>8849</v>
      </c>
      <c r="H580" s="2" t="str">
        <f>Tabella1[[#This Row],[Denominazione]]&amp;" - "&amp;Tabella1[[#This Row],[Città]]</f>
        <v>APPENNINO - SASSOFERRATO</v>
      </c>
    </row>
    <row r="581" spans="1:8" x14ac:dyDescent="0.25">
      <c r="A581" s="1" t="s">
        <v>82</v>
      </c>
      <c r="B581" s="1" t="s">
        <v>19349</v>
      </c>
      <c r="C581" s="1" t="s">
        <v>19350</v>
      </c>
      <c r="D581" s="1" t="s">
        <v>19283</v>
      </c>
      <c r="F581" s="1" t="s">
        <v>19351</v>
      </c>
      <c r="G581" s="1" t="s">
        <v>19352</v>
      </c>
      <c r="H581" s="2" t="str">
        <f>Tabella1[[#This Row],[Denominazione]]&amp;" - "&amp;Tabella1[[#This Row],[Città]]</f>
        <v>AQUA HOME VILLAGE - PORTO SANT'ELPIDIO</v>
      </c>
    </row>
    <row r="582" spans="1:8" x14ac:dyDescent="0.25">
      <c r="A582" s="1" t="s">
        <v>20</v>
      </c>
      <c r="B582" s="1" t="s">
        <v>11556</v>
      </c>
      <c r="C582" s="1" t="s">
        <v>11557</v>
      </c>
      <c r="D582" s="1" t="s">
        <v>11244</v>
      </c>
      <c r="E582" s="1" t="s">
        <v>11244</v>
      </c>
      <c r="F582" s="1" t="s">
        <v>11558</v>
      </c>
      <c r="G582" s="1" t="s">
        <v>11559</v>
      </c>
      <c r="H582" s="2" t="str">
        <f>Tabella1[[#This Row],[Denominazione]]&amp;" - "&amp;Tabella1[[#This Row],[Città]]</f>
        <v>AQUAMARINA - CIVITANOVA MARCHE</v>
      </c>
    </row>
    <row r="583" spans="1:8" x14ac:dyDescent="0.25">
      <c r="A583" s="1" t="s">
        <v>679</v>
      </c>
      <c r="B583" s="1" t="s">
        <v>5749</v>
      </c>
      <c r="D583" s="1" t="s">
        <v>1864</v>
      </c>
      <c r="E583" s="1" t="s">
        <v>1864</v>
      </c>
      <c r="G583" s="1" t="s">
        <v>5750</v>
      </c>
      <c r="H583" s="2" t="str">
        <f>Tabella1[[#This Row],[Denominazione]]&amp;" - "&amp;Tabella1[[#This Row],[Città]]</f>
        <v>AQUARIUM - ANCONA</v>
      </c>
    </row>
    <row r="584" spans="1:8" x14ac:dyDescent="0.25">
      <c r="A584" s="1" t="s">
        <v>29</v>
      </c>
      <c r="B584" s="1" t="s">
        <v>1277</v>
      </c>
      <c r="C584" s="1" t="s">
        <v>1278</v>
      </c>
      <c r="D584" s="1" t="s">
        <v>682</v>
      </c>
      <c r="E584" s="1" t="s">
        <v>682</v>
      </c>
      <c r="F584" s="1" t="s">
        <v>1279</v>
      </c>
      <c r="G584" s="1" t="s">
        <v>1280</v>
      </c>
      <c r="H584" s="2" t="str">
        <f>Tabella1[[#This Row],[Denominazione]]&amp;" - "&amp;Tabella1[[#This Row],[Città]]</f>
        <v>ARCA DI NOE' - FANO</v>
      </c>
    </row>
    <row r="585" spans="1:8" x14ac:dyDescent="0.25">
      <c r="A585" s="1" t="s">
        <v>12</v>
      </c>
      <c r="B585" s="1" t="s">
        <v>1561</v>
      </c>
      <c r="C585" s="1" t="s">
        <v>1562</v>
      </c>
      <c r="D585" s="1" t="s">
        <v>682</v>
      </c>
      <c r="H585" s="2" t="str">
        <f>Tabella1[[#This Row],[Denominazione]]&amp;" - "&amp;Tabella1[[#This Row],[Città]]</f>
        <v>ARCECI DAVIDE - FANO</v>
      </c>
    </row>
    <row r="586" spans="1:8" x14ac:dyDescent="0.25">
      <c r="A586" s="1" t="s">
        <v>29</v>
      </c>
      <c r="B586" s="1" t="s">
        <v>11437</v>
      </c>
      <c r="C586" s="1" t="s">
        <v>11438</v>
      </c>
      <c r="D586" s="1" t="s">
        <v>11244</v>
      </c>
      <c r="E586" s="1" t="s">
        <v>11244</v>
      </c>
      <c r="F586" s="1" t="s">
        <v>11439</v>
      </c>
      <c r="G586" s="1" t="s">
        <v>11440</v>
      </c>
      <c r="H586" s="2" t="str">
        <f>Tabella1[[#This Row],[Denominazione]]&amp;" - "&amp;Tabella1[[#This Row],[Città]]</f>
        <v>ARCOBALENO - CIVITANOVA MARCHE</v>
      </c>
    </row>
    <row r="587" spans="1:8" x14ac:dyDescent="0.25">
      <c r="A587" s="1" t="s">
        <v>571</v>
      </c>
      <c r="B587" s="1" t="s">
        <v>11437</v>
      </c>
      <c r="C587" s="1" t="s">
        <v>12873</v>
      </c>
      <c r="D587" s="1" t="s">
        <v>12801</v>
      </c>
      <c r="E587" s="1" t="s">
        <v>12801</v>
      </c>
      <c r="H587" s="2" t="str">
        <f>Tabella1[[#This Row],[Denominazione]]&amp;" - "&amp;Tabella1[[#This Row],[Città]]</f>
        <v>ARCOBALENO - PORTO RECANATI</v>
      </c>
    </row>
    <row r="588" spans="1:8" x14ac:dyDescent="0.25">
      <c r="A588" s="1" t="s">
        <v>679</v>
      </c>
      <c r="B588" s="1" t="s">
        <v>8179</v>
      </c>
      <c r="C588" s="1" t="s">
        <v>8180</v>
      </c>
      <c r="D588" s="1" t="s">
        <v>7889</v>
      </c>
      <c r="E588" s="1" t="s">
        <v>7895</v>
      </c>
      <c r="H588" s="2" t="str">
        <f>Tabella1[[#This Row],[Denominazione]]&amp;" - "&amp;Tabella1[[#This Row],[Città]]</f>
        <v>ARCOBALENO N 36 - NUMANA</v>
      </c>
    </row>
    <row r="589" spans="1:8" x14ac:dyDescent="0.25">
      <c r="A589" s="1" t="s">
        <v>88</v>
      </c>
      <c r="B589" s="1" t="s">
        <v>6119</v>
      </c>
      <c r="D589" s="1" t="s">
        <v>6049</v>
      </c>
      <c r="E589" s="1" t="s">
        <v>6049</v>
      </c>
      <c r="H589" s="2" t="str">
        <f>Tabella1[[#This Row],[Denominazione]]&amp;" - "&amp;Tabella1[[#This Row],[Città]]</f>
        <v>AREA ATTREZZATA SOSTA CAMPER - COMUNE DI ARCEVIA - ARCEVIA</v>
      </c>
    </row>
    <row r="590" spans="1:8" x14ac:dyDescent="0.25">
      <c r="A590" s="1" t="s">
        <v>88</v>
      </c>
      <c r="B590" s="1" t="s">
        <v>18278</v>
      </c>
      <c r="D590" s="1" t="s">
        <v>17932</v>
      </c>
      <c r="E590" s="1" t="s">
        <v>18084</v>
      </c>
      <c r="F590" s="1" t="s">
        <v>18279</v>
      </c>
      <c r="G590" s="1" t="s">
        <v>18280</v>
      </c>
      <c r="H590" s="2" t="str">
        <f>Tabella1[[#This Row],[Denominazione]]&amp;" - "&amp;Tabella1[[#This Row],[Città]]</f>
        <v>AREA CAMPER FERMO - FERMO</v>
      </c>
    </row>
    <row r="591" spans="1:8" x14ac:dyDescent="0.25">
      <c r="A591" s="1" t="s">
        <v>88</v>
      </c>
      <c r="B591" s="1" t="s">
        <v>16444</v>
      </c>
      <c r="D591" s="1" t="s">
        <v>16440</v>
      </c>
      <c r="E591" s="1" t="s">
        <v>16445</v>
      </c>
      <c r="G591" s="1" t="s">
        <v>16446</v>
      </c>
      <c r="H591" s="2" t="str">
        <f>Tabella1[[#This Row],[Denominazione]]&amp;" - "&amp;Tabella1[[#This Row],[Città]]</f>
        <v>AREA DI SOSTA - OFFIDA</v>
      </c>
    </row>
    <row r="592" spans="1:8" x14ac:dyDescent="0.25">
      <c r="A592" s="1" t="s">
        <v>88</v>
      </c>
      <c r="B592" s="1" t="s">
        <v>1384</v>
      </c>
      <c r="C592" s="1" t="s">
        <v>1385</v>
      </c>
      <c r="D592" s="1" t="s">
        <v>682</v>
      </c>
      <c r="E592" s="1" t="s">
        <v>682</v>
      </c>
      <c r="G592" s="1" t="s">
        <v>1386</v>
      </c>
      <c r="H592" s="2" t="str">
        <f>Tabella1[[#This Row],[Denominazione]]&amp;" - "&amp;Tabella1[[#This Row],[Città]]</f>
        <v>AREA DI SOSTA ADRIATICO - FANO</v>
      </c>
    </row>
    <row r="593" spans="1:8" x14ac:dyDescent="0.25">
      <c r="A593" s="1" t="s">
        <v>88</v>
      </c>
      <c r="B593" s="1" t="s">
        <v>11144</v>
      </c>
      <c r="D593" s="1" t="s">
        <v>11058</v>
      </c>
      <c r="E593" s="1" t="s">
        <v>11145</v>
      </c>
      <c r="G593" s="1" t="s">
        <v>11146</v>
      </c>
      <c r="H593" s="2" t="str">
        <f>Tabella1[[#This Row],[Denominazione]]&amp;" - "&amp;Tabella1[[#This Row],[Città]]</f>
        <v>AREA DI SOSTA ATTREZZATA BALCONE DELLE MARCHE - CINGOLI</v>
      </c>
    </row>
    <row r="594" spans="1:8" x14ac:dyDescent="0.25">
      <c r="A594" s="1" t="s">
        <v>88</v>
      </c>
      <c r="B594" s="1" t="s">
        <v>137</v>
      </c>
      <c r="D594" s="1" t="s">
        <v>102</v>
      </c>
      <c r="E594" s="1" t="s">
        <v>102</v>
      </c>
      <c r="H594" s="2" t="str">
        <f>Tabella1[[#This Row],[Denominazione]]&amp;" - "&amp;Tabella1[[#This Row],[Città]]</f>
        <v>AREA DI SOSTA CAMPER - APECCHIO</v>
      </c>
    </row>
    <row r="595" spans="1:8" x14ac:dyDescent="0.25">
      <c r="A595" s="1" t="s">
        <v>88</v>
      </c>
      <c r="B595" s="1" t="s">
        <v>137</v>
      </c>
      <c r="D595" s="1" t="s">
        <v>227</v>
      </c>
      <c r="H595" s="2" t="str">
        <f>Tabella1[[#This Row],[Denominazione]]&amp;" - "&amp;Tabella1[[#This Row],[Città]]</f>
        <v>AREA DI SOSTA CAMPER - BARCHI</v>
      </c>
    </row>
    <row r="596" spans="1:8" x14ac:dyDescent="0.25">
      <c r="A596" s="1" t="s">
        <v>88</v>
      </c>
      <c r="B596" s="1" t="s">
        <v>137</v>
      </c>
      <c r="D596" s="1" t="s">
        <v>266</v>
      </c>
      <c r="E596" s="1" t="s">
        <v>285</v>
      </c>
      <c r="H596" s="2" t="str">
        <f>Tabella1[[#This Row],[Denominazione]]&amp;" - "&amp;Tabella1[[#This Row],[Città]]</f>
        <v>AREA DI SOSTA CAMPER - BORGO PACE</v>
      </c>
    </row>
    <row r="597" spans="1:8" x14ac:dyDescent="0.25">
      <c r="A597" s="1" t="s">
        <v>88</v>
      </c>
      <c r="B597" s="1" t="s">
        <v>137</v>
      </c>
      <c r="D597" s="1" t="s">
        <v>579</v>
      </c>
      <c r="H597" s="2" t="str">
        <f>Tabella1[[#This Row],[Denominazione]]&amp;" - "&amp;Tabella1[[#This Row],[Città]]</f>
        <v>AREA DI SOSTA CAMPER - CARPEGNA</v>
      </c>
    </row>
    <row r="598" spans="1:8" x14ac:dyDescent="0.25">
      <c r="A598" s="1" t="s">
        <v>88</v>
      </c>
      <c r="B598" s="1" t="s">
        <v>137</v>
      </c>
      <c r="D598" s="1" t="s">
        <v>1653</v>
      </c>
      <c r="H598" s="2" t="str">
        <f>Tabella1[[#This Row],[Denominazione]]&amp;" - "&amp;Tabella1[[#This Row],[Città]]</f>
        <v>AREA DI SOSTA CAMPER - FERMIGNANO</v>
      </c>
    </row>
    <row r="599" spans="1:8" x14ac:dyDescent="0.25">
      <c r="A599" s="1" t="s">
        <v>88</v>
      </c>
      <c r="B599" s="1" t="s">
        <v>137</v>
      </c>
      <c r="D599" s="1" t="s">
        <v>1724</v>
      </c>
      <c r="E599" s="1" t="s">
        <v>1766</v>
      </c>
      <c r="H599" s="2" t="str">
        <f>Tabella1[[#This Row],[Denominazione]]&amp;" - "&amp;Tabella1[[#This Row],[Città]]</f>
        <v>AREA DI SOSTA CAMPER - FOSSOMBRONE</v>
      </c>
    </row>
    <row r="600" spans="1:8" x14ac:dyDescent="0.25">
      <c r="A600" s="1" t="s">
        <v>88</v>
      </c>
      <c r="B600" s="1" t="s">
        <v>137</v>
      </c>
      <c r="D600" s="1" t="s">
        <v>2729</v>
      </c>
      <c r="H600" s="2" t="str">
        <f>Tabella1[[#This Row],[Denominazione]]&amp;" - "&amp;Tabella1[[#This Row],[Città]]</f>
        <v>AREA DI SOSTA CAMPER - MONDAVIO</v>
      </c>
    </row>
    <row r="601" spans="1:8" x14ac:dyDescent="0.25">
      <c r="A601" s="1" t="s">
        <v>88</v>
      </c>
      <c r="B601" s="1" t="s">
        <v>137</v>
      </c>
      <c r="C601" s="1" t="s">
        <v>2812</v>
      </c>
      <c r="D601" s="1" t="s">
        <v>1605</v>
      </c>
      <c r="E601" s="1" t="s">
        <v>1456</v>
      </c>
      <c r="G601" s="1" t="s">
        <v>2813</v>
      </c>
      <c r="H601" s="2" t="str">
        <f>Tabella1[[#This Row],[Denominazione]]&amp;" - "&amp;Tabella1[[#This Row],[Città]]</f>
        <v>AREA DI SOSTA CAMPER - MONDOLFO</v>
      </c>
    </row>
    <row r="602" spans="1:8" x14ac:dyDescent="0.25">
      <c r="A602" s="1" t="s">
        <v>88</v>
      </c>
      <c r="B602" s="1" t="s">
        <v>137</v>
      </c>
      <c r="D602" s="1" t="s">
        <v>3022</v>
      </c>
      <c r="E602" s="1" t="s">
        <v>3026</v>
      </c>
      <c r="H602" s="2" t="str">
        <f>Tabella1[[#This Row],[Denominazione]]&amp;" - "&amp;Tabella1[[#This Row],[Città]]</f>
        <v>AREA DI SOSTA CAMPER - MONTE CERIGNONE</v>
      </c>
    </row>
    <row r="603" spans="1:8" x14ac:dyDescent="0.25">
      <c r="A603" s="1" t="s">
        <v>88</v>
      </c>
      <c r="B603" s="1" t="s">
        <v>137</v>
      </c>
      <c r="D603" s="1" t="s">
        <v>4175</v>
      </c>
      <c r="E603" s="1" t="s">
        <v>4190</v>
      </c>
      <c r="F603" s="1" t="s">
        <v>4191</v>
      </c>
      <c r="G603" s="1" t="s">
        <v>4192</v>
      </c>
      <c r="H603" s="2" t="str">
        <f>Tabella1[[#This Row],[Denominazione]]&amp;" - "&amp;Tabella1[[#This Row],[Città]]</f>
        <v>AREA DI SOSTA CAMPER - PIOBBICO</v>
      </c>
    </row>
    <row r="604" spans="1:8" x14ac:dyDescent="0.25">
      <c r="A604" s="1" t="s">
        <v>88</v>
      </c>
      <c r="B604" s="1" t="s">
        <v>137</v>
      </c>
      <c r="D604" s="1" t="s">
        <v>4359</v>
      </c>
      <c r="H604" s="2" t="str">
        <f>Tabella1[[#This Row],[Denominazione]]&amp;" - "&amp;Tabella1[[#This Row],[Città]]</f>
        <v>AREA DI SOSTA CAMPER - SAN LORENZO IN CAMPO</v>
      </c>
    </row>
    <row r="605" spans="1:8" x14ac:dyDescent="0.25">
      <c r="A605" s="1" t="s">
        <v>88</v>
      </c>
      <c r="B605" s="1" t="s">
        <v>137</v>
      </c>
      <c r="D605" s="1" t="s">
        <v>4735</v>
      </c>
      <c r="E605" s="1" t="s">
        <v>4836</v>
      </c>
      <c r="H605" s="2" t="str">
        <f>Tabella1[[#This Row],[Denominazione]]&amp;" - "&amp;Tabella1[[#This Row],[Città]]</f>
        <v>AREA DI SOSTA CAMPER - URBANIA</v>
      </c>
    </row>
    <row r="606" spans="1:8" x14ac:dyDescent="0.25">
      <c r="A606" s="1" t="s">
        <v>88</v>
      </c>
      <c r="B606" s="1" t="s">
        <v>137</v>
      </c>
      <c r="D606" s="1" t="s">
        <v>7718</v>
      </c>
      <c r="E606" s="1" t="s">
        <v>7748</v>
      </c>
      <c r="G606" s="1" t="s">
        <v>7749</v>
      </c>
      <c r="H606" s="2" t="str">
        <f>Tabella1[[#This Row],[Denominazione]]&amp;" - "&amp;Tabella1[[#This Row],[Città]]</f>
        <v>AREA DI SOSTA CAMPER - MONTEMARCIANO</v>
      </c>
    </row>
    <row r="607" spans="1:8" x14ac:dyDescent="0.25">
      <c r="A607" s="1" t="s">
        <v>88</v>
      </c>
      <c r="B607" s="1" t="s">
        <v>137</v>
      </c>
      <c r="D607" s="1" t="s">
        <v>8454</v>
      </c>
      <c r="G607" s="1" t="s">
        <v>8469</v>
      </c>
      <c r="H607" s="2" t="str">
        <f>Tabella1[[#This Row],[Denominazione]]&amp;" - "&amp;Tabella1[[#This Row],[Città]]</f>
        <v>AREA DI SOSTA CAMPER - OSIMO</v>
      </c>
    </row>
    <row r="608" spans="1:8" x14ac:dyDescent="0.25">
      <c r="A608" s="1" t="s">
        <v>88</v>
      </c>
      <c r="B608" s="1" t="s">
        <v>137</v>
      </c>
      <c r="C608" s="1" t="s">
        <v>9424</v>
      </c>
      <c r="D608" s="1" t="s">
        <v>8949</v>
      </c>
      <c r="E608" s="1" t="s">
        <v>8949</v>
      </c>
      <c r="H608" s="2" t="str">
        <f>Tabella1[[#This Row],[Denominazione]]&amp;" - "&amp;Tabella1[[#This Row],[Città]]</f>
        <v>AREA DI SOSTA CAMPER - SENIGALLIA</v>
      </c>
    </row>
    <row r="609" spans="1:8" x14ac:dyDescent="0.25">
      <c r="A609" s="1" t="s">
        <v>88</v>
      </c>
      <c r="B609" s="1" t="s">
        <v>137</v>
      </c>
      <c r="D609" s="1" t="s">
        <v>10074</v>
      </c>
      <c r="H609" s="2" t="str">
        <f>Tabella1[[#This Row],[Denominazione]]&amp;" - "&amp;Tabella1[[#This Row],[Città]]</f>
        <v>AREA DI SOSTA CAMPER - SERRA DE' CONTI</v>
      </c>
    </row>
    <row r="610" spans="1:8" x14ac:dyDescent="0.25">
      <c r="A610" s="1" t="s">
        <v>88</v>
      </c>
      <c r="B610" s="1" t="s">
        <v>137</v>
      </c>
      <c r="D610" s="1" t="s">
        <v>10117</v>
      </c>
      <c r="E610" s="1" t="s">
        <v>10136</v>
      </c>
      <c r="H610" s="2" t="str">
        <f>Tabella1[[#This Row],[Denominazione]]&amp;" - "&amp;Tabella1[[#This Row],[Città]]</f>
        <v>AREA DI SOSTA CAMPER - SERRA SAN QUIRICO</v>
      </c>
    </row>
    <row r="611" spans="1:8" x14ac:dyDescent="0.25">
      <c r="A611" s="1" t="s">
        <v>88</v>
      </c>
      <c r="B611" s="1" t="s">
        <v>137</v>
      </c>
      <c r="D611" s="1" t="s">
        <v>10488</v>
      </c>
      <c r="H611" s="2" t="str">
        <f>Tabella1[[#This Row],[Denominazione]]&amp;" - "&amp;Tabella1[[#This Row],[Città]]</f>
        <v>AREA DI SOSTA CAMPER - STAFFOLO</v>
      </c>
    </row>
    <row r="612" spans="1:8" x14ac:dyDescent="0.25">
      <c r="A612" s="1" t="s">
        <v>88</v>
      </c>
      <c r="B612" s="1" t="s">
        <v>137</v>
      </c>
      <c r="D612" s="1" t="s">
        <v>10630</v>
      </c>
      <c r="H612" s="2" t="str">
        <f>Tabella1[[#This Row],[Denominazione]]&amp;" - "&amp;Tabella1[[#This Row],[Città]]</f>
        <v>AREA DI SOSTA CAMPER - APPIGNANO</v>
      </c>
    </row>
    <row r="613" spans="1:8" x14ac:dyDescent="0.25">
      <c r="A613" s="1" t="s">
        <v>88</v>
      </c>
      <c r="B613" s="1" t="s">
        <v>137</v>
      </c>
      <c r="D613" s="1" t="s">
        <v>10702</v>
      </c>
      <c r="H613" s="2" t="str">
        <f>Tabella1[[#This Row],[Denominazione]]&amp;" - "&amp;Tabella1[[#This Row],[Città]]</f>
        <v>AREA DI SOSTA CAMPER - CALDAROLA</v>
      </c>
    </row>
    <row r="614" spans="1:8" x14ac:dyDescent="0.25">
      <c r="A614" s="1" t="s">
        <v>88</v>
      </c>
      <c r="B614" s="1" t="s">
        <v>137</v>
      </c>
      <c r="D614" s="1" t="s">
        <v>11716</v>
      </c>
      <c r="H614" s="2" t="str">
        <f>Tabella1[[#This Row],[Denominazione]]&amp;" - "&amp;Tabella1[[#This Row],[Città]]</f>
        <v>AREA DI SOSTA CAMPER - COLMURANO</v>
      </c>
    </row>
    <row r="615" spans="1:8" x14ac:dyDescent="0.25">
      <c r="A615" s="1" t="s">
        <v>88</v>
      </c>
      <c r="B615" s="1" t="s">
        <v>137</v>
      </c>
      <c r="D615" s="1" t="s">
        <v>11792</v>
      </c>
      <c r="E615" s="1" t="s">
        <v>11806</v>
      </c>
      <c r="H615" s="2" t="str">
        <f>Tabella1[[#This Row],[Denominazione]]&amp;" - "&amp;Tabella1[[#This Row],[Città]]</f>
        <v>AREA DI SOSTA CAMPER - FIASTRA</v>
      </c>
    </row>
    <row r="616" spans="1:8" x14ac:dyDescent="0.25">
      <c r="A616" s="1" t="s">
        <v>88</v>
      </c>
      <c r="B616" s="1" t="s">
        <v>137</v>
      </c>
      <c r="D616" s="1" t="s">
        <v>12377</v>
      </c>
      <c r="E616" s="1" t="s">
        <v>12378</v>
      </c>
      <c r="G616" s="1" t="s">
        <v>12379</v>
      </c>
      <c r="H616" s="2" t="str">
        <f>Tabella1[[#This Row],[Denominazione]]&amp;" - "&amp;Tabella1[[#This Row],[Città]]</f>
        <v>AREA DI SOSTA CAMPER - MONTE CAVALLO</v>
      </c>
    </row>
    <row r="617" spans="1:8" x14ac:dyDescent="0.25">
      <c r="A617" s="1" t="s">
        <v>88</v>
      </c>
      <c r="B617" s="1" t="s">
        <v>137</v>
      </c>
      <c r="D617" s="1" t="s">
        <v>12382</v>
      </c>
      <c r="H617" s="2" t="str">
        <f>Tabella1[[#This Row],[Denominazione]]&amp;" - "&amp;Tabella1[[#This Row],[Città]]</f>
        <v>AREA DI SOSTA CAMPER - MONTECOSARO</v>
      </c>
    </row>
    <row r="618" spans="1:8" x14ac:dyDescent="0.25">
      <c r="A618" s="1" t="s">
        <v>88</v>
      </c>
      <c r="B618" s="1" t="s">
        <v>137</v>
      </c>
      <c r="D618" s="1" t="s">
        <v>12546</v>
      </c>
      <c r="E618" s="1" t="s">
        <v>12584</v>
      </c>
      <c r="H618" s="2" t="str">
        <f>Tabella1[[#This Row],[Denominazione]]&amp;" - "&amp;Tabella1[[#This Row],[Città]]</f>
        <v>AREA DI SOSTA CAMPER - MORROVALLE</v>
      </c>
    </row>
    <row r="619" spans="1:8" x14ac:dyDescent="0.25">
      <c r="A619" s="1" t="s">
        <v>88</v>
      </c>
      <c r="B619" s="1" t="s">
        <v>137</v>
      </c>
      <c r="C619" s="1" t="s">
        <v>12784</v>
      </c>
      <c r="D619" s="1" t="s">
        <v>12772</v>
      </c>
      <c r="E619" s="1" t="s">
        <v>12772</v>
      </c>
      <c r="H619" s="2" t="str">
        <f>Tabella1[[#This Row],[Denominazione]]&amp;" - "&amp;Tabella1[[#This Row],[Città]]</f>
        <v>AREA DI SOSTA CAMPER - POLLENZA</v>
      </c>
    </row>
    <row r="620" spans="1:8" x14ac:dyDescent="0.25">
      <c r="A620" s="1" t="s">
        <v>88</v>
      </c>
      <c r="B620" s="1" t="s">
        <v>137</v>
      </c>
      <c r="D620" s="1" t="s">
        <v>6072</v>
      </c>
      <c r="E620" s="1" t="s">
        <v>6072</v>
      </c>
      <c r="F620" s="1" t="s">
        <v>13503</v>
      </c>
      <c r="G620" s="1" t="s">
        <v>13504</v>
      </c>
      <c r="H620" s="2" t="str">
        <f>Tabella1[[#This Row],[Denominazione]]&amp;" - "&amp;Tabella1[[#This Row],[Città]]</f>
        <v>AREA DI SOSTA CAMPER - SAN GINESIO</v>
      </c>
    </row>
    <row r="621" spans="1:8" x14ac:dyDescent="0.25">
      <c r="A621" s="1" t="s">
        <v>88</v>
      </c>
      <c r="B621" s="1" t="s">
        <v>137</v>
      </c>
      <c r="D621" s="1" t="s">
        <v>13548</v>
      </c>
      <c r="E621" s="1" t="s">
        <v>13548</v>
      </c>
      <c r="H621" s="2" t="str">
        <f>Tabella1[[#This Row],[Denominazione]]&amp;" - "&amp;Tabella1[[#This Row],[Città]]</f>
        <v>AREA DI SOSTA CAMPER - SAN SEVERINO MARCHE</v>
      </c>
    </row>
    <row r="622" spans="1:8" x14ac:dyDescent="0.25">
      <c r="A622" s="1" t="s">
        <v>88</v>
      </c>
      <c r="B622" s="1" t="s">
        <v>137</v>
      </c>
      <c r="D622" s="1" t="s">
        <v>13756</v>
      </c>
      <c r="H622" s="2" t="str">
        <f>Tabella1[[#This Row],[Denominazione]]&amp;" - "&amp;Tabella1[[#This Row],[Città]]</f>
        <v>AREA DI SOSTA CAMPER - SARNANO</v>
      </c>
    </row>
    <row r="623" spans="1:8" x14ac:dyDescent="0.25">
      <c r="A623" s="1" t="s">
        <v>88</v>
      </c>
      <c r="B623" s="1" t="s">
        <v>137</v>
      </c>
      <c r="D623" s="1" t="s">
        <v>13946</v>
      </c>
      <c r="H623" s="2" t="str">
        <f>Tabella1[[#This Row],[Denominazione]]&amp;" - "&amp;Tabella1[[#This Row],[Città]]</f>
        <v>AREA DI SOSTA CAMPER - TOLENTINO</v>
      </c>
    </row>
    <row r="624" spans="1:8" x14ac:dyDescent="0.25">
      <c r="A624" s="1" t="s">
        <v>88</v>
      </c>
      <c r="B624" s="1" t="s">
        <v>137</v>
      </c>
      <c r="D624" s="1" t="s">
        <v>14065</v>
      </c>
      <c r="E624" s="1" t="s">
        <v>14170</v>
      </c>
      <c r="H624" s="2" t="str">
        <f>Tabella1[[#This Row],[Denominazione]]&amp;" - "&amp;Tabella1[[#This Row],[Città]]</f>
        <v>AREA DI SOSTA CAMPER - TREIA</v>
      </c>
    </row>
    <row r="625" spans="1:8" x14ac:dyDescent="0.25">
      <c r="A625" s="1" t="s">
        <v>88</v>
      </c>
      <c r="B625" s="1" t="s">
        <v>137</v>
      </c>
      <c r="D625" s="1" t="s">
        <v>14276</v>
      </c>
      <c r="H625" s="2" t="str">
        <f>Tabella1[[#This Row],[Denominazione]]&amp;" - "&amp;Tabella1[[#This Row],[Città]]</f>
        <v>AREA DI SOSTA CAMPER - VISSO</v>
      </c>
    </row>
    <row r="626" spans="1:8" x14ac:dyDescent="0.25">
      <c r="A626" s="1" t="s">
        <v>88</v>
      </c>
      <c r="B626" s="1" t="s">
        <v>137</v>
      </c>
      <c r="C626" s="1" t="s">
        <v>15119</v>
      </c>
      <c r="D626" s="1" t="s">
        <v>15096</v>
      </c>
      <c r="H626" s="2" t="str">
        <f>Tabella1[[#This Row],[Denominazione]]&amp;" - "&amp;Tabella1[[#This Row],[Città]]</f>
        <v>AREA DI SOSTA CAMPER - CARASSAI</v>
      </c>
    </row>
    <row r="627" spans="1:8" x14ac:dyDescent="0.25">
      <c r="A627" s="1" t="s">
        <v>88</v>
      </c>
      <c r="B627" s="1" t="s">
        <v>137</v>
      </c>
      <c r="C627" s="1" t="s">
        <v>15157</v>
      </c>
      <c r="D627" s="1" t="s">
        <v>15151</v>
      </c>
      <c r="F627" s="1" t="s">
        <v>15158</v>
      </c>
      <c r="H627" s="2" t="str">
        <f>Tabella1[[#This Row],[Denominazione]]&amp;" - "&amp;Tabella1[[#This Row],[Città]]</f>
        <v>AREA DI SOSTA CAMPER - CASTIGNANO</v>
      </c>
    </row>
    <row r="628" spans="1:8" x14ac:dyDescent="0.25">
      <c r="A628" s="1" t="s">
        <v>88</v>
      </c>
      <c r="B628" s="1" t="s">
        <v>137</v>
      </c>
      <c r="D628" s="1" t="s">
        <v>15585</v>
      </c>
      <c r="E628" s="1" t="s">
        <v>15585</v>
      </c>
      <c r="G628" s="1" t="s">
        <v>15710</v>
      </c>
      <c r="H628" s="2" t="str">
        <f>Tabella1[[#This Row],[Denominazione]]&amp;" - "&amp;Tabella1[[#This Row],[Città]]</f>
        <v>AREA DI SOSTA CAMPER - GROTTAMMARE</v>
      </c>
    </row>
    <row r="629" spans="1:8" x14ac:dyDescent="0.25">
      <c r="A629" s="1" t="s">
        <v>88</v>
      </c>
      <c r="B629" s="1" t="s">
        <v>137</v>
      </c>
      <c r="D629" s="1" t="s">
        <v>16083</v>
      </c>
      <c r="E629" s="1" t="s">
        <v>16084</v>
      </c>
      <c r="H629" s="2" t="str">
        <f>Tabella1[[#This Row],[Denominazione]]&amp;" - "&amp;Tabella1[[#This Row],[Città]]</f>
        <v>AREA DI SOSTA CAMPER - MONTALTO DELLE MARCHE</v>
      </c>
    </row>
    <row r="630" spans="1:8" x14ac:dyDescent="0.25">
      <c r="A630" s="1" t="s">
        <v>88</v>
      </c>
      <c r="B630" s="1" t="s">
        <v>137</v>
      </c>
      <c r="D630" s="1" t="s">
        <v>16165</v>
      </c>
      <c r="E630" s="1" t="s">
        <v>16192</v>
      </c>
      <c r="G630" s="1" t="s">
        <v>16193</v>
      </c>
      <c r="H630" s="2" t="str">
        <f>Tabella1[[#This Row],[Denominazione]]&amp;" - "&amp;Tabella1[[#This Row],[Città]]</f>
        <v>AREA DI SOSTA CAMPER - MONTEDINOVE</v>
      </c>
    </row>
    <row r="631" spans="1:8" x14ac:dyDescent="0.25">
      <c r="A631" s="1" t="s">
        <v>88</v>
      </c>
      <c r="B631" s="1" t="s">
        <v>137</v>
      </c>
      <c r="D631" s="1" t="s">
        <v>16585</v>
      </c>
      <c r="E631" s="1" t="s">
        <v>16688</v>
      </c>
      <c r="H631" s="2" t="str">
        <f>Tabella1[[#This Row],[Denominazione]]&amp;" - "&amp;Tabella1[[#This Row],[Città]]</f>
        <v>AREA DI SOSTA CAMPER - RIPATRANSONE</v>
      </c>
    </row>
    <row r="632" spans="1:8" x14ac:dyDescent="0.25">
      <c r="A632" s="1" t="s">
        <v>88</v>
      </c>
      <c r="B632" s="1" t="s">
        <v>137</v>
      </c>
      <c r="D632" s="1" t="s">
        <v>17823</v>
      </c>
      <c r="H632" s="2" t="str">
        <f>Tabella1[[#This Row],[Denominazione]]&amp;" - "&amp;Tabella1[[#This Row],[Città]]</f>
        <v>AREA DI SOSTA CAMPER - BELMONTE PICENO</v>
      </c>
    </row>
    <row r="633" spans="1:8" x14ac:dyDescent="0.25">
      <c r="A633" s="1" t="s">
        <v>88</v>
      </c>
      <c r="B633" s="1" t="s">
        <v>137</v>
      </c>
      <c r="D633" s="1" t="s">
        <v>18489</v>
      </c>
      <c r="H633" s="2" t="str">
        <f>Tabella1[[#This Row],[Denominazione]]&amp;" - "&amp;Tabella1[[#This Row],[Città]]</f>
        <v>AREA DI SOSTA CAMPER - MONTAPPONE</v>
      </c>
    </row>
    <row r="634" spans="1:8" x14ac:dyDescent="0.25">
      <c r="A634" s="1" t="s">
        <v>88</v>
      </c>
      <c r="B634" s="1" t="s">
        <v>137</v>
      </c>
      <c r="D634" s="1" t="s">
        <v>18618</v>
      </c>
      <c r="E634" s="1" t="s">
        <v>18639</v>
      </c>
      <c r="H634" s="2" t="str">
        <f>Tabella1[[#This Row],[Denominazione]]&amp;" - "&amp;Tabella1[[#This Row],[Città]]</f>
        <v>AREA DI SOSTA CAMPER - MONTEGIORGIO</v>
      </c>
    </row>
    <row r="635" spans="1:8" x14ac:dyDescent="0.25">
      <c r="A635" s="1" t="s">
        <v>88</v>
      </c>
      <c r="B635" s="1" t="s">
        <v>137</v>
      </c>
      <c r="D635" s="1" t="s">
        <v>18867</v>
      </c>
      <c r="H635" s="2" t="str">
        <f>Tabella1[[#This Row],[Denominazione]]&amp;" - "&amp;Tabella1[[#This Row],[Città]]</f>
        <v>AREA DI SOSTA CAMPER - MONTE VIDON CORRADO</v>
      </c>
    </row>
    <row r="636" spans="1:8" x14ac:dyDescent="0.25">
      <c r="A636" s="1" t="s">
        <v>88</v>
      </c>
      <c r="B636" s="1" t="s">
        <v>137</v>
      </c>
      <c r="D636" s="1" t="s">
        <v>18897</v>
      </c>
      <c r="H636" s="2" t="str">
        <f>Tabella1[[#This Row],[Denominazione]]&amp;" - "&amp;Tabella1[[#This Row],[Città]]</f>
        <v>AREA DI SOSTA CAMPER - MORESCO</v>
      </c>
    </row>
    <row r="637" spans="1:8" x14ac:dyDescent="0.25">
      <c r="A637" s="1" t="s">
        <v>88</v>
      </c>
      <c r="B637" s="1" t="s">
        <v>5858</v>
      </c>
      <c r="D637" s="1" t="s">
        <v>1864</v>
      </c>
      <c r="E637" s="1" t="s">
        <v>5859</v>
      </c>
      <c r="F637" s="1" t="s">
        <v>5860</v>
      </c>
      <c r="G637" s="1" t="s">
        <v>5861</v>
      </c>
      <c r="H637" s="2" t="str">
        <f>Tabella1[[#This Row],[Denominazione]]&amp;" - "&amp;Tabella1[[#This Row],[Città]]</f>
        <v>AREA DI SOSTA CAMPER - ANCONA - ANCONA</v>
      </c>
    </row>
    <row r="638" spans="1:8" x14ac:dyDescent="0.25">
      <c r="A638" s="1" t="s">
        <v>88</v>
      </c>
      <c r="B638" s="1" t="s">
        <v>12759</v>
      </c>
      <c r="D638" s="1" t="s">
        <v>12749</v>
      </c>
      <c r="E638" s="1" t="s">
        <v>12760</v>
      </c>
      <c r="H638" s="2" t="str">
        <f>Tabella1[[#This Row],[Denominazione]]&amp;" - "&amp;Tabella1[[#This Row],[Città]]</f>
        <v>AREA DI SOSTA CAMPER - BUCHETTO - PIORACO</v>
      </c>
    </row>
    <row r="639" spans="1:8" x14ac:dyDescent="0.25">
      <c r="A639" s="1" t="s">
        <v>88</v>
      </c>
      <c r="B639" s="1" t="s">
        <v>6410</v>
      </c>
      <c r="C639" s="1" t="s">
        <v>6411</v>
      </c>
      <c r="D639" s="1" t="s">
        <v>6371</v>
      </c>
      <c r="E639" s="1" t="s">
        <v>6371</v>
      </c>
      <c r="H639" s="2" t="str">
        <f>Tabella1[[#This Row],[Denominazione]]&amp;" - "&amp;Tabella1[[#This Row],[Città]]</f>
        <v>AREA DI SOSTA CAMPER - CASTELFIDARDO - CASTELFIDARDO</v>
      </c>
    </row>
    <row r="640" spans="1:8" x14ac:dyDescent="0.25">
      <c r="A640" s="1" t="s">
        <v>88</v>
      </c>
      <c r="B640" s="1" t="s">
        <v>6587</v>
      </c>
      <c r="C640" s="1" t="s">
        <v>6588</v>
      </c>
      <c r="D640" s="1" t="s">
        <v>6536</v>
      </c>
      <c r="E640" s="1" t="s">
        <v>6536</v>
      </c>
      <c r="H640" s="2" t="str">
        <f>Tabella1[[#This Row],[Denominazione]]&amp;" - "&amp;Tabella1[[#This Row],[Città]]</f>
        <v>AREA DI SOSTA CAMPER - CORINALDO - CORINALDO</v>
      </c>
    </row>
    <row r="641" spans="1:8" x14ac:dyDescent="0.25">
      <c r="A641" s="1" t="s">
        <v>88</v>
      </c>
      <c r="B641" s="1" t="s">
        <v>6727</v>
      </c>
      <c r="D641" s="1" t="s">
        <v>6652</v>
      </c>
      <c r="E641" s="1" t="s">
        <v>6652</v>
      </c>
      <c r="G641" s="1" t="s">
        <v>6728</v>
      </c>
      <c r="H641" s="2" t="str">
        <f>Tabella1[[#This Row],[Denominazione]]&amp;" - "&amp;Tabella1[[#This Row],[Città]]</f>
        <v>AREA DI SOSTA CAMPER - CUPRA MONTANA - CUPRAMONTANA</v>
      </c>
    </row>
    <row r="642" spans="1:8" x14ac:dyDescent="0.25">
      <c r="A642" s="1" t="s">
        <v>88</v>
      </c>
      <c r="B642" s="1" t="s">
        <v>7229</v>
      </c>
      <c r="D642" s="1" t="s">
        <v>7200</v>
      </c>
      <c r="H642" s="2" t="str">
        <f>Tabella1[[#This Row],[Denominazione]]&amp;" - "&amp;Tabella1[[#This Row],[Città]]</f>
        <v>AREA DI SOSTA CAMPER - LA CUNA - GENGA</v>
      </c>
    </row>
    <row r="643" spans="1:8" x14ac:dyDescent="0.25">
      <c r="A643" s="1" t="s">
        <v>88</v>
      </c>
      <c r="B643" s="1" t="s">
        <v>18831</v>
      </c>
      <c r="D643" s="1" t="s">
        <v>18829</v>
      </c>
      <c r="H643" s="2" t="str">
        <f>Tabella1[[#This Row],[Denominazione]]&amp;" - "&amp;Tabella1[[#This Row],[Città]]</f>
        <v>AREA DI SOSTA CAMPER - MONTESANPIETRANGELI - MONTE SAN PIETRANGELI</v>
      </c>
    </row>
    <row r="644" spans="1:8" x14ac:dyDescent="0.25">
      <c r="A644" s="1" t="s">
        <v>88</v>
      </c>
      <c r="B644" s="1" t="s">
        <v>8790</v>
      </c>
      <c r="D644" s="1" t="s">
        <v>8763</v>
      </c>
      <c r="H644" s="2" t="str">
        <f>Tabella1[[#This Row],[Denominazione]]&amp;" - "&amp;Tabella1[[#This Row],[Città]]</f>
        <v>AREA DI SOSTA CAMPER - ROSORA - ROSORA</v>
      </c>
    </row>
    <row r="645" spans="1:8" x14ac:dyDescent="0.25">
      <c r="A645" s="1" t="s">
        <v>88</v>
      </c>
      <c r="B645" s="1" t="s">
        <v>3260</v>
      </c>
      <c r="C645" s="1" t="s">
        <v>3261</v>
      </c>
      <c r="D645" s="1" t="s">
        <v>3257</v>
      </c>
      <c r="E645" s="1" t="s">
        <v>3262</v>
      </c>
      <c r="H645" s="2" t="str">
        <f>Tabella1[[#This Row],[Denominazione]]&amp;" - "&amp;Tabella1[[#This Row],[Città]]</f>
        <v>AREA DI SOSTA CAMPER "PLEIN AIR PIEVE CANNETI" - ORCIANO DI PESARO</v>
      </c>
    </row>
    <row r="646" spans="1:8" x14ac:dyDescent="0.25">
      <c r="A646" s="1" t="s">
        <v>88</v>
      </c>
      <c r="B646" s="1" t="s">
        <v>11853</v>
      </c>
      <c r="D646" s="1" t="s">
        <v>11854</v>
      </c>
      <c r="E646" s="1" t="s">
        <v>11855</v>
      </c>
      <c r="G646" s="1" t="s">
        <v>11856</v>
      </c>
      <c r="H646" s="2" t="str">
        <f>Tabella1[[#This Row],[Denominazione]]&amp;" - "&amp;Tabella1[[#This Row],[Città]]</f>
        <v>AREA DI SOSTA CAMPER AL PONTE - FIUMINATA</v>
      </c>
    </row>
    <row r="647" spans="1:8" x14ac:dyDescent="0.25">
      <c r="A647" s="1" t="s">
        <v>88</v>
      </c>
      <c r="B647" s="1" t="s">
        <v>17914</v>
      </c>
      <c r="D647" s="1" t="s">
        <v>17909</v>
      </c>
      <c r="E647" s="1" t="s">
        <v>17915</v>
      </c>
      <c r="H647" s="2" t="str">
        <f>Tabella1[[#This Row],[Denominazione]]&amp;" - "&amp;Tabella1[[#This Row],[Città]]</f>
        <v>AREA DI SOSTA CAMPER CAMPER SERVICE - FALERONE</v>
      </c>
    </row>
    <row r="648" spans="1:8" x14ac:dyDescent="0.25">
      <c r="A648" s="1" t="s">
        <v>88</v>
      </c>
      <c r="B648" s="1" t="s">
        <v>4829</v>
      </c>
      <c r="C648" s="1" t="s">
        <v>4830</v>
      </c>
      <c r="D648" s="1" t="s">
        <v>4735</v>
      </c>
      <c r="E648" s="1" t="s">
        <v>4831</v>
      </c>
      <c r="H648" s="2" t="str">
        <f>Tabella1[[#This Row],[Denominazione]]&amp;" - "&amp;Tabella1[[#This Row],[Città]]</f>
        <v>AREA DI SOSTA CAMPER COMUNALE - URBANIA</v>
      </c>
    </row>
    <row r="649" spans="1:8" x14ac:dyDescent="0.25">
      <c r="A649" s="1" t="s">
        <v>88</v>
      </c>
      <c r="B649" s="1" t="s">
        <v>4559</v>
      </c>
      <c r="D649" s="1" t="s">
        <v>4550</v>
      </c>
      <c r="H649" s="2" t="str">
        <f>Tabella1[[#This Row],[Denominazione]]&amp;" - "&amp;Tabella1[[#This Row],[Città]]</f>
        <v>AREA DI SOSTA DI SERRA SANT'ABBONDIO - SERRA SANT'ABBONDIO</v>
      </c>
    </row>
    <row r="650" spans="1:8" x14ac:dyDescent="0.25">
      <c r="A650" s="1" t="s">
        <v>88</v>
      </c>
      <c r="B650" s="1" t="s">
        <v>7630</v>
      </c>
      <c r="C650" s="1" t="s">
        <v>7631</v>
      </c>
      <c r="D650" s="1" t="s">
        <v>7611</v>
      </c>
      <c r="E650" s="1" t="s">
        <v>7611</v>
      </c>
      <c r="F650" s="1" t="s">
        <v>7632</v>
      </c>
      <c r="G650" s="1" t="s">
        <v>7633</v>
      </c>
      <c r="H650" s="2" t="str">
        <f>Tabella1[[#This Row],[Denominazione]]&amp;" - "&amp;Tabella1[[#This Row],[Città]]</f>
        <v>AREA DI SOSTA PER CAMPER - MERGO</v>
      </c>
    </row>
    <row r="651" spans="1:8" x14ac:dyDescent="0.25">
      <c r="A651" s="1" t="s">
        <v>88</v>
      </c>
      <c r="B651" s="1" t="s">
        <v>2477</v>
      </c>
      <c r="D651" s="1" t="s">
        <v>2425</v>
      </c>
      <c r="E651" s="1" t="s">
        <v>2425</v>
      </c>
      <c r="F651" s="1" t="s">
        <v>2478</v>
      </c>
      <c r="G651" s="1" t="s">
        <v>2479</v>
      </c>
      <c r="H651" s="2" t="str">
        <f>Tabella1[[#This Row],[Denominazione]]&amp;" - "&amp;Tabella1[[#This Row],[Città]]</f>
        <v>AREA SOSTA CAMPER - GRADARA</v>
      </c>
    </row>
    <row r="652" spans="1:8" x14ac:dyDescent="0.25">
      <c r="A652" s="1" t="s">
        <v>88</v>
      </c>
      <c r="B652" s="1" t="s">
        <v>2477</v>
      </c>
      <c r="C652" s="1" t="s">
        <v>7509</v>
      </c>
      <c r="D652" s="1" t="s">
        <v>7385</v>
      </c>
      <c r="E652" s="1" t="s">
        <v>7385</v>
      </c>
      <c r="G652" s="1" t="s">
        <v>7510</v>
      </c>
      <c r="H652" s="2" t="str">
        <f>Tabella1[[#This Row],[Denominazione]]&amp;" - "&amp;Tabella1[[#This Row],[Città]]</f>
        <v>AREA SOSTA CAMPER - LORETO</v>
      </c>
    </row>
    <row r="653" spans="1:8" x14ac:dyDescent="0.25">
      <c r="A653" s="1" t="s">
        <v>88</v>
      </c>
      <c r="B653" s="1" t="s">
        <v>2477</v>
      </c>
      <c r="D653" s="1" t="s">
        <v>10589</v>
      </c>
      <c r="E653" s="1" t="s">
        <v>10590</v>
      </c>
      <c r="G653" s="1" t="s">
        <v>10591</v>
      </c>
      <c r="H653" s="2" t="str">
        <f>Tabella1[[#This Row],[Denominazione]]&amp;" - "&amp;Tabella1[[#This Row],[Città]]</f>
        <v>AREA SOSTA CAMPER - APIRO</v>
      </c>
    </row>
    <row r="654" spans="1:8" x14ac:dyDescent="0.25">
      <c r="A654" s="1" t="s">
        <v>88</v>
      </c>
      <c r="B654" s="1" t="s">
        <v>2477</v>
      </c>
      <c r="C654" s="1" t="s">
        <v>15303</v>
      </c>
      <c r="D654" s="1" t="s">
        <v>15282</v>
      </c>
      <c r="E654" s="1" t="s">
        <v>15304</v>
      </c>
      <c r="F654" s="1" t="s">
        <v>15305</v>
      </c>
      <c r="G654" s="1" t="s">
        <v>15306</v>
      </c>
      <c r="H654" s="2" t="str">
        <f>Tabella1[[#This Row],[Denominazione]]&amp;" - "&amp;Tabella1[[#This Row],[Città]]</f>
        <v>AREA SOSTA CAMPER - COSSIGNANO</v>
      </c>
    </row>
    <row r="655" spans="1:8" x14ac:dyDescent="0.25">
      <c r="A655" s="1" t="s">
        <v>88</v>
      </c>
      <c r="B655" s="1" t="s">
        <v>2477</v>
      </c>
      <c r="D655" s="1" t="s">
        <v>15560</v>
      </c>
      <c r="G655" s="1" t="s">
        <v>15582</v>
      </c>
      <c r="H655" s="2" t="str">
        <f>Tabella1[[#This Row],[Denominazione]]&amp;" - "&amp;Tabella1[[#This Row],[Città]]</f>
        <v>AREA SOSTA CAMPER - FORCE</v>
      </c>
    </row>
    <row r="656" spans="1:8" x14ac:dyDescent="0.25">
      <c r="A656" s="1" t="s">
        <v>88</v>
      </c>
      <c r="B656" s="1" t="s">
        <v>10763</v>
      </c>
      <c r="D656" s="1" t="s">
        <v>10737</v>
      </c>
      <c r="E656" s="1" t="s">
        <v>10737</v>
      </c>
      <c r="F656" s="1" t="s">
        <v>10764</v>
      </c>
      <c r="G656" s="1" t="s">
        <v>10765</v>
      </c>
      <c r="H656" s="2" t="str">
        <f>Tabella1[[#This Row],[Denominazione]]&amp;" - "&amp;Tabella1[[#This Row],[Città]]</f>
        <v>AREA SOSTA CAMPER - CAMERINO - CAMERINO</v>
      </c>
    </row>
    <row r="657" spans="1:8" x14ac:dyDescent="0.25">
      <c r="A657" s="1" t="s">
        <v>88</v>
      </c>
      <c r="B657" s="1" t="s">
        <v>6356</v>
      </c>
      <c r="D657" s="1" t="s">
        <v>6357</v>
      </c>
      <c r="E657" s="1" t="s">
        <v>6357</v>
      </c>
      <c r="H657" s="2" t="str">
        <f>Tabella1[[#This Row],[Denominazione]]&amp;" - "&amp;Tabella1[[#This Row],[Città]]</f>
        <v>AREA SOSTA CAMPER - CASTELBELLINO - CASTELBELLINO</v>
      </c>
    </row>
    <row r="658" spans="1:8" x14ac:dyDescent="0.25">
      <c r="A658" s="1" t="s">
        <v>88</v>
      </c>
      <c r="B658" s="1" t="s">
        <v>6849</v>
      </c>
      <c r="D658" s="1" t="s">
        <v>6790</v>
      </c>
      <c r="E658" s="1" t="s">
        <v>6850</v>
      </c>
      <c r="H658" s="2" t="str">
        <f>Tabella1[[#This Row],[Denominazione]]&amp;" - "&amp;Tabella1[[#This Row],[Città]]</f>
        <v>AREA SOSTA CAMPER - FABRIANO - FABRIANO</v>
      </c>
    </row>
    <row r="659" spans="1:8" x14ac:dyDescent="0.25">
      <c r="A659" s="1" t="s">
        <v>88</v>
      </c>
      <c r="B659" s="1" t="s">
        <v>4162</v>
      </c>
      <c r="C659" s="1" t="s">
        <v>4163</v>
      </c>
      <c r="D659" s="1" t="s">
        <v>4151</v>
      </c>
      <c r="E659" s="1" t="s">
        <v>4151</v>
      </c>
      <c r="H659" s="2" t="str">
        <f>Tabella1[[#This Row],[Denominazione]]&amp;" - "&amp;Tabella1[[#This Row],[Città]]</f>
        <v>AREA SOSTA CAMPER - PIETRARUBBIA - PIETRARUBBIA</v>
      </c>
    </row>
    <row r="660" spans="1:8" x14ac:dyDescent="0.25">
      <c r="A660" s="1" t="s">
        <v>88</v>
      </c>
      <c r="B660" s="1" t="s">
        <v>12718</v>
      </c>
      <c r="C660" s="1" t="s">
        <v>12719</v>
      </c>
      <c r="D660" s="1" t="s">
        <v>12694</v>
      </c>
      <c r="E660" s="1" t="s">
        <v>12694</v>
      </c>
      <c r="G660" s="1" t="s">
        <v>12720</v>
      </c>
      <c r="H660" s="2" t="str">
        <f>Tabella1[[#This Row],[Denominazione]]&amp;" - "&amp;Tabella1[[#This Row],[Città]]</f>
        <v>AREA SOSTA CAMPER - PIEVEBOVIGLIANA - PIEVEBOVIGLIANA</v>
      </c>
    </row>
    <row r="661" spans="1:8" x14ac:dyDescent="0.25">
      <c r="A661" s="1" t="s">
        <v>88</v>
      </c>
      <c r="B661" s="1" t="s">
        <v>6851</v>
      </c>
      <c r="D661" s="1" t="s">
        <v>6790</v>
      </c>
      <c r="E661" s="1" t="s">
        <v>6852</v>
      </c>
      <c r="H661" s="2" t="str">
        <f>Tabella1[[#This Row],[Denominazione]]&amp;" - "&amp;Tabella1[[#This Row],[Città]]</f>
        <v>AREA SOSTA CAMPER - POGGIO SAN ROMUALDO - FABRIANO</v>
      </c>
    </row>
    <row r="662" spans="1:8" x14ac:dyDescent="0.25">
      <c r="A662" s="1" t="s">
        <v>88</v>
      </c>
      <c r="B662" s="1" t="s">
        <v>13401</v>
      </c>
      <c r="D662" s="1" t="s">
        <v>13298</v>
      </c>
      <c r="H662" s="2" t="str">
        <f>Tabella1[[#This Row],[Denominazione]]&amp;" - "&amp;Tabella1[[#This Row],[Città]]</f>
        <v>AREA SOSTA CAMPER - VIA CESARE PERUZZI - RECANATI</v>
      </c>
    </row>
    <row r="663" spans="1:8" x14ac:dyDescent="0.25">
      <c r="A663" s="1" t="s">
        <v>88</v>
      </c>
      <c r="B663" s="1" t="s">
        <v>17814</v>
      </c>
      <c r="D663" s="1" t="s">
        <v>17745</v>
      </c>
      <c r="E663" s="1" t="s">
        <v>17815</v>
      </c>
      <c r="H663" s="2" t="str">
        <f>Tabella1[[#This Row],[Denominazione]]&amp;" - "&amp;Tabella1[[#This Row],[Città]]</f>
        <v>AREA SOSTA CAMPER I SIBILLINI - AMANDOLA</v>
      </c>
    </row>
    <row r="664" spans="1:8" x14ac:dyDescent="0.25">
      <c r="A664" s="1" t="s">
        <v>88</v>
      </c>
      <c r="B664" s="1" t="s">
        <v>19254</v>
      </c>
      <c r="C664" s="1" t="s">
        <v>19255</v>
      </c>
      <c r="D664" s="1" t="s">
        <v>18082</v>
      </c>
      <c r="E664" s="1" t="s">
        <v>19256</v>
      </c>
      <c r="F664" s="1" t="s">
        <v>19257</v>
      </c>
      <c r="G664" s="1" t="s">
        <v>19258</v>
      </c>
      <c r="H664" s="2" t="str">
        <f>Tabella1[[#This Row],[Denominazione]]&amp;" - "&amp;Tabella1[[#This Row],[Città]]</f>
        <v>AREA SOSTA CAMPER LA PERLA DELL'ADRIATICO - PORTO SAN GIORGIO</v>
      </c>
    </row>
    <row r="665" spans="1:8" x14ac:dyDescent="0.25">
      <c r="A665" s="1" t="s">
        <v>88</v>
      </c>
      <c r="B665" s="1" t="s">
        <v>89</v>
      </c>
      <c r="C665" s="1" t="s">
        <v>90</v>
      </c>
      <c r="D665" s="1" t="s">
        <v>15</v>
      </c>
      <c r="E665" s="1" t="s">
        <v>91</v>
      </c>
      <c r="F665" s="1" t="s">
        <v>92</v>
      </c>
      <c r="G665" s="1" t="s">
        <v>93</v>
      </c>
      <c r="H665" s="2" t="str">
        <f>Tabella1[[#This Row],[Denominazione]]&amp;" - "&amp;Tabella1[[#This Row],[Città]]</f>
        <v>AREA SOSTA CAMPER PARCO LE QUERCE - ACQUALAGNA</v>
      </c>
    </row>
    <row r="666" spans="1:8" x14ac:dyDescent="0.25">
      <c r="A666" s="1" t="s">
        <v>88</v>
      </c>
      <c r="B666" s="1" t="s">
        <v>13213</v>
      </c>
      <c r="D666" s="1" t="s">
        <v>13026</v>
      </c>
      <c r="E666" s="1" t="s">
        <v>13105</v>
      </c>
      <c r="H666" s="2" t="str">
        <f>Tabella1[[#This Row],[Denominazione]]&amp;" - "&amp;Tabella1[[#This Row],[Città]]</f>
        <v>AREA SOSTA CAMPER PIAZZA DEL MERCATO - POTENZA PICENA</v>
      </c>
    </row>
    <row r="667" spans="1:8" x14ac:dyDescent="0.25">
      <c r="A667" s="1" t="s">
        <v>88</v>
      </c>
      <c r="B667" s="1" t="s">
        <v>11010</v>
      </c>
      <c r="D667" s="1" t="s">
        <v>10990</v>
      </c>
      <c r="E667" s="1" t="s">
        <v>11011</v>
      </c>
      <c r="G667" s="1" t="s">
        <v>11012</v>
      </c>
      <c r="H667" s="2" t="str">
        <f>Tabella1[[#This Row],[Denominazione]]&amp;" - "&amp;Tabella1[[#This Row],[Città]]</f>
        <v>AREA SOSTA CAMPER VIA B. VITTAZZI - CASTELSANTANGELO SUL NERA</v>
      </c>
    </row>
    <row r="668" spans="1:8" x14ac:dyDescent="0.25">
      <c r="A668" s="1" t="s">
        <v>20</v>
      </c>
      <c r="B668" s="1" t="s">
        <v>12184</v>
      </c>
      <c r="C668" s="1" t="s">
        <v>12185</v>
      </c>
      <c r="D668" s="1" t="s">
        <v>12050</v>
      </c>
      <c r="E668" s="1" t="s">
        <v>12050</v>
      </c>
      <c r="F668" s="1" t="s">
        <v>12186</v>
      </c>
      <c r="G668" s="1" t="s">
        <v>12187</v>
      </c>
      <c r="H668" s="2" t="str">
        <f>Tabella1[[#This Row],[Denominazione]]&amp;" - "&amp;Tabella1[[#This Row],[Città]]</f>
        <v>ARENA - MACERATA</v>
      </c>
    </row>
    <row r="669" spans="1:8" x14ac:dyDescent="0.25">
      <c r="A669" s="1" t="s">
        <v>20</v>
      </c>
      <c r="B669" s="1" t="s">
        <v>9723</v>
      </c>
      <c r="C669" s="1" t="s">
        <v>9724</v>
      </c>
      <c r="D669" s="1" t="s">
        <v>8949</v>
      </c>
      <c r="E669" s="1" t="s">
        <v>8949</v>
      </c>
      <c r="F669" s="1" t="s">
        <v>9725</v>
      </c>
      <c r="G669" s="1" t="s">
        <v>9726</v>
      </c>
      <c r="H669" s="2" t="str">
        <f>Tabella1[[#This Row],[Denominazione]]&amp;" - "&amp;Tabella1[[#This Row],[Città]]</f>
        <v>ARGENTINA - SENIGALLIA</v>
      </c>
    </row>
    <row r="670" spans="1:8" x14ac:dyDescent="0.25">
      <c r="A670" s="1" t="s">
        <v>20</v>
      </c>
      <c r="B670" s="1" t="s">
        <v>14572</v>
      </c>
      <c r="C670" s="1" t="s">
        <v>14573</v>
      </c>
      <c r="D670" s="1" t="s">
        <v>14510</v>
      </c>
      <c r="E670" s="1" t="s">
        <v>14510</v>
      </c>
      <c r="H670" s="2" t="str">
        <f>Tabella1[[#This Row],[Denominazione]]&amp;" - "&amp;Tabella1[[#This Row],[Città]]</f>
        <v>ARQUATA - ARQUATA DEL TRONTO</v>
      </c>
    </row>
    <row r="671" spans="1:8" x14ac:dyDescent="0.25">
      <c r="A671" s="1" t="s">
        <v>82</v>
      </c>
      <c r="B671" s="1" t="s">
        <v>10238</v>
      </c>
      <c r="C671" s="1" t="s">
        <v>10239</v>
      </c>
      <c r="D671" s="1" t="s">
        <v>10206</v>
      </c>
      <c r="E671" s="1" t="s">
        <v>10206</v>
      </c>
      <c r="G671" s="1" t="s">
        <v>10240</v>
      </c>
      <c r="H671" s="2" t="str">
        <f>Tabella1[[#This Row],[Denominazione]]&amp;" - "&amp;Tabella1[[#This Row],[Città]]</f>
        <v>ARRA CAMERE DI DOLCINI ANDREA - SIROLO</v>
      </c>
    </row>
    <row r="672" spans="1:8" x14ac:dyDescent="0.25">
      <c r="A672" s="1" t="s">
        <v>29</v>
      </c>
      <c r="B672" s="1" t="s">
        <v>4513</v>
      </c>
      <c r="C672" s="1" t="s">
        <v>4514</v>
      </c>
      <c r="D672" s="1" t="s">
        <v>4493</v>
      </c>
      <c r="E672" s="1" t="s">
        <v>4515</v>
      </c>
      <c r="F672" s="1" t="s">
        <v>4516</v>
      </c>
      <c r="G672" s="1" t="s">
        <v>4517</v>
      </c>
      <c r="H672" s="2" t="str">
        <f>Tabella1[[#This Row],[Denominazione]]&amp;" - "&amp;Tabella1[[#This Row],[Città]]</f>
        <v>ART B&amp;B - SASSOCORVARO</v>
      </c>
    </row>
    <row r="673" spans="1:8" x14ac:dyDescent="0.25">
      <c r="A673" s="1" t="s">
        <v>29</v>
      </c>
      <c r="B673" s="1" t="s">
        <v>4513</v>
      </c>
      <c r="C673" s="1" t="s">
        <v>11381</v>
      </c>
      <c r="D673" s="1" t="s">
        <v>11244</v>
      </c>
      <c r="E673" s="1" t="s">
        <v>11244</v>
      </c>
      <c r="F673" s="1" t="s">
        <v>11382</v>
      </c>
      <c r="G673" s="1" t="s">
        <v>11383</v>
      </c>
      <c r="H673" s="2" t="str">
        <f>Tabella1[[#This Row],[Denominazione]]&amp;" - "&amp;Tabella1[[#This Row],[Città]]</f>
        <v>ART B&amp;B - CIVITANOVA MARCHE</v>
      </c>
    </row>
    <row r="674" spans="1:8" x14ac:dyDescent="0.25">
      <c r="A674" s="1" t="s">
        <v>679</v>
      </c>
      <c r="B674" s="1" t="s">
        <v>10204</v>
      </c>
      <c r="C674" s="1" t="s">
        <v>10205</v>
      </c>
      <c r="D674" s="1" t="s">
        <v>10206</v>
      </c>
      <c r="E674" s="1" t="s">
        <v>10207</v>
      </c>
      <c r="F674" s="1" t="s">
        <v>10208</v>
      </c>
      <c r="G674" s="1" t="s">
        <v>10209</v>
      </c>
      <c r="H674" s="2" t="str">
        <f>Tabella1[[#This Row],[Denominazione]]&amp;" - "&amp;Tabella1[[#This Row],[Città]]</f>
        <v>ARTURO - SIROLO</v>
      </c>
    </row>
    <row r="675" spans="1:8" x14ac:dyDescent="0.25">
      <c r="A675" s="1" t="s">
        <v>20</v>
      </c>
      <c r="B675" s="1" t="s">
        <v>10204</v>
      </c>
      <c r="C675" s="1" t="s">
        <v>10250</v>
      </c>
      <c r="D675" s="1" t="s">
        <v>10206</v>
      </c>
      <c r="E675" s="1" t="s">
        <v>10206</v>
      </c>
      <c r="F675" s="1" t="s">
        <v>10209</v>
      </c>
      <c r="G675" s="1" t="s">
        <v>10208</v>
      </c>
      <c r="H675" s="2" t="str">
        <f>Tabella1[[#This Row],[Denominazione]]&amp;" - "&amp;Tabella1[[#This Row],[Città]]</f>
        <v>ARTURO - SIROLO</v>
      </c>
    </row>
    <row r="676" spans="1:8" x14ac:dyDescent="0.25">
      <c r="A676" s="1" t="s">
        <v>679</v>
      </c>
      <c r="B676" s="1" t="s">
        <v>1381</v>
      </c>
      <c r="C676" s="1" t="s">
        <v>1382</v>
      </c>
      <c r="D676" s="1" t="s">
        <v>682</v>
      </c>
      <c r="E676" s="1" t="s">
        <v>682</v>
      </c>
      <c r="G676" s="1" t="s">
        <v>1383</v>
      </c>
      <c r="H676" s="2" t="str">
        <f>Tabella1[[#This Row],[Denominazione]]&amp;" - "&amp;Tabella1[[#This Row],[Città]]</f>
        <v>ARZILLA BEACH VILLAGE DI VINCENZI GIANLUCA - FANO</v>
      </c>
    </row>
    <row r="677" spans="1:8" x14ac:dyDescent="0.25">
      <c r="A677" s="1" t="s">
        <v>29</v>
      </c>
      <c r="B677" s="1" t="s">
        <v>15080</v>
      </c>
      <c r="C677" s="1" t="s">
        <v>15081</v>
      </c>
      <c r="D677" s="1" t="s">
        <v>14576</v>
      </c>
      <c r="E677" s="1" t="s">
        <v>14576</v>
      </c>
      <c r="G677" s="1" t="s">
        <v>15082</v>
      </c>
      <c r="H677" s="2" t="str">
        <f>Tabella1[[#This Row],[Denominazione]]&amp;" - "&amp;Tabella1[[#This Row],[Città]]</f>
        <v>ASCOLI ENJOY - ASCOLI PICENO</v>
      </c>
    </row>
    <row r="678" spans="1:8" x14ac:dyDescent="0.25">
      <c r="A678" s="1" t="s">
        <v>29</v>
      </c>
      <c r="B678" s="1" t="s">
        <v>14576</v>
      </c>
      <c r="C678" s="1" t="s">
        <v>14995</v>
      </c>
      <c r="D678" s="1" t="s">
        <v>14576</v>
      </c>
      <c r="G678" s="1" t="s">
        <v>14996</v>
      </c>
      <c r="H678" s="2" t="str">
        <f>Tabella1[[#This Row],[Denominazione]]&amp;" - "&amp;Tabella1[[#This Row],[Città]]</f>
        <v>ASCOLI PICENO - ASCOLI PICENO</v>
      </c>
    </row>
    <row r="679" spans="1:8" x14ac:dyDescent="0.25">
      <c r="A679" s="1" t="s">
        <v>29</v>
      </c>
      <c r="B679" s="1" t="s">
        <v>14598</v>
      </c>
      <c r="C679" s="1" t="s">
        <v>14599</v>
      </c>
      <c r="D679" s="1" t="s">
        <v>14576</v>
      </c>
      <c r="E679" s="1" t="s">
        <v>14576</v>
      </c>
      <c r="G679" s="1" t="s">
        <v>14600</v>
      </c>
      <c r="H679" s="2" t="str">
        <f>Tabella1[[#This Row],[Denominazione]]&amp;" - "&amp;Tabella1[[#This Row],[Città]]</f>
        <v>ASCOLICENTRO B&amp;B DI HEIDI STIPA - ASCOLI PICENO</v>
      </c>
    </row>
    <row r="680" spans="1:8" x14ac:dyDescent="0.25">
      <c r="A680" s="1" t="s">
        <v>20</v>
      </c>
      <c r="B680" s="1" t="s">
        <v>3466</v>
      </c>
      <c r="C680" s="1" t="s">
        <v>3467</v>
      </c>
      <c r="D680" s="1" t="s">
        <v>2386</v>
      </c>
      <c r="E680" s="1" t="s">
        <v>2386</v>
      </c>
      <c r="F680" s="1" t="s">
        <v>3468</v>
      </c>
      <c r="G680" s="1" t="s">
        <v>3469</v>
      </c>
      <c r="H680" s="2" t="str">
        <f>Tabella1[[#This Row],[Denominazione]]&amp;" - "&amp;Tabella1[[#This Row],[Città]]</f>
        <v>ASTORIA - PESARO</v>
      </c>
    </row>
    <row r="681" spans="1:8" x14ac:dyDescent="0.25">
      <c r="A681" s="1" t="s">
        <v>20</v>
      </c>
      <c r="B681" s="1" t="s">
        <v>3466</v>
      </c>
      <c r="C681" s="1" t="s">
        <v>18185</v>
      </c>
      <c r="D681" s="1" t="s">
        <v>17932</v>
      </c>
      <c r="E681" s="1" t="s">
        <v>17932</v>
      </c>
      <c r="F681" s="1" t="s">
        <v>18186</v>
      </c>
      <c r="G681" s="1" t="s">
        <v>18187</v>
      </c>
      <c r="H681" s="2" t="str">
        <f>Tabella1[[#This Row],[Denominazione]]&amp;" - "&amp;Tabella1[[#This Row],[Città]]</f>
        <v>ASTORIA - FERMO</v>
      </c>
    </row>
    <row r="682" spans="1:8" x14ac:dyDescent="0.25">
      <c r="A682" s="1" t="s">
        <v>20</v>
      </c>
      <c r="B682" s="1" t="s">
        <v>938</v>
      </c>
      <c r="C682" s="1" t="s">
        <v>939</v>
      </c>
      <c r="D682" s="1" t="s">
        <v>682</v>
      </c>
      <c r="E682" s="1" t="s">
        <v>682</v>
      </c>
      <c r="F682" s="1" t="s">
        <v>940</v>
      </c>
      <c r="G682" s="1" t="s">
        <v>941</v>
      </c>
      <c r="H682" s="2" t="str">
        <f>Tabella1[[#This Row],[Denominazione]]&amp;" - "&amp;Tabella1[[#This Row],[Città]]</f>
        <v>ASTORIA GOURMET &amp; RELAX - FANO</v>
      </c>
    </row>
    <row r="683" spans="1:8" x14ac:dyDescent="0.25">
      <c r="A683" s="1" t="s">
        <v>29</v>
      </c>
      <c r="B683" s="1" t="s">
        <v>14791</v>
      </c>
      <c r="C683" s="1" t="s">
        <v>14792</v>
      </c>
      <c r="D683" s="1" t="s">
        <v>14576</v>
      </c>
      <c r="E683" s="1" t="s">
        <v>14793</v>
      </c>
      <c r="F683" s="1" t="s">
        <v>14794</v>
      </c>
      <c r="G683" s="1" t="s">
        <v>14795</v>
      </c>
      <c r="H683" s="2" t="str">
        <f>Tabella1[[#This Row],[Denominazione]]&amp;" - "&amp;Tabella1[[#This Row],[Città]]</f>
        <v>ATELIER B&amp;B DI POLI ELENA - ASCOLI PICENO</v>
      </c>
    </row>
    <row r="684" spans="1:8" x14ac:dyDescent="0.25">
      <c r="A684" s="1" t="s">
        <v>20</v>
      </c>
      <c r="B684" s="1" t="s">
        <v>3707</v>
      </c>
      <c r="C684" s="1" t="s">
        <v>3708</v>
      </c>
      <c r="D684" s="1" t="s">
        <v>2386</v>
      </c>
      <c r="E684" s="1" t="s">
        <v>2386</v>
      </c>
      <c r="F684" s="1" t="s">
        <v>3709</v>
      </c>
      <c r="G684" s="1" t="s">
        <v>3710</v>
      </c>
      <c r="H684" s="2" t="str">
        <f>Tabella1[[#This Row],[Denominazione]]&amp;" - "&amp;Tabella1[[#This Row],[Città]]</f>
        <v>ATHENA - PESARO</v>
      </c>
    </row>
    <row r="685" spans="1:8" x14ac:dyDescent="0.25">
      <c r="A685" s="1" t="s">
        <v>20</v>
      </c>
      <c r="B685" s="1" t="s">
        <v>2312</v>
      </c>
      <c r="C685" s="1" t="s">
        <v>2313</v>
      </c>
      <c r="D685" s="1" t="s">
        <v>1907</v>
      </c>
      <c r="E685" s="1" t="s">
        <v>1907</v>
      </c>
      <c r="F685" s="1" t="s">
        <v>2314</v>
      </c>
      <c r="G685" s="1" t="s">
        <v>2315</v>
      </c>
      <c r="H685" s="2" t="str">
        <f>Tabella1[[#This Row],[Denominazione]]&amp;" - "&amp;Tabella1[[#This Row],[Città]]</f>
        <v>ATLANTIC - GABICCE MARE</v>
      </c>
    </row>
    <row r="686" spans="1:8" x14ac:dyDescent="0.25">
      <c r="A686" s="1" t="s">
        <v>20</v>
      </c>
      <c r="B686" s="1" t="s">
        <v>2312</v>
      </c>
      <c r="C686" s="1" t="s">
        <v>9401</v>
      </c>
      <c r="D686" s="1" t="s">
        <v>8949</v>
      </c>
      <c r="E686" s="1" t="s">
        <v>8949</v>
      </c>
      <c r="F686" s="1" t="s">
        <v>9705</v>
      </c>
      <c r="G686" s="1" t="s">
        <v>9706</v>
      </c>
      <c r="H686" s="2" t="str">
        <f>Tabella1[[#This Row],[Denominazione]]&amp;" - "&amp;Tabella1[[#This Row],[Città]]</f>
        <v>ATLANTIC - SENIGALLIA</v>
      </c>
    </row>
    <row r="687" spans="1:8" x14ac:dyDescent="0.25">
      <c r="A687" s="1" t="s">
        <v>29</v>
      </c>
      <c r="B687" s="1" t="s">
        <v>8588</v>
      </c>
      <c r="C687" s="1" t="s">
        <v>8589</v>
      </c>
      <c r="D687" s="1" t="s">
        <v>8454</v>
      </c>
      <c r="E687" s="1" t="s">
        <v>8454</v>
      </c>
      <c r="F687" s="1" t="s">
        <v>8590</v>
      </c>
      <c r="G687" s="1" t="s">
        <v>8591</v>
      </c>
      <c r="H687" s="2" t="str">
        <f>Tabella1[[#This Row],[Denominazione]]&amp;" - "&amp;Tabella1[[#This Row],[Città]]</f>
        <v>ATTICO LUCE - OSIMO</v>
      </c>
    </row>
    <row r="688" spans="1:8" x14ac:dyDescent="0.25">
      <c r="A688" s="1" t="s">
        <v>679</v>
      </c>
      <c r="B688" s="1" t="s">
        <v>11630</v>
      </c>
      <c r="C688" s="1" t="s">
        <v>11631</v>
      </c>
      <c r="D688" s="1" t="s">
        <v>11244</v>
      </c>
      <c r="E688" s="1" t="s">
        <v>11244</v>
      </c>
      <c r="F688" s="1" t="s">
        <v>11632</v>
      </c>
      <c r="G688" s="1" t="s">
        <v>11633</v>
      </c>
      <c r="H688" s="2" t="str">
        <f>Tabella1[[#This Row],[Denominazione]]&amp;" - "&amp;Tabella1[[#This Row],[Città]]</f>
        <v>ATTILIO - CIVITANOVA MARCHE</v>
      </c>
    </row>
    <row r="689" spans="1:8" x14ac:dyDescent="0.25">
      <c r="A689" s="1" t="s">
        <v>679</v>
      </c>
      <c r="B689" s="1" t="s">
        <v>11630</v>
      </c>
      <c r="D689" s="1" t="s">
        <v>12801</v>
      </c>
      <c r="G689" s="1" t="s">
        <v>12992</v>
      </c>
      <c r="H689" s="2" t="str">
        <f>Tabella1[[#This Row],[Denominazione]]&amp;" - "&amp;Tabella1[[#This Row],[Città]]</f>
        <v>ATTILIO - PORTO RECANATI</v>
      </c>
    </row>
    <row r="690" spans="1:8" x14ac:dyDescent="0.25">
      <c r="A690" s="1" t="s">
        <v>6</v>
      </c>
      <c r="B690" s="1" t="s">
        <v>6604</v>
      </c>
      <c r="C690" s="1" t="s">
        <v>6605</v>
      </c>
      <c r="D690" s="1" t="s">
        <v>6536</v>
      </c>
      <c r="E690" s="1" t="s">
        <v>6536</v>
      </c>
      <c r="F690" s="1" t="s">
        <v>6606</v>
      </c>
      <c r="G690" s="1" t="s">
        <v>6607</v>
      </c>
      <c r="H690" s="2" t="str">
        <f>Tabella1[[#This Row],[Denominazione]]&amp;" - "&amp;Tabella1[[#This Row],[Città]]</f>
        <v>ATTIVITA' RICETTIVA RURALE - LEONDINA COUNTRY HOUSE - CORINALDO</v>
      </c>
    </row>
    <row r="691" spans="1:8" x14ac:dyDescent="0.25">
      <c r="A691" s="1" t="s">
        <v>6</v>
      </c>
      <c r="B691" s="1" t="s">
        <v>15535</v>
      </c>
      <c r="C691" s="1" t="s">
        <v>15536</v>
      </c>
      <c r="D691" s="1" t="s">
        <v>15349</v>
      </c>
      <c r="E691" s="1" t="s">
        <v>15349</v>
      </c>
      <c r="F691" s="1" t="s">
        <v>15537</v>
      </c>
      <c r="G691" s="1" t="s">
        <v>15538</v>
      </c>
      <c r="H691" s="2" t="str">
        <f>Tabella1[[#This Row],[Denominazione]]&amp;" - "&amp;Tabella1[[#This Row],[Città]]</f>
        <v>ATTIVITA' RICETTIVA RURALE UNA - CUPRA MARITTIMA</v>
      </c>
    </row>
    <row r="692" spans="1:8" x14ac:dyDescent="0.25">
      <c r="A692" s="1" t="s">
        <v>20</v>
      </c>
      <c r="B692" s="1" t="s">
        <v>2092</v>
      </c>
      <c r="C692" s="1" t="s">
        <v>2093</v>
      </c>
      <c r="D692" s="1" t="s">
        <v>1907</v>
      </c>
      <c r="E692" s="1" t="s">
        <v>1907</v>
      </c>
      <c r="F692" s="1" t="s">
        <v>2094</v>
      </c>
      <c r="G692" s="1" t="s">
        <v>2095</v>
      </c>
      <c r="H692" s="2" t="str">
        <f>Tabella1[[#This Row],[Denominazione]]&amp;" - "&amp;Tabella1[[#This Row],[Città]]</f>
        <v>AUGUSTA - GABICCE MARE</v>
      </c>
    </row>
    <row r="693" spans="1:8" x14ac:dyDescent="0.25">
      <c r="A693" s="1" t="s">
        <v>20</v>
      </c>
      <c r="B693" s="1" t="s">
        <v>1097</v>
      </c>
      <c r="C693" s="1" t="s">
        <v>1098</v>
      </c>
      <c r="D693" s="1" t="s">
        <v>682</v>
      </c>
      <c r="E693" s="1" t="s">
        <v>682</v>
      </c>
      <c r="F693" s="1" t="s">
        <v>1099</v>
      </c>
      <c r="G693" s="1" t="s">
        <v>1100</v>
      </c>
      <c r="H693" s="2" t="str">
        <f>Tabella1[[#This Row],[Denominazione]]&amp;" - "&amp;Tabella1[[#This Row],[Città]]</f>
        <v>AUGUSTUS - FANO</v>
      </c>
    </row>
    <row r="694" spans="1:8" x14ac:dyDescent="0.25">
      <c r="A694" s="1" t="s">
        <v>20</v>
      </c>
      <c r="B694" s="1" t="s">
        <v>2096</v>
      </c>
      <c r="C694" s="1" t="s">
        <v>2097</v>
      </c>
      <c r="D694" s="1" t="s">
        <v>1907</v>
      </c>
      <c r="E694" s="1" t="s">
        <v>1907</v>
      </c>
      <c r="F694" s="1" t="s">
        <v>2098</v>
      </c>
      <c r="G694" s="1" t="s">
        <v>2099</v>
      </c>
      <c r="H694" s="2" t="str">
        <f>Tabella1[[#This Row],[Denominazione]]&amp;" - "&amp;Tabella1[[#This Row],[Città]]</f>
        <v>AURORA - GABICCE MARE</v>
      </c>
    </row>
    <row r="695" spans="1:8" x14ac:dyDescent="0.25">
      <c r="A695" s="1" t="s">
        <v>35</v>
      </c>
      <c r="B695" s="1" t="s">
        <v>2096</v>
      </c>
      <c r="C695" s="1" t="s">
        <v>16530</v>
      </c>
      <c r="D695" s="1" t="s">
        <v>16440</v>
      </c>
      <c r="E695" s="1" t="s">
        <v>16526</v>
      </c>
      <c r="F695" s="1" t="s">
        <v>16531</v>
      </c>
      <c r="G695" s="1" t="s">
        <v>16532</v>
      </c>
      <c r="H695" s="2" t="str">
        <f>Tabella1[[#This Row],[Denominazione]]&amp;" - "&amp;Tabella1[[#This Row],[Città]]</f>
        <v>AURORA - OFFIDA</v>
      </c>
    </row>
    <row r="696" spans="1:8" x14ac:dyDescent="0.25">
      <c r="A696" s="1" t="s">
        <v>20</v>
      </c>
      <c r="B696" s="1" t="s">
        <v>3230</v>
      </c>
      <c r="C696" s="1" t="s">
        <v>3231</v>
      </c>
      <c r="D696" s="1" t="s">
        <v>3222</v>
      </c>
      <c r="E696" s="1" t="s">
        <v>3222</v>
      </c>
      <c r="F696" s="1" t="s">
        <v>3232</v>
      </c>
      <c r="G696" s="1" t="s">
        <v>3233</v>
      </c>
      <c r="H696" s="2" t="str">
        <f>Tabella1[[#This Row],[Denominazione]]&amp;" - "&amp;Tabella1[[#This Row],[Città]]</f>
        <v>AUSONIA - MONTE PORZIO</v>
      </c>
    </row>
    <row r="697" spans="1:8" x14ac:dyDescent="0.25">
      <c r="A697" s="1" t="s">
        <v>403</v>
      </c>
      <c r="B697" s="1" t="s">
        <v>9388</v>
      </c>
      <c r="C697" s="1" t="s">
        <v>9389</v>
      </c>
      <c r="D697" s="1" t="s">
        <v>8949</v>
      </c>
      <c r="G697" s="1" t="s">
        <v>9390</v>
      </c>
      <c r="H697" s="2" t="str">
        <f>Tabella1[[#This Row],[Denominazione]]&amp;" - "&amp;Tabella1[[#This Row],[Città]]</f>
        <v>AVANA - SENIGALLIA</v>
      </c>
    </row>
    <row r="698" spans="1:8" x14ac:dyDescent="0.25">
      <c r="A698" s="1" t="s">
        <v>35</v>
      </c>
      <c r="B698" s="1" t="s">
        <v>14677</v>
      </c>
      <c r="C698" s="1" t="s">
        <v>14678</v>
      </c>
      <c r="D698" s="1" t="s">
        <v>14576</v>
      </c>
      <c r="E698" s="1" t="s">
        <v>14679</v>
      </c>
      <c r="F698" s="1" t="s">
        <v>14680</v>
      </c>
      <c r="G698" s="1" t="s">
        <v>14681</v>
      </c>
      <c r="H698" s="2" t="str">
        <f>Tabella1[[#This Row],[Denominazione]]&amp;" - "&amp;Tabella1[[#This Row],[Città]]</f>
        <v>AZ. AGRITURISTICA LA CANTINA DI PIZI FIORELLA - ASCOLI PICENO</v>
      </c>
    </row>
    <row r="699" spans="1:8" x14ac:dyDescent="0.25">
      <c r="A699" s="1" t="s">
        <v>35</v>
      </c>
      <c r="B699" s="1" t="s">
        <v>6893</v>
      </c>
      <c r="C699" s="1" t="s">
        <v>6894</v>
      </c>
      <c r="D699" s="1" t="s">
        <v>6790</v>
      </c>
      <c r="E699" s="1" t="s">
        <v>6790</v>
      </c>
      <c r="G699" s="1" t="s">
        <v>6895</v>
      </c>
      <c r="H699" s="2" t="str">
        <f>Tabella1[[#This Row],[Denominazione]]&amp;" - "&amp;Tabella1[[#This Row],[Città]]</f>
        <v>AZIENDA AGRARIA ROCCHETTA - FABRIANO</v>
      </c>
    </row>
    <row r="700" spans="1:8" x14ac:dyDescent="0.25">
      <c r="A700" s="1" t="s">
        <v>35</v>
      </c>
      <c r="B700" s="1" t="s">
        <v>1666</v>
      </c>
      <c r="C700" s="1" t="s">
        <v>1667</v>
      </c>
      <c r="D700" s="1" t="s">
        <v>1653</v>
      </c>
      <c r="E700" s="1" t="s">
        <v>1653</v>
      </c>
      <c r="F700" s="1" t="s">
        <v>1668</v>
      </c>
      <c r="G700" s="1" t="s">
        <v>1669</v>
      </c>
      <c r="H700" s="2" t="str">
        <f>Tabella1[[#This Row],[Denominazione]]&amp;" - "&amp;Tabella1[[#This Row],[Città]]</f>
        <v>AZIENDA AGRICOLA "CA' MADDALENA" - FERMIGNANO</v>
      </c>
    </row>
    <row r="701" spans="1:8" x14ac:dyDescent="0.25">
      <c r="A701" s="1" t="s">
        <v>35</v>
      </c>
      <c r="B701" s="1" t="s">
        <v>11722</v>
      </c>
      <c r="C701" s="1" t="s">
        <v>11723</v>
      </c>
      <c r="D701" s="1" t="s">
        <v>11716</v>
      </c>
      <c r="E701" s="1" t="s">
        <v>11716</v>
      </c>
      <c r="F701" s="1" t="s">
        <v>11724</v>
      </c>
      <c r="G701" s="1" t="s">
        <v>11725</v>
      </c>
      <c r="H701" s="2" t="str">
        <f>Tabella1[[#This Row],[Denominazione]]&amp;" - "&amp;Tabella1[[#This Row],[Città]]</f>
        <v>AZIENDA AGRICOLA AGRA MATER - COLMURANO</v>
      </c>
    </row>
    <row r="702" spans="1:8" x14ac:dyDescent="0.25">
      <c r="A702" s="1" t="s">
        <v>35</v>
      </c>
      <c r="B702" s="1" t="s">
        <v>16622</v>
      </c>
      <c r="C702" s="1" t="s">
        <v>16623</v>
      </c>
      <c r="D702" s="1" t="s">
        <v>16585</v>
      </c>
      <c r="E702" s="1" t="s">
        <v>16585</v>
      </c>
      <c r="H702" s="2" t="str">
        <f>Tabella1[[#This Row],[Denominazione]]&amp;" - "&amp;Tabella1[[#This Row],[Città]]</f>
        <v>AZIENDA AGRICOLA AGRITURISTICA IERVASCIO' - RIPATRANSONE</v>
      </c>
    </row>
    <row r="703" spans="1:8" x14ac:dyDescent="0.25">
      <c r="A703" s="1" t="s">
        <v>35</v>
      </c>
      <c r="B703" s="1" t="s">
        <v>6802</v>
      </c>
      <c r="C703" s="1" t="s">
        <v>6803</v>
      </c>
      <c r="D703" s="1" t="s">
        <v>6790</v>
      </c>
      <c r="G703" s="1" t="s">
        <v>6804</v>
      </c>
      <c r="H703" s="2" t="str">
        <f>Tabella1[[#This Row],[Denominazione]]&amp;" - "&amp;Tabella1[[#This Row],[Città]]</f>
        <v>AZIENDA AGRICOLA ATTIDIUM DI CARTONI ALICE - FABRIANO</v>
      </c>
    </row>
    <row r="704" spans="1:8" x14ac:dyDescent="0.25">
      <c r="A704" s="1" t="s">
        <v>35</v>
      </c>
      <c r="B704" s="1" t="s">
        <v>3234</v>
      </c>
      <c r="C704" s="1" t="s">
        <v>3235</v>
      </c>
      <c r="D704" s="1" t="s">
        <v>3222</v>
      </c>
      <c r="E704" s="1" t="s">
        <v>3236</v>
      </c>
      <c r="G704" s="1" t="s">
        <v>3237</v>
      </c>
      <c r="H704" s="2" t="str">
        <f>Tabella1[[#This Row],[Denominazione]]&amp;" - "&amp;Tabella1[[#This Row],[Città]]</f>
        <v>AZIENDA AGRICOLA BELLAGAMBA FILIPPO - MONTE PORZIO</v>
      </c>
    </row>
    <row r="705" spans="1:8" x14ac:dyDescent="0.25">
      <c r="A705" s="1" t="s">
        <v>82</v>
      </c>
      <c r="B705" s="1" t="s">
        <v>10673</v>
      </c>
      <c r="C705" s="1" t="s">
        <v>10674</v>
      </c>
      <c r="D705" s="1" t="s">
        <v>10654</v>
      </c>
      <c r="F705" s="1" t="s">
        <v>10675</v>
      </c>
      <c r="G705" s="1" t="s">
        <v>10676</v>
      </c>
      <c r="H705" s="2" t="str">
        <f>Tabella1[[#This Row],[Denominazione]]&amp;" - "&amp;Tabella1[[#This Row],[Città]]</f>
        <v>AZIENDA AGRICOLA CORONCINA DI MOSCHINI MELANIA - BELFORTE DEL CHIENTI</v>
      </c>
    </row>
    <row r="706" spans="1:8" x14ac:dyDescent="0.25">
      <c r="A706" s="1" t="s">
        <v>35</v>
      </c>
      <c r="B706" s="1" t="s">
        <v>14024</v>
      </c>
      <c r="D706" s="1" t="s">
        <v>13946</v>
      </c>
      <c r="H706" s="2" t="str">
        <f>Tabella1[[#This Row],[Denominazione]]&amp;" - "&amp;Tabella1[[#This Row],[Città]]</f>
        <v>AZIENDA AGRICOLA DI BRECCIA GIUSEPPINA &amp; FIGLI - TOLENTINO</v>
      </c>
    </row>
    <row r="707" spans="1:8" x14ac:dyDescent="0.25">
      <c r="A707" s="1" t="s">
        <v>6</v>
      </c>
      <c r="B707" s="1" t="s">
        <v>11027</v>
      </c>
      <c r="D707" s="1" t="s">
        <v>11022</v>
      </c>
      <c r="E707" s="1" t="s">
        <v>11028</v>
      </c>
      <c r="F707" s="1" t="s">
        <v>11026</v>
      </c>
      <c r="H707" s="2" t="str">
        <f>Tabella1[[#This Row],[Denominazione]]&amp;" - "&amp;Tabella1[[#This Row],[Città]]</f>
        <v>AZIENDA AGRICOLA FORESTALE CASIGLIANO DEI SIBILLINI - CESSAPALOMBO</v>
      </c>
    </row>
    <row r="708" spans="1:8" x14ac:dyDescent="0.25">
      <c r="A708" s="1" t="s">
        <v>35</v>
      </c>
      <c r="B708" s="1" t="s">
        <v>13791</v>
      </c>
      <c r="D708" s="1" t="s">
        <v>13756</v>
      </c>
      <c r="E708" s="1" t="s">
        <v>13792</v>
      </c>
      <c r="G708" s="1" t="s">
        <v>13793</v>
      </c>
      <c r="H708" s="2" t="str">
        <f>Tabella1[[#This Row],[Denominazione]]&amp;" - "&amp;Tabella1[[#This Row],[Città]]</f>
        <v>AZIENDA AGRICOLA LE BORETTE S.A.S. DI PIEROBON ARNALDO E C. - SARNANO</v>
      </c>
    </row>
    <row r="709" spans="1:8" x14ac:dyDescent="0.25">
      <c r="A709" s="1" t="s">
        <v>35</v>
      </c>
      <c r="B709" s="1" t="s">
        <v>6462</v>
      </c>
      <c r="C709" s="1" t="s">
        <v>6463</v>
      </c>
      <c r="D709" s="1" t="s">
        <v>6456</v>
      </c>
      <c r="E709" s="1" t="s">
        <v>6456</v>
      </c>
      <c r="G709" s="1" t="s">
        <v>6464</v>
      </c>
      <c r="H709" s="2" t="str">
        <f>Tabella1[[#This Row],[Denominazione]]&amp;" - "&amp;Tabella1[[#This Row],[Città]]</f>
        <v>AZIENDA AGRICOLA MANFREDI STEFANIA - CASTELLEONE DI SUASA</v>
      </c>
    </row>
    <row r="710" spans="1:8" x14ac:dyDescent="0.25">
      <c r="A710" s="1" t="s">
        <v>35</v>
      </c>
      <c r="B710" s="1" t="s">
        <v>8446</v>
      </c>
      <c r="C710" s="1" t="s">
        <v>8447</v>
      </c>
      <c r="D710" s="1" t="s">
        <v>8411</v>
      </c>
      <c r="G710" s="1" t="s">
        <v>5979</v>
      </c>
      <c r="H710" s="2" t="str">
        <f>Tabella1[[#This Row],[Denominazione]]&amp;" - "&amp;Tabella1[[#This Row],[Città]]</f>
        <v>AZIENDA AGRICOLA MARCONI KATIA - OFFAGNA</v>
      </c>
    </row>
    <row r="711" spans="1:8" x14ac:dyDescent="0.25">
      <c r="A711" s="1" t="s">
        <v>35</v>
      </c>
      <c r="B711" s="1" t="s">
        <v>17755</v>
      </c>
      <c r="C711" s="1" t="s">
        <v>17756</v>
      </c>
      <c r="D711" s="1" t="s">
        <v>17745</v>
      </c>
      <c r="G711" s="1" t="s">
        <v>17757</v>
      </c>
      <c r="H711" s="2" t="str">
        <f>Tabella1[[#This Row],[Denominazione]]&amp;" - "&amp;Tabella1[[#This Row],[Città]]</f>
        <v>AZIENDA AGRICOLA VITALI PINO E MASSIMO - AMANDOLA</v>
      </c>
    </row>
    <row r="712" spans="1:8" x14ac:dyDescent="0.25">
      <c r="A712" s="1" t="s">
        <v>35</v>
      </c>
      <c r="B712" s="1" t="s">
        <v>1670</v>
      </c>
      <c r="C712" s="1" t="s">
        <v>1671</v>
      </c>
      <c r="D712" s="1" t="s">
        <v>1653</v>
      </c>
      <c r="E712" s="1" t="s">
        <v>1653</v>
      </c>
      <c r="F712" s="1" t="s">
        <v>1672</v>
      </c>
      <c r="G712" s="1" t="s">
        <v>1673</v>
      </c>
      <c r="H712" s="2" t="str">
        <f>Tabella1[[#This Row],[Denominazione]]&amp;" - "&amp;Tabella1[[#This Row],[Città]]</f>
        <v>AZIENDA AGRITURISTICA "CA' VERDESELLE" - FERMIGNANO</v>
      </c>
    </row>
    <row r="713" spans="1:8" x14ac:dyDescent="0.25">
      <c r="A713" s="1" t="s">
        <v>35</v>
      </c>
      <c r="B713" s="1" t="s">
        <v>7695</v>
      </c>
      <c r="C713" s="1" t="s">
        <v>7696</v>
      </c>
      <c r="D713" s="1" t="s">
        <v>7678</v>
      </c>
      <c r="E713" s="1" t="s">
        <v>7678</v>
      </c>
      <c r="F713" s="1" t="s">
        <v>7697</v>
      </c>
      <c r="G713" s="1" t="s">
        <v>7698</v>
      </c>
      <c r="H713" s="2" t="str">
        <f>Tabella1[[#This Row],[Denominazione]]&amp;" - "&amp;Tabella1[[#This Row],[Città]]</f>
        <v>AZIENDA AGRITURISTICA CANAPINA - MONTECAROTTO</v>
      </c>
    </row>
    <row r="714" spans="1:8" x14ac:dyDescent="0.25">
      <c r="A714" s="1" t="s">
        <v>35</v>
      </c>
      <c r="B714" s="1" t="s">
        <v>12223</v>
      </c>
      <c r="C714" s="1" t="s">
        <v>12224</v>
      </c>
      <c r="D714" s="1" t="s">
        <v>12208</v>
      </c>
      <c r="E714" s="1" t="s">
        <v>12208</v>
      </c>
      <c r="F714" s="1" t="s">
        <v>12225</v>
      </c>
      <c r="G714" s="1" t="s">
        <v>12226</v>
      </c>
      <c r="H714" s="2" t="str">
        <f>Tabella1[[#This Row],[Denominazione]]&amp;" - "&amp;Tabella1[[#This Row],[Città]]</f>
        <v>AZIENDA AGRITURISTICA CASA RASTIA - MATELICA</v>
      </c>
    </row>
    <row r="715" spans="1:8" x14ac:dyDescent="0.25">
      <c r="A715" s="1" t="s">
        <v>35</v>
      </c>
      <c r="B715" s="1" t="s">
        <v>375</v>
      </c>
      <c r="C715" s="1" t="s">
        <v>376</v>
      </c>
      <c r="D715" s="1" t="s">
        <v>316</v>
      </c>
      <c r="E715" s="1" t="s">
        <v>316</v>
      </c>
      <c r="H715" s="2" t="str">
        <f>Tabella1[[#This Row],[Denominazione]]&amp;" - "&amp;Tabella1[[#This Row],[Città]]</f>
        <v>AZIENDA AGRITURISTICA F.LLI FULVI - CAGLI</v>
      </c>
    </row>
    <row r="716" spans="1:8" x14ac:dyDescent="0.25">
      <c r="A716" s="1" t="s">
        <v>35</v>
      </c>
      <c r="B716" s="1" t="s">
        <v>8922</v>
      </c>
      <c r="C716" s="1" t="s">
        <v>8923</v>
      </c>
      <c r="D716" s="1" t="s">
        <v>8849</v>
      </c>
      <c r="E716" s="1" t="s">
        <v>8924</v>
      </c>
      <c r="F716" s="1" t="s">
        <v>8925</v>
      </c>
      <c r="G716" s="1" t="s">
        <v>8926</v>
      </c>
      <c r="H716" s="2" t="str">
        <f>Tabella1[[#This Row],[Denominazione]]&amp;" - "&amp;Tabella1[[#This Row],[Città]]</f>
        <v>AZIENDA AGRITURISTICA IL CASTELLARO - SASSOFERRATO</v>
      </c>
    </row>
    <row r="717" spans="1:8" x14ac:dyDescent="0.25">
      <c r="A717" s="1" t="s">
        <v>35</v>
      </c>
      <c r="B717" s="1" t="s">
        <v>1674</v>
      </c>
      <c r="C717" s="1" t="s">
        <v>1675</v>
      </c>
      <c r="D717" s="1" t="s">
        <v>1653</v>
      </c>
      <c r="E717" s="1" t="s">
        <v>1653</v>
      </c>
      <c r="F717" s="1" t="s">
        <v>1676</v>
      </c>
      <c r="G717" s="1" t="s">
        <v>1677</v>
      </c>
      <c r="H717" s="2" t="str">
        <f>Tabella1[[#This Row],[Denominazione]]&amp;" - "&amp;Tabella1[[#This Row],[Città]]</f>
        <v>AZIENDA AGRITURISTICA IL VERZIERE - FERMIGNANO</v>
      </c>
    </row>
    <row r="718" spans="1:8" x14ac:dyDescent="0.25">
      <c r="A718" s="1" t="s">
        <v>35</v>
      </c>
      <c r="B718" s="1" t="s">
        <v>8777</v>
      </c>
      <c r="C718" s="1" t="s">
        <v>8778</v>
      </c>
      <c r="D718" s="1" t="s">
        <v>8763</v>
      </c>
      <c r="E718" s="1" t="s">
        <v>8763</v>
      </c>
      <c r="F718" s="1" t="s">
        <v>8775</v>
      </c>
      <c r="G718" s="1" t="s">
        <v>8776</v>
      </c>
      <c r="H718" s="2" t="str">
        <f>Tabella1[[#This Row],[Denominazione]]&amp;" - "&amp;Tabella1[[#This Row],[Città]]</f>
        <v>AZIENDA AGRITURISTICA LA SORGENTE - ROSORA</v>
      </c>
    </row>
    <row r="719" spans="1:8" x14ac:dyDescent="0.25">
      <c r="A719" s="1" t="s">
        <v>35</v>
      </c>
      <c r="B719" s="1" t="s">
        <v>18553</v>
      </c>
      <c r="C719" s="1" t="s">
        <v>18554</v>
      </c>
      <c r="D719" s="1" t="s">
        <v>18522</v>
      </c>
      <c r="E719" s="1" t="s">
        <v>18522</v>
      </c>
      <c r="F719" s="1" t="s">
        <v>18555</v>
      </c>
      <c r="G719" s="1" t="s">
        <v>18556</v>
      </c>
      <c r="H719" s="2" t="str">
        <f>Tabella1[[#This Row],[Denominazione]]&amp;" - "&amp;Tabella1[[#This Row],[Città]]</f>
        <v>AZIENDA AGRITURISTICA LA TERRA DEL VENTO - MONTEFORTINO</v>
      </c>
    </row>
    <row r="720" spans="1:8" x14ac:dyDescent="0.25">
      <c r="A720" s="1" t="s">
        <v>35</v>
      </c>
      <c r="B720" s="1" t="s">
        <v>8870</v>
      </c>
      <c r="C720" s="1" t="s">
        <v>8871</v>
      </c>
      <c r="D720" s="1" t="s">
        <v>8849</v>
      </c>
      <c r="E720" s="1" t="s">
        <v>8872</v>
      </c>
      <c r="F720" s="1" t="s">
        <v>8873</v>
      </c>
      <c r="G720" s="1" t="s">
        <v>8874</v>
      </c>
      <c r="H720" s="2" t="str">
        <f>Tabella1[[#This Row],[Denominazione]]&amp;" - "&amp;Tabella1[[#This Row],[Città]]</f>
        <v>AZIENDA AGRITURISTICA LE PERELLE - SASSOFERRATO</v>
      </c>
    </row>
    <row r="721" spans="1:8" x14ac:dyDescent="0.25">
      <c r="A721" s="1" t="s">
        <v>35</v>
      </c>
      <c r="B721" s="1" t="s">
        <v>607</v>
      </c>
      <c r="C721" s="1" t="s">
        <v>608</v>
      </c>
      <c r="D721" s="1" t="s">
        <v>579</v>
      </c>
      <c r="E721" s="1" t="s">
        <v>609</v>
      </c>
      <c r="F721" s="1" t="s">
        <v>610</v>
      </c>
      <c r="G721" s="1" t="s">
        <v>611</v>
      </c>
      <c r="H721" s="2" t="str">
        <f>Tabella1[[#This Row],[Denominazione]]&amp;" - "&amp;Tabella1[[#This Row],[Città]]</f>
        <v>AZIENDA AGRITURISTICA LE VILLE - CARPEGNA</v>
      </c>
    </row>
    <row r="722" spans="1:8" x14ac:dyDescent="0.25">
      <c r="A722" s="1" t="s">
        <v>35</v>
      </c>
      <c r="B722" s="1" t="s">
        <v>19522</v>
      </c>
      <c r="C722" s="1" t="s">
        <v>19523</v>
      </c>
      <c r="D722" s="1" t="s">
        <v>19500</v>
      </c>
      <c r="E722" s="1" t="s">
        <v>19500</v>
      </c>
      <c r="H722" s="2" t="str">
        <f>Tabella1[[#This Row],[Denominazione]]&amp;" - "&amp;Tabella1[[#This Row],[Città]]</f>
        <v>AZIENDA AGRITURISTICA MATENANO - SANTA VITTORIA IN MATENANO</v>
      </c>
    </row>
    <row r="723" spans="1:8" x14ac:dyDescent="0.25">
      <c r="A723" s="1" t="s">
        <v>35</v>
      </c>
      <c r="B723" s="1" t="s">
        <v>19551</v>
      </c>
      <c r="C723" s="1" t="s">
        <v>19552</v>
      </c>
      <c r="D723" s="1" t="s">
        <v>19541</v>
      </c>
      <c r="G723" s="1" t="s">
        <v>19553</v>
      </c>
      <c r="H723" s="2" t="str">
        <f>Tabella1[[#This Row],[Denominazione]]&amp;" - "&amp;Tabella1[[#This Row],[Città]]</f>
        <v>AZIENDA AGRITURISTICA MURRI - SANT'ELPIDIO A MARE</v>
      </c>
    </row>
    <row r="724" spans="1:8" x14ac:dyDescent="0.25">
      <c r="A724" s="1" t="s">
        <v>35</v>
      </c>
      <c r="B724" s="1" t="s">
        <v>14146</v>
      </c>
      <c r="C724" s="1" t="s">
        <v>14147</v>
      </c>
      <c r="D724" s="1" t="s">
        <v>14065</v>
      </c>
      <c r="G724" s="1" t="s">
        <v>14085</v>
      </c>
      <c r="H724" s="2" t="str">
        <f>Tabella1[[#This Row],[Denominazione]]&amp;" - "&amp;Tabella1[[#This Row],[Città]]</f>
        <v>AZIENDA AGRITURISTICA RIO TORBIDO 101 - TREIA</v>
      </c>
    </row>
    <row r="725" spans="1:8" x14ac:dyDescent="0.25">
      <c r="A725" s="1" t="s">
        <v>35</v>
      </c>
      <c r="B725" s="1" t="s">
        <v>12517</v>
      </c>
      <c r="C725" s="1" t="s">
        <v>12518</v>
      </c>
      <c r="D725" s="1" t="s">
        <v>12519</v>
      </c>
      <c r="E725" s="1" t="s">
        <v>12519</v>
      </c>
      <c r="G725" s="1" t="s">
        <v>12520</v>
      </c>
      <c r="H725" s="2" t="str">
        <f>Tabella1[[#This Row],[Denominazione]]&amp;" - "&amp;Tabella1[[#This Row],[Città]]</f>
        <v>AZIENDA AGRITURISTICA ROETA - MONTE SAN MARTINO</v>
      </c>
    </row>
    <row r="726" spans="1:8" x14ac:dyDescent="0.25">
      <c r="A726" s="1" t="s">
        <v>35</v>
      </c>
      <c r="B726" s="1" t="s">
        <v>5677</v>
      </c>
      <c r="C726" s="1" t="s">
        <v>5678</v>
      </c>
      <c r="D726" s="1" t="s">
        <v>1864</v>
      </c>
      <c r="E726" s="1" t="s">
        <v>1864</v>
      </c>
      <c r="F726" s="1" t="s">
        <v>5679</v>
      </c>
      <c r="G726" s="1" t="s">
        <v>5680</v>
      </c>
      <c r="H726" s="2" t="str">
        <f>Tabella1[[#This Row],[Denominazione]]&amp;" - "&amp;Tabella1[[#This Row],[Città]]</f>
        <v>AZIENDA AGRITURISTICA RUSTICO DEL CONERO - ANCONA</v>
      </c>
    </row>
    <row r="727" spans="1:8" x14ac:dyDescent="0.25">
      <c r="A727" s="1" t="s">
        <v>35</v>
      </c>
      <c r="B727" s="1" t="s">
        <v>14028</v>
      </c>
      <c r="C727" s="1" t="s">
        <v>14029</v>
      </c>
      <c r="D727" s="1" t="s">
        <v>13946</v>
      </c>
      <c r="E727" s="1" t="s">
        <v>13946</v>
      </c>
      <c r="F727" s="1" t="s">
        <v>14030</v>
      </c>
      <c r="G727" s="1" t="s">
        <v>14031</v>
      </c>
      <c r="H727" s="2" t="str">
        <f>Tabella1[[#This Row],[Denominazione]]&amp;" - "&amp;Tabella1[[#This Row],[Città]]</f>
        <v>AZIENDA AGRITURISTICA TERRE DEL CHIENTI - TOLENTINO</v>
      </c>
    </row>
    <row r="728" spans="1:8" x14ac:dyDescent="0.25">
      <c r="A728" s="1" t="s">
        <v>35</v>
      </c>
      <c r="B728" s="1" t="s">
        <v>4107</v>
      </c>
      <c r="C728" s="1" t="s">
        <v>4108</v>
      </c>
      <c r="D728" s="1" t="s">
        <v>4109</v>
      </c>
      <c r="E728" s="1" t="s">
        <v>4109</v>
      </c>
      <c r="F728" s="1" t="s">
        <v>4110</v>
      </c>
      <c r="G728" s="1" t="s">
        <v>4111</v>
      </c>
      <c r="H728" s="2" t="str">
        <f>Tabella1[[#This Row],[Denominazione]]&amp;" - "&amp;Tabella1[[#This Row],[Città]]</f>
        <v>AZIENDA AGRITURISTICA VIVAIO CLARETTA - PETRIANO</v>
      </c>
    </row>
    <row r="729" spans="1:8" x14ac:dyDescent="0.25">
      <c r="A729" s="1" t="s">
        <v>35</v>
      </c>
      <c r="B729" s="1" t="s">
        <v>4312</v>
      </c>
      <c r="C729" s="1" t="s">
        <v>4313</v>
      </c>
      <c r="D729" s="1" t="s">
        <v>4272</v>
      </c>
      <c r="E729" s="1" t="s">
        <v>4272</v>
      </c>
      <c r="F729" s="1" t="s">
        <v>4314</v>
      </c>
      <c r="G729" s="1" t="s">
        <v>4315</v>
      </c>
      <c r="H729" s="2" t="str">
        <f>Tabella1[[#This Row],[Denominazione]]&amp;" - "&amp;Tabella1[[#This Row],[Città]]</f>
        <v>AZIENDA BARTOLACCI DI PIERINI MONICA E MATTEO - SAN COSTANZO</v>
      </c>
    </row>
    <row r="730" spans="1:8" x14ac:dyDescent="0.25">
      <c r="A730" s="1" t="s">
        <v>82</v>
      </c>
      <c r="B730" s="1" t="s">
        <v>12033</v>
      </c>
      <c r="C730" s="1" t="s">
        <v>12034</v>
      </c>
      <c r="D730" s="1" t="s">
        <v>11981</v>
      </c>
      <c r="F730" s="1" t="s">
        <v>12035</v>
      </c>
      <c r="G730" s="1" t="s">
        <v>12036</v>
      </c>
      <c r="H730" s="2" t="str">
        <f>Tabella1[[#This Row],[Denominazione]]&amp;" - "&amp;Tabella1[[#This Row],[Città]]</f>
        <v>AZIENDA MASTROCOLA - LORO PICENO</v>
      </c>
    </row>
    <row r="731" spans="1:8" x14ac:dyDescent="0.25">
      <c r="A731" s="1" t="s">
        <v>12</v>
      </c>
      <c r="B731" s="1" t="s">
        <v>9237</v>
      </c>
      <c r="C731" s="1" t="s">
        <v>9238</v>
      </c>
      <c r="D731" s="1" t="s">
        <v>8949</v>
      </c>
      <c r="E731" s="1" t="s">
        <v>8949</v>
      </c>
      <c r="G731" s="1" t="s">
        <v>9037</v>
      </c>
      <c r="H731" s="2" t="str">
        <f>Tabella1[[#This Row],[Denominazione]]&amp;" - "&amp;Tabella1[[#This Row],[Città]]</f>
        <v>AZZARONI LILIANA - SENIGALLIA</v>
      </c>
    </row>
    <row r="732" spans="1:8" x14ac:dyDescent="0.25">
      <c r="A732" s="1" t="s">
        <v>679</v>
      </c>
      <c r="B732" s="1" t="s">
        <v>7109</v>
      </c>
      <c r="C732" s="1" t="s">
        <v>7110</v>
      </c>
      <c r="D732" s="1" t="s">
        <v>5735</v>
      </c>
      <c r="E732" s="1" t="s">
        <v>5735</v>
      </c>
      <c r="H732" s="2" t="str">
        <f>Tabella1[[#This Row],[Denominazione]]&amp;" - "&amp;Tabella1[[#This Row],[Città]]</f>
        <v>AZZURRA - FALCONARA MARITTIMA</v>
      </c>
    </row>
    <row r="733" spans="1:8" x14ac:dyDescent="0.25">
      <c r="A733" s="1" t="s">
        <v>20</v>
      </c>
      <c r="B733" s="1" t="s">
        <v>7109</v>
      </c>
      <c r="C733" s="1" t="s">
        <v>9508</v>
      </c>
      <c r="D733" s="1" t="s">
        <v>8949</v>
      </c>
      <c r="E733" s="1" t="s">
        <v>8949</v>
      </c>
      <c r="F733" s="1" t="s">
        <v>9509</v>
      </c>
      <c r="G733" s="1" t="s">
        <v>9510</v>
      </c>
      <c r="H733" s="2" t="str">
        <f>Tabella1[[#This Row],[Denominazione]]&amp;" - "&amp;Tabella1[[#This Row],[Città]]</f>
        <v>AZZURRA - SENIGALLIA</v>
      </c>
    </row>
    <row r="734" spans="1:8" x14ac:dyDescent="0.25">
      <c r="A734" s="1" t="s">
        <v>29</v>
      </c>
      <c r="B734" s="1" t="s">
        <v>15599</v>
      </c>
      <c r="C734" s="1" t="s">
        <v>15600</v>
      </c>
      <c r="D734" s="1" t="s">
        <v>15585</v>
      </c>
      <c r="G734" s="1" t="s">
        <v>15601</v>
      </c>
      <c r="H734" s="2" t="str">
        <f>Tabella1[[#This Row],[Denominazione]]&amp;" - "&amp;Tabella1[[#This Row],[Città]]</f>
        <v>AZZURRAMARE BED &amp; BREAKFAST - GROTTAMMARE</v>
      </c>
    </row>
    <row r="735" spans="1:8" x14ac:dyDescent="0.25">
      <c r="A735" s="1" t="s">
        <v>29</v>
      </c>
      <c r="B735" s="1" t="s">
        <v>6617</v>
      </c>
      <c r="C735" s="1" t="s">
        <v>6618</v>
      </c>
      <c r="D735" s="1" t="s">
        <v>6536</v>
      </c>
      <c r="E735" s="1" t="s">
        <v>6536</v>
      </c>
      <c r="F735" s="1" t="s">
        <v>6619</v>
      </c>
      <c r="G735" s="1" t="s">
        <v>6620</v>
      </c>
      <c r="H735" s="2" t="str">
        <f>Tabella1[[#This Row],[Denominazione]]&amp;" - "&amp;Tabella1[[#This Row],[Città]]</f>
        <v>B&amp;B  ADRIANA - CORINALDO</v>
      </c>
    </row>
    <row r="736" spans="1:8" x14ac:dyDescent="0.25">
      <c r="A736" s="1" t="s">
        <v>29</v>
      </c>
      <c r="B736" s="1" t="s">
        <v>10924</v>
      </c>
      <c r="C736" s="1" t="s">
        <v>10925</v>
      </c>
      <c r="D736" s="1" t="s">
        <v>10912</v>
      </c>
      <c r="E736" s="1" t="s">
        <v>10912</v>
      </c>
      <c r="F736" s="1" t="s">
        <v>10913</v>
      </c>
      <c r="G736" s="1" t="s">
        <v>10914</v>
      </c>
      <c r="H736" s="2" t="str">
        <f>Tabella1[[#This Row],[Denominazione]]&amp;" - "&amp;Tabella1[[#This Row],[Città]]</f>
        <v>B&amp;B  AL RESPIRO NEL BOSCO di GIACOMAZZI LUCA - CAMPOROTONDO DI FIASTRONE</v>
      </c>
    </row>
    <row r="737" spans="1:8" x14ac:dyDescent="0.25">
      <c r="A737" s="1" t="s">
        <v>29</v>
      </c>
      <c r="B737" s="1" t="s">
        <v>5006</v>
      </c>
      <c r="C737" s="1" t="s">
        <v>5007</v>
      </c>
      <c r="D737" s="1" t="s">
        <v>9</v>
      </c>
      <c r="E737" s="1" t="s">
        <v>9</v>
      </c>
      <c r="F737" s="1" t="s">
        <v>5008</v>
      </c>
      <c r="G737" s="1" t="s">
        <v>5009</v>
      </c>
      <c r="H737" s="2" t="str">
        <f>Tabella1[[#This Row],[Denominazione]]&amp;" - "&amp;Tabella1[[#This Row],[Città]]</f>
        <v>B&amp;B  At  VILLA SAN MARTINO - URBINO</v>
      </c>
    </row>
    <row r="738" spans="1:8" x14ac:dyDescent="0.25">
      <c r="A738" s="1" t="s">
        <v>29</v>
      </c>
      <c r="B738" s="1" t="s">
        <v>12149</v>
      </c>
      <c r="C738" s="1" t="s">
        <v>12150</v>
      </c>
      <c r="D738" s="1" t="s">
        <v>12050</v>
      </c>
      <c r="G738" s="1" t="s">
        <v>12127</v>
      </c>
      <c r="H738" s="2" t="str">
        <f>Tabella1[[#This Row],[Denominazione]]&amp;" - "&amp;Tabella1[[#This Row],[Città]]</f>
        <v>B&amp;B  BELOHORIZONTE - MACERATA</v>
      </c>
    </row>
    <row r="739" spans="1:8" x14ac:dyDescent="0.25">
      <c r="A739" s="1" t="s">
        <v>29</v>
      </c>
      <c r="B739" s="1" t="s">
        <v>9834</v>
      </c>
      <c r="C739" s="1" t="s">
        <v>9835</v>
      </c>
      <c r="D739" s="1" t="s">
        <v>8949</v>
      </c>
      <c r="E739" s="1" t="s">
        <v>8949</v>
      </c>
      <c r="F739" s="1" t="s">
        <v>9836</v>
      </c>
      <c r="G739" s="1" t="s">
        <v>9837</v>
      </c>
      <c r="H739" s="2" t="str">
        <f>Tabella1[[#This Row],[Denominazione]]&amp;" - "&amp;Tabella1[[#This Row],[Città]]</f>
        <v>B&amp;B "IL GRANO E LE STELLE" RELAIS - SENIGALLIA</v>
      </c>
    </row>
    <row r="740" spans="1:8" x14ac:dyDescent="0.25">
      <c r="A740" s="1" t="s">
        <v>29</v>
      </c>
      <c r="B740" s="1" t="s">
        <v>6301</v>
      </c>
      <c r="C740" s="1" t="s">
        <v>6302</v>
      </c>
      <c r="D740" s="1" t="s">
        <v>6290</v>
      </c>
      <c r="E740" s="1" t="s">
        <v>6290</v>
      </c>
      <c r="G740" s="1" t="s">
        <v>6303</v>
      </c>
      <c r="H740" s="2" t="str">
        <f>Tabella1[[#This Row],[Denominazione]]&amp;" - "&amp;Tabella1[[#This Row],[Città]]</f>
        <v>B&amp;B 19 - CAMERANO</v>
      </c>
    </row>
    <row r="741" spans="1:8" x14ac:dyDescent="0.25">
      <c r="A741" s="1" t="s">
        <v>29</v>
      </c>
      <c r="B741" s="1" t="s">
        <v>18147</v>
      </c>
      <c r="C741" s="1" t="s">
        <v>18148</v>
      </c>
      <c r="D741" s="1" t="s">
        <v>17932</v>
      </c>
      <c r="E741" s="1" t="s">
        <v>17932</v>
      </c>
      <c r="F741" s="1" t="s">
        <v>18149</v>
      </c>
      <c r="G741" s="1" t="s">
        <v>18150</v>
      </c>
      <c r="H741" s="2" t="str">
        <f>Tabella1[[#This Row],[Denominazione]]&amp;" - "&amp;Tabella1[[#This Row],[Città]]</f>
        <v>B&amp;B 1912 - FERMO</v>
      </c>
    </row>
    <row r="742" spans="1:8" x14ac:dyDescent="0.25">
      <c r="A742" s="1" t="s">
        <v>29</v>
      </c>
      <c r="B742" s="1" t="s">
        <v>14667</v>
      </c>
      <c r="C742" s="1" t="s">
        <v>14668</v>
      </c>
      <c r="D742" s="1" t="s">
        <v>14576</v>
      </c>
      <c r="E742" s="1" t="s">
        <v>14576</v>
      </c>
      <c r="F742" s="1" t="s">
        <v>14669</v>
      </c>
      <c r="G742" s="1" t="s">
        <v>14669</v>
      </c>
      <c r="H742" s="2" t="str">
        <f>Tabella1[[#This Row],[Denominazione]]&amp;" - "&amp;Tabella1[[#This Row],[Città]]</f>
        <v>B&amp;B 2GABRI - ASCOLI PICENO</v>
      </c>
    </row>
    <row r="743" spans="1:8" x14ac:dyDescent="0.25">
      <c r="A743" s="1" t="s">
        <v>29</v>
      </c>
      <c r="B743" s="1" t="s">
        <v>15629</v>
      </c>
      <c r="C743" s="1" t="s">
        <v>15630</v>
      </c>
      <c r="D743" s="1" t="s">
        <v>15585</v>
      </c>
      <c r="F743" s="1" t="s">
        <v>15631</v>
      </c>
      <c r="G743" s="1" t="s">
        <v>15632</v>
      </c>
      <c r="H743" s="2" t="str">
        <f>Tabella1[[#This Row],[Denominazione]]&amp;" - "&amp;Tabella1[[#This Row],[Città]]</f>
        <v>B&amp;B 43 - GROTTAMMARE</v>
      </c>
    </row>
    <row r="744" spans="1:8" x14ac:dyDescent="0.25">
      <c r="A744" s="1" t="s">
        <v>29</v>
      </c>
      <c r="B744" s="1" t="s">
        <v>6283</v>
      </c>
      <c r="C744" s="1" t="s">
        <v>6284</v>
      </c>
      <c r="D744" s="1" t="s">
        <v>6262</v>
      </c>
      <c r="F744" s="1" t="s">
        <v>6285</v>
      </c>
      <c r="G744" s="1" t="s">
        <v>6286</v>
      </c>
      <c r="H744" s="2" t="str">
        <f>Tabella1[[#This Row],[Denominazione]]&amp;" - "&amp;Tabella1[[#This Row],[Città]]</f>
        <v>B&amp;B 5 ALBERI VACANZE - BELVEDERE OSTRENSE</v>
      </c>
    </row>
    <row r="745" spans="1:8" x14ac:dyDescent="0.25">
      <c r="A745" s="1" t="s">
        <v>29</v>
      </c>
      <c r="B745" s="1" t="s">
        <v>845</v>
      </c>
      <c r="C745" s="1" t="s">
        <v>846</v>
      </c>
      <c r="D745" s="1" t="s">
        <v>682</v>
      </c>
      <c r="G745" s="1" t="s">
        <v>847</v>
      </c>
      <c r="H745" s="2" t="str">
        <f>Tabella1[[#This Row],[Denominazione]]&amp;" - "&amp;Tabella1[[#This Row],[Città]]</f>
        <v>B&amp;B A 2 PASSI - FANO</v>
      </c>
    </row>
    <row r="746" spans="1:8" x14ac:dyDescent="0.25">
      <c r="A746" s="1" t="s">
        <v>29</v>
      </c>
      <c r="B746" s="1" t="s">
        <v>957</v>
      </c>
      <c r="C746" s="1" t="s">
        <v>958</v>
      </c>
      <c r="D746" s="1" t="s">
        <v>682</v>
      </c>
      <c r="E746" s="1" t="s">
        <v>682</v>
      </c>
      <c r="F746" s="1" t="s">
        <v>959</v>
      </c>
      <c r="G746" s="1" t="s">
        <v>960</v>
      </c>
      <c r="H746" s="2" t="str">
        <f>Tabella1[[#This Row],[Denominazione]]&amp;" - "&amp;Tabella1[[#This Row],[Città]]</f>
        <v>B&amp;B A CASA DA MATILDE - FANO</v>
      </c>
    </row>
    <row r="747" spans="1:8" x14ac:dyDescent="0.25">
      <c r="A747" s="1" t="s">
        <v>29</v>
      </c>
      <c r="B747" s="1" t="s">
        <v>19271</v>
      </c>
      <c r="C747" s="1" t="s">
        <v>19272</v>
      </c>
      <c r="D747" s="1" t="s">
        <v>18082</v>
      </c>
      <c r="F747" s="1" t="s">
        <v>19273</v>
      </c>
      <c r="G747" s="1" t="s">
        <v>19274</v>
      </c>
      <c r="H747" s="2" t="str">
        <f>Tabella1[[#This Row],[Denominazione]]&amp;" - "&amp;Tabella1[[#This Row],[Città]]</f>
        <v>B&amp;B A CASA DI ADRIA - PORTO SAN GIORGIO</v>
      </c>
    </row>
    <row r="748" spans="1:8" x14ac:dyDescent="0.25">
      <c r="A748" s="1" t="s">
        <v>29</v>
      </c>
      <c r="B748" s="1" t="s">
        <v>3414</v>
      </c>
      <c r="C748" s="1" t="s">
        <v>3415</v>
      </c>
      <c r="D748" s="1" t="s">
        <v>3305</v>
      </c>
      <c r="H748" s="2" t="str">
        <f>Tabella1[[#This Row],[Denominazione]]&amp;" - "&amp;Tabella1[[#This Row],[Città]]</f>
        <v>B&amp;B A CASA DI ANNA - PERGOLA</v>
      </c>
    </row>
    <row r="749" spans="1:8" x14ac:dyDescent="0.25">
      <c r="A749" s="1" t="s">
        <v>29</v>
      </c>
      <c r="B749" s="1" t="s">
        <v>7797</v>
      </c>
      <c r="C749" s="1" t="s">
        <v>7798</v>
      </c>
      <c r="D749" s="1" t="s">
        <v>7718</v>
      </c>
      <c r="F749" s="1" t="s">
        <v>7799</v>
      </c>
      <c r="G749" s="1" t="s">
        <v>7800</v>
      </c>
      <c r="H749" s="2" t="str">
        <f>Tabella1[[#This Row],[Denominazione]]&amp;" - "&amp;Tabella1[[#This Row],[Città]]</f>
        <v>B&amp;B A CASA DI CIUCIU' - MONTEMARCIANO</v>
      </c>
    </row>
    <row r="750" spans="1:8" x14ac:dyDescent="0.25">
      <c r="A750" s="1" t="s">
        <v>29</v>
      </c>
      <c r="B750" s="1" t="s">
        <v>906</v>
      </c>
      <c r="C750" s="1" t="s">
        <v>907</v>
      </c>
      <c r="D750" s="1" t="s">
        <v>682</v>
      </c>
      <c r="G750" s="1" t="s">
        <v>908</v>
      </c>
      <c r="H750" s="2" t="str">
        <f>Tabella1[[#This Row],[Denominazione]]&amp;" - "&amp;Tabella1[[#This Row],[Città]]</f>
        <v>B&amp;B A CASA DI ERNESTO - FANO</v>
      </c>
    </row>
    <row r="751" spans="1:8" x14ac:dyDescent="0.25">
      <c r="A751" s="1" t="s">
        <v>29</v>
      </c>
      <c r="B751" s="1" t="s">
        <v>17965</v>
      </c>
      <c r="C751" s="1" t="s">
        <v>17966</v>
      </c>
      <c r="D751" s="1" t="s">
        <v>17932</v>
      </c>
      <c r="G751" s="1" t="s">
        <v>17967</v>
      </c>
      <c r="H751" s="2" t="str">
        <f>Tabella1[[#This Row],[Denominazione]]&amp;" - "&amp;Tabella1[[#This Row],[Città]]</f>
        <v>B&amp;B A CASA DI ILARIA - FERMO</v>
      </c>
    </row>
    <row r="752" spans="1:8" x14ac:dyDescent="0.25">
      <c r="A752" s="1" t="s">
        <v>29</v>
      </c>
      <c r="B752" s="1" t="s">
        <v>7652</v>
      </c>
      <c r="C752" s="1" t="s">
        <v>7653</v>
      </c>
      <c r="D752" s="1" t="s">
        <v>7611</v>
      </c>
      <c r="G752" s="1" t="s">
        <v>7654</v>
      </c>
      <c r="H752" s="2" t="str">
        <f>Tabella1[[#This Row],[Denominazione]]&amp;" - "&amp;Tabella1[[#This Row],[Città]]</f>
        <v>B&amp;B A CASA DI LAURA - MERGO</v>
      </c>
    </row>
    <row r="753" spans="1:8" x14ac:dyDescent="0.25">
      <c r="A753" s="1" t="s">
        <v>29</v>
      </c>
      <c r="B753" s="1" t="s">
        <v>18311</v>
      </c>
      <c r="C753" s="1" t="s">
        <v>18312</v>
      </c>
      <c r="D753" s="1" t="s">
        <v>17932</v>
      </c>
      <c r="E753" s="1" t="s">
        <v>18313</v>
      </c>
      <c r="F753" s="1" t="s">
        <v>18314</v>
      </c>
      <c r="G753" s="1" t="s">
        <v>18315</v>
      </c>
      <c r="H753" s="2" t="str">
        <f>Tabella1[[#This Row],[Denominazione]]&amp;" - "&amp;Tabella1[[#This Row],[Città]]</f>
        <v>B&amp;B A CASA DI LORI - FERMO</v>
      </c>
    </row>
    <row r="754" spans="1:8" x14ac:dyDescent="0.25">
      <c r="A754" s="1" t="s">
        <v>29</v>
      </c>
      <c r="B754" s="1" t="s">
        <v>13613</v>
      </c>
      <c r="C754" s="1" t="s">
        <v>13614</v>
      </c>
      <c r="D754" s="1" t="s">
        <v>13548</v>
      </c>
      <c r="E754" s="1" t="s">
        <v>13615</v>
      </c>
      <c r="F754" s="1" t="s">
        <v>13616</v>
      </c>
      <c r="G754" s="1" t="s">
        <v>13617</v>
      </c>
      <c r="H754" s="2" t="str">
        <f>Tabella1[[#This Row],[Denominazione]]&amp;" - "&amp;Tabella1[[#This Row],[Città]]</f>
        <v>B&amp;B A CASA DI LUCIA - SAN SEVERINO MARCHE</v>
      </c>
    </row>
    <row r="755" spans="1:8" x14ac:dyDescent="0.25">
      <c r="A755" s="1" t="s">
        <v>29</v>
      </c>
      <c r="B755" s="1" t="s">
        <v>4296</v>
      </c>
      <c r="C755" s="1" t="s">
        <v>4297</v>
      </c>
      <c r="D755" s="1" t="s">
        <v>4272</v>
      </c>
      <c r="E755" s="1" t="s">
        <v>4298</v>
      </c>
      <c r="G755" s="1" t="s">
        <v>4299</v>
      </c>
      <c r="H755" s="2" t="str">
        <f>Tabella1[[#This Row],[Denominazione]]&amp;" - "&amp;Tabella1[[#This Row],[Città]]</f>
        <v>B&amp;B A CASA DI MAEL - SAN COSTANZO</v>
      </c>
    </row>
    <row r="756" spans="1:8" x14ac:dyDescent="0.25">
      <c r="A756" s="1" t="s">
        <v>29</v>
      </c>
      <c r="B756" s="1" t="s">
        <v>9425</v>
      </c>
      <c r="C756" s="1" t="s">
        <v>9426</v>
      </c>
      <c r="D756" s="1" t="s">
        <v>8949</v>
      </c>
      <c r="E756" s="1" t="s">
        <v>9427</v>
      </c>
      <c r="G756" s="1" t="s">
        <v>9428</v>
      </c>
      <c r="H756" s="2" t="str">
        <f>Tabella1[[#This Row],[Denominazione]]&amp;" - "&amp;Tabella1[[#This Row],[Città]]</f>
        <v>B&amp;B A CASA DI MAURO - SENIGALLIA</v>
      </c>
    </row>
    <row r="757" spans="1:8" x14ac:dyDescent="0.25">
      <c r="A757" s="1" t="s">
        <v>29</v>
      </c>
      <c r="B757" s="1" t="s">
        <v>17902</v>
      </c>
      <c r="C757" s="1" t="s">
        <v>17903</v>
      </c>
      <c r="D757" s="1" t="s">
        <v>17839</v>
      </c>
      <c r="E757" s="1" t="s">
        <v>17904</v>
      </c>
      <c r="F757" s="1" t="s">
        <v>17905</v>
      </c>
      <c r="G757" s="1" t="s">
        <v>17906</v>
      </c>
      <c r="H757" s="2" t="str">
        <f>Tabella1[[#This Row],[Denominazione]]&amp;" - "&amp;Tabella1[[#This Row],[Città]]</f>
        <v>B&amp;B A CASA DI MAX - CAMPOFILONE</v>
      </c>
    </row>
    <row r="758" spans="1:8" x14ac:dyDescent="0.25">
      <c r="A758" s="1" t="s">
        <v>29</v>
      </c>
      <c r="B758" s="1" t="s">
        <v>16074</v>
      </c>
      <c r="C758" s="1" t="s">
        <v>16075</v>
      </c>
      <c r="D758" s="1" t="s">
        <v>16040</v>
      </c>
      <c r="F758" s="1" t="s">
        <v>16076</v>
      </c>
      <c r="G758" s="1" t="s">
        <v>16077</v>
      </c>
      <c r="H758" s="2" t="str">
        <f>Tabella1[[#This Row],[Denominazione]]&amp;" - "&amp;Tabella1[[#This Row],[Città]]</f>
        <v>B&amp;B A CASA DI MEG - MONSAMPOLO DEL TRONTO</v>
      </c>
    </row>
    <row r="759" spans="1:8" x14ac:dyDescent="0.25">
      <c r="A759" s="1" t="s">
        <v>29</v>
      </c>
      <c r="B759" s="1" t="s">
        <v>15683</v>
      </c>
      <c r="C759" s="1" t="s">
        <v>15684</v>
      </c>
      <c r="D759" s="1" t="s">
        <v>15585</v>
      </c>
      <c r="E759" s="1" t="s">
        <v>15585</v>
      </c>
      <c r="F759" s="1" t="s">
        <v>15685</v>
      </c>
      <c r="G759" s="1" t="s">
        <v>15686</v>
      </c>
      <c r="H759" s="2" t="str">
        <f>Tabella1[[#This Row],[Denominazione]]&amp;" - "&amp;Tabella1[[#This Row],[Città]]</f>
        <v>B&amp;B A CASA DI PAOLO - GROTTAMMARE</v>
      </c>
    </row>
    <row r="760" spans="1:8" x14ac:dyDescent="0.25">
      <c r="A760" s="1" t="s">
        <v>29</v>
      </c>
      <c r="B760" s="1" t="s">
        <v>13272</v>
      </c>
      <c r="C760" s="1" t="s">
        <v>13273</v>
      </c>
      <c r="D760" s="1" t="s">
        <v>13026</v>
      </c>
      <c r="E760" s="1" t="s">
        <v>13274</v>
      </c>
      <c r="F760" s="1" t="s">
        <v>13275</v>
      </c>
      <c r="G760" s="1" t="s">
        <v>13276</v>
      </c>
      <c r="H760" s="2" t="str">
        <f>Tabella1[[#This Row],[Denominazione]]&amp;" - "&amp;Tabella1[[#This Row],[Città]]</f>
        <v>B&amp;B A CASA DI PICI - POTENZA PICENA</v>
      </c>
    </row>
    <row r="761" spans="1:8" x14ac:dyDescent="0.25">
      <c r="A761" s="1" t="s">
        <v>29</v>
      </c>
      <c r="B761" s="1" t="s">
        <v>18580</v>
      </c>
      <c r="C761" s="1" t="s">
        <v>18581</v>
      </c>
      <c r="D761" s="1" t="s">
        <v>18522</v>
      </c>
      <c r="G761" s="1" t="s">
        <v>18582</v>
      </c>
      <c r="H761" s="2" t="str">
        <f>Tabella1[[#This Row],[Denominazione]]&amp;" - "&amp;Tabella1[[#This Row],[Città]]</f>
        <v>B&amp;B A CASA DI PINA - MONTEFORTINO</v>
      </c>
    </row>
    <row r="762" spans="1:8" x14ac:dyDescent="0.25">
      <c r="A762" s="1" t="s">
        <v>29</v>
      </c>
      <c r="B762" s="1" t="s">
        <v>9414</v>
      </c>
      <c r="C762" s="1" t="s">
        <v>9415</v>
      </c>
      <c r="D762" s="1" t="s">
        <v>8949</v>
      </c>
      <c r="E762" s="1" t="s">
        <v>8949</v>
      </c>
      <c r="F762" s="1" t="s">
        <v>9416</v>
      </c>
      <c r="G762" s="1" t="s">
        <v>9417</v>
      </c>
      <c r="H762" s="2" t="str">
        <f>Tabella1[[#This Row],[Denominazione]]&amp;" - "&amp;Tabella1[[#This Row],[Città]]</f>
        <v>B&amp;B A CASA DI SARA - SENIGALLIA</v>
      </c>
    </row>
    <row r="763" spans="1:8" x14ac:dyDescent="0.25">
      <c r="A763" s="1" t="s">
        <v>29</v>
      </c>
      <c r="B763" s="1" t="s">
        <v>15625</v>
      </c>
      <c r="C763" s="1" t="s">
        <v>15623</v>
      </c>
      <c r="D763" s="1" t="s">
        <v>15585</v>
      </c>
      <c r="G763" s="1" t="s">
        <v>15624</v>
      </c>
      <c r="H763" s="2" t="str">
        <f>Tabella1[[#This Row],[Denominazione]]&amp;" - "&amp;Tabella1[[#This Row],[Città]]</f>
        <v>B&amp;B A CASA DI.. - GROTTAMMARE</v>
      </c>
    </row>
    <row r="764" spans="1:8" x14ac:dyDescent="0.25">
      <c r="A764" s="1" t="s">
        <v>29</v>
      </c>
      <c r="B764" s="1" t="s">
        <v>4902</v>
      </c>
      <c r="C764" s="1" t="s">
        <v>4903</v>
      </c>
      <c r="D764" s="1" t="s">
        <v>9</v>
      </c>
      <c r="E764" s="1" t="s">
        <v>4904</v>
      </c>
      <c r="G764" s="1" t="s">
        <v>4905</v>
      </c>
      <c r="H764" s="2" t="str">
        <f>Tabella1[[#This Row],[Denominazione]]&amp;" - "&amp;Tabella1[[#This Row],[Città]]</f>
        <v>B&amp;B A CASA MIA - URBINO</v>
      </c>
    </row>
    <row r="765" spans="1:8" x14ac:dyDescent="0.25">
      <c r="A765" s="1" t="s">
        <v>29</v>
      </c>
      <c r="B765" s="1" t="s">
        <v>4902</v>
      </c>
      <c r="C765" s="1" t="s">
        <v>9831</v>
      </c>
      <c r="D765" s="1" t="s">
        <v>8949</v>
      </c>
      <c r="E765" s="1" t="s">
        <v>8949</v>
      </c>
      <c r="F765" s="1" t="s">
        <v>9832</v>
      </c>
      <c r="G765" s="1" t="s">
        <v>9833</v>
      </c>
      <c r="H765" s="2" t="str">
        <f>Tabella1[[#This Row],[Denominazione]]&amp;" - "&amp;Tabella1[[#This Row],[Città]]</f>
        <v>B&amp;B A CASA MIA - SENIGALLIA</v>
      </c>
    </row>
    <row r="766" spans="1:8" x14ac:dyDescent="0.25">
      <c r="A766" s="1" t="s">
        <v>29</v>
      </c>
      <c r="B766" s="1" t="s">
        <v>4902</v>
      </c>
      <c r="C766" s="1" t="s">
        <v>10464</v>
      </c>
      <c r="D766" s="1" t="s">
        <v>10206</v>
      </c>
      <c r="E766" s="1" t="s">
        <v>10206</v>
      </c>
      <c r="G766" s="1" t="s">
        <v>10465</v>
      </c>
      <c r="H766" s="2" t="str">
        <f>Tabella1[[#This Row],[Denominazione]]&amp;" - "&amp;Tabella1[[#This Row],[Città]]</f>
        <v>B&amp;B A CASA MIA - SIROLO</v>
      </c>
    </row>
    <row r="767" spans="1:8" x14ac:dyDescent="0.25">
      <c r="A767" s="1" t="s">
        <v>29</v>
      </c>
      <c r="B767" s="1" t="s">
        <v>4902</v>
      </c>
      <c r="C767" s="1" t="s">
        <v>11432</v>
      </c>
      <c r="D767" s="1" t="s">
        <v>11244</v>
      </c>
      <c r="E767" s="1" t="s">
        <v>11244</v>
      </c>
      <c r="H767" s="2" t="str">
        <f>Tabella1[[#This Row],[Denominazione]]&amp;" - "&amp;Tabella1[[#This Row],[Città]]</f>
        <v>B&amp;B A CASA MIA - CIVITANOVA MARCHE</v>
      </c>
    </row>
    <row r="768" spans="1:8" x14ac:dyDescent="0.25">
      <c r="A768" s="1" t="s">
        <v>29</v>
      </c>
      <c r="B768" s="1" t="s">
        <v>11299</v>
      </c>
      <c r="C768" s="1" t="s">
        <v>11300</v>
      </c>
      <c r="D768" s="1" t="s">
        <v>11244</v>
      </c>
      <c r="G768" s="1" t="s">
        <v>11301</v>
      </c>
      <c r="H768" s="2" t="str">
        <f>Tabella1[[#This Row],[Denominazione]]&amp;" - "&amp;Tabella1[[#This Row],[Città]]</f>
        <v>B&amp;B A CASA TUA - CIVITANOVA MARCHE</v>
      </c>
    </row>
    <row r="769" spans="1:8" x14ac:dyDescent="0.25">
      <c r="A769" s="1" t="s">
        <v>29</v>
      </c>
      <c r="B769" s="1" t="s">
        <v>7397</v>
      </c>
      <c r="C769" s="1" t="s">
        <v>7398</v>
      </c>
      <c r="D769" s="1" t="s">
        <v>7385</v>
      </c>
      <c r="E769" s="1" t="s">
        <v>7399</v>
      </c>
      <c r="G769" s="1" t="s">
        <v>7400</v>
      </c>
      <c r="H769" s="2" t="str">
        <f>Tabella1[[#This Row],[Denominazione]]&amp;" - "&amp;Tabella1[[#This Row],[Città]]</f>
        <v>B&amp;B A DUE PASSI - LORETO</v>
      </c>
    </row>
    <row r="770" spans="1:8" x14ac:dyDescent="0.25">
      <c r="A770" s="1" t="s">
        <v>29</v>
      </c>
      <c r="B770" s="1" t="s">
        <v>7397</v>
      </c>
      <c r="C770" s="1" t="s">
        <v>14987</v>
      </c>
      <c r="D770" s="1" t="s">
        <v>14576</v>
      </c>
      <c r="E770" s="1" t="s">
        <v>14582</v>
      </c>
      <c r="G770" s="1" t="s">
        <v>14988</v>
      </c>
      <c r="H770" s="2" t="str">
        <f>Tabella1[[#This Row],[Denominazione]]&amp;" - "&amp;Tabella1[[#This Row],[Città]]</f>
        <v>B&amp;B A DUE PASSI - ASCOLI PICENO</v>
      </c>
    </row>
    <row r="771" spans="1:8" x14ac:dyDescent="0.25">
      <c r="A771" s="1" t="s">
        <v>29</v>
      </c>
      <c r="B771" s="1" t="s">
        <v>8031</v>
      </c>
      <c r="C771" s="1" t="s">
        <v>8032</v>
      </c>
      <c r="D771" s="1" t="s">
        <v>7889</v>
      </c>
      <c r="E771" s="1" t="s">
        <v>7889</v>
      </c>
      <c r="F771" s="1" t="s">
        <v>8033</v>
      </c>
      <c r="G771" s="1" t="s">
        <v>8034</v>
      </c>
      <c r="H771" s="2" t="str">
        <f>Tabella1[[#This Row],[Denominazione]]&amp;" - "&amp;Tabella1[[#This Row],[Città]]</f>
        <v>B&amp;B A DUE PASSI DAL MARE - NUMANA</v>
      </c>
    </row>
    <row r="772" spans="1:8" x14ac:dyDescent="0.25">
      <c r="A772" s="1" t="s">
        <v>29</v>
      </c>
      <c r="B772" s="1" t="s">
        <v>8031</v>
      </c>
      <c r="C772" s="1" t="s">
        <v>9391</v>
      </c>
      <c r="D772" s="1" t="s">
        <v>8949</v>
      </c>
      <c r="G772" s="1" t="s">
        <v>9392</v>
      </c>
      <c r="H772" s="2" t="str">
        <f>Tabella1[[#This Row],[Denominazione]]&amp;" - "&amp;Tabella1[[#This Row],[Città]]</f>
        <v>B&amp;B A DUE PASSI DAL MARE - SENIGALLIA</v>
      </c>
    </row>
    <row r="773" spans="1:8" x14ac:dyDescent="0.25">
      <c r="A773" s="1" t="s">
        <v>29</v>
      </c>
      <c r="B773" s="1" t="s">
        <v>9400</v>
      </c>
      <c r="C773" s="1" t="s">
        <v>9401</v>
      </c>
      <c r="D773" s="1" t="s">
        <v>8949</v>
      </c>
      <c r="E773" s="1" t="s">
        <v>8949</v>
      </c>
      <c r="F773" s="1" t="s">
        <v>9402</v>
      </c>
      <c r="G773" s="1" t="s">
        <v>9403</v>
      </c>
      <c r="H773" s="2" t="str">
        <f>Tabella1[[#This Row],[Denominazione]]&amp;" - "&amp;Tabella1[[#This Row],[Città]]</f>
        <v>B&amp;B A MARE di PALADINI PATRIZIA - SENIGALLIA</v>
      </c>
    </row>
    <row r="774" spans="1:8" x14ac:dyDescent="0.25">
      <c r="A774" s="1" t="s">
        <v>29</v>
      </c>
      <c r="B774" s="1" t="s">
        <v>18076</v>
      </c>
      <c r="C774" s="1" t="s">
        <v>18077</v>
      </c>
      <c r="D774" s="1" t="s">
        <v>17932</v>
      </c>
      <c r="E774" s="1" t="s">
        <v>17932</v>
      </c>
      <c r="F774" s="1" t="s">
        <v>18078</v>
      </c>
      <c r="G774" s="1" t="s">
        <v>18079</v>
      </c>
      <c r="H774" s="2" t="str">
        <f>Tabella1[[#This Row],[Denominazione]]&amp;" - "&amp;Tabella1[[#This Row],[Città]]</f>
        <v>B&amp;B A PALAZZO - FERMO</v>
      </c>
    </row>
    <row r="775" spans="1:8" x14ac:dyDescent="0.25">
      <c r="A775" s="1" t="s">
        <v>29</v>
      </c>
      <c r="B775" s="1" t="s">
        <v>7547</v>
      </c>
      <c r="C775" s="1" t="s">
        <v>7548</v>
      </c>
      <c r="D775" s="1" t="s">
        <v>7385</v>
      </c>
      <c r="F775" s="1" t="s">
        <v>7549</v>
      </c>
      <c r="G775" s="1" t="s">
        <v>7550</v>
      </c>
      <c r="H775" s="2" t="str">
        <f>Tabella1[[#This Row],[Denominazione]]&amp;" - "&amp;Tabella1[[#This Row],[Città]]</f>
        <v>B&amp;B A PORTATA DI MARE - LORETO</v>
      </c>
    </row>
    <row r="776" spans="1:8" x14ac:dyDescent="0.25">
      <c r="A776" s="1" t="s">
        <v>29</v>
      </c>
      <c r="B776" s="1" t="s">
        <v>4986</v>
      </c>
      <c r="C776" s="1" t="s">
        <v>4987</v>
      </c>
      <c r="D776" s="1" t="s">
        <v>9</v>
      </c>
      <c r="E776" s="1" t="s">
        <v>9</v>
      </c>
      <c r="F776" s="1" t="s">
        <v>4988</v>
      </c>
      <c r="G776" s="1" t="s">
        <v>4989</v>
      </c>
      <c r="H776" s="2" t="str">
        <f>Tabella1[[#This Row],[Denominazione]]&amp;" - "&amp;Tabella1[[#This Row],[Città]]</f>
        <v>B&amp;B ABACO - ALMA DOMUS - URBINO</v>
      </c>
    </row>
    <row r="777" spans="1:8" x14ac:dyDescent="0.25">
      <c r="A777" s="1" t="s">
        <v>29</v>
      </c>
      <c r="B777" s="1" t="s">
        <v>8478</v>
      </c>
      <c r="C777" s="1" t="s">
        <v>8479</v>
      </c>
      <c r="D777" s="1" t="s">
        <v>8454</v>
      </c>
      <c r="F777" s="1" t="s">
        <v>8480</v>
      </c>
      <c r="G777" s="1" t="s">
        <v>8481</v>
      </c>
      <c r="H777" s="2" t="str">
        <f>Tabella1[[#This Row],[Denominazione]]&amp;" - "&amp;Tabella1[[#This Row],[Città]]</f>
        <v>B&amp;B ABBADIA 14 - OSIMO</v>
      </c>
    </row>
    <row r="778" spans="1:8" x14ac:dyDescent="0.25">
      <c r="A778" s="1" t="s">
        <v>29</v>
      </c>
      <c r="B778" s="1" t="s">
        <v>10115</v>
      </c>
      <c r="C778" s="1" t="s">
        <v>10116</v>
      </c>
      <c r="D778" s="1" t="s">
        <v>10117</v>
      </c>
      <c r="E778" s="1" t="s">
        <v>10118</v>
      </c>
      <c r="G778" s="1" t="s">
        <v>10119</v>
      </c>
      <c r="H778" s="2" t="str">
        <f>Tabella1[[#This Row],[Denominazione]]&amp;" - "&amp;Tabella1[[#This Row],[Città]]</f>
        <v>B&amp;B ABBAZIA SANT'ELENA - SERRA SAN QUIRICO</v>
      </c>
    </row>
    <row r="779" spans="1:8" x14ac:dyDescent="0.25">
      <c r="A779" s="1" t="s">
        <v>29</v>
      </c>
      <c r="B779" s="1" t="s">
        <v>4982</v>
      </c>
      <c r="C779" s="1" t="s">
        <v>4983</v>
      </c>
      <c r="D779" s="1" t="s">
        <v>9</v>
      </c>
      <c r="E779" s="1" t="s">
        <v>9</v>
      </c>
      <c r="F779" s="1" t="s">
        <v>4984</v>
      </c>
      <c r="G779" s="1" t="s">
        <v>4985</v>
      </c>
      <c r="H779" s="2" t="str">
        <f>Tabella1[[#This Row],[Denominazione]]&amp;" - "&amp;Tabella1[[#This Row],[Città]]</f>
        <v>B&amp;B ACACIA - URBINO</v>
      </c>
    </row>
    <row r="780" spans="1:8" x14ac:dyDescent="0.25">
      <c r="A780" s="1" t="s">
        <v>29</v>
      </c>
      <c r="B780" s="1" t="s">
        <v>10789</v>
      </c>
      <c r="C780" s="1" t="s">
        <v>10790</v>
      </c>
      <c r="D780" s="1" t="s">
        <v>10737</v>
      </c>
      <c r="E780" s="1" t="s">
        <v>10791</v>
      </c>
      <c r="F780" s="1" t="s">
        <v>10792</v>
      </c>
      <c r="G780" s="1" t="s">
        <v>10793</v>
      </c>
      <c r="H780" s="2" t="str">
        <f>Tabella1[[#This Row],[Denominazione]]&amp;" - "&amp;Tabella1[[#This Row],[Città]]</f>
        <v>B&amp;B ACANTO GARDEN - CAMERINO</v>
      </c>
    </row>
    <row r="781" spans="1:8" x14ac:dyDescent="0.25">
      <c r="A781" s="1" t="s">
        <v>29</v>
      </c>
      <c r="B781" s="1" t="s">
        <v>18444</v>
      </c>
      <c r="C781" s="1" t="s">
        <v>18445</v>
      </c>
      <c r="D781" s="1" t="s">
        <v>18389</v>
      </c>
      <c r="E781" s="1" t="s">
        <v>17932</v>
      </c>
      <c r="F781" s="1" t="s">
        <v>18446</v>
      </c>
      <c r="G781" s="1" t="s">
        <v>18447</v>
      </c>
      <c r="H781" s="2" t="str">
        <f>Tabella1[[#This Row],[Denominazione]]&amp;" - "&amp;Tabella1[[#This Row],[Città]]</f>
        <v>B&amp;B ACERO CAMPESTRE - LAPEDONA</v>
      </c>
    </row>
    <row r="782" spans="1:8" x14ac:dyDescent="0.25">
      <c r="A782" s="1" t="s">
        <v>29</v>
      </c>
      <c r="B782" s="1" t="s">
        <v>15633</v>
      </c>
      <c r="C782" s="1" t="s">
        <v>15634</v>
      </c>
      <c r="D782" s="1" t="s">
        <v>15585</v>
      </c>
      <c r="G782" s="1" t="s">
        <v>15635</v>
      </c>
      <c r="H782" s="2" t="str">
        <f>Tabella1[[#This Row],[Denominazione]]&amp;" - "&amp;Tabella1[[#This Row],[Città]]</f>
        <v>B&amp;B ACQUA MARINA - GROTTAMMARE</v>
      </c>
    </row>
    <row r="783" spans="1:8" x14ac:dyDescent="0.25">
      <c r="A783" s="1" t="s">
        <v>29</v>
      </c>
      <c r="B783" s="1" t="s">
        <v>17092</v>
      </c>
      <c r="C783" s="1" t="s">
        <v>17093</v>
      </c>
      <c r="D783" s="1" t="s">
        <v>15819</v>
      </c>
      <c r="E783" s="1" t="s">
        <v>15819</v>
      </c>
      <c r="F783" s="1" t="s">
        <v>17094</v>
      </c>
      <c r="G783" s="1" t="s">
        <v>17095</v>
      </c>
      <c r="H783" s="2" t="str">
        <f>Tabella1[[#This Row],[Denominazione]]&amp;" - "&amp;Tabella1[[#This Row],[Città]]</f>
        <v>B&amp;B ADRIATICO - SAN BENEDETTO DEL TRONTO</v>
      </c>
    </row>
    <row r="784" spans="1:8" x14ac:dyDescent="0.25">
      <c r="A784" s="1" t="s">
        <v>29</v>
      </c>
      <c r="B784" s="1" t="s">
        <v>7325</v>
      </c>
      <c r="C784" s="1" t="s">
        <v>7326</v>
      </c>
      <c r="D784" s="1" t="s">
        <v>7254</v>
      </c>
      <c r="E784" s="1" t="s">
        <v>7254</v>
      </c>
      <c r="F784" s="1" t="s">
        <v>7327</v>
      </c>
      <c r="G784" s="1" t="s">
        <v>7328</v>
      </c>
      <c r="H784" s="2" t="str">
        <f>Tabella1[[#This Row],[Denominazione]]&amp;" - "&amp;Tabella1[[#This Row],[Città]]</f>
        <v>B&amp;B AESIS - LA DOLCE COLLINA - JESI</v>
      </c>
    </row>
    <row r="785" spans="1:8" x14ac:dyDescent="0.25">
      <c r="A785" s="1" t="s">
        <v>29</v>
      </c>
      <c r="B785" s="1" t="s">
        <v>8710</v>
      </c>
      <c r="C785" s="1" t="s">
        <v>8711</v>
      </c>
      <c r="D785" s="1" t="s">
        <v>8683</v>
      </c>
      <c r="G785" s="1" t="s">
        <v>8712</v>
      </c>
      <c r="H785" s="2" t="str">
        <f>Tabella1[[#This Row],[Denominazione]]&amp;" - "&amp;Tabella1[[#This Row],[Città]]</f>
        <v>B&amp;B AGLI ULIVI DI MASCIO - OSTRA VETERE</v>
      </c>
    </row>
    <row r="786" spans="1:8" x14ac:dyDescent="0.25">
      <c r="A786" s="1" t="s">
        <v>29</v>
      </c>
      <c r="B786" s="1" t="s">
        <v>10741</v>
      </c>
      <c r="C786" s="1" t="s">
        <v>10742</v>
      </c>
      <c r="D786" s="1" t="s">
        <v>10737</v>
      </c>
      <c r="E786" s="1" t="s">
        <v>10737</v>
      </c>
      <c r="G786" s="1" t="s">
        <v>10743</v>
      </c>
      <c r="H786" s="2" t="str">
        <f>Tabella1[[#This Row],[Denominazione]]&amp;" - "&amp;Tabella1[[#This Row],[Città]]</f>
        <v>B&amp;B AGNANO PICCOLO - CAMERINO</v>
      </c>
    </row>
    <row r="787" spans="1:8" x14ac:dyDescent="0.25">
      <c r="A787" s="1" t="s">
        <v>29</v>
      </c>
      <c r="B787" s="1" t="s">
        <v>3945</v>
      </c>
      <c r="C787" s="1" t="s">
        <v>3946</v>
      </c>
      <c r="D787" s="1" t="s">
        <v>2386</v>
      </c>
      <c r="E787" s="1" t="s">
        <v>2386</v>
      </c>
      <c r="G787" s="1" t="s">
        <v>3947</v>
      </c>
      <c r="H787" s="2" t="str">
        <f>Tabella1[[#This Row],[Denominazione]]&amp;" - "&amp;Tabella1[[#This Row],[Città]]</f>
        <v>B&amp;B AGORA' - PESARO</v>
      </c>
    </row>
    <row r="788" spans="1:8" x14ac:dyDescent="0.25">
      <c r="A788" s="1" t="s">
        <v>29</v>
      </c>
      <c r="B788" s="1" t="s">
        <v>3945</v>
      </c>
      <c r="C788" s="1" t="s">
        <v>7416</v>
      </c>
      <c r="D788" s="1" t="s">
        <v>7385</v>
      </c>
      <c r="F788" s="1" t="s">
        <v>7417</v>
      </c>
      <c r="G788" s="1" t="s">
        <v>7418</v>
      </c>
      <c r="H788" s="2" t="str">
        <f>Tabella1[[#This Row],[Denominazione]]&amp;" - "&amp;Tabella1[[#This Row],[Città]]</f>
        <v>B&amp;B AGORA' - LORETO</v>
      </c>
    </row>
    <row r="789" spans="1:8" x14ac:dyDescent="0.25">
      <c r="A789" s="1" t="s">
        <v>29</v>
      </c>
      <c r="B789" s="1" t="s">
        <v>18465</v>
      </c>
      <c r="C789" s="1" t="s">
        <v>18466</v>
      </c>
      <c r="D789" s="1" t="s">
        <v>18463</v>
      </c>
      <c r="G789" s="1" t="s">
        <v>18467</v>
      </c>
      <c r="H789" s="2" t="str">
        <f>Tabella1[[#This Row],[Denominazione]]&amp;" - "&amp;Tabella1[[#This Row],[Città]]</f>
        <v>B&amp;B AGRICOLA LE GRAZIE - MAGLIANO DI TENNA</v>
      </c>
    </row>
    <row r="790" spans="1:8" x14ac:dyDescent="0.25">
      <c r="A790" s="1" t="s">
        <v>29</v>
      </c>
      <c r="B790" s="1" t="s">
        <v>19610</v>
      </c>
      <c r="C790" s="1" t="s">
        <v>19611</v>
      </c>
      <c r="D790" s="1" t="s">
        <v>19541</v>
      </c>
      <c r="G790" s="1" t="s">
        <v>19612</v>
      </c>
      <c r="H790" s="2" t="str">
        <f>Tabella1[[#This Row],[Denominazione]]&amp;" - "&amp;Tabella1[[#This Row],[Città]]</f>
        <v>B&amp;B AGRIFOGLIO - SANT'ELPIDIO A MARE</v>
      </c>
    </row>
    <row r="791" spans="1:8" x14ac:dyDescent="0.25">
      <c r="A791" s="1" t="s">
        <v>29</v>
      </c>
      <c r="B791" s="1" t="s">
        <v>5018</v>
      </c>
      <c r="C791" s="1" t="s">
        <v>5019</v>
      </c>
      <c r="D791" s="1" t="s">
        <v>9</v>
      </c>
      <c r="E791" s="1" t="s">
        <v>9</v>
      </c>
      <c r="F791" s="1" t="s">
        <v>5020</v>
      </c>
      <c r="G791" s="1" t="s">
        <v>4973</v>
      </c>
      <c r="H791" s="2" t="str">
        <f>Tabella1[[#This Row],[Denominazione]]&amp;" - "&amp;Tabella1[[#This Row],[Città]]</f>
        <v>B&amp;B AI CIPRESSI - URBINO</v>
      </c>
    </row>
    <row r="792" spans="1:8" x14ac:dyDescent="0.25">
      <c r="A792" s="1" t="s">
        <v>29</v>
      </c>
      <c r="B792" s="1" t="s">
        <v>1885</v>
      </c>
      <c r="C792" s="1" t="s">
        <v>1886</v>
      </c>
      <c r="D792" s="1" t="s">
        <v>356</v>
      </c>
      <c r="E792" s="1" t="s">
        <v>356</v>
      </c>
      <c r="F792" s="1" t="s">
        <v>1887</v>
      </c>
      <c r="G792" s="1" t="s">
        <v>1888</v>
      </c>
      <c r="H792" s="2" t="str">
        <f>Tabella1[[#This Row],[Denominazione]]&amp;" - "&amp;Tabella1[[#This Row],[Città]]</f>
        <v>B&amp;B AI PIEDI DEL CATRIA - FRONTONE</v>
      </c>
    </row>
    <row r="793" spans="1:8" x14ac:dyDescent="0.25">
      <c r="A793" s="1" t="s">
        <v>29</v>
      </c>
      <c r="B793" s="1" t="s">
        <v>18853</v>
      </c>
      <c r="C793" s="1" t="s">
        <v>18854</v>
      </c>
      <c r="D793" s="1" t="s">
        <v>18842</v>
      </c>
      <c r="F793" s="1" t="s">
        <v>18855</v>
      </c>
      <c r="G793" s="1" t="s">
        <v>18856</v>
      </c>
      <c r="H793" s="2" t="str">
        <f>Tabella1[[#This Row],[Denominazione]]&amp;" - "&amp;Tabella1[[#This Row],[Città]]</f>
        <v>B&amp;B AI QUATTRO ULIVI - MONTE URANO</v>
      </c>
    </row>
    <row r="794" spans="1:8" x14ac:dyDescent="0.25">
      <c r="A794" s="1" t="s">
        <v>29</v>
      </c>
      <c r="B794" s="1" t="s">
        <v>662</v>
      </c>
      <c r="C794" s="1" t="s">
        <v>663</v>
      </c>
      <c r="D794" s="1" t="s">
        <v>634</v>
      </c>
      <c r="E794" s="1" t="s">
        <v>634</v>
      </c>
      <c r="F794" s="1" t="s">
        <v>664</v>
      </c>
      <c r="G794" s="1" t="s">
        <v>665</v>
      </c>
      <c r="H794" s="2" t="str">
        <f>Tabella1[[#This Row],[Denominazione]]&amp;" - "&amp;Tabella1[[#This Row],[Città]]</f>
        <v>B&amp;B AILANTO - CARTOCETO</v>
      </c>
    </row>
    <row r="795" spans="1:8" x14ac:dyDescent="0.25">
      <c r="A795" s="1" t="s">
        <v>29</v>
      </c>
      <c r="B795" s="1" t="s">
        <v>12002</v>
      </c>
      <c r="C795" s="1" t="s">
        <v>12003</v>
      </c>
      <c r="D795" s="1" t="s">
        <v>11981</v>
      </c>
      <c r="E795" s="1" t="s">
        <v>11981</v>
      </c>
      <c r="F795" s="1" t="s">
        <v>12004</v>
      </c>
      <c r="G795" s="1" t="s">
        <v>12005</v>
      </c>
      <c r="H795" s="2" t="str">
        <f>Tabella1[[#This Row],[Denominazione]]&amp;" - "&amp;Tabella1[[#This Row],[Città]]</f>
        <v>B&amp;B AL CASALE - LORO PICENO</v>
      </c>
    </row>
    <row r="796" spans="1:8" x14ac:dyDescent="0.25">
      <c r="A796" s="1" t="s">
        <v>29</v>
      </c>
      <c r="B796" s="1" t="s">
        <v>14803</v>
      </c>
      <c r="C796" s="1" t="s">
        <v>14804</v>
      </c>
      <c r="D796" s="1" t="s">
        <v>14576</v>
      </c>
      <c r="E796" s="1" t="s">
        <v>14576</v>
      </c>
      <c r="H796" s="2" t="str">
        <f>Tabella1[[#This Row],[Denominazione]]&amp;" - "&amp;Tabella1[[#This Row],[Città]]</f>
        <v>B&amp;B AL CASTELLANO - ASCOLI PICENO</v>
      </c>
    </row>
    <row r="797" spans="1:8" x14ac:dyDescent="0.25">
      <c r="A797" s="1" t="s">
        <v>29</v>
      </c>
      <c r="B797" s="1" t="s">
        <v>4370</v>
      </c>
      <c r="C797" s="1" t="s">
        <v>4371</v>
      </c>
      <c r="D797" s="1" t="s">
        <v>4359</v>
      </c>
      <c r="E797" s="1" t="s">
        <v>4372</v>
      </c>
      <c r="F797" s="1" t="s">
        <v>4373</v>
      </c>
      <c r="G797" s="1" t="s">
        <v>4374</v>
      </c>
      <c r="H797" s="2" t="str">
        <f>Tabella1[[#This Row],[Denominazione]]&amp;" - "&amp;Tabella1[[#This Row],[Città]]</f>
        <v>B&amp;B AL CASTELLO DI MONTALFOGLIO - SAN LORENZO IN CAMPO</v>
      </c>
    </row>
    <row r="798" spans="1:8" x14ac:dyDescent="0.25">
      <c r="A798" s="1" t="s">
        <v>29</v>
      </c>
      <c r="B798" s="1" t="s">
        <v>10395</v>
      </c>
      <c r="C798" s="1" t="s">
        <v>10396</v>
      </c>
      <c r="D798" s="1" t="s">
        <v>10206</v>
      </c>
      <c r="E798" s="1" t="s">
        <v>10206</v>
      </c>
      <c r="F798" s="1" t="s">
        <v>10397</v>
      </c>
      <c r="G798" s="1" t="s">
        <v>10398</v>
      </c>
      <c r="H798" s="2" t="str">
        <f>Tabella1[[#This Row],[Denominazione]]&amp;" - "&amp;Tabella1[[#This Row],[Città]]</f>
        <v>B&amp;B AL COPPO - SIROLO</v>
      </c>
    </row>
    <row r="799" spans="1:8" x14ac:dyDescent="0.25">
      <c r="A799" s="1" t="s">
        <v>29</v>
      </c>
      <c r="B799" s="1" t="s">
        <v>11111</v>
      </c>
      <c r="C799" s="1" t="s">
        <v>11112</v>
      </c>
      <c r="D799" s="1" t="s">
        <v>11058</v>
      </c>
      <c r="E799" s="1" t="s">
        <v>11058</v>
      </c>
      <c r="F799" s="1" t="s">
        <v>11113</v>
      </c>
      <c r="G799" s="1" t="s">
        <v>11114</v>
      </c>
      <c r="H799" s="2" t="str">
        <f>Tabella1[[#This Row],[Denominazione]]&amp;" - "&amp;Tabella1[[#This Row],[Città]]</f>
        <v>B&amp;B AL MAGO RANCH con scuola d'equitazione - CINGOLI</v>
      </c>
    </row>
    <row r="800" spans="1:8" x14ac:dyDescent="0.25">
      <c r="A800" s="1" t="s">
        <v>29</v>
      </c>
      <c r="B800" s="1" t="s">
        <v>17877</v>
      </c>
      <c r="C800" s="1" t="s">
        <v>17878</v>
      </c>
      <c r="D800" s="1" t="s">
        <v>17839</v>
      </c>
      <c r="E800" s="1" t="s">
        <v>17879</v>
      </c>
      <c r="H800" s="2" t="str">
        <f>Tabella1[[#This Row],[Denominazione]]&amp;" - "&amp;Tabella1[[#This Row],[Città]]</f>
        <v>B&amp;B AL MARE - CAMPOFILONE</v>
      </c>
    </row>
    <row r="801" spans="1:8" x14ac:dyDescent="0.25">
      <c r="A801" s="1" t="s">
        <v>29</v>
      </c>
      <c r="B801" s="1" t="s">
        <v>17877</v>
      </c>
      <c r="C801" s="1" t="s">
        <v>19039</v>
      </c>
      <c r="D801" s="1" t="s">
        <v>18082</v>
      </c>
      <c r="E801" s="1" t="s">
        <v>18082</v>
      </c>
      <c r="F801" s="1" t="s">
        <v>19040</v>
      </c>
      <c r="G801" s="1" t="s">
        <v>19041</v>
      </c>
      <c r="H801" s="2" t="str">
        <f>Tabella1[[#This Row],[Denominazione]]&amp;" - "&amp;Tabella1[[#This Row],[Città]]</f>
        <v>B&amp;B AL MARE - PORTO SAN GIORGIO</v>
      </c>
    </row>
    <row r="802" spans="1:8" x14ac:dyDescent="0.25">
      <c r="A802" s="1" t="s">
        <v>29</v>
      </c>
      <c r="B802" s="1" t="s">
        <v>19252</v>
      </c>
      <c r="C802" s="1" t="s">
        <v>19253</v>
      </c>
      <c r="D802" s="1" t="s">
        <v>18082</v>
      </c>
      <c r="F802" s="1" t="s">
        <v>19040</v>
      </c>
      <c r="G802" s="1" t="s">
        <v>19041</v>
      </c>
      <c r="H802" s="2" t="str">
        <f>Tabella1[[#This Row],[Denominazione]]&amp;" - "&amp;Tabella1[[#This Row],[Città]]</f>
        <v>B&amp;B AL MARE di STEFANIA D'ANGELO - PORTO SAN GIORGIO</v>
      </c>
    </row>
    <row r="803" spans="1:8" x14ac:dyDescent="0.25">
      <c r="A803" s="1" t="s">
        <v>29</v>
      </c>
      <c r="B803" s="1" t="s">
        <v>1739</v>
      </c>
      <c r="C803" s="1" t="s">
        <v>1740</v>
      </c>
      <c r="D803" s="1" t="s">
        <v>1724</v>
      </c>
      <c r="E803" s="1" t="s">
        <v>1724</v>
      </c>
      <c r="F803" s="1" t="s">
        <v>1741</v>
      </c>
      <c r="G803" s="1" t="s">
        <v>1742</v>
      </c>
      <c r="H803" s="2" t="str">
        <f>Tabella1[[#This Row],[Denominazione]]&amp;" - "&amp;Tabella1[[#This Row],[Città]]</f>
        <v>B&amp;B AL MULINO - FOSSOMBRONE</v>
      </c>
    </row>
    <row r="804" spans="1:8" x14ac:dyDescent="0.25">
      <c r="A804" s="1" t="s">
        <v>29</v>
      </c>
      <c r="B804" s="1" t="s">
        <v>5010</v>
      </c>
      <c r="C804" s="1" t="s">
        <v>5011</v>
      </c>
      <c r="D804" s="1" t="s">
        <v>9</v>
      </c>
      <c r="E804" s="1" t="s">
        <v>9</v>
      </c>
      <c r="G804" s="1" t="s">
        <v>5012</v>
      </c>
      <c r="H804" s="2" t="str">
        <f>Tabella1[[#This Row],[Denominazione]]&amp;" - "&amp;Tabella1[[#This Row],[Città]]</f>
        <v>B&amp;B AL NIDO - URBINO</v>
      </c>
    </row>
    <row r="805" spans="1:8" x14ac:dyDescent="0.25">
      <c r="A805" s="1" t="s">
        <v>29</v>
      </c>
      <c r="B805" s="1" t="s">
        <v>6265</v>
      </c>
      <c r="C805" s="1" t="s">
        <v>6266</v>
      </c>
      <c r="D805" s="1" t="s">
        <v>6262</v>
      </c>
      <c r="E805" s="1" t="s">
        <v>6262</v>
      </c>
      <c r="F805" s="1" t="s">
        <v>6267</v>
      </c>
      <c r="G805" s="1" t="s">
        <v>6268</v>
      </c>
      <c r="H805" s="2" t="str">
        <f>Tabella1[[#This Row],[Denominazione]]&amp;" - "&amp;Tabella1[[#This Row],[Città]]</f>
        <v>B&amp;B AL RIFUGIO DiVINO DI LANDI LUCIANO - BELVEDERE OSTRENSE</v>
      </c>
    </row>
    <row r="806" spans="1:8" x14ac:dyDescent="0.25">
      <c r="A806" s="1" t="s">
        <v>29</v>
      </c>
      <c r="B806" s="1" t="s">
        <v>11428</v>
      </c>
      <c r="C806" s="1" t="s">
        <v>11429</v>
      </c>
      <c r="D806" s="1" t="s">
        <v>11244</v>
      </c>
      <c r="E806" s="1" t="s">
        <v>11244</v>
      </c>
      <c r="F806" s="1" t="s">
        <v>11430</v>
      </c>
      <c r="G806" s="1" t="s">
        <v>11431</v>
      </c>
      <c r="H806" s="2" t="str">
        <f>Tabella1[[#This Row],[Denominazione]]&amp;" - "&amp;Tabella1[[#This Row],[Città]]</f>
        <v>B&amp;B AL SOLE - CIVITANOVA MARCHE</v>
      </c>
    </row>
    <row r="807" spans="1:8" x14ac:dyDescent="0.25">
      <c r="A807" s="1" t="s">
        <v>29</v>
      </c>
      <c r="B807" s="1" t="s">
        <v>14839</v>
      </c>
      <c r="C807" s="1" t="s">
        <v>14840</v>
      </c>
      <c r="D807" s="1" t="s">
        <v>14576</v>
      </c>
      <c r="E807" s="1" t="s">
        <v>14576</v>
      </c>
      <c r="F807" s="1" t="s">
        <v>14841</v>
      </c>
      <c r="G807" s="1" t="s">
        <v>14842</v>
      </c>
      <c r="H807" s="2" t="str">
        <f>Tabella1[[#This Row],[Denominazione]]&amp;" - "&amp;Tabella1[[#This Row],[Città]]</f>
        <v>B&amp;B AL TRIVIO - ASCOLI PICENO</v>
      </c>
    </row>
    <row r="808" spans="1:8" x14ac:dyDescent="0.25">
      <c r="A808" s="1" t="s">
        <v>29</v>
      </c>
      <c r="B808" s="1" t="s">
        <v>6643</v>
      </c>
      <c r="C808" s="1" t="s">
        <v>6644</v>
      </c>
      <c r="D808" s="1" t="s">
        <v>6536</v>
      </c>
      <c r="E808" s="1" t="s">
        <v>6536</v>
      </c>
      <c r="F808" s="1" t="s">
        <v>6645</v>
      </c>
      <c r="G808" s="1" t="s">
        <v>6646</v>
      </c>
      <c r="H808" s="2" t="str">
        <f>Tabella1[[#This Row],[Denominazione]]&amp;" - "&amp;Tabella1[[#This Row],[Città]]</f>
        <v>B&amp;B AL VECCHIO CIPRESSO - CORINALDO</v>
      </c>
    </row>
    <row r="809" spans="1:8" x14ac:dyDescent="0.25">
      <c r="A809" s="1" t="s">
        <v>29</v>
      </c>
      <c r="B809" s="1" t="s">
        <v>10455</v>
      </c>
      <c r="C809" s="1" t="s">
        <v>10456</v>
      </c>
      <c r="D809" s="1" t="s">
        <v>10206</v>
      </c>
      <c r="E809" s="1" t="s">
        <v>10206</v>
      </c>
      <c r="G809" s="1" t="s">
        <v>10457</v>
      </c>
      <c r="H809" s="2" t="str">
        <f>Tabella1[[#This Row],[Denominazione]]&amp;" - "&amp;Tabella1[[#This Row],[Città]]</f>
        <v>B&amp;B AL VECCHIO OLMO - SIROLO</v>
      </c>
    </row>
    <row r="810" spans="1:8" x14ac:dyDescent="0.25">
      <c r="A810" s="1" t="s">
        <v>29</v>
      </c>
      <c r="B810" s="1" t="s">
        <v>826</v>
      </c>
      <c r="C810" s="1" t="s">
        <v>827</v>
      </c>
      <c r="D810" s="1" t="s">
        <v>682</v>
      </c>
      <c r="E810" s="1" t="s">
        <v>828</v>
      </c>
      <c r="F810" s="1" t="s">
        <v>829</v>
      </c>
      <c r="G810" s="1" t="s">
        <v>830</v>
      </c>
      <c r="H810" s="2" t="str">
        <f>Tabella1[[#This Row],[Denominazione]]&amp;" - "&amp;Tabella1[[#This Row],[Città]]</f>
        <v>B&amp;B AL VILLINO DEL SOLE - FANO</v>
      </c>
    </row>
    <row r="811" spans="1:8" x14ac:dyDescent="0.25">
      <c r="A811" s="1" t="s">
        <v>29</v>
      </c>
      <c r="B811" s="1" t="s">
        <v>9365</v>
      </c>
      <c r="C811" s="1" t="s">
        <v>9366</v>
      </c>
      <c r="D811" s="1" t="s">
        <v>8949</v>
      </c>
      <c r="G811" s="1" t="s">
        <v>9367</v>
      </c>
      <c r="H811" s="2" t="str">
        <f>Tabella1[[#This Row],[Denominazione]]&amp;" - "&amp;Tabella1[[#This Row],[Città]]</f>
        <v>B&amp;B AL VIVERE VERDE - SENIGALLIA</v>
      </c>
    </row>
    <row r="812" spans="1:8" x14ac:dyDescent="0.25">
      <c r="A812" s="1" t="s">
        <v>29</v>
      </c>
      <c r="B812" s="1" t="s">
        <v>3120</v>
      </c>
      <c r="C812" s="1" t="s">
        <v>3121</v>
      </c>
      <c r="D812" s="1" t="s">
        <v>3100</v>
      </c>
      <c r="G812" s="1" t="s">
        <v>3122</v>
      </c>
      <c r="H812" s="2" t="str">
        <f>Tabella1[[#This Row],[Denominazione]]&amp;" - "&amp;Tabella1[[#This Row],[Città]]</f>
        <v>B&amp;B ALAN ERIC NEILSON - MONTEFELCINO</v>
      </c>
    </row>
    <row r="813" spans="1:8" x14ac:dyDescent="0.25">
      <c r="A813" s="1" t="s">
        <v>29</v>
      </c>
      <c r="B813" s="1" t="s">
        <v>3123</v>
      </c>
      <c r="C813" s="1" t="s">
        <v>3124</v>
      </c>
      <c r="D813" s="1" t="s">
        <v>3100</v>
      </c>
      <c r="E813" s="1" t="s">
        <v>3125</v>
      </c>
      <c r="G813" s="1" t="s">
        <v>3126</v>
      </c>
      <c r="H813" s="2" t="str">
        <f>Tabella1[[#This Row],[Denominazione]]&amp;" - "&amp;Tabella1[[#This Row],[Città]]</f>
        <v>B&amp;B ALBA CHIARA - MONTEFELCINO</v>
      </c>
    </row>
    <row r="814" spans="1:8" x14ac:dyDescent="0.25">
      <c r="A814" s="1" t="s">
        <v>29</v>
      </c>
      <c r="B814" s="1" t="s">
        <v>3123</v>
      </c>
      <c r="C814" s="1" t="s">
        <v>7030</v>
      </c>
      <c r="D814" s="1" t="s">
        <v>5735</v>
      </c>
      <c r="G814" s="1" t="s">
        <v>7031</v>
      </c>
      <c r="H814" s="2" t="str">
        <f>Tabella1[[#This Row],[Denominazione]]&amp;" - "&amp;Tabella1[[#This Row],[Città]]</f>
        <v>B&amp;B ALBA CHIARA - FALCONARA MARITTIMA</v>
      </c>
    </row>
    <row r="815" spans="1:8" x14ac:dyDescent="0.25">
      <c r="A815" s="1" t="s">
        <v>29</v>
      </c>
      <c r="B815" s="1" t="s">
        <v>19341</v>
      </c>
      <c r="C815" s="1" t="s">
        <v>19342</v>
      </c>
      <c r="D815" s="1" t="s">
        <v>19283</v>
      </c>
      <c r="F815" s="1" t="s">
        <v>19343</v>
      </c>
      <c r="G815" s="1" t="s">
        <v>19344</v>
      </c>
      <c r="H815" s="2" t="str">
        <f>Tabella1[[#This Row],[Denominazione]]&amp;" - "&amp;Tabella1[[#This Row],[Città]]</f>
        <v>B&amp;B ALBA MARINA - PORTO SANT'ELPIDIO</v>
      </c>
    </row>
    <row r="816" spans="1:8" x14ac:dyDescent="0.25">
      <c r="A816" s="1" t="s">
        <v>29</v>
      </c>
      <c r="B816" s="1" t="s">
        <v>16814</v>
      </c>
      <c r="C816" s="1" t="s">
        <v>16815</v>
      </c>
      <c r="D816" s="1" t="s">
        <v>15819</v>
      </c>
      <c r="F816" s="1" t="s">
        <v>16816</v>
      </c>
      <c r="G816" s="1" t="s">
        <v>16817</v>
      </c>
      <c r="H816" s="2" t="str">
        <f>Tabella1[[#This Row],[Denominazione]]&amp;" - "&amp;Tabella1[[#This Row],[Città]]</f>
        <v>B&amp;B ALBA SUL MARE - SAN BENEDETTO DEL TRONTO</v>
      </c>
    </row>
    <row r="817" spans="1:8" x14ac:dyDescent="0.25">
      <c r="A817" s="1" t="s">
        <v>29</v>
      </c>
      <c r="B817" s="1" t="s">
        <v>14770</v>
      </c>
      <c r="C817" s="1" t="s">
        <v>14771</v>
      </c>
      <c r="D817" s="1" t="s">
        <v>14576</v>
      </c>
      <c r="H817" s="2" t="str">
        <f>Tabella1[[#This Row],[Denominazione]]&amp;" - "&amp;Tabella1[[#This Row],[Città]]</f>
        <v>B&amp;B ALBANESI CLAUDIA - ASCOLI PICENO</v>
      </c>
    </row>
    <row r="818" spans="1:8" x14ac:dyDescent="0.25">
      <c r="A818" s="1" t="s">
        <v>29</v>
      </c>
      <c r="B818" s="1" t="s">
        <v>16868</v>
      </c>
      <c r="C818" s="1" t="s">
        <v>16869</v>
      </c>
      <c r="D818" s="1" t="s">
        <v>15819</v>
      </c>
      <c r="G818" s="1" t="s">
        <v>16870</v>
      </c>
      <c r="H818" s="2" t="str">
        <f>Tabella1[[#This Row],[Denominazione]]&amp;" - "&amp;Tabella1[[#This Row],[Città]]</f>
        <v>B&amp;B ALBATROS - SAN BENEDETTO DEL TRONTO</v>
      </c>
    </row>
    <row r="819" spans="1:8" x14ac:dyDescent="0.25">
      <c r="A819" s="1" t="s">
        <v>29</v>
      </c>
      <c r="B819" s="1" t="s">
        <v>14953</v>
      </c>
      <c r="C819" s="1" t="s">
        <v>14954</v>
      </c>
      <c r="D819" s="1" t="s">
        <v>14576</v>
      </c>
      <c r="E819" s="1" t="s">
        <v>14576</v>
      </c>
      <c r="H819" s="2" t="str">
        <f>Tabella1[[#This Row],[Denominazione]]&amp;" - "&amp;Tabella1[[#This Row],[Città]]</f>
        <v>B&amp;B ALBERTINI ALESSIO - ASCOLI PICENO</v>
      </c>
    </row>
    <row r="820" spans="1:8" x14ac:dyDescent="0.25">
      <c r="A820" s="1" t="s">
        <v>29</v>
      </c>
      <c r="B820" s="1" t="s">
        <v>17647</v>
      </c>
      <c r="C820" s="1" t="s">
        <v>17648</v>
      </c>
      <c r="D820" s="1" t="s">
        <v>15819</v>
      </c>
      <c r="E820" s="1" t="s">
        <v>15819</v>
      </c>
      <c r="H820" s="2" t="str">
        <f>Tabella1[[#This Row],[Denominazione]]&amp;" - "&amp;Tabella1[[#This Row],[Città]]</f>
        <v>B&amp;B ALBERTO DEL ZOMPO - SAN BENEDETTO DEL TRONTO</v>
      </c>
    </row>
    <row r="821" spans="1:8" x14ac:dyDescent="0.25">
      <c r="A821" s="1" t="s">
        <v>29</v>
      </c>
      <c r="B821" s="1" t="s">
        <v>4637</v>
      </c>
      <c r="C821" s="1" t="s">
        <v>4638</v>
      </c>
      <c r="D821" s="1" t="s">
        <v>4630</v>
      </c>
      <c r="E821" s="1" t="s">
        <v>4630</v>
      </c>
      <c r="G821" s="1" t="s">
        <v>4639</v>
      </c>
      <c r="H821" s="2" t="str">
        <f>Tabella1[[#This Row],[Denominazione]]&amp;" - "&amp;Tabella1[[#This Row],[Città]]</f>
        <v>B&amp;B ALBERTO HOUSE - TAVOLETO</v>
      </c>
    </row>
    <row r="822" spans="1:8" x14ac:dyDescent="0.25">
      <c r="A822" s="1" t="s">
        <v>29</v>
      </c>
      <c r="B822" s="1" t="s">
        <v>4942</v>
      </c>
      <c r="C822" s="1" t="s">
        <v>4943</v>
      </c>
      <c r="D822" s="1" t="s">
        <v>9</v>
      </c>
      <c r="F822" s="1" t="s">
        <v>4944</v>
      </c>
      <c r="G822" s="1" t="s">
        <v>4945</v>
      </c>
      <c r="H822" s="2" t="str">
        <f>Tabella1[[#This Row],[Denominazione]]&amp;" - "&amp;Tabella1[[#This Row],[Città]]</f>
        <v>B&amp;B ALBORNOZ - URBINO</v>
      </c>
    </row>
    <row r="823" spans="1:8" x14ac:dyDescent="0.25">
      <c r="A823" s="1" t="s">
        <v>29</v>
      </c>
      <c r="B823" s="1" t="s">
        <v>13699</v>
      </c>
      <c r="C823" s="1" t="s">
        <v>13700</v>
      </c>
      <c r="D823" s="1" t="s">
        <v>13548</v>
      </c>
      <c r="E823" s="1" t="s">
        <v>13548</v>
      </c>
      <c r="G823" s="1" t="s">
        <v>13701</v>
      </c>
      <c r="H823" s="2" t="str">
        <f>Tabella1[[#This Row],[Denominazione]]&amp;" - "&amp;Tabella1[[#This Row],[Città]]</f>
        <v>B&amp;B ALCE ANGELO - SAN SEVERINO MARCHE</v>
      </c>
    </row>
    <row r="824" spans="1:8" x14ac:dyDescent="0.25">
      <c r="A824" s="1" t="s">
        <v>29</v>
      </c>
      <c r="B824" s="1" t="s">
        <v>17015</v>
      </c>
      <c r="D824" s="1" t="s">
        <v>15819</v>
      </c>
      <c r="G824" s="1" t="s">
        <v>17016</v>
      </c>
      <c r="H824" s="2" t="str">
        <f>Tabella1[[#This Row],[Denominazione]]&amp;" - "&amp;Tabella1[[#This Row],[Città]]</f>
        <v>B&amp;B ALESI SAVERIO - SAN BENEDETTO DEL TRONTO</v>
      </c>
    </row>
    <row r="825" spans="1:8" x14ac:dyDescent="0.25">
      <c r="A825" s="1" t="s">
        <v>29</v>
      </c>
      <c r="B825" s="1" t="s">
        <v>17645</v>
      </c>
      <c r="D825" s="1" t="s">
        <v>15819</v>
      </c>
      <c r="E825" s="1" t="s">
        <v>15819</v>
      </c>
      <c r="G825" s="1" t="s">
        <v>17646</v>
      </c>
      <c r="H825" s="2" t="str">
        <f>Tabella1[[#This Row],[Denominazione]]&amp;" - "&amp;Tabella1[[#This Row],[Città]]</f>
        <v>B&amp;B ALFRED CHATELAIN - SAN BENEDETTO DEL TRONTO</v>
      </c>
    </row>
    <row r="826" spans="1:8" x14ac:dyDescent="0.25">
      <c r="A826" s="1" t="s">
        <v>29</v>
      </c>
      <c r="B826" s="1" t="s">
        <v>13381</v>
      </c>
      <c r="C826" s="1" t="s">
        <v>13382</v>
      </c>
      <c r="D826" s="1" t="s">
        <v>13298</v>
      </c>
      <c r="F826" s="1" t="s">
        <v>13383</v>
      </c>
      <c r="G826" s="1" t="s">
        <v>13384</v>
      </c>
      <c r="H826" s="2" t="str">
        <f>Tabella1[[#This Row],[Denominazione]]&amp;" - "&amp;Tabella1[[#This Row],[Città]]</f>
        <v>B&amp;B ALLA LUNA - RECANATI</v>
      </c>
    </row>
    <row r="827" spans="1:8" x14ac:dyDescent="0.25">
      <c r="A827" s="1" t="s">
        <v>29</v>
      </c>
      <c r="B827" s="1" t="s">
        <v>10403</v>
      </c>
      <c r="C827" s="1" t="s">
        <v>10389</v>
      </c>
      <c r="D827" s="1" t="s">
        <v>10206</v>
      </c>
      <c r="F827" s="1" t="s">
        <v>10404</v>
      </c>
      <c r="G827" s="1" t="s">
        <v>10405</v>
      </c>
      <c r="H827" s="2" t="str">
        <f>Tabella1[[#This Row],[Denominazione]]&amp;" - "&amp;Tabella1[[#This Row],[Città]]</f>
        <v>B&amp;B ALLE PENDICI DEL CONERO - SIROLO</v>
      </c>
    </row>
    <row r="828" spans="1:8" x14ac:dyDescent="0.25">
      <c r="A828" s="1" t="s">
        <v>29</v>
      </c>
      <c r="B828" s="1" t="s">
        <v>10388</v>
      </c>
      <c r="C828" s="1" t="s">
        <v>10389</v>
      </c>
      <c r="D828" s="1" t="s">
        <v>10206</v>
      </c>
      <c r="F828" s="1" t="s">
        <v>10390</v>
      </c>
      <c r="G828" s="1" t="s">
        <v>8367</v>
      </c>
      <c r="H828" s="2" t="str">
        <f>Tabella1[[#This Row],[Denominazione]]&amp;" - "&amp;Tabella1[[#This Row],[Città]]</f>
        <v>B&amp;B ALLE PENDICI DEL CONERO II - SIROLO</v>
      </c>
    </row>
    <row r="829" spans="1:8" x14ac:dyDescent="0.25">
      <c r="A829" s="1" t="s">
        <v>29</v>
      </c>
      <c r="B829" s="1" t="s">
        <v>17706</v>
      </c>
      <c r="C829" s="1" t="s">
        <v>17707</v>
      </c>
      <c r="D829" s="1" t="s">
        <v>17703</v>
      </c>
      <c r="G829" s="1" t="s">
        <v>17708</v>
      </c>
      <c r="H829" s="2" t="str">
        <f>Tabella1[[#This Row],[Denominazione]]&amp;" - "&amp;Tabella1[[#This Row],[Città]]</f>
        <v>B&amp;B ALL'INFINITO - ALTIDONA</v>
      </c>
    </row>
    <row r="830" spans="1:8" x14ac:dyDescent="0.25">
      <c r="A830" s="1" t="s">
        <v>29</v>
      </c>
      <c r="B830" s="1" t="s">
        <v>8799</v>
      </c>
      <c r="C830" s="1" t="s">
        <v>8800</v>
      </c>
      <c r="D830" s="1" t="s">
        <v>8801</v>
      </c>
      <c r="G830" s="1" t="s">
        <v>8802</v>
      </c>
      <c r="H830" s="2" t="str">
        <f>Tabella1[[#This Row],[Denominazione]]&amp;" - "&amp;Tabella1[[#This Row],[Città]]</f>
        <v>B&amp;B ALL'OMBRA DEGLI ULIVI - SAN MARCELLO</v>
      </c>
    </row>
    <row r="831" spans="1:8" x14ac:dyDescent="0.25">
      <c r="A831" s="1" t="s">
        <v>29</v>
      </c>
      <c r="B831" s="1" t="s">
        <v>5827</v>
      </c>
      <c r="C831" s="1" t="s">
        <v>5828</v>
      </c>
      <c r="D831" s="1" t="s">
        <v>1864</v>
      </c>
      <c r="E831" s="1" t="s">
        <v>1864</v>
      </c>
      <c r="G831" s="1" t="s">
        <v>5829</v>
      </c>
      <c r="H831" s="2" t="str">
        <f>Tabella1[[#This Row],[Denominazione]]&amp;" - "&amp;Tabella1[[#This Row],[Città]]</f>
        <v>B&amp;B ALMA ANTIGUA - ANCONA</v>
      </c>
    </row>
    <row r="832" spans="1:8" x14ac:dyDescent="0.25">
      <c r="A832" s="1" t="s">
        <v>29</v>
      </c>
      <c r="B832" s="1" t="s">
        <v>14735</v>
      </c>
      <c r="C832" s="1" t="s">
        <v>14736</v>
      </c>
      <c r="D832" s="1" t="s">
        <v>14576</v>
      </c>
      <c r="H832" s="2" t="str">
        <f>Tabella1[[#This Row],[Denominazione]]&amp;" - "&amp;Tabella1[[#This Row],[Città]]</f>
        <v>B&amp;B AMADIO FRANCESCO - ASCOLI PICENO</v>
      </c>
    </row>
    <row r="833" spans="1:8" x14ac:dyDescent="0.25">
      <c r="A833" s="1" t="s">
        <v>29</v>
      </c>
      <c r="B833" s="1" t="s">
        <v>15285</v>
      </c>
      <c r="C833" s="1" t="s">
        <v>15286</v>
      </c>
      <c r="D833" s="1" t="s">
        <v>15282</v>
      </c>
      <c r="E833" s="1" t="s">
        <v>15282</v>
      </c>
      <c r="G833" s="1" t="s">
        <v>15287</v>
      </c>
      <c r="H833" s="2" t="str">
        <f>Tabella1[[#This Row],[Denominazione]]&amp;" - "&amp;Tabella1[[#This Row],[Città]]</f>
        <v>B&amp;B AMADIO ROSA - COSSIGNANO</v>
      </c>
    </row>
    <row r="834" spans="1:8" x14ac:dyDescent="0.25">
      <c r="A834" s="1" t="s">
        <v>29</v>
      </c>
      <c r="B834" s="1" t="s">
        <v>4092</v>
      </c>
      <c r="C834" s="1" t="s">
        <v>4093</v>
      </c>
      <c r="D834" s="1" t="s">
        <v>2386</v>
      </c>
      <c r="E834" s="1" t="s">
        <v>2386</v>
      </c>
      <c r="H834" s="2" t="str">
        <f>Tabella1[[#This Row],[Denominazione]]&amp;" - "&amp;Tabella1[[#This Row],[Città]]</f>
        <v>B&amp;B AMALIA FURNO - PESARO</v>
      </c>
    </row>
    <row r="835" spans="1:8" x14ac:dyDescent="0.25">
      <c r="A835" s="1" t="s">
        <v>29</v>
      </c>
      <c r="B835" s="1" t="s">
        <v>5535</v>
      </c>
      <c r="C835" s="1" t="s">
        <v>5536</v>
      </c>
      <c r="D835" s="1" t="s">
        <v>1864</v>
      </c>
      <c r="E835" s="1" t="s">
        <v>1864</v>
      </c>
      <c r="G835" s="1" t="s">
        <v>5537</v>
      </c>
      <c r="H835" s="2" t="str">
        <f>Tabella1[[#This Row],[Denominazione]]&amp;" - "&amp;Tabella1[[#This Row],[Città]]</f>
        <v>B&amp;B AMENDOLA - ANCONA</v>
      </c>
    </row>
    <row r="836" spans="1:8" x14ac:dyDescent="0.25">
      <c r="A836" s="1" t="s">
        <v>29</v>
      </c>
      <c r="B836" s="1" t="s">
        <v>11235</v>
      </c>
      <c r="C836" s="1" t="s">
        <v>11236</v>
      </c>
      <c r="D836" s="1" t="s">
        <v>11058</v>
      </c>
      <c r="E836" s="1" t="s">
        <v>11237</v>
      </c>
      <c r="G836" s="1" t="s">
        <v>11238</v>
      </c>
      <c r="H836" s="2" t="str">
        <f>Tabella1[[#This Row],[Denominazione]]&amp;" - "&amp;Tabella1[[#This Row],[Città]]</f>
        <v>B&amp;B AMOR DI LAVANDA - CINGOLI</v>
      </c>
    </row>
    <row r="837" spans="1:8" x14ac:dyDescent="0.25">
      <c r="A837" s="1" t="s">
        <v>29</v>
      </c>
      <c r="B837" s="1" t="s">
        <v>4906</v>
      </c>
      <c r="C837" s="1" t="s">
        <v>4907</v>
      </c>
      <c r="D837" s="1" t="s">
        <v>9</v>
      </c>
      <c r="G837" s="1" t="s">
        <v>4908</v>
      </c>
      <c r="H837" s="2" t="str">
        <f>Tabella1[[#This Row],[Denominazione]]&amp;" - "&amp;Tabella1[[#This Row],[Città]]</f>
        <v>B&amp;B AMPIAVISTA - URBINO</v>
      </c>
    </row>
    <row r="838" spans="1:8" x14ac:dyDescent="0.25">
      <c r="A838" s="1" t="s">
        <v>29</v>
      </c>
      <c r="B838" s="1" t="s">
        <v>15811</v>
      </c>
      <c r="C838" s="1" t="s">
        <v>15812</v>
      </c>
      <c r="D838" s="1" t="s">
        <v>15585</v>
      </c>
      <c r="E838" s="1" t="s">
        <v>15585</v>
      </c>
      <c r="G838" s="1" t="s">
        <v>15813</v>
      </c>
      <c r="H838" s="2" t="str">
        <f>Tabella1[[#This Row],[Denominazione]]&amp;" - "&amp;Tabella1[[#This Row],[Città]]</f>
        <v>B&amp;B AMURRI DOMENICA - GROTTAMMARE</v>
      </c>
    </row>
    <row r="839" spans="1:8" x14ac:dyDescent="0.25">
      <c r="A839" s="1" t="s">
        <v>29</v>
      </c>
      <c r="B839" s="1" t="s">
        <v>5919</v>
      </c>
      <c r="C839" s="1" t="s">
        <v>5920</v>
      </c>
      <c r="D839" s="1" t="s">
        <v>1864</v>
      </c>
      <c r="F839" s="1" t="s">
        <v>5921</v>
      </c>
      <c r="G839" s="1" t="s">
        <v>5922</v>
      </c>
      <c r="H839" s="2" t="str">
        <f>Tabella1[[#This Row],[Denominazione]]&amp;" - "&amp;Tabella1[[#This Row],[Città]]</f>
        <v>B&amp;B ANCONA - ANCONA</v>
      </c>
    </row>
    <row r="840" spans="1:8" x14ac:dyDescent="0.25">
      <c r="A840" s="1" t="s">
        <v>29</v>
      </c>
      <c r="B840" s="1" t="s">
        <v>11409</v>
      </c>
      <c r="D840" s="1" t="s">
        <v>11244</v>
      </c>
      <c r="G840" s="1" t="s">
        <v>11410</v>
      </c>
      <c r="H840" s="2" t="str">
        <f>Tabella1[[#This Row],[Denominazione]]&amp;" - "&amp;Tabella1[[#This Row],[Città]]</f>
        <v>B&amp;B ANDY - CIVITANOVA MARCHE</v>
      </c>
    </row>
    <row r="841" spans="1:8" x14ac:dyDescent="0.25">
      <c r="A841" s="1" t="s">
        <v>29</v>
      </c>
      <c r="B841" s="1" t="s">
        <v>19643</v>
      </c>
      <c r="C841" s="1" t="s">
        <v>19644</v>
      </c>
      <c r="D841" s="1" t="s">
        <v>19628</v>
      </c>
      <c r="E841" s="1" t="s">
        <v>19628</v>
      </c>
      <c r="F841" s="1" t="s">
        <v>19645</v>
      </c>
      <c r="G841" s="1" t="s">
        <v>19646</v>
      </c>
      <c r="H841" s="2" t="str">
        <f>Tabella1[[#This Row],[Denominazione]]&amp;" - "&amp;Tabella1[[#This Row],[Città]]</f>
        <v>B&amp;B ANGELA GARDEN - SERVIGLIANO</v>
      </c>
    </row>
    <row r="842" spans="1:8" x14ac:dyDescent="0.25">
      <c r="A842" s="1" t="s">
        <v>29</v>
      </c>
      <c r="B842" s="1" t="s">
        <v>3307</v>
      </c>
      <c r="C842" s="1" t="s">
        <v>3308</v>
      </c>
      <c r="D842" s="1" t="s">
        <v>3305</v>
      </c>
      <c r="E842" s="1" t="s">
        <v>3305</v>
      </c>
      <c r="F842" s="1" t="s">
        <v>3309</v>
      </c>
      <c r="H842" s="2" t="str">
        <f>Tabella1[[#This Row],[Denominazione]]&amp;" - "&amp;Tabella1[[#This Row],[Città]]</f>
        <v>B&amp;B ANGELI DEL BORGO - PERGOLA</v>
      </c>
    </row>
    <row r="843" spans="1:8" x14ac:dyDescent="0.25">
      <c r="A843" s="1" t="s">
        <v>29</v>
      </c>
      <c r="B843" s="1" t="s">
        <v>3917</v>
      </c>
      <c r="C843" s="1" t="s">
        <v>3918</v>
      </c>
      <c r="D843" s="1" t="s">
        <v>2386</v>
      </c>
      <c r="E843" s="1" t="s">
        <v>2386</v>
      </c>
      <c r="F843" s="1" t="s">
        <v>3919</v>
      </c>
      <c r="G843" s="1" t="s">
        <v>3920</v>
      </c>
      <c r="H843" s="2" t="str">
        <f>Tabella1[[#This Row],[Denominazione]]&amp;" - "&amp;Tabella1[[#This Row],[Città]]</f>
        <v>B&amp;B ANGELO CUSTODE - PESARO</v>
      </c>
    </row>
    <row r="844" spans="1:8" x14ac:dyDescent="0.25">
      <c r="A844" s="1" t="s">
        <v>29</v>
      </c>
      <c r="B844" s="1" t="s">
        <v>14478</v>
      </c>
      <c r="C844" s="1" t="s">
        <v>14479</v>
      </c>
      <c r="D844" s="1" t="s">
        <v>14428</v>
      </c>
      <c r="E844" s="1" t="s">
        <v>14428</v>
      </c>
      <c r="H844" s="2" t="str">
        <f>Tabella1[[#This Row],[Denominazione]]&amp;" - "&amp;Tabella1[[#This Row],[Città]]</f>
        <v>B&amp;B ANGELOTTI SERINO - ACQUAVIVA PICENA</v>
      </c>
    </row>
    <row r="845" spans="1:8" x14ac:dyDescent="0.25">
      <c r="A845" s="1" t="s">
        <v>29</v>
      </c>
      <c r="B845" s="1" t="s">
        <v>12058</v>
      </c>
      <c r="C845" s="1" t="s">
        <v>12059</v>
      </c>
      <c r="D845" s="1" t="s">
        <v>12050</v>
      </c>
      <c r="E845" s="1" t="s">
        <v>12050</v>
      </c>
      <c r="F845" s="1" t="s">
        <v>12060</v>
      </c>
      <c r="G845" s="1" t="s">
        <v>12061</v>
      </c>
      <c r="H845" s="2" t="str">
        <f>Tabella1[[#This Row],[Denominazione]]&amp;" - "&amp;Tabella1[[#This Row],[Città]]</f>
        <v>B&amp;B ANGELOZZI DE FEUDIS GIACOMO - MACERATA</v>
      </c>
    </row>
    <row r="846" spans="1:8" x14ac:dyDescent="0.25">
      <c r="A846" s="1" t="s">
        <v>29</v>
      </c>
      <c r="B846" s="1" t="s">
        <v>14692</v>
      </c>
      <c r="C846" s="1" t="s">
        <v>14693</v>
      </c>
      <c r="D846" s="1" t="s">
        <v>14576</v>
      </c>
      <c r="E846" s="1" t="s">
        <v>14576</v>
      </c>
      <c r="G846" s="1" t="s">
        <v>14694</v>
      </c>
      <c r="H846" s="2" t="str">
        <f>Tabella1[[#This Row],[Denominazione]]&amp;" - "&amp;Tabella1[[#This Row],[Città]]</f>
        <v>B&amp;B ANNA MARIA DI MARCO - ASCOLI PICENO</v>
      </c>
    </row>
    <row r="847" spans="1:8" x14ac:dyDescent="0.25">
      <c r="A847" s="1" t="s">
        <v>29</v>
      </c>
      <c r="B847" s="1" t="s">
        <v>16179</v>
      </c>
      <c r="C847" s="1" t="s">
        <v>16180</v>
      </c>
      <c r="D847" s="1" t="s">
        <v>16165</v>
      </c>
      <c r="E847" s="1" t="s">
        <v>16165</v>
      </c>
      <c r="G847" s="1" t="s">
        <v>16181</v>
      </c>
      <c r="H847" s="2" t="str">
        <f>Tabella1[[#This Row],[Denominazione]]&amp;" - "&amp;Tabella1[[#This Row],[Città]]</f>
        <v>B&amp;B ANNA MARIA PALLOTTINI - MONTEDINOVE</v>
      </c>
    </row>
    <row r="848" spans="1:8" x14ac:dyDescent="0.25">
      <c r="A848" s="1" t="s">
        <v>29</v>
      </c>
      <c r="B848" s="1" t="s">
        <v>14973</v>
      </c>
      <c r="C848" s="1" t="s">
        <v>14974</v>
      </c>
      <c r="D848" s="1" t="s">
        <v>14576</v>
      </c>
      <c r="E848" s="1" t="s">
        <v>14576</v>
      </c>
      <c r="F848" s="1" t="s">
        <v>14975</v>
      </c>
      <c r="H848" s="2" t="str">
        <f>Tabella1[[#This Row],[Denominazione]]&amp;" - "&amp;Tabella1[[#This Row],[Città]]</f>
        <v>B&amp;B ANNA MONINI - ASCOLI PICENO</v>
      </c>
    </row>
    <row r="849" spans="1:8" x14ac:dyDescent="0.25">
      <c r="A849" s="1" t="s">
        <v>29</v>
      </c>
      <c r="B849" s="1" t="s">
        <v>6491</v>
      </c>
      <c r="C849" s="1" t="s">
        <v>6492</v>
      </c>
      <c r="D849" s="1" t="s">
        <v>6467</v>
      </c>
      <c r="E849" s="1" t="s">
        <v>6493</v>
      </c>
      <c r="G849" s="1" t="s">
        <v>6494</v>
      </c>
      <c r="H849" s="2" t="str">
        <f>Tabella1[[#This Row],[Denominazione]]&amp;" - "&amp;Tabella1[[#This Row],[Città]]</f>
        <v>B&amp;B ANNA RITA - CASTELPLANIO</v>
      </c>
    </row>
    <row r="850" spans="1:8" x14ac:dyDescent="0.25">
      <c r="A850" s="1" t="s">
        <v>29</v>
      </c>
      <c r="B850" s="1" t="s">
        <v>10677</v>
      </c>
      <c r="C850" s="1" t="s">
        <v>10678</v>
      </c>
      <c r="D850" s="1" t="s">
        <v>10654</v>
      </c>
      <c r="F850" s="1" t="s">
        <v>10679</v>
      </c>
      <c r="G850" s="1" t="s">
        <v>10680</v>
      </c>
      <c r="H850" s="2" t="str">
        <f>Tabella1[[#This Row],[Denominazione]]&amp;" - "&amp;Tabella1[[#This Row],[Città]]</f>
        <v>B&amp;B ANTEGIANO - BELFORTE DEL CHIENTI</v>
      </c>
    </row>
    <row r="851" spans="1:8" x14ac:dyDescent="0.25">
      <c r="A851" s="1" t="s">
        <v>29</v>
      </c>
      <c r="B851" s="1" t="s">
        <v>17979</v>
      </c>
      <c r="C851" s="1" t="s">
        <v>17980</v>
      </c>
      <c r="D851" s="1" t="s">
        <v>17932</v>
      </c>
      <c r="G851" s="1" t="s">
        <v>17981</v>
      </c>
      <c r="H851" s="2" t="str">
        <f>Tabella1[[#This Row],[Denominazione]]&amp;" - "&amp;Tabella1[[#This Row],[Città]]</f>
        <v>B&amp;B ANTICA BIBLIOTECA DI MICHELE BERNETTI EVANGELISTA - FERMO</v>
      </c>
    </row>
    <row r="852" spans="1:8" x14ac:dyDescent="0.25">
      <c r="A852" s="1" t="s">
        <v>29</v>
      </c>
      <c r="B852" s="1" t="s">
        <v>13402</v>
      </c>
      <c r="C852" s="1" t="s">
        <v>13403</v>
      </c>
      <c r="D852" s="1" t="s">
        <v>13298</v>
      </c>
      <c r="F852" s="1" t="s">
        <v>13404</v>
      </c>
      <c r="G852" s="1" t="s">
        <v>13405</v>
      </c>
      <c r="H852" s="2" t="str">
        <f>Tabella1[[#This Row],[Denominazione]]&amp;" - "&amp;Tabella1[[#This Row],[Città]]</f>
        <v>B&amp;B ANTICA CAMPAGNA - RECANATI</v>
      </c>
    </row>
    <row r="853" spans="1:8" x14ac:dyDescent="0.25">
      <c r="A853" s="1" t="s">
        <v>29</v>
      </c>
      <c r="B853" s="1" t="s">
        <v>14659</v>
      </c>
      <c r="C853" s="1" t="s">
        <v>14660</v>
      </c>
      <c r="D853" s="1" t="s">
        <v>14576</v>
      </c>
      <c r="E853" s="1" t="s">
        <v>14576</v>
      </c>
      <c r="F853" s="1" t="s">
        <v>14661</v>
      </c>
      <c r="G853" s="1" t="s">
        <v>14662</v>
      </c>
      <c r="H853" s="2" t="str">
        <f>Tabella1[[#This Row],[Denominazione]]&amp;" - "&amp;Tabella1[[#This Row],[Città]]</f>
        <v>B&amp;B ANTICA DIMORA di ANNA MARIA CAUCCI - ASCOLI PICENO</v>
      </c>
    </row>
    <row r="854" spans="1:8" x14ac:dyDescent="0.25">
      <c r="A854" s="1" t="s">
        <v>29</v>
      </c>
      <c r="B854" s="1" t="s">
        <v>19511</v>
      </c>
      <c r="C854" s="1" t="s">
        <v>19512</v>
      </c>
      <c r="D854" s="1" t="s">
        <v>19500</v>
      </c>
      <c r="E854" s="1" t="s">
        <v>19513</v>
      </c>
      <c r="F854" s="1" t="s">
        <v>19514</v>
      </c>
      <c r="G854" s="1" t="s">
        <v>19515</v>
      </c>
      <c r="H854" s="2" t="str">
        <f>Tabella1[[#This Row],[Denominazione]]&amp;" - "&amp;Tabella1[[#This Row],[Città]]</f>
        <v>B&amp;B ANTICA FONTE DEL LATTE - SANTA VITTORIA IN MATENANO</v>
      </c>
    </row>
    <row r="855" spans="1:8" x14ac:dyDescent="0.25">
      <c r="A855" s="1" t="s">
        <v>29</v>
      </c>
      <c r="B855" s="1" t="s">
        <v>14128</v>
      </c>
      <c r="C855" s="1" t="s">
        <v>14129</v>
      </c>
      <c r="D855" s="1" t="s">
        <v>14065</v>
      </c>
      <c r="F855" s="1" t="s">
        <v>11846</v>
      </c>
      <c r="G855" s="1" t="s">
        <v>14130</v>
      </c>
      <c r="H855" s="2" t="str">
        <f>Tabella1[[#This Row],[Denominazione]]&amp;" - "&amp;Tabella1[[#This Row],[Città]]</f>
        <v>B&amp;B ANTICHI GELSI - TREIA</v>
      </c>
    </row>
    <row r="856" spans="1:8" x14ac:dyDescent="0.25">
      <c r="A856" s="1" t="s">
        <v>29</v>
      </c>
      <c r="B856" s="1" t="s">
        <v>14912</v>
      </c>
      <c r="C856" s="1" t="s">
        <v>14738</v>
      </c>
      <c r="D856" s="1" t="s">
        <v>14576</v>
      </c>
      <c r="E856" s="1" t="s">
        <v>14576</v>
      </c>
      <c r="G856" s="1" t="s">
        <v>14913</v>
      </c>
      <c r="H856" s="2" t="str">
        <f>Tabella1[[#This Row],[Denominazione]]&amp;" - "&amp;Tabella1[[#This Row],[Città]]</f>
        <v>B&amp;B ANTICO BORGO PICENO - ASCOLI PICENO</v>
      </c>
    </row>
    <row r="857" spans="1:8" x14ac:dyDescent="0.25">
      <c r="A857" s="1" t="s">
        <v>29</v>
      </c>
      <c r="B857" s="1" t="s">
        <v>9404</v>
      </c>
      <c r="C857" s="1" t="s">
        <v>9405</v>
      </c>
      <c r="D857" s="1" t="s">
        <v>8949</v>
      </c>
      <c r="G857" s="1" t="s">
        <v>9406</v>
      </c>
      <c r="H857" s="2" t="str">
        <f>Tabella1[[#This Row],[Denominazione]]&amp;" - "&amp;Tabella1[[#This Row],[Città]]</f>
        <v>B&amp;B ANTICO GELSO - SENIGALLIA</v>
      </c>
    </row>
    <row r="858" spans="1:8" x14ac:dyDescent="0.25">
      <c r="A858" s="1" t="s">
        <v>29</v>
      </c>
      <c r="B858" s="1" t="s">
        <v>12466</v>
      </c>
      <c r="C858" s="1" t="s">
        <v>12467</v>
      </c>
      <c r="D858" s="1" t="s">
        <v>12459</v>
      </c>
      <c r="H858" s="2" t="str">
        <f>Tabella1[[#This Row],[Denominazione]]&amp;" - "&amp;Tabella1[[#This Row],[Città]]</f>
        <v>B&amp;B ANTICO GIACIGLIO di DANIELA BENIGNI - MONTELUPONE</v>
      </c>
    </row>
    <row r="859" spans="1:8" x14ac:dyDescent="0.25">
      <c r="A859" s="1" t="s">
        <v>29</v>
      </c>
      <c r="B859" s="1" t="s">
        <v>8482</v>
      </c>
      <c r="C859" s="1" t="s">
        <v>8483</v>
      </c>
      <c r="D859" s="1" t="s">
        <v>8454</v>
      </c>
      <c r="F859" s="1" t="s">
        <v>8484</v>
      </c>
      <c r="G859" s="1" t="s">
        <v>8485</v>
      </c>
      <c r="H859" s="2" t="str">
        <f>Tabella1[[#This Row],[Denominazione]]&amp;" - "&amp;Tabella1[[#This Row],[Città]]</f>
        <v>B&amp;B ANTICO POMERIO - OSIMO</v>
      </c>
    </row>
    <row r="860" spans="1:8" x14ac:dyDescent="0.25">
      <c r="A860" s="1" t="s">
        <v>29</v>
      </c>
      <c r="B860" s="1" t="s">
        <v>4262</v>
      </c>
      <c r="C860" s="1" t="s">
        <v>4263</v>
      </c>
      <c r="D860" s="1" t="s">
        <v>4242</v>
      </c>
      <c r="E860" s="1" t="s">
        <v>4264</v>
      </c>
      <c r="F860" s="1" t="s">
        <v>4265</v>
      </c>
      <c r="G860" s="1" t="s">
        <v>4266</v>
      </c>
      <c r="H860" s="2" t="str">
        <f>Tabella1[[#This Row],[Denominazione]]&amp;" - "&amp;Tabella1[[#This Row],[Città]]</f>
        <v>B&amp;B ANTICO ULIVO - SALTARA</v>
      </c>
    </row>
    <row r="861" spans="1:8" x14ac:dyDescent="0.25">
      <c r="A861" s="1" t="s">
        <v>29</v>
      </c>
      <c r="B861" s="1" t="s">
        <v>13187</v>
      </c>
      <c r="C861" s="1" t="s">
        <v>13188</v>
      </c>
      <c r="D861" s="1" t="s">
        <v>13026</v>
      </c>
      <c r="E861" s="1" t="s">
        <v>13026</v>
      </c>
      <c r="F861" s="1" t="s">
        <v>13189</v>
      </c>
      <c r="G861" s="1" t="s">
        <v>13190</v>
      </c>
      <c r="H861" s="2" t="str">
        <f>Tabella1[[#This Row],[Denominazione]]&amp;" - "&amp;Tabella1[[#This Row],[Città]]</f>
        <v>B&amp;B ANTIGUA - POTENZA PICENA</v>
      </c>
    </row>
    <row r="862" spans="1:8" x14ac:dyDescent="0.25">
      <c r="A862" s="1" t="s">
        <v>29</v>
      </c>
      <c r="B862" s="1" t="s">
        <v>3016</v>
      </c>
      <c r="C862" s="1" t="s">
        <v>3017</v>
      </c>
      <c r="D862" s="1" t="s">
        <v>2994</v>
      </c>
      <c r="E862" s="1" t="s">
        <v>3018</v>
      </c>
      <c r="G862" s="1" t="s">
        <v>3019</v>
      </c>
      <c r="H862" s="2" t="str">
        <f>Tabella1[[#This Row],[Denominazione]]&amp;" - "&amp;Tabella1[[#This Row],[Città]]</f>
        <v>B&amp;B ANTONIA COFANO - MONTECALVO IN FOGLIA</v>
      </c>
    </row>
    <row r="863" spans="1:8" x14ac:dyDescent="0.25">
      <c r="A863" s="1" t="s">
        <v>29</v>
      </c>
      <c r="B863" s="1" t="s">
        <v>14721</v>
      </c>
      <c r="C863" s="1" t="s">
        <v>14722</v>
      </c>
      <c r="D863" s="1" t="s">
        <v>14576</v>
      </c>
      <c r="F863" s="1" t="s">
        <v>14723</v>
      </c>
      <c r="G863" s="1" t="s">
        <v>14724</v>
      </c>
      <c r="H863" s="2" t="str">
        <f>Tabella1[[#This Row],[Denominazione]]&amp;" - "&amp;Tabella1[[#This Row],[Città]]</f>
        <v>B&amp;B APOLLO 26 - ASCOLI PICENO</v>
      </c>
    </row>
    <row r="864" spans="1:8" x14ac:dyDescent="0.25">
      <c r="A864" s="1" t="s">
        <v>29</v>
      </c>
      <c r="B864" s="1" t="s">
        <v>14914</v>
      </c>
      <c r="C864" s="1" t="s">
        <v>14915</v>
      </c>
      <c r="D864" s="1" t="s">
        <v>14576</v>
      </c>
      <c r="E864" s="1" t="s">
        <v>14576</v>
      </c>
      <c r="F864" s="1" t="s">
        <v>14916</v>
      </c>
      <c r="G864" s="1" t="s">
        <v>14917</v>
      </c>
      <c r="H864" s="2" t="str">
        <f>Tabella1[[#This Row],[Denominazione]]&amp;" - "&amp;Tabella1[[#This Row],[Città]]</f>
        <v>B&amp;B APPARTAMENTI OLEANDRO - ASCOLI PICENO</v>
      </c>
    </row>
    <row r="865" spans="1:8" x14ac:dyDescent="0.25">
      <c r="A865" s="1" t="s">
        <v>29</v>
      </c>
      <c r="B865" s="1" t="s">
        <v>14918</v>
      </c>
      <c r="C865" s="1" t="s">
        <v>14915</v>
      </c>
      <c r="D865" s="1" t="s">
        <v>14576</v>
      </c>
      <c r="E865" s="1" t="s">
        <v>14576</v>
      </c>
      <c r="F865" s="1" t="s">
        <v>14919</v>
      </c>
      <c r="G865" s="1" t="s">
        <v>14917</v>
      </c>
      <c r="H865" s="2" t="str">
        <f>Tabella1[[#This Row],[Denominazione]]&amp;" - "&amp;Tabella1[[#This Row],[Città]]</f>
        <v>B&amp;B APPARTAMENTI ORTENSIA - ASCOLI PICENO</v>
      </c>
    </row>
    <row r="866" spans="1:8" x14ac:dyDescent="0.25">
      <c r="A866" s="1" t="s">
        <v>29</v>
      </c>
      <c r="B866" s="1" t="s">
        <v>30</v>
      </c>
      <c r="C866" s="1" t="s">
        <v>31</v>
      </c>
      <c r="D866" s="1" t="s">
        <v>15</v>
      </c>
      <c r="E866" s="1" t="s">
        <v>32</v>
      </c>
      <c r="F866" s="1" t="s">
        <v>33</v>
      </c>
      <c r="G866" s="1" t="s">
        <v>34</v>
      </c>
      <c r="H866" s="2" t="str">
        <f>Tabella1[[#This Row],[Denominazione]]&amp;" - "&amp;Tabella1[[#This Row],[Città]]</f>
        <v>B&amp;B AQUILEGIA - ACQUALAGNA</v>
      </c>
    </row>
    <row r="867" spans="1:8" x14ac:dyDescent="0.25">
      <c r="A867" s="1" t="s">
        <v>29</v>
      </c>
      <c r="B867" s="1" t="s">
        <v>5241</v>
      </c>
      <c r="C867" s="1" t="s">
        <v>5242</v>
      </c>
      <c r="D867" s="1" t="s">
        <v>9</v>
      </c>
      <c r="E867" s="1" t="s">
        <v>9</v>
      </c>
      <c r="F867" s="1" t="s">
        <v>5243</v>
      </c>
      <c r="G867" s="1" t="s">
        <v>5005</v>
      </c>
      <c r="H867" s="2" t="str">
        <f>Tabella1[[#This Row],[Denominazione]]&amp;" - "&amp;Tabella1[[#This Row],[Città]]</f>
        <v>B&amp;B AQUILONE - URBINO</v>
      </c>
    </row>
    <row r="868" spans="1:8" x14ac:dyDescent="0.25">
      <c r="A868" s="1" t="s">
        <v>29</v>
      </c>
      <c r="B868" s="1" t="s">
        <v>11292</v>
      </c>
      <c r="C868" s="1" t="s">
        <v>11293</v>
      </c>
      <c r="D868" s="1" t="s">
        <v>11244</v>
      </c>
      <c r="G868" s="1" t="s">
        <v>11294</v>
      </c>
      <c r="H868" s="2" t="str">
        <f>Tabella1[[#This Row],[Denominazione]]&amp;" - "&amp;Tabella1[[#This Row],[Città]]</f>
        <v>B&amp;B ARATRO E ROSMARINO - CIVITANOVA MARCHE</v>
      </c>
    </row>
    <row r="869" spans="1:8" x14ac:dyDescent="0.25">
      <c r="A869" s="1" t="s">
        <v>29</v>
      </c>
      <c r="B869" s="1" t="s">
        <v>8029</v>
      </c>
      <c r="C869" s="1" t="s">
        <v>8030</v>
      </c>
      <c r="D869" s="1" t="s">
        <v>7889</v>
      </c>
      <c r="E869" s="1" t="s">
        <v>7889</v>
      </c>
      <c r="H869" s="2" t="str">
        <f>Tabella1[[#This Row],[Denominazione]]&amp;" - "&amp;Tabella1[[#This Row],[Città]]</f>
        <v>B&amp;B ARBUATTI ANTONIO - NUMANA</v>
      </c>
    </row>
    <row r="870" spans="1:8" x14ac:dyDescent="0.25">
      <c r="A870" s="1" t="s">
        <v>29</v>
      </c>
      <c r="B870" s="1" t="s">
        <v>15001</v>
      </c>
      <c r="C870" s="1" t="s">
        <v>15002</v>
      </c>
      <c r="D870" s="1" t="s">
        <v>14576</v>
      </c>
      <c r="E870" s="1" t="s">
        <v>14576</v>
      </c>
      <c r="F870" s="1" t="s">
        <v>15003</v>
      </c>
      <c r="G870" s="1" t="s">
        <v>15004</v>
      </c>
      <c r="H870" s="2" t="str">
        <f>Tabella1[[#This Row],[Denominazione]]&amp;" - "&amp;Tabella1[[#This Row],[Città]]</f>
        <v>B&amp;B ARCO ANTICO di CIARALLI FLAVIO EMANUELE - ASCOLI PICENO</v>
      </c>
    </row>
    <row r="871" spans="1:8" x14ac:dyDescent="0.25">
      <c r="A871" s="1" t="s">
        <v>29</v>
      </c>
      <c r="B871" s="1" t="s">
        <v>14540</v>
      </c>
      <c r="C871" s="1" t="s">
        <v>14541</v>
      </c>
      <c r="D871" s="1" t="s">
        <v>14510</v>
      </c>
      <c r="E871" s="1" t="s">
        <v>14510</v>
      </c>
      <c r="H871" s="2" t="str">
        <f>Tabella1[[#This Row],[Denominazione]]&amp;" - "&amp;Tabella1[[#This Row],[Città]]</f>
        <v>B&amp;B ARCO DI FILIPPO' - ARQUATA DEL TRONTO</v>
      </c>
    </row>
    <row r="872" spans="1:8" x14ac:dyDescent="0.25">
      <c r="A872" s="1" t="s">
        <v>29</v>
      </c>
      <c r="B872" s="1" t="s">
        <v>16873</v>
      </c>
      <c r="C872" s="1" t="s">
        <v>16874</v>
      </c>
      <c r="D872" s="1" t="s">
        <v>15819</v>
      </c>
      <c r="E872" s="1" t="s">
        <v>15819</v>
      </c>
      <c r="G872" s="1" t="s">
        <v>16875</v>
      </c>
      <c r="H872" s="2" t="str">
        <f>Tabella1[[#This Row],[Denominazione]]&amp;" - "&amp;Tabella1[[#This Row],[Città]]</f>
        <v>B&amp;B ARCOBALENO - SAN BENEDETTO DEL TRONTO</v>
      </c>
    </row>
    <row r="873" spans="1:8" x14ac:dyDescent="0.25">
      <c r="A873" s="1" t="s">
        <v>29</v>
      </c>
      <c r="B873" s="1" t="s">
        <v>1333</v>
      </c>
      <c r="C873" s="1" t="s">
        <v>1334</v>
      </c>
      <c r="D873" s="1" t="s">
        <v>682</v>
      </c>
      <c r="E873" s="1" t="s">
        <v>682</v>
      </c>
      <c r="G873" s="1" t="s">
        <v>1335</v>
      </c>
      <c r="H873" s="2" t="str">
        <f>Tabella1[[#This Row],[Denominazione]]&amp;" - "&amp;Tabella1[[#This Row],[Città]]</f>
        <v>B&amp;B ARIA DI CASA MIA - FANO</v>
      </c>
    </row>
    <row r="874" spans="1:8" x14ac:dyDescent="0.25">
      <c r="A874" s="1" t="s">
        <v>29</v>
      </c>
      <c r="B874" s="1" t="s">
        <v>14377</v>
      </c>
      <c r="C874" s="1" t="s">
        <v>14378</v>
      </c>
      <c r="D874" s="1" t="s">
        <v>14334</v>
      </c>
      <c r="E874" s="1" t="s">
        <v>14334</v>
      </c>
      <c r="G874" s="1" t="s">
        <v>14379</v>
      </c>
      <c r="H874" s="2" t="str">
        <f>Tabella1[[#This Row],[Denominazione]]&amp;" - "&amp;Tabella1[[#This Row],[Città]]</f>
        <v>B&amp;B ARIA PULITA - ACQUASANTA TERME</v>
      </c>
    </row>
    <row r="875" spans="1:8" x14ac:dyDescent="0.25">
      <c r="A875" s="1" t="s">
        <v>29</v>
      </c>
      <c r="B875" s="1" t="s">
        <v>5800</v>
      </c>
      <c r="C875" s="1" t="s">
        <v>5801</v>
      </c>
      <c r="D875" s="1" t="s">
        <v>1864</v>
      </c>
      <c r="E875" s="1" t="s">
        <v>1864</v>
      </c>
      <c r="G875" s="1" t="s">
        <v>5802</v>
      </c>
      <c r="H875" s="2" t="str">
        <f>Tabella1[[#This Row],[Denominazione]]&amp;" - "&amp;Tabella1[[#This Row],[Città]]</f>
        <v>B&amp;B ARMONIA - ANCONA</v>
      </c>
    </row>
    <row r="876" spans="1:8" x14ac:dyDescent="0.25">
      <c r="A876" s="1" t="s">
        <v>29</v>
      </c>
      <c r="B876" s="1" t="s">
        <v>19320</v>
      </c>
      <c r="C876" s="1" t="s">
        <v>19321</v>
      </c>
      <c r="D876" s="1" t="s">
        <v>19283</v>
      </c>
      <c r="G876" s="1" t="s">
        <v>19322</v>
      </c>
      <c r="H876" s="2" t="str">
        <f>Tabella1[[#This Row],[Denominazione]]&amp;" - "&amp;Tabella1[[#This Row],[Città]]</f>
        <v>B&amp;B ARMONIA DELLA SERA - PORTO SANT'ELPIDIO</v>
      </c>
    </row>
    <row r="877" spans="1:8" x14ac:dyDescent="0.25">
      <c r="A877" s="1" t="s">
        <v>29</v>
      </c>
      <c r="B877" s="1" t="s">
        <v>6783</v>
      </c>
      <c r="C877" s="1" t="s">
        <v>6784</v>
      </c>
      <c r="D877" s="1" t="s">
        <v>6652</v>
      </c>
      <c r="E877" s="1" t="s">
        <v>6785</v>
      </c>
      <c r="F877" s="1" t="s">
        <v>6786</v>
      </c>
      <c r="G877" s="1" t="s">
        <v>6787</v>
      </c>
      <c r="H877" s="2" t="str">
        <f>Tabella1[[#This Row],[Denominazione]]&amp;" - "&amp;Tabella1[[#This Row],[Città]]</f>
        <v>B&amp;B AROMANTICA - CUPRAMONTANA</v>
      </c>
    </row>
    <row r="878" spans="1:8" x14ac:dyDescent="0.25">
      <c r="A878" s="1" t="s">
        <v>29</v>
      </c>
      <c r="B878" s="1" t="s">
        <v>6002</v>
      </c>
      <c r="C878" s="1" t="s">
        <v>6003</v>
      </c>
      <c r="D878" s="1" t="s">
        <v>1864</v>
      </c>
      <c r="E878" s="1" t="s">
        <v>6004</v>
      </c>
      <c r="F878" s="1" t="s">
        <v>6005</v>
      </c>
      <c r="G878" s="1" t="s">
        <v>6006</v>
      </c>
      <c r="H878" s="2" t="str">
        <f>Tabella1[[#This Row],[Denominazione]]&amp;" - "&amp;Tabella1[[#This Row],[Città]]</f>
        <v>B&amp;B ARTS AND MUSIC - ANCONA</v>
      </c>
    </row>
    <row r="879" spans="1:8" x14ac:dyDescent="0.25">
      <c r="A879" s="1" t="s">
        <v>29</v>
      </c>
      <c r="B879" s="1" t="s">
        <v>1640</v>
      </c>
      <c r="C879" s="1" t="s">
        <v>1641</v>
      </c>
      <c r="D879" s="1" t="s">
        <v>682</v>
      </c>
      <c r="G879" s="1" t="s">
        <v>1642</v>
      </c>
      <c r="H879" s="2" t="str">
        <f>Tabella1[[#This Row],[Denominazione]]&amp;" - "&amp;Tabella1[[#This Row],[Città]]</f>
        <v>B&amp;B ARZILLA - FANO</v>
      </c>
    </row>
    <row r="880" spans="1:8" x14ac:dyDescent="0.25">
      <c r="A880" s="1" t="s">
        <v>29</v>
      </c>
      <c r="B880" s="1" t="s">
        <v>14643</v>
      </c>
      <c r="C880" s="1" t="s">
        <v>14644</v>
      </c>
      <c r="D880" s="1" t="s">
        <v>14576</v>
      </c>
      <c r="E880" s="1" t="s">
        <v>14576</v>
      </c>
      <c r="F880" s="1" t="s">
        <v>14645</v>
      </c>
      <c r="G880" s="1" t="s">
        <v>14646</v>
      </c>
      <c r="H880" s="2" t="str">
        <f>Tabella1[[#This Row],[Denominazione]]&amp;" - "&amp;Tabella1[[#This Row],[Città]]</f>
        <v>B&amp;B ASCOLI ANTICA - ASCOLI PICENO</v>
      </c>
    </row>
    <row r="881" spans="1:8" x14ac:dyDescent="0.25">
      <c r="A881" s="1" t="s">
        <v>29</v>
      </c>
      <c r="B881" s="1" t="s">
        <v>14725</v>
      </c>
      <c r="C881" s="1" t="s">
        <v>14726</v>
      </c>
      <c r="D881" s="1" t="s">
        <v>14576</v>
      </c>
      <c r="E881" s="1" t="s">
        <v>14576</v>
      </c>
      <c r="G881" s="1" t="s">
        <v>14727</v>
      </c>
      <c r="H881" s="2" t="str">
        <f>Tabella1[[#This Row],[Denominazione]]&amp;" - "&amp;Tabella1[[#This Row],[Città]]</f>
        <v>B&amp;B ASCOLI E'... - ASCOLI PICENO</v>
      </c>
    </row>
    <row r="882" spans="1:8" x14ac:dyDescent="0.25">
      <c r="A882" s="1" t="s">
        <v>29</v>
      </c>
      <c r="B882" s="1" t="s">
        <v>16302</v>
      </c>
      <c r="C882" s="1" t="s">
        <v>16303</v>
      </c>
      <c r="D882" s="1" t="s">
        <v>16281</v>
      </c>
      <c r="E882" s="1" t="s">
        <v>16281</v>
      </c>
      <c r="H882" s="2" t="str">
        <f>Tabella1[[#This Row],[Denominazione]]&amp;" - "&amp;Tabella1[[#This Row],[Città]]</f>
        <v>B&amp;B ASTOLFI MARCO - MONTEGALLO</v>
      </c>
    </row>
    <row r="883" spans="1:8" x14ac:dyDescent="0.25">
      <c r="A883" s="1" t="s">
        <v>29</v>
      </c>
      <c r="B883" s="1" t="s">
        <v>17046</v>
      </c>
      <c r="C883" s="1" t="s">
        <v>17047</v>
      </c>
      <c r="D883" s="1" t="s">
        <v>15819</v>
      </c>
      <c r="E883" s="1" t="s">
        <v>15819</v>
      </c>
      <c r="F883" s="1" t="s">
        <v>17048</v>
      </c>
      <c r="G883" s="1" t="s">
        <v>17049</v>
      </c>
      <c r="H883" s="2" t="str">
        <f>Tabella1[[#This Row],[Denominazione]]&amp;" - "&amp;Tabella1[[#This Row],[Città]]</f>
        <v>B&amp;B ATTICO MARE I - SAN BENEDETTO DEL TRONTO</v>
      </c>
    </row>
    <row r="884" spans="1:8" x14ac:dyDescent="0.25">
      <c r="A884" s="1" t="s">
        <v>29</v>
      </c>
      <c r="B884" s="1" t="s">
        <v>289</v>
      </c>
      <c r="C884" s="1" t="s">
        <v>290</v>
      </c>
      <c r="D884" s="1" t="s">
        <v>266</v>
      </c>
      <c r="E884" s="1" t="s">
        <v>266</v>
      </c>
      <c r="G884" s="1" t="s">
        <v>291</v>
      </c>
      <c r="H884" s="2" t="str">
        <f>Tabella1[[#This Row],[Denominazione]]&amp;" - "&amp;Tabella1[[#This Row],[Città]]</f>
        <v>B&amp;B AURO di BERNARDINI IVO - BORGO PACE</v>
      </c>
    </row>
    <row r="885" spans="1:8" x14ac:dyDescent="0.25">
      <c r="A885" s="1" t="s">
        <v>29</v>
      </c>
      <c r="B885" s="1" t="s">
        <v>5847</v>
      </c>
      <c r="C885" s="1" t="s">
        <v>5848</v>
      </c>
      <c r="D885" s="1" t="s">
        <v>1864</v>
      </c>
      <c r="E885" s="1" t="s">
        <v>1864</v>
      </c>
      <c r="G885" s="1" t="s">
        <v>5849</v>
      </c>
      <c r="H885" s="2" t="str">
        <f>Tabella1[[#This Row],[Denominazione]]&amp;" - "&amp;Tabella1[[#This Row],[Città]]</f>
        <v>B&amp;B AURORA - ANCONA</v>
      </c>
    </row>
    <row r="886" spans="1:8" x14ac:dyDescent="0.25">
      <c r="A886" s="1" t="s">
        <v>29</v>
      </c>
      <c r="B886" s="1" t="s">
        <v>4070</v>
      </c>
      <c r="C886" s="1" t="s">
        <v>4071</v>
      </c>
      <c r="D886" s="1" t="s">
        <v>2386</v>
      </c>
      <c r="E886" s="1" t="s">
        <v>2386</v>
      </c>
      <c r="G886" s="1" t="s">
        <v>4072</v>
      </c>
      <c r="H886" s="2" t="str">
        <f>Tabella1[[#This Row],[Denominazione]]&amp;" - "&amp;Tabella1[[#This Row],[Città]]</f>
        <v>B&amp;B AURORA DOMUS D-AMARE - PESARO</v>
      </c>
    </row>
    <row r="887" spans="1:8" x14ac:dyDescent="0.25">
      <c r="A887" s="1" t="s">
        <v>29</v>
      </c>
      <c r="B887" s="1" t="s">
        <v>14831</v>
      </c>
      <c r="C887" s="1" t="s">
        <v>14832</v>
      </c>
      <c r="D887" s="1" t="s">
        <v>14576</v>
      </c>
      <c r="E887" s="1" t="s">
        <v>14576</v>
      </c>
      <c r="F887" s="1" t="s">
        <v>14833</v>
      </c>
      <c r="G887" s="1" t="s">
        <v>14834</v>
      </c>
      <c r="H887" s="2" t="str">
        <f>Tabella1[[#This Row],[Denominazione]]&amp;" - "&amp;Tabella1[[#This Row],[Città]]</f>
        <v>B&amp;B AUSSIE HOME di FIORAVANTI ANNARITA - ASCOLI PICENO</v>
      </c>
    </row>
    <row r="888" spans="1:8" x14ac:dyDescent="0.25">
      <c r="A888" s="1" t="s">
        <v>29</v>
      </c>
      <c r="B888" s="1" t="s">
        <v>19394</v>
      </c>
      <c r="C888" s="1" t="s">
        <v>19391</v>
      </c>
      <c r="D888" s="1" t="s">
        <v>19283</v>
      </c>
      <c r="E888" s="1" t="s">
        <v>19363</v>
      </c>
      <c r="F888" s="1" t="s">
        <v>19392</v>
      </c>
      <c r="G888" s="1" t="s">
        <v>19393</v>
      </c>
      <c r="H888" s="2" t="str">
        <f>Tabella1[[#This Row],[Denominazione]]&amp;" - "&amp;Tabella1[[#This Row],[Città]]</f>
        <v>B&amp;B AZZURROMARE - PORTO SANT'ELPIDIO</v>
      </c>
    </row>
    <row r="889" spans="1:8" x14ac:dyDescent="0.25">
      <c r="A889" s="1" t="s">
        <v>29</v>
      </c>
      <c r="B889" s="1" t="s">
        <v>5825</v>
      </c>
      <c r="C889" s="1" t="s">
        <v>5826</v>
      </c>
      <c r="D889" s="1" t="s">
        <v>1864</v>
      </c>
      <c r="E889" s="1" t="s">
        <v>1864</v>
      </c>
      <c r="H889" s="2" t="str">
        <f>Tabella1[[#This Row],[Denominazione]]&amp;" - "&amp;Tabella1[[#This Row],[Città]]</f>
        <v>B&amp;B BADIALI ORNELLA - ANCONA</v>
      </c>
    </row>
    <row r="890" spans="1:8" x14ac:dyDescent="0.25">
      <c r="A890" s="1" t="s">
        <v>29</v>
      </c>
      <c r="B890" s="1" t="s">
        <v>948</v>
      </c>
      <c r="C890" s="1" t="s">
        <v>949</v>
      </c>
      <c r="D890" s="1" t="s">
        <v>682</v>
      </c>
      <c r="E890" s="1" t="s">
        <v>682</v>
      </c>
      <c r="G890" s="1" t="s">
        <v>950</v>
      </c>
      <c r="H890" s="2" t="str">
        <f>Tabella1[[#This Row],[Denominazione]]&amp;" - "&amp;Tabella1[[#This Row],[Città]]</f>
        <v>B&amp;B BAJOCCHI GIANCARLA - FANO</v>
      </c>
    </row>
    <row r="891" spans="1:8" x14ac:dyDescent="0.25">
      <c r="A891" s="1" t="s">
        <v>29</v>
      </c>
      <c r="B891" s="1" t="s">
        <v>4851</v>
      </c>
      <c r="C891" s="1" t="s">
        <v>4852</v>
      </c>
      <c r="D891" s="1" t="s">
        <v>4735</v>
      </c>
      <c r="E891" s="1" t="s">
        <v>4853</v>
      </c>
      <c r="G891" s="1" t="s">
        <v>4854</v>
      </c>
      <c r="H891" s="2" t="str">
        <f>Tabella1[[#This Row],[Denominazione]]&amp;" - "&amp;Tabella1[[#This Row],[Città]]</f>
        <v>B&amp;B BALDELLI DIANA - URBANIA</v>
      </c>
    </row>
    <row r="892" spans="1:8" x14ac:dyDescent="0.25">
      <c r="A892" s="1" t="s">
        <v>29</v>
      </c>
      <c r="B892" s="1" t="s">
        <v>19018</v>
      </c>
      <c r="C892" s="1" t="s">
        <v>19019</v>
      </c>
      <c r="D892" s="1" t="s">
        <v>18971</v>
      </c>
      <c r="E892" s="1" t="s">
        <v>18971</v>
      </c>
      <c r="H892" s="2" t="str">
        <f>Tabella1[[#This Row],[Denominazione]]&amp;" - "&amp;Tabella1[[#This Row],[Città]]</f>
        <v>B&amp;B BATES GEOFFREY - PETRITOLI</v>
      </c>
    </row>
    <row r="893" spans="1:8" x14ac:dyDescent="0.25">
      <c r="A893" s="1" t="s">
        <v>29</v>
      </c>
      <c r="B893" s="1" t="s">
        <v>10713</v>
      </c>
      <c r="C893" s="1" t="s">
        <v>10711</v>
      </c>
      <c r="D893" s="1" t="s">
        <v>10702</v>
      </c>
      <c r="E893" s="1" t="s">
        <v>10702</v>
      </c>
      <c r="G893" s="1" t="s">
        <v>10714</v>
      </c>
      <c r="H893" s="2" t="str">
        <f>Tabella1[[#This Row],[Denominazione]]&amp;" - "&amp;Tabella1[[#This Row],[Città]]</f>
        <v>B&amp;B BEA VILLA BEA - CALDAROLA</v>
      </c>
    </row>
    <row r="894" spans="1:8" x14ac:dyDescent="0.25">
      <c r="A894" s="1" t="s">
        <v>29</v>
      </c>
      <c r="B894" s="1" t="s">
        <v>14874</v>
      </c>
      <c r="C894" s="1" t="s">
        <v>14875</v>
      </c>
      <c r="D894" s="1" t="s">
        <v>14576</v>
      </c>
      <c r="E894" s="1" t="s">
        <v>14576</v>
      </c>
      <c r="F894" s="1" t="s">
        <v>14876</v>
      </c>
      <c r="G894" s="1" t="s">
        <v>14877</v>
      </c>
      <c r="H894" s="2" t="str">
        <f>Tabella1[[#This Row],[Denominazione]]&amp;" - "&amp;Tabella1[[#This Row],[Città]]</f>
        <v>B&amp;B BELLA ASCOLI - ASCOLI PICENO</v>
      </c>
    </row>
    <row r="895" spans="1:8" x14ac:dyDescent="0.25">
      <c r="A895" s="1" t="s">
        <v>29</v>
      </c>
      <c r="B895" s="1" t="s">
        <v>5330</v>
      </c>
      <c r="C895" s="1" t="s">
        <v>5331</v>
      </c>
      <c r="D895" s="1" t="s">
        <v>9</v>
      </c>
      <c r="E895" s="1" t="s">
        <v>5332</v>
      </c>
      <c r="G895" s="1" t="s">
        <v>5333</v>
      </c>
      <c r="H895" s="2" t="str">
        <f>Tabella1[[#This Row],[Denominazione]]&amp;" - "&amp;Tabella1[[#This Row],[Città]]</f>
        <v>B&amp;B BELLAVISTA - URBINO</v>
      </c>
    </row>
    <row r="896" spans="1:8" x14ac:dyDescent="0.25">
      <c r="A896" s="1" t="s">
        <v>29</v>
      </c>
      <c r="B896" s="1" t="s">
        <v>11367</v>
      </c>
      <c r="C896" s="1" t="s">
        <v>11368</v>
      </c>
      <c r="D896" s="1" t="s">
        <v>11244</v>
      </c>
      <c r="E896" s="1" t="s">
        <v>11369</v>
      </c>
      <c r="F896" s="1" t="s">
        <v>11370</v>
      </c>
      <c r="H896" s="2" t="str">
        <f>Tabella1[[#This Row],[Denominazione]]&amp;" - "&amp;Tabella1[[#This Row],[Città]]</f>
        <v>B&amp;B BELLE MARCHE - CIVITANOVA MARCHE</v>
      </c>
    </row>
    <row r="897" spans="1:8" x14ac:dyDescent="0.25">
      <c r="A897" s="1" t="s">
        <v>29</v>
      </c>
      <c r="B897" s="1" t="s">
        <v>15387</v>
      </c>
      <c r="C897" s="1" t="s">
        <v>15388</v>
      </c>
      <c r="D897" s="1" t="s">
        <v>15349</v>
      </c>
      <c r="E897" s="1" t="s">
        <v>15349</v>
      </c>
      <c r="F897" s="1" t="s">
        <v>15389</v>
      </c>
      <c r="G897" s="1" t="s">
        <v>15390</v>
      </c>
      <c r="H897" s="2" t="str">
        <f>Tabella1[[#This Row],[Denominazione]]&amp;" - "&amp;Tabella1[[#This Row],[Città]]</f>
        <v>B&amp;B BELLEGGIA - CUPRA MARITTIMA</v>
      </c>
    </row>
    <row r="898" spans="1:8" x14ac:dyDescent="0.25">
      <c r="A898" s="1" t="s">
        <v>29</v>
      </c>
      <c r="B898" s="1" t="s">
        <v>5486</v>
      </c>
      <c r="C898" s="1" t="s">
        <v>5487</v>
      </c>
      <c r="D898" s="1" t="s">
        <v>1864</v>
      </c>
      <c r="G898" s="1" t="s">
        <v>5488</v>
      </c>
      <c r="H898" s="2" t="str">
        <f>Tabella1[[#This Row],[Denominazione]]&amp;" - "&amp;Tabella1[[#This Row],[Città]]</f>
        <v>B&amp;B BELLO COME IL SOLE - ANCONA</v>
      </c>
    </row>
    <row r="899" spans="1:8" x14ac:dyDescent="0.25">
      <c r="A899" s="1" t="s">
        <v>29</v>
      </c>
      <c r="B899" s="1" t="s">
        <v>11459</v>
      </c>
      <c r="C899" s="1" t="s">
        <v>11460</v>
      </c>
      <c r="D899" s="1" t="s">
        <v>11244</v>
      </c>
      <c r="G899" s="1" t="s">
        <v>11461</v>
      </c>
      <c r="H899" s="2" t="str">
        <f>Tabella1[[#This Row],[Denominazione]]&amp;" - "&amp;Tabella1[[#This Row],[Città]]</f>
        <v>B&amp;B BELO ORIZZONTE - CIVITANOVA MARCHE</v>
      </c>
    </row>
    <row r="900" spans="1:8" x14ac:dyDescent="0.25">
      <c r="A900" s="1" t="s">
        <v>29</v>
      </c>
      <c r="B900" s="1" t="s">
        <v>19248</v>
      </c>
      <c r="C900" s="1" t="s">
        <v>19249</v>
      </c>
      <c r="D900" s="1" t="s">
        <v>18082</v>
      </c>
      <c r="F900" s="1" t="s">
        <v>19250</v>
      </c>
      <c r="G900" s="1" t="s">
        <v>19251</v>
      </c>
      <c r="H900" s="2" t="str">
        <f>Tabella1[[#This Row],[Denominazione]]&amp;" - "&amp;Tabella1[[#This Row],[Città]]</f>
        <v>B&amp;B BELSIT - PORTO SAN GIORGIO</v>
      </c>
    </row>
    <row r="901" spans="1:8" x14ac:dyDescent="0.25">
      <c r="A901" s="1" t="s">
        <v>29</v>
      </c>
      <c r="B901" s="1" t="s">
        <v>16632</v>
      </c>
      <c r="C901" s="1" t="s">
        <v>16633</v>
      </c>
      <c r="D901" s="1" t="s">
        <v>16585</v>
      </c>
      <c r="F901" s="1" t="s">
        <v>16634</v>
      </c>
      <c r="G901" s="1" t="s">
        <v>16635</v>
      </c>
      <c r="H901" s="2" t="str">
        <f>Tabella1[[#This Row],[Denominazione]]&amp;" - "&amp;Tabella1[[#This Row],[Città]]</f>
        <v>B&amp;B BELVEDERE - RIPATRANSONE</v>
      </c>
    </row>
    <row r="902" spans="1:8" x14ac:dyDescent="0.25">
      <c r="A902" s="1" t="s">
        <v>29</v>
      </c>
      <c r="B902" s="1" t="s">
        <v>11790</v>
      </c>
      <c r="C902" s="1" t="s">
        <v>11791</v>
      </c>
      <c r="D902" s="1" t="s">
        <v>11792</v>
      </c>
      <c r="E902" s="1" t="s">
        <v>11792</v>
      </c>
      <c r="G902" s="1" t="s">
        <v>11793</v>
      </c>
      <c r="H902" s="2" t="str">
        <f>Tabella1[[#This Row],[Denominazione]]&amp;" - "&amp;Tabella1[[#This Row],[Città]]</f>
        <v>B&amp;B BELVEDERE SUL LAGO - FIASTRA</v>
      </c>
    </row>
    <row r="903" spans="1:8" x14ac:dyDescent="0.25">
      <c r="A903" s="1" t="s">
        <v>29</v>
      </c>
      <c r="B903" s="1" t="s">
        <v>2649</v>
      </c>
      <c r="C903" s="1" t="s">
        <v>2650</v>
      </c>
      <c r="D903" s="1" t="s">
        <v>2594</v>
      </c>
      <c r="F903" s="1" t="s">
        <v>2651</v>
      </c>
      <c r="G903" s="1" t="s">
        <v>2652</v>
      </c>
      <c r="H903" s="2" t="str">
        <f>Tabella1[[#This Row],[Denominazione]]&amp;" - "&amp;Tabella1[[#This Row],[Città]]</f>
        <v>B&amp;B BENCIVENNI DI UGOLINI VERONICA - MERCATELLO SUL METAURO</v>
      </c>
    </row>
    <row r="904" spans="1:8" x14ac:dyDescent="0.25">
      <c r="A904" s="1" t="s">
        <v>29</v>
      </c>
      <c r="B904" s="1" t="s">
        <v>17953</v>
      </c>
      <c r="C904" s="1" t="s">
        <v>17954</v>
      </c>
      <c r="D904" s="1" t="s">
        <v>17932</v>
      </c>
      <c r="G904" s="1" t="s">
        <v>17955</v>
      </c>
      <c r="H904" s="2" t="str">
        <f>Tabella1[[#This Row],[Denominazione]]&amp;" - "&amp;Tabella1[[#This Row],[Città]]</f>
        <v>B&amp;B BERKOVITS - FERMO</v>
      </c>
    </row>
    <row r="905" spans="1:8" x14ac:dyDescent="0.25">
      <c r="A905" s="1" t="s">
        <v>29</v>
      </c>
      <c r="B905" s="1" t="s">
        <v>11503</v>
      </c>
      <c r="C905" s="1" t="s">
        <v>11504</v>
      </c>
      <c r="D905" s="1" t="s">
        <v>11244</v>
      </c>
      <c r="H905" s="2" t="str">
        <f>Tabella1[[#This Row],[Denominazione]]&amp;" - "&amp;Tabella1[[#This Row],[Città]]</f>
        <v>B&amp;B BIANCAMARIA - CIVITANOVA MARCHE</v>
      </c>
    </row>
    <row r="906" spans="1:8" x14ac:dyDescent="0.25">
      <c r="A906" s="1" t="s">
        <v>29</v>
      </c>
      <c r="B906" s="1" t="s">
        <v>13603</v>
      </c>
      <c r="C906" s="1" t="s">
        <v>13604</v>
      </c>
      <c r="D906" s="1" t="s">
        <v>13548</v>
      </c>
      <c r="F906" s="1" t="s">
        <v>13605</v>
      </c>
      <c r="G906" s="1" t="s">
        <v>13606</v>
      </c>
      <c r="H906" s="2" t="str">
        <f>Tabella1[[#This Row],[Denominazione]]&amp;" - "&amp;Tabella1[[#This Row],[Città]]</f>
        <v>B&amp;B BIANCHINI ANTONIA - SAN SEVERINO MARCHE</v>
      </c>
    </row>
    <row r="907" spans="1:8" x14ac:dyDescent="0.25">
      <c r="A907" s="1" t="s">
        <v>29</v>
      </c>
      <c r="B907" s="1" t="s">
        <v>5371</v>
      </c>
      <c r="C907" s="1" t="s">
        <v>5372</v>
      </c>
      <c r="D907" s="1" t="s">
        <v>5358</v>
      </c>
      <c r="E907" s="1" t="s">
        <v>5373</v>
      </c>
      <c r="F907" s="1" t="s">
        <v>5374</v>
      </c>
      <c r="G907" s="1" t="s">
        <v>5375</v>
      </c>
      <c r="H907" s="2" t="str">
        <f>Tabella1[[#This Row],[Denominazione]]&amp;" - "&amp;Tabella1[[#This Row],[Città]]</f>
        <v>B&amp;B BIANCO NUVOLA - VALLEFOGLIA</v>
      </c>
    </row>
    <row r="908" spans="1:8" x14ac:dyDescent="0.25">
      <c r="A908" s="1" t="s">
        <v>29</v>
      </c>
      <c r="B908" s="1" t="s">
        <v>14166</v>
      </c>
      <c r="C908" s="1" t="s">
        <v>14167</v>
      </c>
      <c r="D908" s="1" t="s">
        <v>14065</v>
      </c>
      <c r="F908" s="1" t="s">
        <v>14168</v>
      </c>
      <c r="G908" s="1" t="s">
        <v>14169</v>
      </c>
      <c r="H908" s="2" t="str">
        <f>Tabella1[[#This Row],[Denominazione]]&amp;" - "&amp;Tabella1[[#This Row],[Città]]</f>
        <v>B&amp;B BIBIANO 38 - TREIA</v>
      </c>
    </row>
    <row r="909" spans="1:8" x14ac:dyDescent="0.25">
      <c r="A909" s="1" t="s">
        <v>29</v>
      </c>
      <c r="B909" s="1" t="s">
        <v>1506</v>
      </c>
      <c r="C909" s="1" t="s">
        <v>1507</v>
      </c>
      <c r="D909" s="1" t="s">
        <v>682</v>
      </c>
      <c r="E909" s="1" t="s">
        <v>682</v>
      </c>
      <c r="G909" s="1" t="s">
        <v>864</v>
      </c>
      <c r="H909" s="2" t="str">
        <f>Tabella1[[#This Row],[Denominazione]]&amp;" - "&amp;Tabella1[[#This Row],[Città]]</f>
        <v>B&amp;B BIGOTTI 2 - FANO</v>
      </c>
    </row>
    <row r="910" spans="1:8" x14ac:dyDescent="0.25">
      <c r="A910" s="1" t="s">
        <v>29</v>
      </c>
      <c r="B910" s="1" t="s">
        <v>861</v>
      </c>
      <c r="C910" s="1" t="s">
        <v>862</v>
      </c>
      <c r="D910" s="1" t="s">
        <v>682</v>
      </c>
      <c r="F910" s="1" t="s">
        <v>863</v>
      </c>
      <c r="G910" s="1" t="s">
        <v>864</v>
      </c>
      <c r="H910" s="2" t="str">
        <f>Tabella1[[#This Row],[Denominazione]]&amp;" - "&amp;Tabella1[[#This Row],[Città]]</f>
        <v>B&amp;B BIGOTTI 3 - FANO</v>
      </c>
    </row>
    <row r="911" spans="1:8" x14ac:dyDescent="0.25">
      <c r="A911" s="1" t="s">
        <v>29</v>
      </c>
      <c r="B911" s="1" t="s">
        <v>100</v>
      </c>
      <c r="C911" s="1" t="s">
        <v>101</v>
      </c>
      <c r="D911" s="1" t="s">
        <v>102</v>
      </c>
      <c r="G911" s="1" t="s">
        <v>103</v>
      </c>
      <c r="H911" s="2" t="str">
        <f>Tabella1[[#This Row],[Denominazione]]&amp;" - "&amp;Tabella1[[#This Row],[Città]]</f>
        <v>B&amp;B BISCUBIO - APECCHIO</v>
      </c>
    </row>
    <row r="912" spans="1:8" x14ac:dyDescent="0.25">
      <c r="A912" s="1" t="s">
        <v>29</v>
      </c>
      <c r="B912" s="1" t="s">
        <v>4590</v>
      </c>
      <c r="C912" s="1" t="s">
        <v>4591</v>
      </c>
      <c r="D912" s="1" t="s">
        <v>4578</v>
      </c>
      <c r="G912" s="1" t="s">
        <v>4592</v>
      </c>
      <c r="H912" s="2" t="str">
        <f>Tabella1[[#This Row],[Denominazione]]&amp;" - "&amp;Tabella1[[#This Row],[Città]]</f>
        <v>B&amp;B BLANDIN FREDERIQUE - SERRUNGARINA</v>
      </c>
    </row>
    <row r="913" spans="1:8" x14ac:dyDescent="0.25">
      <c r="A913" s="1" t="s">
        <v>29</v>
      </c>
      <c r="B913" s="1" t="s">
        <v>19688</v>
      </c>
      <c r="C913" s="1" t="s">
        <v>19689</v>
      </c>
      <c r="D913" s="1" t="s">
        <v>19685</v>
      </c>
      <c r="E913" s="1" t="s">
        <v>19685</v>
      </c>
      <c r="G913" s="1" t="s">
        <v>19690</v>
      </c>
      <c r="H913" s="2" t="str">
        <f>Tabella1[[#This Row],[Denominazione]]&amp;" - "&amp;Tabella1[[#This Row],[Città]]</f>
        <v>B&amp;B BONCORE di BORRONI SILVANA - TORRE SAN PATRIZIO</v>
      </c>
    </row>
    <row r="914" spans="1:8" x14ac:dyDescent="0.25">
      <c r="A914" s="1" t="s">
        <v>29</v>
      </c>
      <c r="B914" s="1" t="s">
        <v>648</v>
      </c>
      <c r="C914" s="1" t="s">
        <v>649</v>
      </c>
      <c r="D914" s="1" t="s">
        <v>634</v>
      </c>
      <c r="E914" s="1" t="s">
        <v>634</v>
      </c>
      <c r="F914" s="1" t="s">
        <v>650</v>
      </c>
      <c r="G914" s="1" t="s">
        <v>651</v>
      </c>
      <c r="H914" s="2" t="str">
        <f>Tabella1[[#This Row],[Denominazione]]&amp;" - "&amp;Tabella1[[#This Row],[Città]]</f>
        <v>B&amp;B BORGHI DELLA ROCCA - CARTOCETO</v>
      </c>
    </row>
    <row r="915" spans="1:8" x14ac:dyDescent="0.25">
      <c r="A915" s="1" t="s">
        <v>29</v>
      </c>
      <c r="B915" s="1" t="s">
        <v>1851</v>
      </c>
      <c r="C915" s="1" t="s">
        <v>1852</v>
      </c>
      <c r="D915" s="1" t="s">
        <v>1810</v>
      </c>
      <c r="E915" s="1" t="s">
        <v>1810</v>
      </c>
      <c r="F915" s="1" t="s">
        <v>1853</v>
      </c>
      <c r="H915" s="2" t="str">
        <f>Tabella1[[#This Row],[Denominazione]]&amp;" - "&amp;Tabella1[[#This Row],[Città]]</f>
        <v>B&amp;B BORGO CASANOVA di ERCOLANI LUCIANA - FRONTINO</v>
      </c>
    </row>
    <row r="916" spans="1:8" x14ac:dyDescent="0.25">
      <c r="A916" s="1" t="s">
        <v>29</v>
      </c>
      <c r="B916" s="1" t="s">
        <v>10766</v>
      </c>
      <c r="C916" s="1" t="s">
        <v>10767</v>
      </c>
      <c r="D916" s="1" t="s">
        <v>10737</v>
      </c>
      <c r="E916" s="1" t="s">
        <v>10768</v>
      </c>
      <c r="F916" s="1" t="s">
        <v>10769</v>
      </c>
      <c r="G916" s="1" t="s">
        <v>10770</v>
      </c>
      <c r="H916" s="2" t="str">
        <f>Tabella1[[#This Row],[Denominazione]]&amp;" - "&amp;Tabella1[[#This Row],[Città]]</f>
        <v>B&amp;B BORGO COLLE PIANO - CAMERINO</v>
      </c>
    </row>
    <row r="917" spans="1:8" x14ac:dyDescent="0.25">
      <c r="A917" s="1" t="s">
        <v>29</v>
      </c>
      <c r="B917" s="1" t="s">
        <v>13658</v>
      </c>
      <c r="C917" s="1" t="s">
        <v>13659</v>
      </c>
      <c r="D917" s="1" t="s">
        <v>13548</v>
      </c>
      <c r="E917" s="1" t="s">
        <v>13660</v>
      </c>
      <c r="F917" s="1" t="s">
        <v>13661</v>
      </c>
      <c r="G917" s="1" t="s">
        <v>13662</v>
      </c>
      <c r="H917" s="2" t="str">
        <f>Tabella1[[#This Row],[Denominazione]]&amp;" - "&amp;Tabella1[[#This Row],[Città]]</f>
        <v>B&amp;B BORGO D'ANCHISE di BASILE ANCHISE - SAN SEVERINO MARCHE</v>
      </c>
    </row>
    <row r="918" spans="1:8" x14ac:dyDescent="0.25">
      <c r="A918" s="1" t="s">
        <v>29</v>
      </c>
      <c r="B918" s="1" t="s">
        <v>12385</v>
      </c>
      <c r="C918" s="1" t="s">
        <v>12386</v>
      </c>
      <c r="D918" s="1" t="s">
        <v>12382</v>
      </c>
      <c r="E918" s="1" t="s">
        <v>12387</v>
      </c>
      <c r="G918" s="1" t="s">
        <v>12388</v>
      </c>
      <c r="H918" s="2" t="str">
        <f>Tabella1[[#This Row],[Denominazione]]&amp;" - "&amp;Tabella1[[#This Row],[Città]]</f>
        <v>B&amp;B BORGO LATINO, AZZURRO, SELVAGGIO - MONTECOSARO</v>
      </c>
    </row>
    <row r="919" spans="1:8" x14ac:dyDescent="0.25">
      <c r="A919" s="1" t="s">
        <v>29</v>
      </c>
      <c r="B919" s="1" t="s">
        <v>7735</v>
      </c>
      <c r="C919" s="1" t="s">
        <v>7721</v>
      </c>
      <c r="D919" s="1" t="s">
        <v>7718</v>
      </c>
      <c r="E919" s="1" t="s">
        <v>7736</v>
      </c>
      <c r="F919" s="1" t="s">
        <v>7737</v>
      </c>
      <c r="G919" s="1" t="s">
        <v>7722</v>
      </c>
      <c r="H919" s="2" t="str">
        <f>Tabella1[[#This Row],[Denominazione]]&amp;" - "&amp;Tabella1[[#This Row],[Città]]</f>
        <v>B&amp;B BREZZA DA MARE - MONTEMARCIANO</v>
      </c>
    </row>
    <row r="920" spans="1:8" x14ac:dyDescent="0.25">
      <c r="A920" s="1" t="s">
        <v>29</v>
      </c>
      <c r="B920" s="1" t="s">
        <v>10988</v>
      </c>
      <c r="C920" s="1" t="s">
        <v>10989</v>
      </c>
      <c r="D920" s="1" t="s">
        <v>10990</v>
      </c>
      <c r="E920" s="1" t="s">
        <v>8731</v>
      </c>
      <c r="H920" s="2" t="str">
        <f>Tabella1[[#This Row],[Denominazione]]&amp;" - "&amp;Tabella1[[#This Row],[Città]]</f>
        <v>B&amp;B BREZZA DEL PARCO - CASTELSANTANGELO SUL NERA</v>
      </c>
    </row>
    <row r="921" spans="1:8" x14ac:dyDescent="0.25">
      <c r="A921" s="1" t="s">
        <v>29</v>
      </c>
      <c r="B921" s="1" t="s">
        <v>15941</v>
      </c>
      <c r="C921" s="1" t="s">
        <v>15942</v>
      </c>
      <c r="D921" s="1" t="s">
        <v>15585</v>
      </c>
      <c r="G921" s="1" t="s">
        <v>15943</v>
      </c>
      <c r="H921" s="2" t="str">
        <f>Tabella1[[#This Row],[Denominazione]]&amp;" - "&amp;Tabella1[[#This Row],[Città]]</f>
        <v>B&amp;B BRIC E BRAC - GROTTAMMARE</v>
      </c>
    </row>
    <row r="922" spans="1:8" x14ac:dyDescent="0.25">
      <c r="A922" s="1" t="s">
        <v>29</v>
      </c>
      <c r="B922" s="1" t="s">
        <v>4496</v>
      </c>
      <c r="C922" s="1" t="s">
        <v>4497</v>
      </c>
      <c r="D922" s="1" t="s">
        <v>4493</v>
      </c>
      <c r="E922" s="1" t="s">
        <v>4493</v>
      </c>
      <c r="F922" s="1" t="s">
        <v>4498</v>
      </c>
      <c r="G922" s="1" t="s">
        <v>4499</v>
      </c>
      <c r="H922" s="2" t="str">
        <f>Tabella1[[#This Row],[Denominazione]]&amp;" - "&amp;Tabella1[[#This Row],[Città]]</f>
        <v>B&amp;B CA' AGOSTINO di JORG PETER - SASSOCORVARO</v>
      </c>
    </row>
    <row r="923" spans="1:8" x14ac:dyDescent="0.25">
      <c r="A923" s="1" t="s">
        <v>29</v>
      </c>
      <c r="B923" s="1" t="s">
        <v>5049</v>
      </c>
      <c r="C923" s="1" t="s">
        <v>5050</v>
      </c>
      <c r="D923" s="1" t="s">
        <v>9</v>
      </c>
      <c r="G923" s="1" t="s">
        <v>5051</v>
      </c>
      <c r="H923" s="2" t="str">
        <f>Tabella1[[#This Row],[Denominazione]]&amp;" - "&amp;Tabella1[[#This Row],[Città]]</f>
        <v>B&amp;B CA' BARTOCCIO - URBINO</v>
      </c>
    </row>
    <row r="924" spans="1:8" x14ac:dyDescent="0.25">
      <c r="A924" s="1" t="s">
        <v>29</v>
      </c>
      <c r="B924" s="1" t="s">
        <v>4433</v>
      </c>
      <c r="C924" s="1" t="s">
        <v>4434</v>
      </c>
      <c r="D924" s="1" t="s">
        <v>4397</v>
      </c>
      <c r="E924" s="1" t="s">
        <v>4435</v>
      </c>
      <c r="G924" s="1" t="s">
        <v>4436</v>
      </c>
      <c r="H924" s="2" t="str">
        <f>Tabella1[[#This Row],[Denominazione]]&amp;" - "&amp;Tabella1[[#This Row],[Città]]</f>
        <v>B&amp;B CA' BETO - SANT'ANGELO IN VADO</v>
      </c>
    </row>
    <row r="925" spans="1:8" x14ac:dyDescent="0.25">
      <c r="A925" s="1" t="s">
        <v>29</v>
      </c>
      <c r="B925" s="1" t="s">
        <v>18535</v>
      </c>
      <c r="C925" s="1" t="s">
        <v>18536</v>
      </c>
      <c r="D925" s="1" t="s">
        <v>18522</v>
      </c>
      <c r="E925" s="1" t="s">
        <v>18537</v>
      </c>
      <c r="F925" s="1" t="s">
        <v>18538</v>
      </c>
      <c r="G925" s="1" t="s">
        <v>18539</v>
      </c>
      <c r="H925" s="2" t="str">
        <f>Tabella1[[#This Row],[Denominazione]]&amp;" - "&amp;Tabella1[[#This Row],[Città]]</f>
        <v>B&amp;B CA' DE LA ROSSA - MONTEFORTINO</v>
      </c>
    </row>
    <row r="926" spans="1:8" x14ac:dyDescent="0.25">
      <c r="A926" s="1" t="s">
        <v>29</v>
      </c>
      <c r="B926" s="1" t="s">
        <v>10495</v>
      </c>
      <c r="C926" s="1" t="s">
        <v>10496</v>
      </c>
      <c r="D926" s="1" t="s">
        <v>10488</v>
      </c>
      <c r="E926" s="1" t="s">
        <v>10488</v>
      </c>
      <c r="F926" s="1" t="s">
        <v>10497</v>
      </c>
      <c r="G926" s="1" t="s">
        <v>10498</v>
      </c>
      <c r="H926" s="2" t="str">
        <f>Tabella1[[#This Row],[Denominazione]]&amp;" - "&amp;Tabella1[[#This Row],[Città]]</f>
        <v>B&amp;B CA' DEL CARDO - STAFFOLO</v>
      </c>
    </row>
    <row r="927" spans="1:8" x14ac:dyDescent="0.25">
      <c r="A927" s="1" t="s">
        <v>29</v>
      </c>
      <c r="B927" s="1" t="s">
        <v>1686</v>
      </c>
      <c r="C927" s="1" t="s">
        <v>1687</v>
      </c>
      <c r="D927" s="1" t="s">
        <v>1653</v>
      </c>
      <c r="E927" s="1" t="s">
        <v>1653</v>
      </c>
      <c r="G927" s="1" t="s">
        <v>1688</v>
      </c>
      <c r="H927" s="2" t="str">
        <f>Tabella1[[#This Row],[Denominazione]]&amp;" - "&amp;Tabella1[[#This Row],[Città]]</f>
        <v>B&amp;B CA' DEL PINO - FERMIGNANO</v>
      </c>
    </row>
    <row r="928" spans="1:8" x14ac:dyDescent="0.25">
      <c r="A928" s="1" t="s">
        <v>29</v>
      </c>
      <c r="B928" s="1" t="s">
        <v>4891</v>
      </c>
      <c r="C928" s="1" t="s">
        <v>4892</v>
      </c>
      <c r="D928" s="1" t="s">
        <v>9</v>
      </c>
      <c r="G928" s="1" t="s">
        <v>4893</v>
      </c>
      <c r="H928" s="2" t="str">
        <f>Tabella1[[#This Row],[Denominazione]]&amp;" - "&amp;Tabella1[[#This Row],[Città]]</f>
        <v>B&amp;B CA' FABBRO - URBINO</v>
      </c>
    </row>
    <row r="929" spans="1:8" x14ac:dyDescent="0.25">
      <c r="A929" s="1" t="s">
        <v>29</v>
      </c>
      <c r="B929" s="1" t="s">
        <v>1854</v>
      </c>
      <c r="C929" s="1" t="s">
        <v>1855</v>
      </c>
      <c r="D929" s="1" t="s">
        <v>1810</v>
      </c>
      <c r="E929" s="1" t="s">
        <v>1810</v>
      </c>
      <c r="F929" s="1" t="s">
        <v>1856</v>
      </c>
      <c r="G929" s="1" t="s">
        <v>1857</v>
      </c>
      <c r="H929" s="2" t="str">
        <f>Tabella1[[#This Row],[Denominazione]]&amp;" - "&amp;Tabella1[[#This Row],[Città]]</f>
        <v>B&amp;B CA' GIORGETTO - FRONTINO</v>
      </c>
    </row>
    <row r="930" spans="1:8" x14ac:dyDescent="0.25">
      <c r="A930" s="1" t="s">
        <v>29</v>
      </c>
      <c r="B930" s="1" t="s">
        <v>5223</v>
      </c>
      <c r="C930" s="1" t="s">
        <v>5224</v>
      </c>
      <c r="D930" s="1" t="s">
        <v>9</v>
      </c>
      <c r="E930" s="1" t="s">
        <v>9</v>
      </c>
      <c r="F930" s="1" t="s">
        <v>5225</v>
      </c>
      <c r="G930" s="1" t="s">
        <v>5226</v>
      </c>
      <c r="H930" s="2" t="str">
        <f>Tabella1[[#This Row],[Denominazione]]&amp;" - "&amp;Tabella1[[#This Row],[Città]]</f>
        <v>B&amp;B CA' GIOVANNI COUNTRY RESORT - URBINO</v>
      </c>
    </row>
    <row r="931" spans="1:8" x14ac:dyDescent="0.25">
      <c r="A931" s="1" t="s">
        <v>29</v>
      </c>
      <c r="B931" s="1" t="s">
        <v>1682</v>
      </c>
      <c r="C931" s="1" t="s">
        <v>1683</v>
      </c>
      <c r="D931" s="1" t="s">
        <v>1653</v>
      </c>
      <c r="E931" s="1" t="s">
        <v>1653</v>
      </c>
      <c r="F931" s="1" t="s">
        <v>1684</v>
      </c>
      <c r="G931" s="1" t="s">
        <v>1685</v>
      </c>
      <c r="H931" s="2" t="str">
        <f>Tabella1[[#This Row],[Denominazione]]&amp;" - "&amp;Tabella1[[#This Row],[Città]]</f>
        <v>B&amp;B CA' I SEVERI - FERMIGNANO</v>
      </c>
    </row>
    <row r="932" spans="1:8" x14ac:dyDescent="0.25">
      <c r="A932" s="1" t="s">
        <v>29</v>
      </c>
      <c r="B932" s="1" t="s">
        <v>5172</v>
      </c>
      <c r="C932" s="1" t="s">
        <v>5173</v>
      </c>
      <c r="D932" s="1" t="s">
        <v>9</v>
      </c>
      <c r="E932" s="1" t="s">
        <v>9</v>
      </c>
      <c r="F932" s="1" t="s">
        <v>5174</v>
      </c>
      <c r="G932" s="1" t="s">
        <v>5175</v>
      </c>
      <c r="H932" s="2" t="str">
        <f>Tabella1[[#This Row],[Denominazione]]&amp;" - "&amp;Tabella1[[#This Row],[Città]]</f>
        <v>B&amp;B CA' IL GOVERNATORE - URBINO</v>
      </c>
    </row>
    <row r="933" spans="1:8" x14ac:dyDescent="0.25">
      <c r="A933" s="1" t="s">
        <v>29</v>
      </c>
      <c r="B933" s="1" t="s">
        <v>4918</v>
      </c>
      <c r="C933" s="1" t="s">
        <v>4919</v>
      </c>
      <c r="D933" s="1" t="s">
        <v>9</v>
      </c>
      <c r="G933" s="1" t="s">
        <v>4920</v>
      </c>
      <c r="H933" s="2" t="str">
        <f>Tabella1[[#This Row],[Denominazione]]&amp;" - "&amp;Tabella1[[#This Row],[Città]]</f>
        <v>B&amp;B CA' IMELDE - URBINO</v>
      </c>
    </row>
    <row r="934" spans="1:8" x14ac:dyDescent="0.25">
      <c r="A934" s="1" t="s">
        <v>29</v>
      </c>
      <c r="B934" s="1" t="s">
        <v>1678</v>
      </c>
      <c r="C934" s="1" t="s">
        <v>1679</v>
      </c>
      <c r="D934" s="1" t="s">
        <v>1653</v>
      </c>
      <c r="E934" s="1" t="s">
        <v>1653</v>
      </c>
      <c r="F934" s="1" t="s">
        <v>1680</v>
      </c>
      <c r="G934" s="1" t="s">
        <v>1681</v>
      </c>
      <c r="H934" s="2" t="str">
        <f>Tabella1[[#This Row],[Denominazione]]&amp;" - "&amp;Tabella1[[#This Row],[Città]]</f>
        <v>B&amp;B CA' LA CORNACCHIA - FERMIGNANO</v>
      </c>
    </row>
    <row r="935" spans="1:8" x14ac:dyDescent="0.25">
      <c r="A935" s="1" t="s">
        <v>29</v>
      </c>
      <c r="B935" s="1" t="s">
        <v>4843</v>
      </c>
      <c r="C935" s="1" t="s">
        <v>4844</v>
      </c>
      <c r="D935" s="1" t="s">
        <v>4735</v>
      </c>
      <c r="E935" s="1" t="s">
        <v>4735</v>
      </c>
      <c r="H935" s="2" t="str">
        <f>Tabella1[[#This Row],[Denominazione]]&amp;" - "&amp;Tabella1[[#This Row],[Città]]</f>
        <v>B&amp;B CA' LACINA - URBANIA</v>
      </c>
    </row>
    <row r="936" spans="1:8" x14ac:dyDescent="0.25">
      <c r="A936" s="1" t="s">
        <v>29</v>
      </c>
      <c r="B936" s="1" t="s">
        <v>5144</v>
      </c>
      <c r="C936" s="1" t="s">
        <v>5145</v>
      </c>
      <c r="D936" s="1" t="s">
        <v>9</v>
      </c>
      <c r="E936" s="1" t="s">
        <v>9</v>
      </c>
      <c r="G936" s="1" t="s">
        <v>5146</v>
      </c>
      <c r="H936" s="2" t="str">
        <f>Tabella1[[#This Row],[Denominazione]]&amp;" - "&amp;Tabella1[[#This Row],[Città]]</f>
        <v>B&amp;B CA' LANTE - URBINO</v>
      </c>
    </row>
    <row r="937" spans="1:8" x14ac:dyDescent="0.25">
      <c r="A937" s="1" t="s">
        <v>29</v>
      </c>
      <c r="B937" s="1" t="s">
        <v>4861</v>
      </c>
      <c r="C937" s="1" t="s">
        <v>4862</v>
      </c>
      <c r="D937" s="1" t="s">
        <v>4735</v>
      </c>
      <c r="E937" s="1" t="s">
        <v>4863</v>
      </c>
      <c r="G937" s="1" t="s">
        <v>4864</v>
      </c>
      <c r="H937" s="2" t="str">
        <f>Tabella1[[#This Row],[Denominazione]]&amp;" - "&amp;Tabella1[[#This Row],[Città]]</f>
        <v>B&amp;B CA' LASAGNO - URBANIA</v>
      </c>
    </row>
    <row r="938" spans="1:8" x14ac:dyDescent="0.25">
      <c r="A938" s="1" t="s">
        <v>29</v>
      </c>
      <c r="B938" s="1" t="s">
        <v>467</v>
      </c>
      <c r="C938" s="1" t="s">
        <v>468</v>
      </c>
      <c r="D938" s="1" t="s">
        <v>316</v>
      </c>
      <c r="E938" s="1" t="s">
        <v>316</v>
      </c>
      <c r="F938" s="1" t="s">
        <v>469</v>
      </c>
      <c r="G938" s="1" t="s">
        <v>470</v>
      </c>
      <c r="H938" s="2" t="str">
        <f>Tabella1[[#This Row],[Denominazione]]&amp;" - "&amp;Tabella1[[#This Row],[Città]]</f>
        <v>B&amp;B CA' MAGGIO NUOVO - CAGLI</v>
      </c>
    </row>
    <row r="939" spans="1:8" x14ac:dyDescent="0.25">
      <c r="A939" s="1" t="s">
        <v>29</v>
      </c>
      <c r="B939" s="1" t="s">
        <v>5193</v>
      </c>
      <c r="C939" s="1" t="s">
        <v>5194</v>
      </c>
      <c r="D939" s="1" t="s">
        <v>9</v>
      </c>
      <c r="E939" s="1" t="s">
        <v>9</v>
      </c>
      <c r="F939" s="1" t="s">
        <v>5195</v>
      </c>
      <c r="G939" s="1" t="s">
        <v>5196</v>
      </c>
      <c r="H939" s="2" t="str">
        <f>Tabella1[[#This Row],[Denominazione]]&amp;" - "&amp;Tabella1[[#This Row],[Città]]</f>
        <v>B&amp;B CA' MARCHIGIANO - URBINO</v>
      </c>
    </row>
    <row r="940" spans="1:8" x14ac:dyDescent="0.25">
      <c r="A940" s="1" t="s">
        <v>29</v>
      </c>
      <c r="B940" s="1" t="s">
        <v>544</v>
      </c>
      <c r="C940" s="1" t="s">
        <v>545</v>
      </c>
      <c r="D940" s="1" t="s">
        <v>535</v>
      </c>
      <c r="E940" s="1" t="s">
        <v>546</v>
      </c>
      <c r="F940" s="1" t="s">
        <v>547</v>
      </c>
      <c r="G940" s="1" t="s">
        <v>548</v>
      </c>
      <c r="H940" s="2" t="str">
        <f>Tabella1[[#This Row],[Denominazione]]&amp;" - "&amp;Tabella1[[#This Row],[Città]]</f>
        <v>B&amp;B CA' PARAVENTO - CANTIANO</v>
      </c>
    </row>
    <row r="941" spans="1:8" x14ac:dyDescent="0.25">
      <c r="A941" s="1" t="s">
        <v>29</v>
      </c>
      <c r="B941" s="1" t="s">
        <v>2572</v>
      </c>
      <c r="C941" s="1" t="s">
        <v>2573</v>
      </c>
      <c r="D941" s="1" t="s">
        <v>2557</v>
      </c>
      <c r="E941" s="1" t="s">
        <v>2574</v>
      </c>
      <c r="F941" s="1" t="s">
        <v>2575</v>
      </c>
      <c r="G941" s="1" t="s">
        <v>2576</v>
      </c>
      <c r="H941" s="2" t="str">
        <f>Tabella1[[#This Row],[Denominazione]]&amp;" - "&amp;Tabella1[[#This Row],[Città]]</f>
        <v>B&amp;B CA' RICCIO DELLA FAGGIOLA - MACERATA FELTRIA</v>
      </c>
    </row>
    <row r="942" spans="1:8" x14ac:dyDescent="0.25">
      <c r="A942" s="1" t="s">
        <v>29</v>
      </c>
      <c r="B942" s="1" t="s">
        <v>5067</v>
      </c>
      <c r="C942" s="1" t="s">
        <v>5068</v>
      </c>
      <c r="D942" s="1" t="s">
        <v>9</v>
      </c>
      <c r="E942" s="1" t="s">
        <v>5069</v>
      </c>
      <c r="F942" s="1" t="s">
        <v>5070</v>
      </c>
      <c r="G942" s="1" t="s">
        <v>5071</v>
      </c>
      <c r="H942" s="2" t="str">
        <f>Tabella1[[#This Row],[Denominazione]]&amp;" - "&amp;Tabella1[[#This Row],[Città]]</f>
        <v>B&amp;B CAL TORELLO - URBINO</v>
      </c>
    </row>
    <row r="943" spans="1:8" x14ac:dyDescent="0.25">
      <c r="A943" s="1" t="s">
        <v>29</v>
      </c>
      <c r="B943" s="1" t="s">
        <v>11314</v>
      </c>
      <c r="C943" s="1" t="s">
        <v>11315</v>
      </c>
      <c r="D943" s="1" t="s">
        <v>11244</v>
      </c>
      <c r="G943" s="1" t="s">
        <v>11316</v>
      </c>
      <c r="H943" s="2" t="str">
        <f>Tabella1[[#This Row],[Denominazione]]&amp;" - "&amp;Tabella1[[#This Row],[Città]]</f>
        <v>B&amp;B CALIPSO - CIVITANOVA MARCHE</v>
      </c>
    </row>
    <row r="944" spans="1:8" x14ac:dyDescent="0.25">
      <c r="A944" s="1" t="s">
        <v>29</v>
      </c>
      <c r="B944" s="1" t="s">
        <v>4440</v>
      </c>
      <c r="C944" s="1" t="s">
        <v>4441</v>
      </c>
      <c r="D944" s="1" t="s">
        <v>4397</v>
      </c>
      <c r="E944" s="1" t="s">
        <v>4442</v>
      </c>
      <c r="G944" s="1" t="s">
        <v>4443</v>
      </c>
      <c r="H944" s="2" t="str">
        <f>Tabella1[[#This Row],[Denominazione]]&amp;" - "&amp;Tabella1[[#This Row],[Città]]</f>
        <v>B&amp;B CALMANCINO - SANT'ANGELO IN VADO</v>
      </c>
    </row>
    <row r="945" spans="1:8" x14ac:dyDescent="0.25">
      <c r="A945" s="1" t="s">
        <v>29</v>
      </c>
      <c r="B945" s="1" t="s">
        <v>12413</v>
      </c>
      <c r="C945" s="1" t="s">
        <v>12414</v>
      </c>
      <c r="D945" s="1" t="s">
        <v>12382</v>
      </c>
      <c r="E945" s="1" t="s">
        <v>12382</v>
      </c>
      <c r="F945" s="1" t="s">
        <v>12415</v>
      </c>
      <c r="G945" s="1" t="s">
        <v>12416</v>
      </c>
      <c r="H945" s="2" t="str">
        <f>Tabella1[[#This Row],[Denominazione]]&amp;" - "&amp;Tabella1[[#This Row],[Città]]</f>
        <v>B&amp;B CALU' - MONTECOSARO</v>
      </c>
    </row>
    <row r="946" spans="1:8" x14ac:dyDescent="0.25">
      <c r="A946" s="1" t="s">
        <v>29</v>
      </c>
      <c r="B946" s="1" t="s">
        <v>15797</v>
      </c>
      <c r="C946" s="1" t="s">
        <v>15798</v>
      </c>
      <c r="D946" s="1" t="s">
        <v>15585</v>
      </c>
      <c r="E946" s="1" t="s">
        <v>15585</v>
      </c>
      <c r="G946" s="1" t="s">
        <v>15799</v>
      </c>
      <c r="H946" s="2" t="str">
        <f>Tabella1[[#This Row],[Denominazione]]&amp;" - "&amp;Tabella1[[#This Row],[Città]]</f>
        <v>B&amp;B CAMELI EMIDIO - GROTTAMMARE</v>
      </c>
    </row>
    <row r="947" spans="1:8" x14ac:dyDescent="0.25">
      <c r="A947" s="1" t="s">
        <v>29</v>
      </c>
      <c r="B947" s="1" t="s">
        <v>1722</v>
      </c>
      <c r="C947" s="1" t="s">
        <v>1723</v>
      </c>
      <c r="D947" s="1" t="s">
        <v>1724</v>
      </c>
      <c r="E947" s="1" t="s">
        <v>1724</v>
      </c>
      <c r="G947" s="1" t="s">
        <v>1725</v>
      </c>
      <c r="H947" s="2" t="str">
        <f>Tabella1[[#This Row],[Denominazione]]&amp;" - "&amp;Tabella1[[#This Row],[Città]]</f>
        <v>B&amp;B CAMERA CON VISTA - FOSSOMBRONE</v>
      </c>
    </row>
    <row r="948" spans="1:8" x14ac:dyDescent="0.25">
      <c r="A948" s="1" t="s">
        <v>29</v>
      </c>
      <c r="B948" s="1" t="s">
        <v>1722</v>
      </c>
      <c r="C948" s="1" t="s">
        <v>19587</v>
      </c>
      <c r="D948" s="1" t="s">
        <v>19541</v>
      </c>
      <c r="G948" s="1" t="s">
        <v>19588</v>
      </c>
      <c r="H948" s="2" t="str">
        <f>Tabella1[[#This Row],[Denominazione]]&amp;" - "&amp;Tabella1[[#This Row],[Città]]</f>
        <v>B&amp;B CAMERA CON VISTA - SANT'ELPIDIO A MARE</v>
      </c>
    </row>
    <row r="949" spans="1:8" x14ac:dyDescent="0.25">
      <c r="A949" s="1" t="s">
        <v>29</v>
      </c>
      <c r="B949" s="1" t="s">
        <v>12256</v>
      </c>
      <c r="C949" s="1" t="s">
        <v>12257</v>
      </c>
      <c r="D949" s="1" t="s">
        <v>12208</v>
      </c>
      <c r="E949" s="1" t="s">
        <v>12208</v>
      </c>
      <c r="F949" s="1" t="s">
        <v>12258</v>
      </c>
      <c r="G949" s="1" t="s">
        <v>12259</v>
      </c>
      <c r="H949" s="2" t="str">
        <f>Tabella1[[#This Row],[Denominazione]]&amp;" - "&amp;Tabella1[[#This Row],[Città]]</f>
        <v>B&amp;B CAMERE DA BRUNA - MATELICA</v>
      </c>
    </row>
    <row r="950" spans="1:8" x14ac:dyDescent="0.25">
      <c r="A950" s="1" t="s">
        <v>29</v>
      </c>
      <c r="B950" s="1" t="s">
        <v>5385</v>
      </c>
      <c r="C950" s="1" t="s">
        <v>5386</v>
      </c>
      <c r="D950" s="1" t="s">
        <v>5358</v>
      </c>
      <c r="E950" s="1" t="s">
        <v>5387</v>
      </c>
      <c r="G950" s="1" t="s">
        <v>5388</v>
      </c>
      <c r="H950" s="2" t="str">
        <f>Tabella1[[#This Row],[Denominazione]]&amp;" - "&amp;Tabella1[[#This Row],[Città]]</f>
        <v>B&amp;B CAMILLA - VALLEFOGLIA</v>
      </c>
    </row>
    <row r="951" spans="1:8" x14ac:dyDescent="0.25">
      <c r="A951" s="1" t="s">
        <v>29</v>
      </c>
      <c r="B951" s="1" t="s">
        <v>5385</v>
      </c>
      <c r="C951" s="1" t="s">
        <v>12410</v>
      </c>
      <c r="D951" s="1" t="s">
        <v>12382</v>
      </c>
      <c r="F951" s="1" t="s">
        <v>12411</v>
      </c>
      <c r="G951" s="1" t="s">
        <v>12412</v>
      </c>
      <c r="H951" s="2" t="str">
        <f>Tabella1[[#This Row],[Denominazione]]&amp;" - "&amp;Tabella1[[#This Row],[Città]]</f>
        <v>B&amp;B CAMILLA - MONTECOSARO</v>
      </c>
    </row>
    <row r="952" spans="1:8" x14ac:dyDescent="0.25">
      <c r="A952" s="1" t="s">
        <v>29</v>
      </c>
      <c r="B952" s="1" t="s">
        <v>19617</v>
      </c>
      <c r="C952" s="1" t="s">
        <v>19618</v>
      </c>
      <c r="D952" s="1" t="s">
        <v>19541</v>
      </c>
      <c r="G952" s="1" t="s">
        <v>19619</v>
      </c>
      <c r="H952" s="2" t="str">
        <f>Tabella1[[#This Row],[Denominazione]]&amp;" - "&amp;Tabella1[[#This Row],[Città]]</f>
        <v>B&amp;B CAMPANELLA - SANT'ELPIDIO A MARE</v>
      </c>
    </row>
    <row r="953" spans="1:8" x14ac:dyDescent="0.25">
      <c r="A953" s="1" t="s">
        <v>29</v>
      </c>
      <c r="B953" s="1" t="s">
        <v>5881</v>
      </c>
      <c r="C953" s="1" t="s">
        <v>5882</v>
      </c>
      <c r="D953" s="1" t="s">
        <v>1864</v>
      </c>
      <c r="E953" s="1" t="s">
        <v>5692</v>
      </c>
      <c r="F953" s="1" t="s">
        <v>5883</v>
      </c>
      <c r="G953" s="1" t="s">
        <v>5884</v>
      </c>
      <c r="H953" s="2" t="str">
        <f>Tabella1[[#This Row],[Denominazione]]&amp;" - "&amp;Tabella1[[#This Row],[Città]]</f>
        <v>B&amp;B CAMPO DEL MARE - ANCONA</v>
      </c>
    </row>
    <row r="954" spans="1:8" x14ac:dyDescent="0.25">
      <c r="A954" s="1" t="s">
        <v>29</v>
      </c>
      <c r="B954" s="1" t="s">
        <v>8529</v>
      </c>
      <c r="C954" s="1" t="s">
        <v>8530</v>
      </c>
      <c r="D954" s="1" t="s">
        <v>8454</v>
      </c>
      <c r="E954" s="1" t="s">
        <v>8454</v>
      </c>
      <c r="F954" s="1" t="s">
        <v>8531</v>
      </c>
      <c r="G954" s="1" t="s">
        <v>8532</v>
      </c>
      <c r="H954" s="2" t="str">
        <f>Tabella1[[#This Row],[Denominazione]]&amp;" - "&amp;Tabella1[[#This Row],[Città]]</f>
        <v>B&amp;B CAMPODISOLE - OSIMO</v>
      </c>
    </row>
    <row r="955" spans="1:8" x14ac:dyDescent="0.25">
      <c r="A955" s="1" t="s">
        <v>29</v>
      </c>
      <c r="B955" s="1" t="s">
        <v>3081</v>
      </c>
      <c r="C955" s="1" t="s">
        <v>3082</v>
      </c>
      <c r="D955" s="1" t="s">
        <v>3067</v>
      </c>
      <c r="G955" s="1" t="s">
        <v>3083</v>
      </c>
      <c r="H955" s="2" t="str">
        <f>Tabella1[[#This Row],[Denominazione]]&amp;" - "&amp;Tabella1[[#This Row],[Città]]</f>
        <v>B&amp;B CANGIARI MAURO - MONTECOPIOLO</v>
      </c>
    </row>
    <row r="956" spans="1:8" x14ac:dyDescent="0.25">
      <c r="A956" s="1" t="s">
        <v>29</v>
      </c>
      <c r="B956" s="1" t="s">
        <v>15660</v>
      </c>
      <c r="C956" s="1" t="s">
        <v>15661</v>
      </c>
      <c r="D956" s="1" t="s">
        <v>15585</v>
      </c>
      <c r="E956" s="1" t="s">
        <v>15585</v>
      </c>
      <c r="F956" s="1" t="s">
        <v>15662</v>
      </c>
      <c r="G956" s="1" t="s">
        <v>15663</v>
      </c>
      <c r="H956" s="2" t="str">
        <f>Tabella1[[#This Row],[Denominazione]]&amp;" - "&amp;Tabella1[[#This Row],[Città]]</f>
        <v>B&amp;B CANTINE CAMELI - GROTTAMMARE</v>
      </c>
    </row>
    <row r="957" spans="1:8" x14ac:dyDescent="0.25">
      <c r="A957" s="1" t="s">
        <v>29</v>
      </c>
      <c r="B957" s="1" t="s">
        <v>15698</v>
      </c>
      <c r="C957" s="1" t="s">
        <v>15699</v>
      </c>
      <c r="D957" s="1" t="s">
        <v>15585</v>
      </c>
      <c r="E957" s="1" t="s">
        <v>15585</v>
      </c>
      <c r="F957" s="1" t="s">
        <v>15662</v>
      </c>
      <c r="G957" s="1" t="s">
        <v>15663</v>
      </c>
      <c r="H957" s="2" t="str">
        <f>Tabella1[[#This Row],[Denominazione]]&amp;" - "&amp;Tabella1[[#This Row],[Città]]</f>
        <v>B&amp;B CANTINE CAMELI VINI 1890 - GROTTAMMARE</v>
      </c>
    </row>
    <row r="958" spans="1:8" x14ac:dyDescent="0.25">
      <c r="A958" s="1" t="s">
        <v>29</v>
      </c>
      <c r="B958" s="1" t="s">
        <v>6701</v>
      </c>
      <c r="C958" s="1" t="s">
        <v>6702</v>
      </c>
      <c r="D958" s="1" t="s">
        <v>6652</v>
      </c>
      <c r="E958" s="1" t="s">
        <v>6652</v>
      </c>
      <c r="F958" s="1" t="s">
        <v>6703</v>
      </c>
      <c r="G958" s="1" t="s">
        <v>6704</v>
      </c>
      <c r="H958" s="2" t="str">
        <f>Tabella1[[#This Row],[Denominazione]]&amp;" - "&amp;Tabella1[[#This Row],[Città]]</f>
        <v>B&amp;B CANTINONE - CUPRAMONTANA</v>
      </c>
    </row>
    <row r="959" spans="1:8" x14ac:dyDescent="0.25">
      <c r="A959" s="1" t="s">
        <v>29</v>
      </c>
      <c r="B959" s="1" t="s">
        <v>19005</v>
      </c>
      <c r="C959" s="1" t="s">
        <v>19006</v>
      </c>
      <c r="D959" s="1" t="s">
        <v>18971</v>
      </c>
      <c r="E959" s="1" t="s">
        <v>18971</v>
      </c>
      <c r="G959" s="1" t="s">
        <v>19007</v>
      </c>
      <c r="H959" s="2" t="str">
        <f>Tabella1[[#This Row],[Denominazione]]&amp;" - "&amp;Tabella1[[#This Row],[Città]]</f>
        <v>B&amp;B CAPANNA MARGHERITA - PETRITOLI</v>
      </c>
    </row>
    <row r="960" spans="1:8" x14ac:dyDescent="0.25">
      <c r="A960" s="1" t="s">
        <v>29</v>
      </c>
      <c r="B960" s="1" t="s">
        <v>8520</v>
      </c>
      <c r="C960" s="1" t="s">
        <v>8521</v>
      </c>
      <c r="D960" s="1" t="s">
        <v>8454</v>
      </c>
      <c r="E960" s="1" t="s">
        <v>8454</v>
      </c>
      <c r="G960" s="1" t="s">
        <v>8522</v>
      </c>
      <c r="H960" s="2" t="str">
        <f>Tabella1[[#This Row],[Denominazione]]&amp;" - "&amp;Tabella1[[#This Row],[Città]]</f>
        <v>B&amp;B CAPITANELLI STEFANO - OSIMO</v>
      </c>
    </row>
    <row r="961" spans="1:8" x14ac:dyDescent="0.25">
      <c r="A961" s="1" t="s">
        <v>29</v>
      </c>
      <c r="B961" s="1" t="s">
        <v>14588</v>
      </c>
      <c r="C961" s="1" t="s">
        <v>14589</v>
      </c>
      <c r="D961" s="1" t="s">
        <v>14576</v>
      </c>
      <c r="E961" s="1" t="s">
        <v>14576</v>
      </c>
      <c r="G961" s="1" t="s">
        <v>14590</v>
      </c>
      <c r="H961" s="2" t="str">
        <f>Tabella1[[#This Row],[Denominazione]]&amp;" - "&amp;Tabella1[[#This Row],[Città]]</f>
        <v>B&amp;B CAPONI SILVANA - ASCOLI PICENO</v>
      </c>
    </row>
    <row r="962" spans="1:8" x14ac:dyDescent="0.25">
      <c r="A962" s="1" t="s">
        <v>29</v>
      </c>
      <c r="B962" s="1" t="s">
        <v>4114</v>
      </c>
      <c r="C962" s="1" t="s">
        <v>4115</v>
      </c>
      <c r="D962" s="1" t="s">
        <v>4109</v>
      </c>
      <c r="E962" s="1" t="s">
        <v>4116</v>
      </c>
      <c r="F962" s="1" t="s">
        <v>4117</v>
      </c>
      <c r="G962" s="1" t="s">
        <v>4118</v>
      </c>
      <c r="H962" s="2" t="str">
        <f>Tabella1[[#This Row],[Denominazione]]&amp;" - "&amp;Tabella1[[#This Row],[Città]]</f>
        <v>B&amp;B CAPOTORTO - PETRIANO</v>
      </c>
    </row>
    <row r="963" spans="1:8" x14ac:dyDescent="0.25">
      <c r="A963" s="1" t="s">
        <v>29</v>
      </c>
      <c r="B963" s="1" t="s">
        <v>14514</v>
      </c>
      <c r="C963" s="1" t="s">
        <v>14515</v>
      </c>
      <c r="D963" s="1" t="s">
        <v>14510</v>
      </c>
      <c r="E963" s="1" t="s">
        <v>14510</v>
      </c>
      <c r="G963" s="1" t="s">
        <v>14516</v>
      </c>
      <c r="H963" s="2" t="str">
        <f>Tabella1[[#This Row],[Denominazione]]&amp;" - "&amp;Tabella1[[#This Row],[Città]]</f>
        <v>B&amp;B CAPPELLI CORRADO - ARQUATA DEL TRONTO</v>
      </c>
    </row>
    <row r="964" spans="1:8" x14ac:dyDescent="0.25">
      <c r="A964" s="1" t="s">
        <v>29</v>
      </c>
      <c r="B964" s="1" t="s">
        <v>8858</v>
      </c>
      <c r="C964" s="1" t="s">
        <v>8859</v>
      </c>
      <c r="D964" s="1" t="s">
        <v>8849</v>
      </c>
      <c r="E964" s="1" t="s">
        <v>8849</v>
      </c>
      <c r="H964" s="2" t="str">
        <f>Tabella1[[#This Row],[Denominazione]]&amp;" - "&amp;Tabella1[[#This Row],[Città]]</f>
        <v>B&amp;B CAPPELLINI PALMIRO - SASSOFERRATO</v>
      </c>
    </row>
    <row r="965" spans="1:8" x14ac:dyDescent="0.25">
      <c r="A965" s="1" t="s">
        <v>29</v>
      </c>
      <c r="B965" s="1" t="s">
        <v>12633</v>
      </c>
      <c r="C965" s="1" t="s">
        <v>12634</v>
      </c>
      <c r="D965" s="1" t="s">
        <v>12635</v>
      </c>
      <c r="E965" s="1" t="s">
        <v>12635</v>
      </c>
      <c r="H965" s="2" t="str">
        <f>Tabella1[[#This Row],[Denominazione]]&amp;" - "&amp;Tabella1[[#This Row],[Città]]</f>
        <v>B&amp;B CARDARELLI ISA - PENNA SAN GIOVANNI</v>
      </c>
    </row>
    <row r="966" spans="1:8" x14ac:dyDescent="0.25">
      <c r="A966" s="1" t="s">
        <v>29</v>
      </c>
      <c r="B966" s="1" t="s">
        <v>12741</v>
      </c>
      <c r="C966" s="1" t="s">
        <v>12742</v>
      </c>
      <c r="D966" s="1" t="s">
        <v>12730</v>
      </c>
      <c r="E966" s="1" t="s">
        <v>12730</v>
      </c>
      <c r="H966" s="2" t="str">
        <f>Tabella1[[#This Row],[Denominazione]]&amp;" - "&amp;Tabella1[[#This Row],[Città]]</f>
        <v>B&amp;B CARDURANI SANDRA - PIEVE TORINA</v>
      </c>
    </row>
    <row r="967" spans="1:8" x14ac:dyDescent="0.25">
      <c r="A967" s="1" t="s">
        <v>29</v>
      </c>
      <c r="B967" s="1" t="s">
        <v>1656</v>
      </c>
      <c r="C967" s="1" t="s">
        <v>1657</v>
      </c>
      <c r="D967" s="1" t="s">
        <v>1653</v>
      </c>
      <c r="G967" s="1" t="s">
        <v>1658</v>
      </c>
      <c r="H967" s="2" t="str">
        <f>Tabella1[[#This Row],[Denominazione]]&amp;" - "&amp;Tabella1[[#This Row],[Città]]</f>
        <v>B&amp;B CARGANICO MARIA SILVIA - FERMIGNANO</v>
      </c>
    </row>
    <row r="968" spans="1:8" x14ac:dyDescent="0.25">
      <c r="A968" s="1" t="s">
        <v>29</v>
      </c>
      <c r="B968" s="1" t="s">
        <v>12552</v>
      </c>
      <c r="C968" s="1" t="s">
        <v>12553</v>
      </c>
      <c r="D968" s="1" t="s">
        <v>12546</v>
      </c>
      <c r="E968" s="1" t="s">
        <v>12546</v>
      </c>
      <c r="F968" s="1" t="s">
        <v>12554</v>
      </c>
      <c r="G968" s="1" t="s">
        <v>12555</v>
      </c>
      <c r="H968" s="2" t="str">
        <f>Tabella1[[#This Row],[Denominazione]]&amp;" - "&amp;Tabella1[[#This Row],[Città]]</f>
        <v>B&amp;B CARPE DIEM - MORROVALLE</v>
      </c>
    </row>
    <row r="969" spans="1:8" x14ac:dyDescent="0.25">
      <c r="A969" s="1" t="s">
        <v>29</v>
      </c>
      <c r="B969" s="1" t="s">
        <v>18600</v>
      </c>
      <c r="C969" s="1" t="s">
        <v>18601</v>
      </c>
      <c r="D969" s="1" t="s">
        <v>18589</v>
      </c>
      <c r="E969" s="1" t="s">
        <v>18589</v>
      </c>
      <c r="H969" s="2" t="str">
        <f>Tabella1[[#This Row],[Denominazione]]&amp;" - "&amp;Tabella1[[#This Row],[Città]]</f>
        <v>B&amp;B CASA  VITTORIA - MONTE GIBERTO</v>
      </c>
    </row>
    <row r="970" spans="1:8" x14ac:dyDescent="0.25">
      <c r="A970" s="1" t="s">
        <v>29</v>
      </c>
      <c r="B970" s="1" t="s">
        <v>6600</v>
      </c>
      <c r="C970" s="1" t="s">
        <v>6601</v>
      </c>
      <c r="D970" s="1" t="s">
        <v>6536</v>
      </c>
      <c r="E970" s="1" t="s">
        <v>6536</v>
      </c>
      <c r="F970" s="1" t="s">
        <v>6602</v>
      </c>
      <c r="G970" s="1" t="s">
        <v>6603</v>
      </c>
      <c r="H970" s="2" t="str">
        <f>Tabella1[[#This Row],[Denominazione]]&amp;" - "&amp;Tabella1[[#This Row],[Città]]</f>
        <v>B&amp;B CASA ADAGIO - CORINALDO</v>
      </c>
    </row>
    <row r="971" spans="1:8" x14ac:dyDescent="0.25">
      <c r="A971" s="1" t="s">
        <v>29</v>
      </c>
      <c r="B971" s="1" t="s">
        <v>15640</v>
      </c>
      <c r="C971" s="1" t="s">
        <v>15641</v>
      </c>
      <c r="D971" s="1" t="s">
        <v>15585</v>
      </c>
      <c r="E971" s="1" t="s">
        <v>15642</v>
      </c>
      <c r="F971" s="1" t="s">
        <v>15643</v>
      </c>
      <c r="G971" s="1" t="s">
        <v>15644</v>
      </c>
      <c r="H971" s="2" t="str">
        <f>Tabella1[[#This Row],[Denominazione]]&amp;" - "&amp;Tabella1[[#This Row],[Città]]</f>
        <v>B&amp;B CASA ADELE - GROTTAMMARE</v>
      </c>
    </row>
    <row r="972" spans="1:8" x14ac:dyDescent="0.25">
      <c r="A972" s="1" t="s">
        <v>29</v>
      </c>
      <c r="B972" s="1" t="s">
        <v>18331</v>
      </c>
      <c r="C972" s="1" t="s">
        <v>18332</v>
      </c>
      <c r="D972" s="1" t="s">
        <v>17932</v>
      </c>
      <c r="F972" s="1" t="s">
        <v>18333</v>
      </c>
      <c r="G972" s="1" t="s">
        <v>18334</v>
      </c>
      <c r="H972" s="2" t="str">
        <f>Tabella1[[#This Row],[Denominazione]]&amp;" - "&amp;Tabella1[[#This Row],[Città]]</f>
        <v>B&amp;B CASA ADORNA - FERMO</v>
      </c>
    </row>
    <row r="973" spans="1:8" x14ac:dyDescent="0.25">
      <c r="A973" s="1" t="s">
        <v>29</v>
      </c>
      <c r="B973" s="1" t="s">
        <v>4661</v>
      </c>
      <c r="C973" s="1" t="s">
        <v>4662</v>
      </c>
      <c r="D973" s="1" t="s">
        <v>4657</v>
      </c>
      <c r="G973" s="1" t="s">
        <v>4663</v>
      </c>
      <c r="H973" s="2" t="str">
        <f>Tabella1[[#This Row],[Denominazione]]&amp;" - "&amp;Tabella1[[#This Row],[Città]]</f>
        <v>B&amp;B CASA ALYSA - TAVULLIA</v>
      </c>
    </row>
    <row r="974" spans="1:8" x14ac:dyDescent="0.25">
      <c r="A974" s="1" t="s">
        <v>29</v>
      </c>
      <c r="B974" s="1" t="s">
        <v>16451</v>
      </c>
      <c r="C974" s="1" t="s">
        <v>16452</v>
      </c>
      <c r="D974" s="1" t="s">
        <v>16440</v>
      </c>
      <c r="E974" s="1" t="s">
        <v>16440</v>
      </c>
      <c r="H974" s="2" t="str">
        <f>Tabella1[[#This Row],[Denominazione]]&amp;" - "&amp;Tabella1[[#This Row],[Città]]</f>
        <v>B&amp;B CASA AMABILI - OFFIDA</v>
      </c>
    </row>
    <row r="975" spans="1:8" x14ac:dyDescent="0.25">
      <c r="A975" s="1" t="s">
        <v>29</v>
      </c>
      <c r="B975" s="1" t="s">
        <v>5833</v>
      </c>
      <c r="C975" s="1" t="s">
        <v>5834</v>
      </c>
      <c r="D975" s="1" t="s">
        <v>1864</v>
      </c>
      <c r="E975" s="1" t="s">
        <v>5835</v>
      </c>
      <c r="G975" s="1" t="s">
        <v>5836</v>
      </c>
      <c r="H975" s="2" t="str">
        <f>Tabella1[[#This Row],[Denominazione]]&amp;" - "&amp;Tabella1[[#This Row],[Città]]</f>
        <v>B&amp;B CASA ANGELICA - ANCONA</v>
      </c>
    </row>
    <row r="976" spans="1:8" x14ac:dyDescent="0.25">
      <c r="A976" s="1" t="s">
        <v>29</v>
      </c>
      <c r="B976" s="1" t="s">
        <v>16826</v>
      </c>
      <c r="C976" s="1" t="s">
        <v>16827</v>
      </c>
      <c r="D976" s="1" t="s">
        <v>15819</v>
      </c>
      <c r="E976" s="1" t="s">
        <v>14582</v>
      </c>
      <c r="F976" s="1" t="s">
        <v>16828</v>
      </c>
      <c r="G976" s="1" t="s">
        <v>16829</v>
      </c>
      <c r="H976" s="2" t="str">
        <f>Tabella1[[#This Row],[Denominazione]]&amp;" - "&amp;Tabella1[[#This Row],[Città]]</f>
        <v>B&amp;B CASA ANTONELLI - SAN BENEDETTO DEL TRONTO</v>
      </c>
    </row>
    <row r="977" spans="1:8" x14ac:dyDescent="0.25">
      <c r="A977" s="1" t="s">
        <v>29</v>
      </c>
      <c r="B977" s="1" t="s">
        <v>6741</v>
      </c>
      <c r="C977" s="1" t="s">
        <v>6742</v>
      </c>
      <c r="D977" s="1" t="s">
        <v>6652</v>
      </c>
      <c r="F977" s="1" t="s">
        <v>6743</v>
      </c>
      <c r="G977" s="1" t="s">
        <v>6744</v>
      </c>
      <c r="H977" s="2" t="str">
        <f>Tabella1[[#This Row],[Denominazione]]&amp;" - "&amp;Tabella1[[#This Row],[Città]]</f>
        <v>B&amp;B CASA AURORA - CUPRAMONTANA</v>
      </c>
    </row>
    <row r="978" spans="1:8" x14ac:dyDescent="0.25">
      <c r="A978" s="1" t="s">
        <v>29</v>
      </c>
      <c r="B978" s="1" t="s">
        <v>10951</v>
      </c>
      <c r="C978" s="1" t="s">
        <v>10952</v>
      </c>
      <c r="D978" s="1" t="s">
        <v>10932</v>
      </c>
      <c r="F978" s="1" t="s">
        <v>10953</v>
      </c>
      <c r="G978" s="1" t="s">
        <v>10954</v>
      </c>
      <c r="H978" s="2" t="str">
        <f>Tabella1[[#This Row],[Denominazione]]&amp;" - "&amp;Tabella1[[#This Row],[Città]]</f>
        <v>B&amp;B CASA BELVEDER - CASTELRAIMONDO</v>
      </c>
    </row>
    <row r="979" spans="1:8" x14ac:dyDescent="0.25">
      <c r="A979" s="1" t="s">
        <v>29</v>
      </c>
      <c r="B979" s="1" t="s">
        <v>4038</v>
      </c>
      <c r="C979" s="1" t="s">
        <v>4039</v>
      </c>
      <c r="D979" s="1" t="s">
        <v>2386</v>
      </c>
      <c r="F979" s="1" t="s">
        <v>4040</v>
      </c>
      <c r="G979" s="1" t="s">
        <v>4041</v>
      </c>
      <c r="H979" s="2" t="str">
        <f>Tabella1[[#This Row],[Denominazione]]&amp;" - "&amp;Tabella1[[#This Row],[Città]]</f>
        <v>B&amp;B CASA BERARDI - PESARO</v>
      </c>
    </row>
    <row r="980" spans="1:8" x14ac:dyDescent="0.25">
      <c r="A980" s="1" t="s">
        <v>29</v>
      </c>
      <c r="B980" s="1" t="s">
        <v>2720</v>
      </c>
      <c r="C980" s="1" t="s">
        <v>2721</v>
      </c>
      <c r="D980" s="1" t="s">
        <v>2678</v>
      </c>
      <c r="F980" s="1" t="s">
        <v>2722</v>
      </c>
      <c r="G980" s="1" t="s">
        <v>2723</v>
      </c>
      <c r="H980" s="2" t="str">
        <f>Tabella1[[#This Row],[Denominazione]]&amp;" - "&amp;Tabella1[[#This Row],[Città]]</f>
        <v>B&amp;B CASA CAIRO - MOMBAROCCIO</v>
      </c>
    </row>
    <row r="981" spans="1:8" x14ac:dyDescent="0.25">
      <c r="A981" s="1" t="s">
        <v>29</v>
      </c>
      <c r="B981" s="1" t="s">
        <v>3246</v>
      </c>
      <c r="C981" s="1" t="s">
        <v>3247</v>
      </c>
      <c r="D981" s="1" t="s">
        <v>3222</v>
      </c>
      <c r="E981" s="1" t="s">
        <v>3248</v>
      </c>
      <c r="F981" s="1" t="s">
        <v>3249</v>
      </c>
      <c r="G981" s="1" t="s">
        <v>3250</v>
      </c>
      <c r="H981" s="2" t="str">
        <f>Tabella1[[#This Row],[Denominazione]]&amp;" - "&amp;Tabella1[[#This Row],[Città]]</f>
        <v>B&amp;B CASA CANTE LA GARBATINA - MONTE PORZIO</v>
      </c>
    </row>
    <row r="982" spans="1:8" x14ac:dyDescent="0.25">
      <c r="A982" s="1" t="s">
        <v>29</v>
      </c>
      <c r="B982" s="1" t="s">
        <v>17959</v>
      </c>
      <c r="C982" s="1" t="s">
        <v>17960</v>
      </c>
      <c r="D982" s="1" t="s">
        <v>17932</v>
      </c>
      <c r="G982" s="1" t="s">
        <v>17961</v>
      </c>
      <c r="H982" s="2" t="str">
        <f>Tabella1[[#This Row],[Denominazione]]&amp;" - "&amp;Tabella1[[#This Row],[Città]]</f>
        <v>B&amp;B CASA CAPPONI - FERMO</v>
      </c>
    </row>
    <row r="983" spans="1:8" x14ac:dyDescent="0.25">
      <c r="A983" s="1" t="s">
        <v>29</v>
      </c>
      <c r="B983" s="1" t="s">
        <v>16478</v>
      </c>
      <c r="C983" s="1" t="s">
        <v>16479</v>
      </c>
      <c r="D983" s="1" t="s">
        <v>16440</v>
      </c>
      <c r="F983" s="1" t="s">
        <v>16480</v>
      </c>
      <c r="G983" s="1" t="s">
        <v>16481</v>
      </c>
      <c r="H983" s="2" t="str">
        <f>Tabella1[[#This Row],[Denominazione]]&amp;" - "&amp;Tabella1[[#This Row],[Città]]</f>
        <v>B&amp;B CASA CARDUCCI - OFFIDA</v>
      </c>
    </row>
    <row r="984" spans="1:8" x14ac:dyDescent="0.25">
      <c r="A984" s="1" t="s">
        <v>29</v>
      </c>
      <c r="B984" s="1" t="s">
        <v>19589</v>
      </c>
      <c r="C984" s="1" t="s">
        <v>19590</v>
      </c>
      <c r="D984" s="1" t="s">
        <v>19541</v>
      </c>
      <c r="F984" s="1" t="s">
        <v>19591</v>
      </c>
      <c r="G984" s="1" t="s">
        <v>19592</v>
      </c>
      <c r="H984" s="2" t="str">
        <f>Tabella1[[#This Row],[Denominazione]]&amp;" - "&amp;Tabella1[[#This Row],[Città]]</f>
        <v>B&amp;B CASA CAVALIERA - SANT'ELPIDIO A MARE</v>
      </c>
    </row>
    <row r="985" spans="1:8" x14ac:dyDescent="0.25">
      <c r="A985" s="1" t="s">
        <v>29</v>
      </c>
      <c r="B985" s="1" t="s">
        <v>12052</v>
      </c>
      <c r="C985" s="1" t="s">
        <v>12053</v>
      </c>
      <c r="D985" s="1" t="s">
        <v>12050</v>
      </c>
      <c r="E985" s="1" t="s">
        <v>12050</v>
      </c>
      <c r="G985" s="1" t="s">
        <v>12054</v>
      </c>
      <c r="H985" s="2" t="str">
        <f>Tabella1[[#This Row],[Denominazione]]&amp;" - "&amp;Tabella1[[#This Row],[Città]]</f>
        <v>B&amp;B CASA CETTINA - MACERATA</v>
      </c>
    </row>
    <row r="986" spans="1:8" x14ac:dyDescent="0.25">
      <c r="A986" s="1" t="s">
        <v>29</v>
      </c>
      <c r="B986" s="1" t="s">
        <v>17764</v>
      </c>
      <c r="C986" s="1" t="s">
        <v>17765</v>
      </c>
      <c r="D986" s="1" t="s">
        <v>17745</v>
      </c>
      <c r="E986" s="1" t="s">
        <v>17745</v>
      </c>
      <c r="G986" s="1" t="s">
        <v>17766</v>
      </c>
      <c r="H986" s="2" t="str">
        <f>Tabella1[[#This Row],[Denominazione]]&amp;" - "&amp;Tabella1[[#This Row],[Città]]</f>
        <v>B&amp;B CASA CHIOCCIOLA DI BERNHARD WARNER - AMANDOLA</v>
      </c>
    </row>
    <row r="987" spans="1:8" x14ac:dyDescent="0.25">
      <c r="A987" s="1" t="s">
        <v>29</v>
      </c>
      <c r="B987" s="1" t="s">
        <v>18682</v>
      </c>
      <c r="C987" s="1" t="s">
        <v>18683</v>
      </c>
      <c r="D987" s="1" t="s">
        <v>18653</v>
      </c>
      <c r="G987" s="1" t="s">
        <v>18684</v>
      </c>
      <c r="H987" s="2" t="str">
        <f>Tabella1[[#This Row],[Denominazione]]&amp;" - "&amp;Tabella1[[#This Row],[Città]]</f>
        <v>B&amp;B CASA CIARPELLA - MONTEGRANARO</v>
      </c>
    </row>
    <row r="988" spans="1:8" x14ac:dyDescent="0.25">
      <c r="A988" s="1" t="s">
        <v>29</v>
      </c>
      <c r="B988" s="1" t="s">
        <v>19535</v>
      </c>
      <c r="C988" s="1" t="s">
        <v>19536</v>
      </c>
      <c r="D988" s="1" t="s">
        <v>19500</v>
      </c>
      <c r="E988" s="1" t="s">
        <v>19500</v>
      </c>
      <c r="F988" s="1" t="s">
        <v>19537</v>
      </c>
      <c r="G988" s="1" t="s">
        <v>19538</v>
      </c>
      <c r="H988" s="2" t="str">
        <f>Tabella1[[#This Row],[Denominazione]]&amp;" - "&amp;Tabella1[[#This Row],[Città]]</f>
        <v>B&amp;B CASA CONTENTA - SANTA VITTORIA IN MATENANO</v>
      </c>
    </row>
    <row r="989" spans="1:8" x14ac:dyDescent="0.25">
      <c r="A989" s="1" t="s">
        <v>29</v>
      </c>
      <c r="B989" s="1" t="s">
        <v>18992</v>
      </c>
      <c r="C989" s="1" t="s">
        <v>18993</v>
      </c>
      <c r="D989" s="1" t="s">
        <v>18971</v>
      </c>
      <c r="F989" s="1" t="s">
        <v>18994</v>
      </c>
      <c r="G989" s="1" t="s">
        <v>18995</v>
      </c>
      <c r="H989" s="2" t="str">
        <f>Tabella1[[#This Row],[Denominazione]]&amp;" - "&amp;Tabella1[[#This Row],[Città]]</f>
        <v>B&amp;B CASA CORMAR - PETRITOLI</v>
      </c>
    </row>
    <row r="990" spans="1:8" x14ac:dyDescent="0.25">
      <c r="A990" s="1" t="s">
        <v>29</v>
      </c>
      <c r="B990" s="1" t="s">
        <v>6273</v>
      </c>
      <c r="C990" s="1" t="s">
        <v>6274</v>
      </c>
      <c r="D990" s="1" t="s">
        <v>6262</v>
      </c>
      <c r="G990" s="1" t="s">
        <v>6275</v>
      </c>
      <c r="H990" s="2" t="str">
        <f>Tabella1[[#This Row],[Denominazione]]&amp;" - "&amp;Tabella1[[#This Row],[Città]]</f>
        <v>B&amp;B CASA CORNELIA - BELVEDERE OSTRENSE</v>
      </c>
    </row>
    <row r="991" spans="1:8" x14ac:dyDescent="0.25">
      <c r="A991" s="1" t="s">
        <v>29</v>
      </c>
      <c r="B991" s="1" t="s">
        <v>16959</v>
      </c>
      <c r="C991" s="1" t="s">
        <v>16960</v>
      </c>
      <c r="D991" s="1" t="s">
        <v>15819</v>
      </c>
      <c r="F991" s="1" t="s">
        <v>16961</v>
      </c>
      <c r="G991" s="1" t="s">
        <v>16962</v>
      </c>
      <c r="H991" s="2" t="str">
        <f>Tabella1[[#This Row],[Denominazione]]&amp;" - "&amp;Tabella1[[#This Row],[Città]]</f>
        <v>B&amp;B CASA D'AMARE - SAN BENEDETTO DEL TRONTO</v>
      </c>
    </row>
    <row r="992" spans="1:8" x14ac:dyDescent="0.25">
      <c r="A992" s="1" t="s">
        <v>29</v>
      </c>
      <c r="B992" s="1" t="s">
        <v>14581</v>
      </c>
      <c r="D992" s="1" t="s">
        <v>14576</v>
      </c>
      <c r="E992" s="1" t="s">
        <v>14582</v>
      </c>
      <c r="G992" s="1" t="s">
        <v>14583</v>
      </c>
      <c r="H992" s="2" t="str">
        <f>Tabella1[[#This Row],[Denominazione]]&amp;" - "&amp;Tabella1[[#This Row],[Città]]</f>
        <v>B&amp;B CASA DE ANGELIS - ASCOLI PICENO</v>
      </c>
    </row>
    <row r="993" spans="1:8" x14ac:dyDescent="0.25">
      <c r="A993" s="1" t="s">
        <v>29</v>
      </c>
      <c r="B993" s="1" t="s">
        <v>7636</v>
      </c>
      <c r="C993" s="1" t="s">
        <v>7637</v>
      </c>
      <c r="D993" s="1" t="s">
        <v>7611</v>
      </c>
      <c r="E993" s="1" t="s">
        <v>7611</v>
      </c>
      <c r="F993" s="1" t="s">
        <v>7638</v>
      </c>
      <c r="G993" s="1" t="s">
        <v>7639</v>
      </c>
      <c r="H993" s="2" t="str">
        <f>Tabella1[[#This Row],[Denominazione]]&amp;" - "&amp;Tabella1[[#This Row],[Città]]</f>
        <v>B&amp;B CASA DEI COLLI - MERGO</v>
      </c>
    </row>
    <row r="994" spans="1:8" x14ac:dyDescent="0.25">
      <c r="A994" s="1" t="s">
        <v>29</v>
      </c>
      <c r="B994" s="1" t="s">
        <v>8541</v>
      </c>
      <c r="C994" s="1" t="s">
        <v>8542</v>
      </c>
      <c r="D994" s="1" t="s">
        <v>8454</v>
      </c>
      <c r="E994" s="1" t="s">
        <v>8543</v>
      </c>
      <c r="F994" s="1" t="s">
        <v>8544</v>
      </c>
      <c r="G994" s="1" t="s">
        <v>8545</v>
      </c>
      <c r="H994" s="2" t="str">
        <f>Tabella1[[#This Row],[Denominazione]]&amp;" - "&amp;Tabella1[[#This Row],[Città]]</f>
        <v>B&amp;B CASA DEI PINI DI AGOSTINELLI GIUSEPPINA - OSIMO</v>
      </c>
    </row>
    <row r="995" spans="1:8" x14ac:dyDescent="0.25">
      <c r="A995" s="1" t="s">
        <v>29</v>
      </c>
      <c r="B995" s="1" t="s">
        <v>6593</v>
      </c>
      <c r="C995" s="1" t="s">
        <v>6594</v>
      </c>
      <c r="D995" s="1" t="s">
        <v>6536</v>
      </c>
      <c r="E995" s="1" t="s">
        <v>6536</v>
      </c>
      <c r="F995" s="1" t="s">
        <v>6595</v>
      </c>
      <c r="G995" s="1" t="s">
        <v>6596</v>
      </c>
      <c r="H995" s="2" t="str">
        <f>Tabella1[[#This Row],[Denominazione]]&amp;" - "&amp;Tabella1[[#This Row],[Città]]</f>
        <v>B&amp;B CASA DEL FONTE - CORINALDO</v>
      </c>
    </row>
    <row r="996" spans="1:8" x14ac:dyDescent="0.25">
      <c r="A996" s="1" t="s">
        <v>29</v>
      </c>
      <c r="B996" s="1" t="s">
        <v>7877</v>
      </c>
      <c r="C996" s="1" t="s">
        <v>7878</v>
      </c>
      <c r="D996" s="1" t="s">
        <v>7849</v>
      </c>
      <c r="G996" s="1" t="s">
        <v>7879</v>
      </c>
      <c r="H996" s="2" t="str">
        <f>Tabella1[[#This Row],[Denominazione]]&amp;" - "&amp;Tabella1[[#This Row],[Città]]</f>
        <v>B&amp;B CASA DEL GELSO - MORRO D'ALBA</v>
      </c>
    </row>
    <row r="997" spans="1:8" x14ac:dyDescent="0.25">
      <c r="A997" s="1" t="s">
        <v>29</v>
      </c>
      <c r="B997" s="1" t="s">
        <v>7877</v>
      </c>
      <c r="C997" s="1" t="s">
        <v>10409</v>
      </c>
      <c r="D997" s="1" t="s">
        <v>10206</v>
      </c>
      <c r="G997" s="1" t="s">
        <v>10410</v>
      </c>
      <c r="H997" s="2" t="str">
        <f>Tabella1[[#This Row],[Denominazione]]&amp;" - "&amp;Tabella1[[#This Row],[Città]]</f>
        <v>B&amp;B CASA DEL GELSO - SIROLO</v>
      </c>
    </row>
    <row r="998" spans="1:8" x14ac:dyDescent="0.25">
      <c r="A998" s="1" t="s">
        <v>29</v>
      </c>
      <c r="B998" s="1" t="s">
        <v>10145</v>
      </c>
      <c r="C998" s="1" t="s">
        <v>10146</v>
      </c>
      <c r="D998" s="1" t="s">
        <v>10117</v>
      </c>
      <c r="F998" s="1" t="s">
        <v>10147</v>
      </c>
      <c r="G998" s="1" t="s">
        <v>10148</v>
      </c>
      <c r="H998" s="2" t="str">
        <f>Tabella1[[#This Row],[Denominazione]]&amp;" - "&amp;Tabella1[[#This Row],[Città]]</f>
        <v>B&amp;B CASA DEL PELLEGRINO DA FRANCI - SERRA SAN QUIRICO</v>
      </c>
    </row>
    <row r="999" spans="1:8" x14ac:dyDescent="0.25">
      <c r="A999" s="1" t="s">
        <v>29</v>
      </c>
      <c r="B999" s="1" t="s">
        <v>8526</v>
      </c>
      <c r="C999" s="1" t="s">
        <v>8527</v>
      </c>
      <c r="D999" s="1" t="s">
        <v>8454</v>
      </c>
      <c r="E999" s="1" t="s">
        <v>8454</v>
      </c>
      <c r="G999" s="1" t="s">
        <v>8528</v>
      </c>
      <c r="H999" s="2" t="str">
        <f>Tabella1[[#This Row],[Denominazione]]&amp;" - "&amp;Tabella1[[#This Row],[Città]]</f>
        <v>B&amp;B CASA DELLA LUCE DORATA - OSIMO</v>
      </c>
    </row>
    <row r="1000" spans="1:8" x14ac:dyDescent="0.25">
      <c r="A1000" s="1" t="s">
        <v>29</v>
      </c>
      <c r="B1000" s="1" t="s">
        <v>2470</v>
      </c>
      <c r="C1000" s="1" t="s">
        <v>2471</v>
      </c>
      <c r="D1000" s="1" t="s">
        <v>2425</v>
      </c>
      <c r="E1000" s="1" t="s">
        <v>2425</v>
      </c>
      <c r="F1000" s="1" t="s">
        <v>2472</v>
      </c>
      <c r="G1000" s="1" t="s">
        <v>2473</v>
      </c>
      <c r="H1000" s="2" t="str">
        <f>Tabella1[[#This Row],[Denominazione]]&amp;" - "&amp;Tabella1[[#This Row],[Città]]</f>
        <v>B&amp;B CASA DELLA STELLA - GRADARA</v>
      </c>
    </row>
    <row r="1001" spans="1:8" x14ac:dyDescent="0.25">
      <c r="A1001" s="1" t="s">
        <v>29</v>
      </c>
      <c r="B1001" s="1" t="s">
        <v>8794</v>
      </c>
      <c r="C1001" s="1" t="s">
        <v>8795</v>
      </c>
      <c r="D1001" s="1" t="s">
        <v>8763</v>
      </c>
      <c r="E1001" s="1" t="s">
        <v>8796</v>
      </c>
      <c r="F1001" s="1" t="s">
        <v>8797</v>
      </c>
      <c r="G1001" s="1" t="s">
        <v>8798</v>
      </c>
      <c r="H1001" s="2" t="str">
        <f>Tabella1[[#This Row],[Denominazione]]&amp;" - "&amp;Tabella1[[#This Row],[Città]]</f>
        <v>B&amp;B CASA DELLE NOCI - ROSORA</v>
      </c>
    </row>
    <row r="1002" spans="1:8" x14ac:dyDescent="0.25">
      <c r="A1002" s="1" t="s">
        <v>29</v>
      </c>
      <c r="B1002" s="1" t="s">
        <v>16210</v>
      </c>
      <c r="C1002" s="1" t="s">
        <v>16211</v>
      </c>
      <c r="D1002" s="1" t="s">
        <v>16202</v>
      </c>
      <c r="E1002" s="1" t="s">
        <v>6115</v>
      </c>
      <c r="F1002" s="1" t="s">
        <v>16212</v>
      </c>
      <c r="G1002" s="1" t="s">
        <v>16213</v>
      </c>
      <c r="H1002" s="2" t="str">
        <f>Tabella1[[#This Row],[Denominazione]]&amp;" - "&amp;Tabella1[[#This Row],[Città]]</f>
        <v>B&amp;B CASA DELLE SORGENTI di LESLEY DORIN - MONTEFIORE DELL'ASO</v>
      </c>
    </row>
    <row r="1003" spans="1:8" x14ac:dyDescent="0.25">
      <c r="A1003" s="1" t="s">
        <v>29</v>
      </c>
      <c r="B1003" s="1" t="s">
        <v>8791</v>
      </c>
      <c r="C1003" s="1" t="s">
        <v>8792</v>
      </c>
      <c r="D1003" s="1" t="s">
        <v>8763</v>
      </c>
      <c r="G1003" s="1" t="s">
        <v>8793</v>
      </c>
      <c r="H1003" s="2" t="str">
        <f>Tabella1[[#This Row],[Denominazione]]&amp;" - "&amp;Tabella1[[#This Row],[Città]]</f>
        <v>B&amp;B CASA DI CAMPAGNA - ROSORA</v>
      </c>
    </row>
    <row r="1004" spans="1:8" x14ac:dyDescent="0.25">
      <c r="A1004" s="1" t="s">
        <v>29</v>
      </c>
      <c r="B1004" s="1" t="s">
        <v>1448</v>
      </c>
      <c r="C1004" s="1" t="s">
        <v>1449</v>
      </c>
      <c r="D1004" s="1" t="s">
        <v>682</v>
      </c>
      <c r="F1004" s="1" t="s">
        <v>1450</v>
      </c>
      <c r="G1004" s="1" t="s">
        <v>1451</v>
      </c>
      <c r="H1004" s="2" t="str">
        <f>Tabella1[[#This Row],[Denominazione]]&amp;" - "&amp;Tabella1[[#This Row],[Città]]</f>
        <v>B&amp;B CASA DI LUCE - FANO</v>
      </c>
    </row>
    <row r="1005" spans="1:8" x14ac:dyDescent="0.25">
      <c r="A1005" s="1" t="s">
        <v>29</v>
      </c>
      <c r="B1005" s="1" t="s">
        <v>15933</v>
      </c>
      <c r="C1005" s="1" t="s">
        <v>15934</v>
      </c>
      <c r="D1005" s="1" t="s">
        <v>15585</v>
      </c>
      <c r="E1005" s="1" t="s">
        <v>15713</v>
      </c>
      <c r="G1005" s="1" t="s">
        <v>15935</v>
      </c>
      <c r="H1005" s="2" t="str">
        <f>Tabella1[[#This Row],[Denominazione]]&amp;" - "&amp;Tabella1[[#This Row],[Città]]</f>
        <v>B&amp;B CASA DI MARY - GROTTAMMARE</v>
      </c>
    </row>
    <row r="1006" spans="1:8" x14ac:dyDescent="0.25">
      <c r="A1006" s="1" t="s">
        <v>29</v>
      </c>
      <c r="B1006" s="1" t="s">
        <v>11061</v>
      </c>
      <c r="C1006" s="1" t="s">
        <v>11062</v>
      </c>
      <c r="D1006" s="1" t="s">
        <v>11058</v>
      </c>
      <c r="E1006" s="1" t="s">
        <v>11058</v>
      </c>
      <c r="H1006" s="2" t="str">
        <f>Tabella1[[#This Row],[Denominazione]]&amp;" - "&amp;Tabella1[[#This Row],[Città]]</f>
        <v>B&amp;B CASA DI NONNO URE' - CINGOLI</v>
      </c>
    </row>
    <row r="1007" spans="1:8" x14ac:dyDescent="0.25">
      <c r="A1007" s="1" t="s">
        <v>29</v>
      </c>
      <c r="B1007" s="1" t="s">
        <v>5182</v>
      </c>
      <c r="C1007" s="1" t="s">
        <v>5183</v>
      </c>
      <c r="D1007" s="1" t="s">
        <v>9</v>
      </c>
      <c r="E1007" s="1" t="s">
        <v>9</v>
      </c>
      <c r="F1007" s="1" t="s">
        <v>5184</v>
      </c>
      <c r="G1007" s="1" t="s">
        <v>5185</v>
      </c>
      <c r="H1007" s="2" t="str">
        <f>Tabella1[[#This Row],[Denominazione]]&amp;" - "&amp;Tabella1[[#This Row],[Città]]</f>
        <v>B&amp;B CASA DOLCE CASA - URBINO</v>
      </c>
    </row>
    <row r="1008" spans="1:8" x14ac:dyDescent="0.25">
      <c r="A1008" s="1" t="s">
        <v>29</v>
      </c>
      <c r="B1008" s="1" t="s">
        <v>18927</v>
      </c>
      <c r="C1008" s="1" t="s">
        <v>18928</v>
      </c>
      <c r="D1008" s="1" t="s">
        <v>18909</v>
      </c>
      <c r="G1008" s="1" t="s">
        <v>18929</v>
      </c>
      <c r="H1008" s="2" t="str">
        <f>Tabella1[[#This Row],[Denominazione]]&amp;" - "&amp;Tabella1[[#This Row],[Città]]</f>
        <v>B&amp;B CASA ELEONORA - ORTEZZANO</v>
      </c>
    </row>
    <row r="1009" spans="1:8" x14ac:dyDescent="0.25">
      <c r="A1009" s="1" t="s">
        <v>29</v>
      </c>
      <c r="B1009" s="1" t="s">
        <v>4002</v>
      </c>
      <c r="C1009" s="1" t="s">
        <v>4003</v>
      </c>
      <c r="D1009" s="1" t="s">
        <v>2386</v>
      </c>
      <c r="E1009" s="1" t="s">
        <v>4004</v>
      </c>
      <c r="F1009" s="1" t="s">
        <v>4005</v>
      </c>
      <c r="G1009" s="1" t="s">
        <v>4006</v>
      </c>
      <c r="H1009" s="2" t="str">
        <f>Tabella1[[#This Row],[Denominazione]]&amp;" - "&amp;Tabella1[[#This Row],[Città]]</f>
        <v>B&amp;B CASA EZELINA - PESARO</v>
      </c>
    </row>
    <row r="1010" spans="1:8" x14ac:dyDescent="0.25">
      <c r="A1010" s="1" t="s">
        <v>29</v>
      </c>
      <c r="B1010" s="1" t="s">
        <v>17926</v>
      </c>
      <c r="C1010" s="1" t="s">
        <v>17927</v>
      </c>
      <c r="D1010" s="1" t="s">
        <v>17909</v>
      </c>
      <c r="F1010" s="1" t="s">
        <v>17928</v>
      </c>
      <c r="G1010" s="1" t="s">
        <v>17929</v>
      </c>
      <c r="H1010" s="2" t="str">
        <f>Tabella1[[#This Row],[Denominazione]]&amp;" - "&amp;Tabella1[[#This Row],[Città]]</f>
        <v>B&amp;B CASA FALERONE DI MARINOZZI GIANCARLO - FALERONE</v>
      </c>
    </row>
    <row r="1011" spans="1:8" x14ac:dyDescent="0.25">
      <c r="A1011" s="1" t="s">
        <v>29</v>
      </c>
      <c r="B1011" s="1" t="s">
        <v>17078</v>
      </c>
      <c r="C1011" s="1" t="s">
        <v>17079</v>
      </c>
      <c r="D1011" s="1" t="s">
        <v>15819</v>
      </c>
      <c r="E1011" s="1" t="s">
        <v>17080</v>
      </c>
      <c r="G1011" s="1" t="s">
        <v>16896</v>
      </c>
      <c r="H1011" s="2" t="str">
        <f>Tabella1[[#This Row],[Denominazione]]&amp;" - "&amp;Tabella1[[#This Row],[Città]]</f>
        <v>B&amp;B CASA FELICIA - SAN BENEDETTO DEL TRONTO</v>
      </c>
    </row>
    <row r="1012" spans="1:8" x14ac:dyDescent="0.25">
      <c r="A1012" s="1" t="s">
        <v>29</v>
      </c>
      <c r="B1012" s="1" t="s">
        <v>16892</v>
      </c>
      <c r="C1012" s="1" t="s">
        <v>16893</v>
      </c>
      <c r="D1012" s="1" t="s">
        <v>15819</v>
      </c>
      <c r="E1012" s="1" t="s">
        <v>16894</v>
      </c>
      <c r="F1012" s="1" t="s">
        <v>16895</v>
      </c>
      <c r="G1012" s="1" t="s">
        <v>16896</v>
      </c>
      <c r="H1012" s="2" t="str">
        <f>Tabella1[[#This Row],[Denominazione]]&amp;" - "&amp;Tabella1[[#This Row],[Città]]</f>
        <v>B&amp;B CASA FELICIA II - SAN BENEDETTO DEL TRONTO</v>
      </c>
    </row>
    <row r="1013" spans="1:8" x14ac:dyDescent="0.25">
      <c r="A1013" s="1" t="s">
        <v>29</v>
      </c>
      <c r="B1013" s="1" t="s">
        <v>13530</v>
      </c>
      <c r="C1013" s="1" t="s">
        <v>13531</v>
      </c>
      <c r="D1013" s="1" t="s">
        <v>6072</v>
      </c>
      <c r="G1013" s="1" t="s">
        <v>13532</v>
      </c>
      <c r="H1013" s="2" t="str">
        <f>Tabella1[[#This Row],[Denominazione]]&amp;" - "&amp;Tabella1[[#This Row],[Città]]</f>
        <v>B&amp;B CASA FENICE - SAN GINESIO</v>
      </c>
    </row>
    <row r="1014" spans="1:8" x14ac:dyDescent="0.25">
      <c r="A1014" s="1" t="s">
        <v>29</v>
      </c>
      <c r="B1014" s="1" t="s">
        <v>14426</v>
      </c>
      <c r="C1014" s="1" t="s">
        <v>14427</v>
      </c>
      <c r="D1014" s="1" t="s">
        <v>14428</v>
      </c>
      <c r="E1014" s="1" t="s">
        <v>14428</v>
      </c>
      <c r="G1014" s="1" t="s">
        <v>14429</v>
      </c>
      <c r="H1014" s="2" t="str">
        <f>Tabella1[[#This Row],[Denominazione]]&amp;" - "&amp;Tabella1[[#This Row],[Città]]</f>
        <v>B&amp;B CASA FILIPPO - ACQUAVIVA PICENA</v>
      </c>
    </row>
    <row r="1015" spans="1:8" x14ac:dyDescent="0.25">
      <c r="A1015" s="1" t="s">
        <v>29</v>
      </c>
      <c r="B1015" s="1" t="s">
        <v>4645</v>
      </c>
      <c r="C1015" s="1" t="s">
        <v>4646</v>
      </c>
      <c r="D1015" s="1" t="s">
        <v>4630</v>
      </c>
      <c r="E1015" s="1" t="s">
        <v>4630</v>
      </c>
      <c r="F1015" s="1" t="s">
        <v>4647</v>
      </c>
      <c r="G1015" s="1" t="s">
        <v>4648</v>
      </c>
      <c r="H1015" s="2" t="str">
        <f>Tabella1[[#This Row],[Denominazione]]&amp;" - "&amp;Tabella1[[#This Row],[Città]]</f>
        <v>B&amp;B CASA FIORITA DI CAVALLI ROSANNA - TAVOLETO</v>
      </c>
    </row>
    <row r="1016" spans="1:8" x14ac:dyDescent="0.25">
      <c r="A1016" s="1" t="s">
        <v>29</v>
      </c>
      <c r="B1016" s="1" t="s">
        <v>7618</v>
      </c>
      <c r="C1016" s="1" t="s">
        <v>7619</v>
      </c>
      <c r="D1016" s="1" t="s">
        <v>7611</v>
      </c>
      <c r="E1016" s="1" t="s">
        <v>7611</v>
      </c>
      <c r="F1016" s="1" t="s">
        <v>7620</v>
      </c>
      <c r="G1016" s="1" t="s">
        <v>7621</v>
      </c>
      <c r="H1016" s="2" t="str">
        <f>Tabella1[[#This Row],[Denominazione]]&amp;" - "&amp;Tabella1[[#This Row],[Città]]</f>
        <v>B&amp;B CASA FONTANA - MERGO</v>
      </c>
    </row>
    <row r="1017" spans="1:8" x14ac:dyDescent="0.25">
      <c r="A1017" s="1" t="s">
        <v>29</v>
      </c>
      <c r="B1017" s="1" t="s">
        <v>9827</v>
      </c>
      <c r="C1017" s="1" t="s">
        <v>9828</v>
      </c>
      <c r="D1017" s="1" t="s">
        <v>8949</v>
      </c>
      <c r="F1017" s="1" t="s">
        <v>9829</v>
      </c>
      <c r="G1017" s="1" t="s">
        <v>9830</v>
      </c>
      <c r="H1017" s="2" t="str">
        <f>Tabella1[[#This Row],[Denominazione]]&amp;" - "&amp;Tabella1[[#This Row],[Città]]</f>
        <v>B&amp;B CASA FUORI CASA - SENIGALLIA</v>
      </c>
    </row>
    <row r="1018" spans="1:8" x14ac:dyDescent="0.25">
      <c r="A1018" s="1" t="s">
        <v>29</v>
      </c>
      <c r="B1018" s="1" t="s">
        <v>14742</v>
      </c>
      <c r="C1018" s="1" t="s">
        <v>14743</v>
      </c>
      <c r="D1018" s="1" t="s">
        <v>14576</v>
      </c>
      <c r="E1018" s="1" t="s">
        <v>14744</v>
      </c>
      <c r="F1018" s="1" t="s">
        <v>14745</v>
      </c>
      <c r="G1018" s="1" t="s">
        <v>14746</v>
      </c>
      <c r="H1018" s="2" t="str">
        <f>Tabella1[[#This Row],[Denominazione]]&amp;" - "&amp;Tabella1[[#This Row],[Città]]</f>
        <v>B&amp;B CASA GIOIA - ASCOLI PICENO</v>
      </c>
    </row>
    <row r="1019" spans="1:8" x14ac:dyDescent="0.25">
      <c r="A1019" s="1" t="s">
        <v>29</v>
      </c>
      <c r="B1019" s="1" t="s">
        <v>15164</v>
      </c>
      <c r="C1019" s="1" t="s">
        <v>15165</v>
      </c>
      <c r="D1019" s="1" t="s">
        <v>15151</v>
      </c>
      <c r="E1019" s="1" t="s">
        <v>15151</v>
      </c>
      <c r="F1019" s="1" t="s">
        <v>15166</v>
      </c>
      <c r="G1019" s="1" t="s">
        <v>15167</v>
      </c>
      <c r="H1019" s="2" t="str">
        <f>Tabella1[[#This Row],[Denominazione]]&amp;" - "&amp;Tabella1[[#This Row],[Città]]</f>
        <v>B&amp;B CASA LAURA - CASTIGNANO</v>
      </c>
    </row>
    <row r="1020" spans="1:8" x14ac:dyDescent="0.25">
      <c r="A1020" s="1" t="s">
        <v>29</v>
      </c>
      <c r="B1020" s="1" t="s">
        <v>8648</v>
      </c>
      <c r="C1020" s="1" t="s">
        <v>8649</v>
      </c>
      <c r="D1020" s="1" t="s">
        <v>8608</v>
      </c>
      <c r="E1020" s="1" t="s">
        <v>8608</v>
      </c>
      <c r="F1020" s="1" t="s">
        <v>8650</v>
      </c>
      <c r="G1020" s="1" t="s">
        <v>8651</v>
      </c>
      <c r="H1020" s="2" t="str">
        <f>Tabella1[[#This Row],[Denominazione]]&amp;" - "&amp;Tabella1[[#This Row],[Città]]</f>
        <v>B&amp;B CASA LINA - OSTRA</v>
      </c>
    </row>
    <row r="1021" spans="1:8" x14ac:dyDescent="0.25">
      <c r="A1021" s="1" t="s">
        <v>29</v>
      </c>
      <c r="B1021" s="1" t="s">
        <v>16263</v>
      </c>
      <c r="C1021" s="1" t="s">
        <v>16264</v>
      </c>
      <c r="D1021" s="1" t="s">
        <v>16202</v>
      </c>
      <c r="G1021" s="1" t="s">
        <v>16265</v>
      </c>
      <c r="H1021" s="2" t="str">
        <f>Tabella1[[#This Row],[Denominazione]]&amp;" - "&amp;Tabella1[[#This Row],[Città]]</f>
        <v>B&amp;B CASA MALAVOLTA - MONTEFIORE DELL'ASO</v>
      </c>
    </row>
    <row r="1022" spans="1:8" x14ac:dyDescent="0.25">
      <c r="A1022" s="1" t="s">
        <v>29</v>
      </c>
      <c r="B1022" s="1" t="s">
        <v>6276</v>
      </c>
      <c r="C1022" s="1" t="s">
        <v>6277</v>
      </c>
      <c r="D1022" s="1" t="s">
        <v>6262</v>
      </c>
      <c r="G1022" s="1" t="s">
        <v>6278</v>
      </c>
      <c r="H1022" s="2" t="str">
        <f>Tabella1[[#This Row],[Denominazione]]&amp;" - "&amp;Tabella1[[#This Row],[Città]]</f>
        <v>B&amp;B CASA MATILDA - BELVEDERE OSTRENSE</v>
      </c>
    </row>
    <row r="1023" spans="1:8" x14ac:dyDescent="0.25">
      <c r="A1023" s="1" t="s">
        <v>29</v>
      </c>
      <c r="B1023" s="1" t="s">
        <v>5316</v>
      </c>
      <c r="C1023" s="1" t="s">
        <v>5317</v>
      </c>
      <c r="D1023" s="1" t="s">
        <v>9</v>
      </c>
      <c r="E1023" s="1" t="s">
        <v>5318</v>
      </c>
      <c r="G1023" s="1" t="s">
        <v>5319</v>
      </c>
      <c r="H1023" s="2" t="str">
        <f>Tabella1[[#This Row],[Denominazione]]&amp;" - "&amp;Tabella1[[#This Row],[Città]]</f>
        <v>B&amp;B CASA MATILDE - URBINO</v>
      </c>
    </row>
    <row r="1024" spans="1:8" x14ac:dyDescent="0.25">
      <c r="A1024" s="1" t="s">
        <v>29</v>
      </c>
      <c r="B1024" s="1" t="s">
        <v>18602</v>
      </c>
      <c r="C1024" s="1" t="s">
        <v>16361</v>
      </c>
      <c r="D1024" s="1" t="s">
        <v>18589</v>
      </c>
      <c r="E1024" s="1" t="s">
        <v>18589</v>
      </c>
      <c r="F1024" s="1" t="s">
        <v>18603</v>
      </c>
      <c r="G1024" s="1" t="s">
        <v>18604</v>
      </c>
      <c r="H1024" s="2" t="str">
        <f>Tabella1[[#This Row],[Denominazione]]&amp;" - "&amp;Tabella1[[#This Row],[Città]]</f>
        <v>B&amp;B CASA MILLEVOLTE di ALESSANDRA MILLEVOLTE - MONTE GIBERTO</v>
      </c>
    </row>
    <row r="1025" spans="1:8" x14ac:dyDescent="0.25">
      <c r="A1025" s="1" t="s">
        <v>29</v>
      </c>
      <c r="B1025" s="1" t="s">
        <v>18605</v>
      </c>
      <c r="C1025" s="1" t="s">
        <v>16361</v>
      </c>
      <c r="D1025" s="1" t="s">
        <v>18589</v>
      </c>
      <c r="E1025" s="1" t="s">
        <v>18589</v>
      </c>
      <c r="F1025" s="1" t="s">
        <v>18603</v>
      </c>
      <c r="G1025" s="1" t="s">
        <v>18604</v>
      </c>
      <c r="H1025" s="2" t="str">
        <f>Tabella1[[#This Row],[Denominazione]]&amp;" - "&amp;Tabella1[[#This Row],[Città]]</f>
        <v>B&amp;B CASA MILLEVOLTE di MARINA MILLEVOLTE - MONTE GIBERTO</v>
      </c>
    </row>
    <row r="1026" spans="1:8" x14ac:dyDescent="0.25">
      <c r="A1026" s="1" t="s">
        <v>29</v>
      </c>
      <c r="B1026" s="1" t="s">
        <v>4773</v>
      </c>
      <c r="C1026" s="1" t="s">
        <v>4774</v>
      </c>
      <c r="D1026" s="1" t="s">
        <v>4735</v>
      </c>
      <c r="E1026" s="1" t="s">
        <v>4735</v>
      </c>
      <c r="F1026" s="1" t="s">
        <v>4775</v>
      </c>
      <c r="G1026" s="1" t="s">
        <v>4776</v>
      </c>
      <c r="H1026" s="2" t="str">
        <f>Tabella1[[#This Row],[Denominazione]]&amp;" - "&amp;Tabella1[[#This Row],[Città]]</f>
        <v>B&amp;B CASA MINI DI FAGGI LUCIANO - URBANIA</v>
      </c>
    </row>
    <row r="1027" spans="1:8" x14ac:dyDescent="0.25">
      <c r="A1027" s="1" t="s">
        <v>29</v>
      </c>
      <c r="B1027" s="1" t="s">
        <v>16113</v>
      </c>
      <c r="C1027" s="1" t="s">
        <v>16114</v>
      </c>
      <c r="D1027" s="1" t="s">
        <v>16083</v>
      </c>
      <c r="F1027" s="1" t="s">
        <v>16115</v>
      </c>
      <c r="G1027" s="1" t="s">
        <v>16116</v>
      </c>
      <c r="H1027" s="2" t="str">
        <f>Tabella1[[#This Row],[Denominazione]]&amp;" - "&amp;Tabella1[[#This Row],[Città]]</f>
        <v>B&amp;B CASA MONTALTO - MONTALTO DELLE MARCHE</v>
      </c>
    </row>
    <row r="1028" spans="1:8" x14ac:dyDescent="0.25">
      <c r="A1028" s="1" t="s">
        <v>29</v>
      </c>
      <c r="B1028" s="1" t="s">
        <v>4696</v>
      </c>
      <c r="C1028" s="1" t="s">
        <v>4697</v>
      </c>
      <c r="D1028" s="1" t="s">
        <v>4657</v>
      </c>
      <c r="E1028" s="1" t="s">
        <v>4698</v>
      </c>
      <c r="G1028" s="1" t="s">
        <v>4699</v>
      </c>
      <c r="H1028" s="2" t="str">
        <f>Tabella1[[#This Row],[Denominazione]]&amp;" - "&amp;Tabella1[[#This Row],[Città]]</f>
        <v>B&amp;B CASA MONTELURO - TAVULLIA</v>
      </c>
    </row>
    <row r="1029" spans="1:8" x14ac:dyDescent="0.25">
      <c r="A1029" s="1" t="s">
        <v>29</v>
      </c>
      <c r="B1029" s="1" t="s">
        <v>4909</v>
      </c>
      <c r="C1029" s="1" t="s">
        <v>4910</v>
      </c>
      <c r="D1029" s="1" t="s">
        <v>9</v>
      </c>
      <c r="G1029" s="1" t="s">
        <v>4911</v>
      </c>
      <c r="H1029" s="2" t="str">
        <f>Tabella1[[#This Row],[Denominazione]]&amp;" - "&amp;Tabella1[[#This Row],[Città]]</f>
        <v>B&amp;B CASA NELLA - URBINO</v>
      </c>
    </row>
    <row r="1030" spans="1:8" x14ac:dyDescent="0.25">
      <c r="A1030" s="1" t="s">
        <v>29</v>
      </c>
      <c r="B1030" s="1" t="s">
        <v>16223</v>
      </c>
      <c r="C1030" s="1" t="s">
        <v>16224</v>
      </c>
      <c r="D1030" s="1" t="s">
        <v>16202</v>
      </c>
      <c r="G1030" s="1" t="s">
        <v>16225</v>
      </c>
      <c r="H1030" s="2" t="str">
        <f>Tabella1[[#This Row],[Denominazione]]&amp;" - "&amp;Tabella1[[#This Row],[Città]]</f>
        <v>B&amp;B CASA NOLLY - MONTEFIORE DELL'ASO</v>
      </c>
    </row>
    <row r="1031" spans="1:8" x14ac:dyDescent="0.25">
      <c r="A1031" s="1" t="s">
        <v>29</v>
      </c>
      <c r="B1031" s="1" t="s">
        <v>13468</v>
      </c>
      <c r="C1031" s="1" t="s">
        <v>13469</v>
      </c>
      <c r="D1031" s="1" t="s">
        <v>6072</v>
      </c>
      <c r="E1031" s="1" t="s">
        <v>6072</v>
      </c>
      <c r="F1031" s="1" t="s">
        <v>13470</v>
      </c>
      <c r="G1031" s="1" t="s">
        <v>13471</v>
      </c>
      <c r="H1031" s="2" t="str">
        <f>Tabella1[[#This Row],[Denominazione]]&amp;" - "&amp;Tabella1[[#This Row],[Città]]</f>
        <v>B&amp;B CASA NOSTRA - SAN GINESIO</v>
      </c>
    </row>
    <row r="1032" spans="1:8" x14ac:dyDescent="0.25">
      <c r="A1032" s="1" t="s">
        <v>29</v>
      </c>
      <c r="B1032" s="1" t="s">
        <v>15332</v>
      </c>
      <c r="C1032" s="1" t="s">
        <v>15333</v>
      </c>
      <c r="D1032" s="1" t="s">
        <v>15282</v>
      </c>
      <c r="E1032" s="1" t="s">
        <v>15282</v>
      </c>
      <c r="G1032" s="1" t="s">
        <v>15334</v>
      </c>
      <c r="H1032" s="2" t="str">
        <f>Tabella1[[#This Row],[Denominazione]]&amp;" - "&amp;Tabella1[[#This Row],[Città]]</f>
        <v>B&amp;B CASA PANSONI - COSSIGNANO</v>
      </c>
    </row>
    <row r="1033" spans="1:8" x14ac:dyDescent="0.25">
      <c r="A1033" s="1" t="s">
        <v>29</v>
      </c>
      <c r="B1033" s="1" t="s">
        <v>14967</v>
      </c>
      <c r="C1033" s="1" t="s">
        <v>14968</v>
      </c>
      <c r="D1033" s="1" t="s">
        <v>14576</v>
      </c>
      <c r="E1033" s="1" t="s">
        <v>14576</v>
      </c>
      <c r="G1033" s="1" t="s">
        <v>14969</v>
      </c>
      <c r="H1033" s="2" t="str">
        <f>Tabella1[[#This Row],[Denominazione]]&amp;" - "&amp;Tabella1[[#This Row],[Città]]</f>
        <v>B&amp;B CASA PERRY di PERICO GIUSEPPINA - ASCOLI PICENO</v>
      </c>
    </row>
    <row r="1034" spans="1:8" x14ac:dyDescent="0.25">
      <c r="A1034" s="1" t="s">
        <v>29</v>
      </c>
      <c r="B1034" s="1" t="s">
        <v>12014</v>
      </c>
      <c r="C1034" s="1" t="s">
        <v>12015</v>
      </c>
      <c r="D1034" s="1" t="s">
        <v>11981</v>
      </c>
      <c r="F1034" s="1" t="s">
        <v>12016</v>
      </c>
      <c r="G1034" s="1" t="s">
        <v>12017</v>
      </c>
      <c r="H1034" s="2" t="str">
        <f>Tabella1[[#This Row],[Denominazione]]&amp;" - "&amp;Tabella1[[#This Row],[Città]]</f>
        <v>B&amp;B CASA PISANI - LORO PICENO</v>
      </c>
    </row>
    <row r="1035" spans="1:8" x14ac:dyDescent="0.25">
      <c r="A1035" s="1" t="s">
        <v>29</v>
      </c>
      <c r="B1035" s="1" t="s">
        <v>10735</v>
      </c>
      <c r="C1035" s="1" t="s">
        <v>10736</v>
      </c>
      <c r="D1035" s="1" t="s">
        <v>10737</v>
      </c>
      <c r="E1035" s="1" t="s">
        <v>10737</v>
      </c>
      <c r="G1035" s="1" t="s">
        <v>10738</v>
      </c>
      <c r="H1035" s="2" t="str">
        <f>Tabella1[[#This Row],[Denominazione]]&amp;" - "&amp;Tabella1[[#This Row],[Città]]</f>
        <v>B&amp;B CASA ROCCA - CAMERINO</v>
      </c>
    </row>
    <row r="1036" spans="1:8" x14ac:dyDescent="0.25">
      <c r="A1036" s="1" t="s">
        <v>29</v>
      </c>
      <c r="B1036" s="1" t="s">
        <v>12106</v>
      </c>
      <c r="C1036" s="1" t="s">
        <v>12107</v>
      </c>
      <c r="D1036" s="1" t="s">
        <v>12050</v>
      </c>
      <c r="E1036" s="1" t="s">
        <v>12050</v>
      </c>
      <c r="G1036" s="1" t="s">
        <v>12108</v>
      </c>
      <c r="H1036" s="2" t="str">
        <f>Tabella1[[#This Row],[Denominazione]]&amp;" - "&amp;Tabella1[[#This Row],[Città]]</f>
        <v>B&amp;B CASA SALTO - MACERATA</v>
      </c>
    </row>
    <row r="1037" spans="1:8" x14ac:dyDescent="0.25">
      <c r="A1037" s="1" t="s">
        <v>29</v>
      </c>
      <c r="B1037" s="1" t="s">
        <v>788</v>
      </c>
      <c r="C1037" s="1" t="s">
        <v>789</v>
      </c>
      <c r="D1037" s="1" t="s">
        <v>682</v>
      </c>
      <c r="E1037" s="1" t="s">
        <v>790</v>
      </c>
      <c r="F1037" s="1" t="s">
        <v>791</v>
      </c>
      <c r="G1037" s="1" t="s">
        <v>792</v>
      </c>
      <c r="H1037" s="2" t="str">
        <f>Tabella1[[#This Row],[Denominazione]]&amp;" - "&amp;Tabella1[[#This Row],[Città]]</f>
        <v>B&amp;B CASA SGARIA - FANO</v>
      </c>
    </row>
    <row r="1038" spans="1:8" x14ac:dyDescent="0.25">
      <c r="A1038" s="1" t="s">
        <v>29</v>
      </c>
      <c r="B1038" s="1" t="s">
        <v>11107</v>
      </c>
      <c r="C1038" s="1" t="s">
        <v>11108</v>
      </c>
      <c r="D1038" s="1" t="s">
        <v>11058</v>
      </c>
      <c r="E1038" s="1" t="s">
        <v>11058</v>
      </c>
      <c r="F1038" s="1" t="s">
        <v>11109</v>
      </c>
      <c r="G1038" s="1" t="s">
        <v>11110</v>
      </c>
      <c r="H1038" s="2" t="str">
        <f>Tabella1[[#This Row],[Denominazione]]&amp;" - "&amp;Tabella1[[#This Row],[Città]]</f>
        <v>B&amp;B CASA SILVESTRI - CINGOLI</v>
      </c>
    </row>
    <row r="1039" spans="1:8" x14ac:dyDescent="0.25">
      <c r="A1039" s="1" t="s">
        <v>29</v>
      </c>
      <c r="B1039" s="1" t="s">
        <v>4292</v>
      </c>
      <c r="C1039" s="1" t="s">
        <v>4293</v>
      </c>
      <c r="D1039" s="1" t="s">
        <v>4272</v>
      </c>
      <c r="E1039" s="1" t="s">
        <v>4272</v>
      </c>
      <c r="F1039" s="1" t="s">
        <v>4294</v>
      </c>
      <c r="G1039" s="1" t="s">
        <v>4295</v>
      </c>
      <c r="H1039" s="2" t="str">
        <f>Tabella1[[#This Row],[Denominazione]]&amp;" - "&amp;Tabella1[[#This Row],[Città]]</f>
        <v>B&amp;B CASA SORGENTE - SAN COSTANZO</v>
      </c>
    </row>
    <row r="1040" spans="1:8" x14ac:dyDescent="0.25">
      <c r="A1040" s="1" t="s">
        <v>29</v>
      </c>
      <c r="B1040" s="1" t="s">
        <v>3339</v>
      </c>
      <c r="C1040" s="1" t="s">
        <v>3340</v>
      </c>
      <c r="D1040" s="1" t="s">
        <v>3305</v>
      </c>
      <c r="F1040" s="1" t="s">
        <v>3341</v>
      </c>
      <c r="G1040" s="1" t="s">
        <v>3342</v>
      </c>
      <c r="H1040" s="2" t="str">
        <f>Tabella1[[#This Row],[Denominazione]]&amp;" - "&amp;Tabella1[[#This Row],[Città]]</f>
        <v>B&amp;B CASA SPONGE - PERGOLA</v>
      </c>
    </row>
    <row r="1041" spans="1:8" x14ac:dyDescent="0.25">
      <c r="A1041" s="1" t="s">
        <v>29</v>
      </c>
      <c r="B1041" s="1" t="s">
        <v>13965</v>
      </c>
      <c r="C1041" s="1" t="s">
        <v>13966</v>
      </c>
      <c r="D1041" s="1" t="s">
        <v>13946</v>
      </c>
      <c r="E1041" s="1" t="s">
        <v>13946</v>
      </c>
      <c r="G1041" s="1" t="s">
        <v>13967</v>
      </c>
      <c r="H1041" s="2" t="str">
        <f>Tabella1[[#This Row],[Denominazione]]&amp;" - "&amp;Tabella1[[#This Row],[Città]]</f>
        <v>B&amp;B CASA TOURING SAN NICOLA - TOLENTINO</v>
      </c>
    </row>
    <row r="1042" spans="1:8" x14ac:dyDescent="0.25">
      <c r="A1042" s="1" t="s">
        <v>29</v>
      </c>
      <c r="B1042" s="1" t="s">
        <v>4275</v>
      </c>
      <c r="C1042" s="1" t="s">
        <v>4276</v>
      </c>
      <c r="D1042" s="1" t="s">
        <v>4272</v>
      </c>
      <c r="F1042" s="1" t="s">
        <v>4277</v>
      </c>
      <c r="G1042" s="1" t="s">
        <v>4278</v>
      </c>
      <c r="H1042" s="2" t="str">
        <f>Tabella1[[#This Row],[Denominazione]]&amp;" - "&amp;Tabella1[[#This Row],[Città]]</f>
        <v>B&amp;B CASA UNO - SAN COSTANZO</v>
      </c>
    </row>
    <row r="1043" spans="1:8" x14ac:dyDescent="0.25">
      <c r="A1043" s="1" t="s">
        <v>29</v>
      </c>
      <c r="B1043" s="1" t="s">
        <v>15800</v>
      </c>
      <c r="C1043" s="1" t="s">
        <v>15801</v>
      </c>
      <c r="D1043" s="1" t="s">
        <v>15585</v>
      </c>
      <c r="E1043" s="1" t="s">
        <v>15585</v>
      </c>
      <c r="G1043" s="1" t="s">
        <v>15802</v>
      </c>
      <c r="H1043" s="2" t="str">
        <f>Tabella1[[#This Row],[Denominazione]]&amp;" - "&amp;Tabella1[[#This Row],[Città]]</f>
        <v>B&amp;B CASA VACANZE - GROTTAMMARE</v>
      </c>
    </row>
    <row r="1044" spans="1:8" x14ac:dyDescent="0.25">
      <c r="A1044" s="1" t="s">
        <v>29</v>
      </c>
      <c r="B1044" s="1" t="s">
        <v>16306</v>
      </c>
      <c r="C1044" s="1" t="s">
        <v>16307</v>
      </c>
      <c r="D1044" s="1" t="s">
        <v>16281</v>
      </c>
      <c r="E1044" s="1" t="s">
        <v>16281</v>
      </c>
      <c r="F1044" s="1" t="s">
        <v>16308</v>
      </c>
      <c r="G1044" s="1" t="s">
        <v>16309</v>
      </c>
      <c r="H1044" s="2" t="str">
        <f>Tabella1[[#This Row],[Denominazione]]&amp;" - "&amp;Tabella1[[#This Row],[Città]]</f>
        <v>B&amp;B CASA VACANZE LO SPUNTINO - MONTEGALLO</v>
      </c>
    </row>
    <row r="1045" spans="1:8" x14ac:dyDescent="0.25">
      <c r="A1045" s="1" t="s">
        <v>29</v>
      </c>
      <c r="B1045" s="1" t="s">
        <v>10153</v>
      </c>
      <c r="C1045" s="1" t="s">
        <v>10154</v>
      </c>
      <c r="D1045" s="1" t="s">
        <v>10117</v>
      </c>
      <c r="F1045" s="1" t="s">
        <v>10155</v>
      </c>
      <c r="G1045" s="1" t="s">
        <v>10156</v>
      </c>
      <c r="H1045" s="2" t="str">
        <f>Tabella1[[#This Row],[Denominazione]]&amp;" - "&amp;Tabella1[[#This Row],[Città]]</f>
        <v>B&amp;B CASA VALFIORITA - SERRA SAN QUIRICO</v>
      </c>
    </row>
    <row r="1046" spans="1:8" x14ac:dyDescent="0.25">
      <c r="A1046" s="1" t="s">
        <v>29</v>
      </c>
      <c r="B1046" s="1" t="s">
        <v>11505</v>
      </c>
      <c r="C1046" s="1" t="s">
        <v>11506</v>
      </c>
      <c r="D1046" s="1" t="s">
        <v>11244</v>
      </c>
      <c r="G1046" s="1" t="s">
        <v>11507</v>
      </c>
      <c r="H1046" s="2" t="str">
        <f>Tabella1[[#This Row],[Denominazione]]&amp;" - "&amp;Tabella1[[#This Row],[Città]]</f>
        <v>B&amp;B CASA VITTORIA - CIVITANOVA MARCHE</v>
      </c>
    </row>
    <row r="1047" spans="1:8" x14ac:dyDescent="0.25">
      <c r="A1047" s="1" t="s">
        <v>29</v>
      </c>
      <c r="B1047" s="1" t="s">
        <v>17675</v>
      </c>
      <c r="C1047" s="1" t="s">
        <v>17676</v>
      </c>
      <c r="D1047" s="1" t="s">
        <v>17659</v>
      </c>
      <c r="F1047" s="1" t="s">
        <v>17677</v>
      </c>
      <c r="G1047" s="1" t="s">
        <v>17678</v>
      </c>
      <c r="H1047" s="2" t="str">
        <f>Tabella1[[#This Row],[Denominazione]]&amp;" - "&amp;Tabella1[[#This Row],[Città]]</f>
        <v>B&amp;B CASA ZIO GUIDO - SPINETOLI</v>
      </c>
    </row>
    <row r="1048" spans="1:8" x14ac:dyDescent="0.25">
      <c r="A1048" s="1" t="s">
        <v>29</v>
      </c>
      <c r="B1048" s="1" t="s">
        <v>7309</v>
      </c>
      <c r="C1048" s="1" t="s">
        <v>7310</v>
      </c>
      <c r="D1048" s="1" t="s">
        <v>7254</v>
      </c>
      <c r="E1048" s="1" t="s">
        <v>7254</v>
      </c>
      <c r="F1048" s="1" t="s">
        <v>7311</v>
      </c>
      <c r="G1048" s="1" t="s">
        <v>7312</v>
      </c>
      <c r="H1048" s="2" t="str">
        <f>Tabella1[[#This Row],[Denominazione]]&amp;" - "&amp;Tabella1[[#This Row],[Città]]</f>
        <v>B&amp;B CASACORNO - JESI</v>
      </c>
    </row>
    <row r="1049" spans="1:8" x14ac:dyDescent="0.25">
      <c r="A1049" s="1" t="s">
        <v>29</v>
      </c>
      <c r="B1049" s="1" t="s">
        <v>13496</v>
      </c>
      <c r="C1049" s="1" t="s">
        <v>13497</v>
      </c>
      <c r="D1049" s="1" t="s">
        <v>6072</v>
      </c>
      <c r="E1049" s="1" t="s">
        <v>6072</v>
      </c>
      <c r="G1049" s="1" t="s">
        <v>13498</v>
      </c>
      <c r="H1049" s="2" t="str">
        <f>Tabella1[[#This Row],[Denominazione]]&amp;" - "&amp;Tabella1[[#This Row],[Città]]</f>
        <v>B&amp;B CASAGATTI - SAN GINESIO</v>
      </c>
    </row>
    <row r="1050" spans="1:8" x14ac:dyDescent="0.25">
      <c r="A1050" s="1" t="s">
        <v>29</v>
      </c>
      <c r="B1050" s="1" t="s">
        <v>14086</v>
      </c>
      <c r="C1050" s="1" t="s">
        <v>14087</v>
      </c>
      <c r="D1050" s="1" t="s">
        <v>14065</v>
      </c>
      <c r="E1050" s="1" t="s">
        <v>14065</v>
      </c>
      <c r="F1050" s="1" t="s">
        <v>14088</v>
      </c>
      <c r="G1050" s="1" t="s">
        <v>14089</v>
      </c>
      <c r="H1050" s="2" t="str">
        <f>Tabella1[[#This Row],[Denominazione]]&amp;" - "&amp;Tabella1[[#This Row],[Città]]</f>
        <v>B&amp;B CASAL DE PINI - TREIA</v>
      </c>
    </row>
    <row r="1051" spans="1:8" x14ac:dyDescent="0.25">
      <c r="A1051" s="1" t="s">
        <v>29</v>
      </c>
      <c r="B1051" s="1" t="s">
        <v>12974</v>
      </c>
      <c r="C1051" s="1" t="s">
        <v>12975</v>
      </c>
      <c r="D1051" s="1" t="s">
        <v>12801</v>
      </c>
      <c r="F1051" s="1" t="s">
        <v>12976</v>
      </c>
      <c r="G1051" s="1" t="s">
        <v>12977</v>
      </c>
      <c r="H1051" s="2" t="str">
        <f>Tabella1[[#This Row],[Denominazione]]&amp;" - "&amp;Tabella1[[#This Row],[Città]]</f>
        <v>B&amp;B CASALE AL MARE - PORTO RECANATI</v>
      </c>
    </row>
    <row r="1052" spans="1:8" x14ac:dyDescent="0.25">
      <c r="A1052" s="1" t="s">
        <v>29</v>
      </c>
      <c r="B1052" s="1" t="s">
        <v>11726</v>
      </c>
      <c r="C1052" s="1" t="s">
        <v>11727</v>
      </c>
      <c r="D1052" s="1" t="s">
        <v>11728</v>
      </c>
      <c r="E1052" s="1" t="s">
        <v>11728</v>
      </c>
      <c r="G1052" s="1" t="s">
        <v>11729</v>
      </c>
      <c r="H1052" s="2" t="str">
        <f>Tabella1[[#This Row],[Denominazione]]&amp;" - "&amp;Tabella1[[#This Row],[Città]]</f>
        <v>B&amp;B CASALE CIGLIANO - CORRIDONIA</v>
      </c>
    </row>
    <row r="1053" spans="1:8" x14ac:dyDescent="0.25">
      <c r="A1053" s="1" t="s">
        <v>29</v>
      </c>
      <c r="B1053" s="1" t="s">
        <v>10570</v>
      </c>
      <c r="C1053" s="1" t="s">
        <v>10571</v>
      </c>
      <c r="D1053" s="1" t="s">
        <v>10519</v>
      </c>
      <c r="E1053" s="1" t="s">
        <v>10572</v>
      </c>
      <c r="G1053" s="1" t="s">
        <v>10573</v>
      </c>
      <c r="H1053" s="2" t="str">
        <f>Tabella1[[#This Row],[Denominazione]]&amp;" - "&amp;Tabella1[[#This Row],[Città]]</f>
        <v>B&amp;B CASALE CIVETTA - TRECASTELLI</v>
      </c>
    </row>
    <row r="1054" spans="1:8" x14ac:dyDescent="0.25">
      <c r="A1054" s="1" t="s">
        <v>29</v>
      </c>
      <c r="B1054" s="1" t="s">
        <v>16677</v>
      </c>
      <c r="C1054" s="1" t="s">
        <v>16678</v>
      </c>
      <c r="D1054" s="1" t="s">
        <v>16585</v>
      </c>
      <c r="H1054" s="2" t="str">
        <f>Tabella1[[#This Row],[Denominazione]]&amp;" - "&amp;Tabella1[[#This Row],[Città]]</f>
        <v>B&amp;B CASALE DEI PATRIZI - RIPATRANSONE</v>
      </c>
    </row>
    <row r="1055" spans="1:8" x14ac:dyDescent="0.25">
      <c r="A1055" s="1" t="s">
        <v>29</v>
      </c>
      <c r="B1055" s="1" t="s">
        <v>16206</v>
      </c>
      <c r="C1055" s="1" t="s">
        <v>16207</v>
      </c>
      <c r="D1055" s="1" t="s">
        <v>16202</v>
      </c>
      <c r="E1055" s="1" t="s">
        <v>16203</v>
      </c>
      <c r="F1055" s="1" t="s">
        <v>16208</v>
      </c>
      <c r="G1055" s="1" t="s">
        <v>16209</v>
      </c>
      <c r="H1055" s="2" t="str">
        <f>Tabella1[[#This Row],[Denominazione]]&amp;" - "&amp;Tabella1[[#This Row],[Città]]</f>
        <v>B&amp;B CASALE DEL LEVRIERO - MONTEFIORE DELL'ASO</v>
      </c>
    </row>
    <row r="1056" spans="1:8" x14ac:dyDescent="0.25">
      <c r="A1056" s="1" t="s">
        <v>29</v>
      </c>
      <c r="B1056" s="1" t="s">
        <v>14754</v>
      </c>
      <c r="C1056" s="1" t="s">
        <v>14755</v>
      </c>
      <c r="D1056" s="1" t="s">
        <v>14576</v>
      </c>
      <c r="G1056" s="1" t="s">
        <v>14756</v>
      </c>
      <c r="H1056" s="2" t="str">
        <f>Tabella1[[#This Row],[Denominazione]]&amp;" - "&amp;Tabella1[[#This Row],[Città]]</f>
        <v>B&amp;B CASALE GIOVANNOZZI - ASCOLI PICENO</v>
      </c>
    </row>
    <row r="1057" spans="1:8" x14ac:dyDescent="0.25">
      <c r="A1057" s="1" t="s">
        <v>29</v>
      </c>
      <c r="B1057" s="1" t="s">
        <v>8738</v>
      </c>
      <c r="C1057" s="1" t="s">
        <v>8739</v>
      </c>
      <c r="D1057" s="1" t="s">
        <v>8731</v>
      </c>
      <c r="F1057" s="1" t="s">
        <v>8740</v>
      </c>
      <c r="G1057" s="1" t="s">
        <v>8741</v>
      </c>
      <c r="H1057" s="2" t="str">
        <f>Tabella1[[#This Row],[Denominazione]]&amp;" - "&amp;Tabella1[[#This Row],[Città]]</f>
        <v>B&amp;B CASALE LE RADICI - POLVERIGI</v>
      </c>
    </row>
    <row r="1058" spans="1:8" x14ac:dyDescent="0.25">
      <c r="A1058" s="1" t="s">
        <v>29</v>
      </c>
      <c r="B1058" s="1" t="s">
        <v>7532</v>
      </c>
      <c r="C1058" s="1" t="s">
        <v>7533</v>
      </c>
      <c r="D1058" s="1" t="s">
        <v>7385</v>
      </c>
      <c r="G1058" s="1" t="s">
        <v>7534</v>
      </c>
      <c r="H1058" s="2" t="str">
        <f>Tabella1[[#This Row],[Denominazione]]&amp;" - "&amp;Tabella1[[#This Row],[Città]]</f>
        <v>B&amp;B CASALE PAPA di RENZETTI COSTANZA - LORETO</v>
      </c>
    </row>
    <row r="1059" spans="1:8" x14ac:dyDescent="0.25">
      <c r="A1059" s="1" t="s">
        <v>29</v>
      </c>
      <c r="B1059" s="1" t="s">
        <v>2701</v>
      </c>
      <c r="C1059" s="1" t="s">
        <v>2702</v>
      </c>
      <c r="D1059" s="1" t="s">
        <v>2678</v>
      </c>
      <c r="E1059" s="1" t="s">
        <v>2678</v>
      </c>
      <c r="F1059" s="1" t="s">
        <v>2703</v>
      </c>
      <c r="G1059" s="1" t="s">
        <v>2704</v>
      </c>
      <c r="H1059" s="2" t="str">
        <f>Tabella1[[#This Row],[Denominazione]]&amp;" - "&amp;Tabella1[[#This Row],[Città]]</f>
        <v>B&amp;B CASALE ROSSI - MOMBAROCCIO</v>
      </c>
    </row>
    <row r="1060" spans="1:8" x14ac:dyDescent="0.25">
      <c r="A1060" s="1" t="s">
        <v>29</v>
      </c>
      <c r="B1060" s="1" t="s">
        <v>4357</v>
      </c>
      <c r="C1060" s="1" t="s">
        <v>4358</v>
      </c>
      <c r="D1060" s="1" t="s">
        <v>4359</v>
      </c>
      <c r="G1060" s="1" t="s">
        <v>4360</v>
      </c>
      <c r="H1060" s="2" t="str">
        <f>Tabella1[[#This Row],[Denominazione]]&amp;" - "&amp;Tabella1[[#This Row],[Città]]</f>
        <v>B&amp;B CASALE VEGA - SAN LORENZO IN CAMPO</v>
      </c>
    </row>
    <row r="1061" spans="1:8" x14ac:dyDescent="0.25">
      <c r="A1061" s="1" t="s">
        <v>29</v>
      </c>
      <c r="B1061" s="1" t="s">
        <v>10378</v>
      </c>
      <c r="C1061" s="1" t="s">
        <v>10379</v>
      </c>
      <c r="D1061" s="1" t="s">
        <v>10206</v>
      </c>
      <c r="E1061" s="1" t="s">
        <v>6927</v>
      </c>
      <c r="F1061" s="1" t="s">
        <v>10380</v>
      </c>
      <c r="G1061" s="1" t="s">
        <v>10381</v>
      </c>
      <c r="H1061" s="2" t="str">
        <f>Tabella1[[#This Row],[Denominazione]]&amp;" - "&amp;Tabella1[[#This Row],[Città]]</f>
        <v>B&amp;B CASAMICI - SIROLO</v>
      </c>
    </row>
    <row r="1062" spans="1:8" x14ac:dyDescent="0.25">
      <c r="A1062" s="1" t="s">
        <v>29</v>
      </c>
      <c r="B1062" s="1" t="s">
        <v>8652</v>
      </c>
      <c r="C1062" s="1" t="s">
        <v>8653</v>
      </c>
      <c r="D1062" s="1" t="s">
        <v>8608</v>
      </c>
      <c r="G1062" s="1" t="s">
        <v>8654</v>
      </c>
      <c r="H1062" s="2" t="str">
        <f>Tabella1[[#This Row],[Denominazione]]&amp;" - "&amp;Tabella1[[#This Row],[Città]]</f>
        <v>B&amp;B CASAMORI - OSTRA</v>
      </c>
    </row>
    <row r="1063" spans="1:8" x14ac:dyDescent="0.25">
      <c r="A1063" s="1" t="s">
        <v>29</v>
      </c>
      <c r="B1063" s="1" t="s">
        <v>16142</v>
      </c>
      <c r="C1063" s="1" t="s">
        <v>16143</v>
      </c>
      <c r="D1063" s="1" t="s">
        <v>16083</v>
      </c>
      <c r="E1063" s="1" t="s">
        <v>16083</v>
      </c>
      <c r="F1063" s="1" t="s">
        <v>16144</v>
      </c>
      <c r="G1063" s="1" t="s">
        <v>16145</v>
      </c>
      <c r="H1063" s="2" t="str">
        <f>Tabella1[[#This Row],[Denominazione]]&amp;" - "&amp;Tabella1[[#This Row],[Città]]</f>
        <v>B&amp;B CASANNUNZIATA - MONTALTO DELLE MARCHE</v>
      </c>
    </row>
    <row r="1064" spans="1:8" x14ac:dyDescent="0.25">
      <c r="A1064" s="1" t="s">
        <v>29</v>
      </c>
      <c r="B1064" s="1" t="s">
        <v>9343</v>
      </c>
      <c r="C1064" s="1" t="s">
        <v>9344</v>
      </c>
      <c r="D1064" s="1" t="s">
        <v>8949</v>
      </c>
      <c r="G1064" s="1" t="s">
        <v>9345</v>
      </c>
      <c r="H1064" s="2" t="str">
        <f>Tabella1[[#This Row],[Denominazione]]&amp;" - "&amp;Tabella1[[#This Row],[Città]]</f>
        <v>B&amp;B CASATORRICELLI - SENIGALLIA</v>
      </c>
    </row>
    <row r="1065" spans="1:8" x14ac:dyDescent="0.25">
      <c r="A1065" s="1" t="s">
        <v>29</v>
      </c>
      <c r="B1065" s="1" t="s">
        <v>11013</v>
      </c>
      <c r="C1065" s="1" t="s">
        <v>11014</v>
      </c>
      <c r="D1065" s="1" t="s">
        <v>10990</v>
      </c>
      <c r="E1065" s="1" t="s">
        <v>10990</v>
      </c>
      <c r="H1065" s="2" t="str">
        <f>Tabella1[[#This Row],[Denominazione]]&amp;" - "&amp;Tabella1[[#This Row],[Città]]</f>
        <v>B&amp;B CASCINA DELL'ORSO - CASTELSANTANGELO SUL NERA</v>
      </c>
    </row>
    <row r="1066" spans="1:8" x14ac:dyDescent="0.25">
      <c r="A1066" s="1" t="s">
        <v>29</v>
      </c>
      <c r="B1066" s="1" t="s">
        <v>6723</v>
      </c>
      <c r="C1066" s="1" t="s">
        <v>6724</v>
      </c>
      <c r="D1066" s="1" t="s">
        <v>6652</v>
      </c>
      <c r="E1066" s="1" t="s">
        <v>6652</v>
      </c>
      <c r="F1066" s="1" t="s">
        <v>6725</v>
      </c>
      <c r="G1066" s="1" t="s">
        <v>6726</v>
      </c>
      <c r="H1066" s="2" t="str">
        <f>Tabella1[[#This Row],[Denominazione]]&amp;" - "&amp;Tabella1[[#This Row],[Città]]</f>
        <v>B&amp;B CASCINALE LA MIMOSA - CUPRAMONTANA</v>
      </c>
    </row>
    <row r="1067" spans="1:8" x14ac:dyDescent="0.25">
      <c r="A1067" s="1" t="s">
        <v>29</v>
      </c>
      <c r="B1067" s="1" t="s">
        <v>10840</v>
      </c>
      <c r="C1067" s="1" t="s">
        <v>10841</v>
      </c>
      <c r="D1067" s="1" t="s">
        <v>10737</v>
      </c>
      <c r="E1067" s="1" t="s">
        <v>10737</v>
      </c>
      <c r="F1067" s="1" t="s">
        <v>10842</v>
      </c>
      <c r="G1067" s="1" t="s">
        <v>10843</v>
      </c>
      <c r="H1067" s="2" t="str">
        <f>Tabella1[[#This Row],[Denominazione]]&amp;" - "&amp;Tabella1[[#This Row],[Città]]</f>
        <v>B&amp;B CASELUNGHE Country House - CAMERINO</v>
      </c>
    </row>
    <row r="1068" spans="1:8" x14ac:dyDescent="0.25">
      <c r="A1068" s="1" t="s">
        <v>29</v>
      </c>
      <c r="B1068" s="1" t="s">
        <v>2949</v>
      </c>
      <c r="C1068" s="1" t="s">
        <v>2950</v>
      </c>
      <c r="D1068" s="1" t="s">
        <v>1605</v>
      </c>
      <c r="E1068" s="1" t="s">
        <v>1605</v>
      </c>
      <c r="G1068" s="1" t="s">
        <v>2951</v>
      </c>
      <c r="H1068" s="2" t="str">
        <f>Tabella1[[#This Row],[Denominazione]]&amp;" - "&amp;Tabella1[[#This Row],[Città]]</f>
        <v>B&amp;B CASITA BLANCA - MONDOLFO</v>
      </c>
    </row>
    <row r="1069" spans="1:8" x14ac:dyDescent="0.25">
      <c r="A1069" s="1" t="s">
        <v>29</v>
      </c>
      <c r="B1069" s="1" t="s">
        <v>5038</v>
      </c>
      <c r="C1069" s="1" t="s">
        <v>5039</v>
      </c>
      <c r="D1069" s="1" t="s">
        <v>9</v>
      </c>
      <c r="E1069" s="1" t="s">
        <v>5040</v>
      </c>
      <c r="F1069" s="1" t="s">
        <v>5041</v>
      </c>
      <c r="G1069" s="1" t="s">
        <v>5042</v>
      </c>
      <c r="H1069" s="2" t="str">
        <f>Tabella1[[#This Row],[Denominazione]]&amp;" - "&amp;Tabella1[[#This Row],[Città]]</f>
        <v>B&amp;B CASTELBOCCIONE - URBINO</v>
      </c>
    </row>
    <row r="1070" spans="1:8" x14ac:dyDescent="0.25">
      <c r="A1070" s="1" t="s">
        <v>29</v>
      </c>
      <c r="B1070" s="1" t="s">
        <v>15299</v>
      </c>
      <c r="C1070" s="1" t="s">
        <v>15300</v>
      </c>
      <c r="D1070" s="1" t="s">
        <v>15282</v>
      </c>
      <c r="E1070" s="1" t="s">
        <v>15282</v>
      </c>
      <c r="F1070" s="1" t="s">
        <v>15301</v>
      </c>
      <c r="G1070" s="1" t="s">
        <v>15302</v>
      </c>
      <c r="H1070" s="2" t="str">
        <f>Tabella1[[#This Row],[Denominazione]]&amp;" - "&amp;Tabella1[[#This Row],[Città]]</f>
        <v>B&amp;B CASTELLO DE MARTE - COSSIGNANO</v>
      </c>
    </row>
    <row r="1071" spans="1:8" x14ac:dyDescent="0.25">
      <c r="A1071" s="1" t="s">
        <v>29</v>
      </c>
      <c r="B1071" s="1" t="s">
        <v>13365</v>
      </c>
      <c r="C1071" s="1" t="s">
        <v>13366</v>
      </c>
      <c r="D1071" s="1" t="s">
        <v>13298</v>
      </c>
      <c r="E1071" s="1" t="s">
        <v>13298</v>
      </c>
      <c r="F1071" s="1" t="s">
        <v>13367</v>
      </c>
      <c r="G1071" s="1" t="s">
        <v>13368</v>
      </c>
      <c r="H1071" s="2" t="str">
        <f>Tabella1[[#This Row],[Denominazione]]&amp;" - "&amp;Tabella1[[#This Row],[Città]]</f>
        <v>B&amp;B CASTELNUOVO - RECANATI</v>
      </c>
    </row>
    <row r="1072" spans="1:8" x14ac:dyDescent="0.25">
      <c r="A1072" s="1" t="s">
        <v>29</v>
      </c>
      <c r="B1072" s="1" t="s">
        <v>5563</v>
      </c>
      <c r="C1072" s="1" t="s">
        <v>5564</v>
      </c>
      <c r="D1072" s="1" t="s">
        <v>1864</v>
      </c>
      <c r="E1072" s="1" t="s">
        <v>5565</v>
      </c>
      <c r="G1072" s="1" t="s">
        <v>5566</v>
      </c>
      <c r="H1072" s="2" t="str">
        <f>Tabella1[[#This Row],[Denominazione]]&amp;" - "&amp;Tabella1[[#This Row],[Città]]</f>
        <v>B&amp;B CASTRUM PODII - ANCONA</v>
      </c>
    </row>
    <row r="1073" spans="1:8" x14ac:dyDescent="0.25">
      <c r="A1073" s="1" t="s">
        <v>29</v>
      </c>
      <c r="B1073" s="1" t="s">
        <v>3169</v>
      </c>
      <c r="C1073" s="1" t="s">
        <v>3170</v>
      </c>
      <c r="D1073" s="1" t="s">
        <v>3160</v>
      </c>
      <c r="G1073" s="1" t="s">
        <v>3171</v>
      </c>
      <c r="H1073" s="2" t="str">
        <f>Tabella1[[#This Row],[Denominazione]]&amp;" - "&amp;Tabella1[[#This Row],[Città]]</f>
        <v>B&amp;B CASULA - MONTELABBATE</v>
      </c>
    </row>
    <row r="1074" spans="1:8" x14ac:dyDescent="0.25">
      <c r="A1074" s="1" t="s">
        <v>29</v>
      </c>
      <c r="B1074" s="1" t="s">
        <v>17912</v>
      </c>
      <c r="C1074" s="1" t="s">
        <v>17913</v>
      </c>
      <c r="D1074" s="1" t="s">
        <v>17909</v>
      </c>
      <c r="H1074" s="2" t="str">
        <f>Tabella1[[#This Row],[Denominazione]]&amp;" - "&amp;Tabella1[[#This Row],[Città]]</f>
        <v>B&amp;B CATALANO LUISA - FALERONE</v>
      </c>
    </row>
    <row r="1075" spans="1:8" x14ac:dyDescent="0.25">
      <c r="A1075" s="1" t="s">
        <v>29</v>
      </c>
      <c r="B1075" s="1" t="s">
        <v>4741</v>
      </c>
      <c r="C1075" s="1" t="s">
        <v>4742</v>
      </c>
      <c r="D1075" s="1" t="s">
        <v>4735</v>
      </c>
      <c r="G1075" s="1" t="s">
        <v>4743</v>
      </c>
      <c r="H1075" s="2" t="str">
        <f>Tabella1[[#This Row],[Denominazione]]&amp;" - "&amp;Tabella1[[#This Row],[Città]]</f>
        <v>B&amp;B CATERINA - URBANIA</v>
      </c>
    </row>
    <row r="1076" spans="1:8" x14ac:dyDescent="0.25">
      <c r="A1076" s="1" t="s">
        <v>29</v>
      </c>
      <c r="B1076" s="1" t="s">
        <v>4505</v>
      </c>
      <c r="C1076" s="1" t="s">
        <v>4506</v>
      </c>
      <c r="D1076" s="1" t="s">
        <v>4493</v>
      </c>
      <c r="E1076" s="1" t="s">
        <v>4493</v>
      </c>
      <c r="G1076" s="1" t="s">
        <v>4507</v>
      </c>
      <c r="H1076" s="2" t="str">
        <f>Tabella1[[#This Row],[Denominazione]]&amp;" - "&amp;Tabella1[[#This Row],[Città]]</f>
        <v>B&amp;B CATONTINO di LILLI ADRIANA - SASSOCORVARO</v>
      </c>
    </row>
    <row r="1077" spans="1:8" x14ac:dyDescent="0.25">
      <c r="A1077" s="1" t="s">
        <v>29</v>
      </c>
      <c r="B1077" s="1" t="s">
        <v>893</v>
      </c>
      <c r="C1077" s="1" t="s">
        <v>894</v>
      </c>
      <c r="D1077" s="1" t="s">
        <v>682</v>
      </c>
      <c r="F1077" s="1" t="s">
        <v>895</v>
      </c>
      <c r="G1077" s="1" t="s">
        <v>896</v>
      </c>
      <c r="H1077" s="2" t="str">
        <f>Tabella1[[#This Row],[Denominazione]]&amp;" - "&amp;Tabella1[[#This Row],[Città]]</f>
        <v>B&amp;B CAVALIER GENTILE - FANO</v>
      </c>
    </row>
    <row r="1078" spans="1:8" x14ac:dyDescent="0.25">
      <c r="A1078" s="1" t="s">
        <v>29</v>
      </c>
      <c r="B1078" s="1" t="s">
        <v>7539</v>
      </c>
      <c r="C1078" s="1" t="s">
        <v>7540</v>
      </c>
      <c r="D1078" s="1" t="s">
        <v>7385</v>
      </c>
      <c r="E1078" s="1" t="s">
        <v>7541</v>
      </c>
      <c r="G1078" s="1" t="s">
        <v>7542</v>
      </c>
      <c r="H1078" s="2" t="str">
        <f>Tabella1[[#This Row],[Denominazione]]&amp;" - "&amp;Tabella1[[#This Row],[Città]]</f>
        <v>B&amp;B CELESTE LORETO CONERO - LORETO</v>
      </c>
    </row>
    <row r="1079" spans="1:8" x14ac:dyDescent="0.25">
      <c r="A1079" s="1" t="s">
        <v>29</v>
      </c>
      <c r="B1079" s="1" t="s">
        <v>4447</v>
      </c>
      <c r="C1079" s="1" t="s">
        <v>4448</v>
      </c>
      <c r="D1079" s="1" t="s">
        <v>4397</v>
      </c>
      <c r="E1079" s="1" t="s">
        <v>4406</v>
      </c>
      <c r="F1079" s="1" t="s">
        <v>4449</v>
      </c>
      <c r="G1079" s="1" t="s">
        <v>4450</v>
      </c>
      <c r="H1079" s="2" t="str">
        <f>Tabella1[[#This Row],[Denominazione]]&amp;" - "&amp;Tabella1[[#This Row],[Città]]</f>
        <v>B&amp;B CELLAVECCHIA - SANT'ANGELO IN VADO</v>
      </c>
    </row>
    <row r="1080" spans="1:8" x14ac:dyDescent="0.25">
      <c r="A1080" s="1" t="s">
        <v>29</v>
      </c>
      <c r="B1080" s="1" t="s">
        <v>15005</v>
      </c>
      <c r="C1080" s="1" t="s">
        <v>15006</v>
      </c>
      <c r="D1080" s="1" t="s">
        <v>14576</v>
      </c>
      <c r="G1080" s="1" t="s">
        <v>15007</v>
      </c>
      <c r="H1080" s="2" t="str">
        <f>Tabella1[[#This Row],[Denominazione]]&amp;" - "&amp;Tabella1[[#This Row],[Città]]</f>
        <v>B&amp;B CENSORI MARIA VINCENZA - ASCOLI PICENO</v>
      </c>
    </row>
    <row r="1081" spans="1:8" x14ac:dyDescent="0.25">
      <c r="A1081" s="1" t="s">
        <v>29</v>
      </c>
      <c r="B1081" s="1" t="s">
        <v>14788</v>
      </c>
      <c r="C1081" s="1" t="s">
        <v>14789</v>
      </c>
      <c r="D1081" s="1" t="s">
        <v>14576</v>
      </c>
      <c r="G1081" s="1" t="s">
        <v>14790</v>
      </c>
      <c r="H1081" s="2" t="str">
        <f>Tabella1[[#This Row],[Denominazione]]&amp;" - "&amp;Tabella1[[#This Row],[Città]]</f>
        <v>B&amp;B CENTRO CENTRO - ASCOLI PICENO</v>
      </c>
    </row>
    <row r="1082" spans="1:8" x14ac:dyDescent="0.25">
      <c r="A1082" s="1" t="s">
        <v>29</v>
      </c>
      <c r="B1082" s="1" t="s">
        <v>11413</v>
      </c>
      <c r="C1082" s="1" t="s">
        <v>11414</v>
      </c>
      <c r="D1082" s="1" t="s">
        <v>11244</v>
      </c>
      <c r="E1082" s="1" t="s">
        <v>11244</v>
      </c>
      <c r="G1082" s="1" t="s">
        <v>11415</v>
      </c>
      <c r="H1082" s="2" t="str">
        <f>Tabella1[[#This Row],[Denominazione]]&amp;" - "&amp;Tabella1[[#This Row],[Città]]</f>
        <v>B&amp;B CENTRO CITTA' - CIVITANOVA MARCHE</v>
      </c>
    </row>
    <row r="1083" spans="1:8" x14ac:dyDescent="0.25">
      <c r="A1083" s="1" t="s">
        <v>29</v>
      </c>
      <c r="B1083" s="1" t="s">
        <v>11520</v>
      </c>
      <c r="C1083" s="1" t="s">
        <v>11521</v>
      </c>
      <c r="D1083" s="1" t="s">
        <v>11244</v>
      </c>
      <c r="G1083" s="1" t="s">
        <v>11522</v>
      </c>
      <c r="H1083" s="2" t="str">
        <f>Tabella1[[#This Row],[Denominazione]]&amp;" - "&amp;Tabella1[[#This Row],[Città]]</f>
        <v>B&amp;B CENTRO E MARE - CIVITANOVA MARCHE</v>
      </c>
    </row>
    <row r="1084" spans="1:8" x14ac:dyDescent="0.25">
      <c r="A1084" s="1" t="s">
        <v>29</v>
      </c>
      <c r="B1084" s="1" t="s">
        <v>13277</v>
      </c>
      <c r="C1084" s="1" t="s">
        <v>13278</v>
      </c>
      <c r="D1084" s="1" t="s">
        <v>13026</v>
      </c>
      <c r="E1084" s="1" t="s">
        <v>13026</v>
      </c>
      <c r="F1084" s="1" t="s">
        <v>13279</v>
      </c>
      <c r="G1084" s="1" t="s">
        <v>13280</v>
      </c>
      <c r="H1084" s="2" t="str">
        <f>Tabella1[[#This Row],[Denominazione]]&amp;" - "&amp;Tabella1[[#This Row],[Città]]</f>
        <v>B&amp;B CENTRO IPPICO ANDREA - POTENZA PICENA</v>
      </c>
    </row>
    <row r="1085" spans="1:8" x14ac:dyDescent="0.25">
      <c r="A1085" s="1" t="s">
        <v>29</v>
      </c>
      <c r="B1085" s="1" t="s">
        <v>9310</v>
      </c>
      <c r="C1085" s="1" t="s">
        <v>9311</v>
      </c>
      <c r="D1085" s="1" t="s">
        <v>8949</v>
      </c>
      <c r="E1085" s="1" t="s">
        <v>8949</v>
      </c>
      <c r="G1085" s="1" t="s">
        <v>9312</v>
      </c>
      <c r="H1085" s="2" t="str">
        <f>Tabella1[[#This Row],[Denominazione]]&amp;" - "&amp;Tabella1[[#This Row],[Città]]</f>
        <v>B&amp;B CENTRO STORICO - SENIGALLIA</v>
      </c>
    </row>
    <row r="1086" spans="1:8" x14ac:dyDescent="0.25">
      <c r="A1086" s="1" t="s">
        <v>29</v>
      </c>
      <c r="B1086" s="1" t="s">
        <v>11103</v>
      </c>
      <c r="C1086" s="1" t="s">
        <v>11104</v>
      </c>
      <c r="D1086" s="1" t="s">
        <v>11058</v>
      </c>
      <c r="E1086" s="1" t="s">
        <v>11058</v>
      </c>
      <c r="F1086" s="1" t="s">
        <v>11105</v>
      </c>
      <c r="G1086" s="1" t="s">
        <v>11106</v>
      </c>
      <c r="H1086" s="2" t="str">
        <f>Tabella1[[#This Row],[Denominazione]]&amp;" - "&amp;Tabella1[[#This Row],[Città]]</f>
        <v>B&amp;B CERQUATTI - CINGOLI</v>
      </c>
    </row>
    <row r="1087" spans="1:8" x14ac:dyDescent="0.25">
      <c r="A1087" s="1" t="s">
        <v>29</v>
      </c>
      <c r="B1087" s="1" t="s">
        <v>12475</v>
      </c>
      <c r="C1087" s="1" t="s">
        <v>12476</v>
      </c>
      <c r="D1087" s="1" t="s">
        <v>12459</v>
      </c>
      <c r="E1087" s="1" t="s">
        <v>12464</v>
      </c>
      <c r="F1087" s="1" t="s">
        <v>12477</v>
      </c>
      <c r="G1087" s="1" t="s">
        <v>12478</v>
      </c>
      <c r="H1087" s="2" t="str">
        <f>Tabella1[[#This Row],[Denominazione]]&amp;" - "&amp;Tabella1[[#This Row],[Città]]</f>
        <v>B&amp;B CERVARE 21 di ROBERTO DE DURO - MONTELUPONE</v>
      </c>
    </row>
    <row r="1088" spans="1:8" x14ac:dyDescent="0.25">
      <c r="A1088" s="1" t="s">
        <v>29</v>
      </c>
      <c r="B1088" s="1" t="s">
        <v>14227</v>
      </c>
      <c r="D1088" s="1" t="s">
        <v>14213</v>
      </c>
      <c r="G1088" s="1" t="s">
        <v>14228</v>
      </c>
      <c r="H1088" s="2" t="str">
        <f>Tabella1[[#This Row],[Denominazione]]&amp;" - "&amp;Tabella1[[#This Row],[Città]]</f>
        <v>B&amp;B CHALET IL CERBIATTO - USSITA</v>
      </c>
    </row>
    <row r="1089" spans="1:8" x14ac:dyDescent="0.25">
      <c r="A1089" s="1" t="s">
        <v>29</v>
      </c>
      <c r="B1089" s="1" t="s">
        <v>14647</v>
      </c>
      <c r="C1089" s="1" t="s">
        <v>14648</v>
      </c>
      <c r="D1089" s="1" t="s">
        <v>14576</v>
      </c>
      <c r="E1089" s="1" t="s">
        <v>14576</v>
      </c>
      <c r="F1089" s="1" t="s">
        <v>14649</v>
      </c>
      <c r="G1089" s="1" t="s">
        <v>14650</v>
      </c>
      <c r="H1089" s="2" t="str">
        <f>Tabella1[[#This Row],[Denominazione]]&amp;" - "&amp;Tabella1[[#This Row],[Città]]</f>
        <v>B&amp;B CHARTARIA - ASCOLI PICENO</v>
      </c>
    </row>
    <row r="1090" spans="1:8" x14ac:dyDescent="0.25">
      <c r="A1090" s="1" t="s">
        <v>29</v>
      </c>
      <c r="B1090" s="1" t="s">
        <v>15066</v>
      </c>
      <c r="C1090" s="1" t="s">
        <v>15067</v>
      </c>
      <c r="D1090" s="1" t="s">
        <v>14576</v>
      </c>
      <c r="E1090" s="1" t="s">
        <v>14576</v>
      </c>
      <c r="H1090" s="2" t="str">
        <f>Tabella1[[#This Row],[Denominazione]]&amp;" - "&amp;Tabella1[[#This Row],[Città]]</f>
        <v>B&amp;B CHARTARIA II - ASCOLI PICENO</v>
      </c>
    </row>
    <row r="1091" spans="1:8" x14ac:dyDescent="0.25">
      <c r="A1091" s="1" t="s">
        <v>29</v>
      </c>
      <c r="B1091" s="1" t="s">
        <v>1360</v>
      </c>
      <c r="C1091" s="1" t="s">
        <v>1361</v>
      </c>
      <c r="D1091" s="1" t="s">
        <v>682</v>
      </c>
      <c r="E1091" s="1" t="s">
        <v>682</v>
      </c>
      <c r="G1091" s="1" t="s">
        <v>1362</v>
      </c>
      <c r="H1091" s="2" t="str">
        <f>Tabella1[[#This Row],[Denominazione]]&amp;" - "&amp;Tabella1[[#This Row],[Città]]</f>
        <v>B&amp;B CHEZ CLEO - FANO</v>
      </c>
    </row>
    <row r="1092" spans="1:8" x14ac:dyDescent="0.25">
      <c r="A1092" s="1" t="s">
        <v>29</v>
      </c>
      <c r="B1092" s="1" t="s">
        <v>7503</v>
      </c>
      <c r="C1092" s="1" t="s">
        <v>7504</v>
      </c>
      <c r="D1092" s="1" t="s">
        <v>7385</v>
      </c>
      <c r="E1092" s="1" t="s">
        <v>7385</v>
      </c>
      <c r="G1092" s="1" t="s">
        <v>7505</v>
      </c>
      <c r="H1092" s="2" t="str">
        <f>Tabella1[[#This Row],[Denominazione]]&amp;" - "&amp;Tabella1[[#This Row],[Città]]</f>
        <v>B&amp;B CHIARALUCE ELENA - LORETO</v>
      </c>
    </row>
    <row r="1093" spans="1:8" x14ac:dyDescent="0.25">
      <c r="A1093" s="1" t="s">
        <v>29</v>
      </c>
      <c r="B1093" s="1" t="s">
        <v>5448</v>
      </c>
      <c r="C1093" s="1" t="s">
        <v>5449</v>
      </c>
      <c r="D1093" s="1" t="s">
        <v>1864</v>
      </c>
      <c r="H1093" s="2" t="str">
        <f>Tabella1[[#This Row],[Denominazione]]&amp;" - "&amp;Tabella1[[#This Row],[Città]]</f>
        <v>B&amp;B CIAO ANCONA - ANCONA</v>
      </c>
    </row>
    <row r="1094" spans="1:8" x14ac:dyDescent="0.25">
      <c r="A1094" s="1" t="s">
        <v>29</v>
      </c>
      <c r="B1094" s="1" t="s">
        <v>14560</v>
      </c>
      <c r="C1094" s="1" t="s">
        <v>14561</v>
      </c>
      <c r="D1094" s="1" t="s">
        <v>14510</v>
      </c>
      <c r="E1094" s="1" t="s">
        <v>14510</v>
      </c>
      <c r="G1094" s="1" t="s">
        <v>14562</v>
      </c>
      <c r="H1094" s="2" t="str">
        <f>Tabella1[[#This Row],[Denominazione]]&amp;" - "&amp;Tabella1[[#This Row],[Città]]</f>
        <v>B&amp;B CIARABONITTE - ARQUATA DEL TRONTO</v>
      </c>
    </row>
    <row r="1095" spans="1:8" x14ac:dyDescent="0.25">
      <c r="A1095" s="1" t="s">
        <v>29</v>
      </c>
      <c r="B1095" s="1" t="s">
        <v>17845</v>
      </c>
      <c r="C1095" s="1" t="s">
        <v>17846</v>
      </c>
      <c r="D1095" s="1" t="s">
        <v>17839</v>
      </c>
      <c r="E1095" s="1" t="s">
        <v>17839</v>
      </c>
      <c r="G1095" s="1" t="s">
        <v>17847</v>
      </c>
      <c r="H1095" s="2" t="str">
        <f>Tabella1[[#This Row],[Denominazione]]&amp;" - "&amp;Tabella1[[#This Row],[Città]]</f>
        <v>B&amp;B CIARROCCHI NAZZARENO - CAMPOFILONE</v>
      </c>
    </row>
    <row r="1096" spans="1:8" x14ac:dyDescent="0.25">
      <c r="A1096" s="1" t="s">
        <v>29</v>
      </c>
      <c r="B1096" s="1" t="s">
        <v>14442</v>
      </c>
      <c r="C1096" s="1" t="s">
        <v>14443</v>
      </c>
      <c r="D1096" s="1" t="s">
        <v>14428</v>
      </c>
      <c r="E1096" s="1" t="s">
        <v>14428</v>
      </c>
      <c r="F1096" s="1" t="s">
        <v>14444</v>
      </c>
      <c r="G1096" s="1" t="s">
        <v>14445</v>
      </c>
      <c r="H1096" s="2" t="str">
        <f>Tabella1[[#This Row],[Denominazione]]&amp;" - "&amp;Tabella1[[#This Row],[Città]]</f>
        <v>B&amp;B CIELO APERTO di IVEY CLARE - ACQUAVIVA PICENA</v>
      </c>
    </row>
    <row r="1097" spans="1:8" x14ac:dyDescent="0.25">
      <c r="A1097" s="1" t="s">
        <v>29</v>
      </c>
      <c r="B1097" s="1" t="s">
        <v>11095</v>
      </c>
      <c r="C1097" s="1" t="s">
        <v>11096</v>
      </c>
      <c r="D1097" s="1" t="s">
        <v>11058</v>
      </c>
      <c r="E1097" s="1" t="s">
        <v>11058</v>
      </c>
      <c r="F1097" s="1" t="s">
        <v>11097</v>
      </c>
      <c r="G1097" s="1" t="s">
        <v>11098</v>
      </c>
      <c r="H1097" s="2" t="str">
        <f>Tabella1[[#This Row],[Denominazione]]&amp;" - "&amp;Tabella1[[#This Row],[Città]]</f>
        <v>B&amp;B CIMA DELLE STELLE - CINGOLI</v>
      </c>
    </row>
    <row r="1098" spans="1:8" x14ac:dyDescent="0.25">
      <c r="A1098" s="1" t="s">
        <v>29</v>
      </c>
      <c r="B1098" s="1" t="s">
        <v>13130</v>
      </c>
      <c r="C1098" s="1" t="s">
        <v>13131</v>
      </c>
      <c r="D1098" s="1" t="s">
        <v>13026</v>
      </c>
      <c r="G1098" s="1" t="s">
        <v>13132</v>
      </c>
      <c r="H1098" s="2" t="str">
        <f>Tabella1[[#This Row],[Denominazione]]&amp;" - "&amp;Tabella1[[#This Row],[Città]]</f>
        <v>B&amp;B CIPRIANI GIANCARLO - POTENZA PICENA</v>
      </c>
    </row>
    <row r="1099" spans="1:8" x14ac:dyDescent="0.25">
      <c r="A1099" s="1" t="s">
        <v>29</v>
      </c>
      <c r="B1099" s="1" t="s">
        <v>7032</v>
      </c>
      <c r="C1099" s="1" t="s">
        <v>7033</v>
      </c>
      <c r="D1099" s="1" t="s">
        <v>5735</v>
      </c>
      <c r="E1099" s="1" t="s">
        <v>7034</v>
      </c>
      <c r="F1099" s="1" t="s">
        <v>7035</v>
      </c>
      <c r="G1099" s="1" t="s">
        <v>7036</v>
      </c>
      <c r="H1099" s="2" t="str">
        <f>Tabella1[[#This Row],[Denominazione]]&amp;" - "&amp;Tabella1[[#This Row],[Città]]</f>
        <v>B&amp;B CIPRIANI MARCO - FALCONARA MARITTIMA</v>
      </c>
    </row>
    <row r="1100" spans="1:8" x14ac:dyDescent="0.25">
      <c r="A1100" s="1" t="s">
        <v>29</v>
      </c>
      <c r="B1100" s="1" t="s">
        <v>1352</v>
      </c>
      <c r="C1100" s="1" t="s">
        <v>1353</v>
      </c>
      <c r="D1100" s="1" t="s">
        <v>682</v>
      </c>
      <c r="E1100" s="1" t="s">
        <v>682</v>
      </c>
      <c r="F1100" s="1" t="s">
        <v>1354</v>
      </c>
      <c r="G1100" s="1" t="s">
        <v>1355</v>
      </c>
      <c r="H1100" s="2" t="str">
        <f>Tabella1[[#This Row],[Denominazione]]&amp;" - "&amp;Tabella1[[#This Row],[Città]]</f>
        <v>B&amp;B CITTA' DELLA FORTUNA - FANO</v>
      </c>
    </row>
    <row r="1101" spans="1:8" x14ac:dyDescent="0.25">
      <c r="A1101" s="1" t="s">
        <v>29</v>
      </c>
      <c r="B1101" s="1" t="s">
        <v>1358</v>
      </c>
      <c r="C1101" s="1" t="s">
        <v>1359</v>
      </c>
      <c r="D1101" s="1" t="s">
        <v>682</v>
      </c>
      <c r="E1101" s="1" t="s">
        <v>682</v>
      </c>
      <c r="F1101" s="1" t="s">
        <v>1354</v>
      </c>
      <c r="G1101" s="1" t="s">
        <v>1355</v>
      </c>
      <c r="H1101" s="2" t="str">
        <f>Tabella1[[#This Row],[Denominazione]]&amp;" - "&amp;Tabella1[[#This Row],[Città]]</f>
        <v>B&amp;B CITTA' DELLA FORTUNA/APOLLO - FANO</v>
      </c>
    </row>
    <row r="1102" spans="1:8" x14ac:dyDescent="0.25">
      <c r="A1102" s="1" t="s">
        <v>29</v>
      </c>
      <c r="B1102" s="1" t="s">
        <v>1356</v>
      </c>
      <c r="C1102" s="1" t="s">
        <v>1357</v>
      </c>
      <c r="D1102" s="1" t="s">
        <v>682</v>
      </c>
      <c r="E1102" s="1" t="s">
        <v>682</v>
      </c>
      <c r="F1102" s="1" t="s">
        <v>1354</v>
      </c>
      <c r="G1102" s="1" t="s">
        <v>1355</v>
      </c>
      <c r="H1102" s="2" t="str">
        <f>Tabella1[[#This Row],[Denominazione]]&amp;" - "&amp;Tabella1[[#This Row],[Città]]</f>
        <v>B&amp;B CITTA' DELLA FORTUNA/AURORA - FANO</v>
      </c>
    </row>
    <row r="1103" spans="1:8" x14ac:dyDescent="0.25">
      <c r="A1103" s="1" t="s">
        <v>29</v>
      </c>
      <c r="B1103" s="1" t="s">
        <v>14546</v>
      </c>
      <c r="C1103" s="1" t="s">
        <v>14547</v>
      </c>
      <c r="D1103" s="1" t="s">
        <v>14510</v>
      </c>
      <c r="E1103" s="1" t="s">
        <v>14510</v>
      </c>
      <c r="F1103" s="1" t="s">
        <v>14548</v>
      </c>
      <c r="G1103" s="1" t="s">
        <v>14549</v>
      </c>
      <c r="H1103" s="2" t="str">
        <f>Tabella1[[#This Row],[Denominazione]]&amp;" - "&amp;Tabella1[[#This Row],[Città]]</f>
        <v>B&amp;B CLAUDIO TASSI - ARQUATA DEL TRONTO</v>
      </c>
    </row>
    <row r="1104" spans="1:8" x14ac:dyDescent="0.25">
      <c r="A1104" s="1" t="s">
        <v>29</v>
      </c>
      <c r="B1104" s="1" t="s">
        <v>19334</v>
      </c>
      <c r="C1104" s="1" t="s">
        <v>19335</v>
      </c>
      <c r="D1104" s="1" t="s">
        <v>19283</v>
      </c>
      <c r="G1104" s="1" t="s">
        <v>19336</v>
      </c>
      <c r="H1104" s="2" t="str">
        <f>Tabella1[[#This Row],[Denominazione]]&amp;" - "&amp;Tabella1[[#This Row],[Città]]</f>
        <v>B&amp;B COCCI OLIVIERO - PORTO SANT'ELPIDIO</v>
      </c>
    </row>
    <row r="1105" spans="1:8" x14ac:dyDescent="0.25">
      <c r="A1105" s="1" t="s">
        <v>29</v>
      </c>
      <c r="B1105" s="1" t="s">
        <v>11184</v>
      </c>
      <c r="C1105" s="1" t="s">
        <v>11185</v>
      </c>
      <c r="D1105" s="1" t="s">
        <v>11058</v>
      </c>
      <c r="E1105" s="1" t="s">
        <v>11058</v>
      </c>
      <c r="F1105" s="1" t="s">
        <v>11186</v>
      </c>
      <c r="G1105" s="1" t="s">
        <v>11187</v>
      </c>
      <c r="H1105" s="2" t="str">
        <f>Tabella1[[#This Row],[Denominazione]]&amp;" - "&amp;Tabella1[[#This Row],[Città]]</f>
        <v>B&amp;B COL DI LUNA - CINGOLI</v>
      </c>
    </row>
    <row r="1106" spans="1:8" x14ac:dyDescent="0.25">
      <c r="A1106" s="1" t="s">
        <v>29</v>
      </c>
      <c r="B1106" s="1" t="s">
        <v>10365</v>
      </c>
      <c r="C1106" s="1" t="s">
        <v>10366</v>
      </c>
      <c r="D1106" s="1" t="s">
        <v>10206</v>
      </c>
      <c r="E1106" s="1" t="s">
        <v>10367</v>
      </c>
      <c r="F1106" s="1" t="s">
        <v>10368</v>
      </c>
      <c r="G1106" s="1" t="s">
        <v>10369</v>
      </c>
      <c r="H1106" s="2" t="str">
        <f>Tabella1[[#This Row],[Denominazione]]&amp;" - "&amp;Tabella1[[#This Row],[Città]]</f>
        <v>B&amp;B COLLE DEL SOLE - SIROLO</v>
      </c>
    </row>
    <row r="1107" spans="1:8" x14ac:dyDescent="0.25">
      <c r="A1107" s="1" t="s">
        <v>29</v>
      </c>
      <c r="B1107" s="1" t="s">
        <v>5673</v>
      </c>
      <c r="C1107" s="1" t="s">
        <v>5674</v>
      </c>
      <c r="D1107" s="1" t="s">
        <v>1864</v>
      </c>
      <c r="E1107" s="1" t="s">
        <v>1864</v>
      </c>
      <c r="F1107" s="1" t="s">
        <v>5675</v>
      </c>
      <c r="G1107" s="1" t="s">
        <v>5676</v>
      </c>
      <c r="H1107" s="2" t="str">
        <f>Tabella1[[#This Row],[Denominazione]]&amp;" - "&amp;Tabella1[[#This Row],[Città]]</f>
        <v>B&amp;B COLLE LAURO - ANCONA</v>
      </c>
    </row>
    <row r="1108" spans="1:8" x14ac:dyDescent="0.25">
      <c r="A1108" s="1" t="s">
        <v>29</v>
      </c>
      <c r="B1108" s="1" t="s">
        <v>16665</v>
      </c>
      <c r="C1108" s="1" t="s">
        <v>16666</v>
      </c>
      <c r="D1108" s="1" t="s">
        <v>16585</v>
      </c>
      <c r="E1108" s="1" t="s">
        <v>16585</v>
      </c>
      <c r="F1108" s="1" t="s">
        <v>16667</v>
      </c>
      <c r="G1108" s="1" t="s">
        <v>16668</v>
      </c>
      <c r="H1108" s="2" t="str">
        <f>Tabella1[[#This Row],[Denominazione]]&amp;" - "&amp;Tabella1[[#This Row],[Città]]</f>
        <v>B&amp;B COLLE SANTANDREA - RIPATRANSONE</v>
      </c>
    </row>
    <row r="1109" spans="1:8" x14ac:dyDescent="0.25">
      <c r="A1109" s="1" t="s">
        <v>29</v>
      </c>
      <c r="B1109" s="1" t="s">
        <v>2499</v>
      </c>
      <c r="C1109" s="1" t="s">
        <v>2500</v>
      </c>
      <c r="D1109" s="1" t="s">
        <v>2425</v>
      </c>
      <c r="G1109" s="1" t="s">
        <v>2501</v>
      </c>
      <c r="H1109" s="2" t="str">
        <f>Tabella1[[#This Row],[Denominazione]]&amp;" - "&amp;Tabella1[[#This Row],[Città]]</f>
        <v>B&amp;B COLLESOLE - GRADARA</v>
      </c>
    </row>
    <row r="1110" spans="1:8" x14ac:dyDescent="0.25">
      <c r="A1110" s="1" t="s">
        <v>29</v>
      </c>
      <c r="B1110" s="1" t="s">
        <v>18255</v>
      </c>
      <c r="C1110" s="1" t="s">
        <v>18256</v>
      </c>
      <c r="D1110" s="1" t="s">
        <v>17932</v>
      </c>
      <c r="E1110" s="1" t="s">
        <v>17932</v>
      </c>
      <c r="F1110" s="1" t="s">
        <v>18257</v>
      </c>
      <c r="G1110" s="1" t="s">
        <v>18258</v>
      </c>
      <c r="H1110" s="2" t="str">
        <f>Tabella1[[#This Row],[Denominazione]]&amp;" - "&amp;Tabella1[[#This Row],[Città]]</f>
        <v>B&amp;B COLLINA ROSA - FERMO</v>
      </c>
    </row>
    <row r="1111" spans="1:8" x14ac:dyDescent="0.25">
      <c r="A1111" s="1" t="s">
        <v>29</v>
      </c>
      <c r="B1111" s="1" t="s">
        <v>12895</v>
      </c>
      <c r="C1111" s="1" t="s">
        <v>12896</v>
      </c>
      <c r="D1111" s="1" t="s">
        <v>12801</v>
      </c>
      <c r="F1111" s="1" t="s">
        <v>12897</v>
      </c>
      <c r="G1111" s="1" t="s">
        <v>12898</v>
      </c>
      <c r="H1111" s="2" t="str">
        <f>Tabella1[[#This Row],[Denominazione]]&amp;" - "&amp;Tabella1[[#This Row],[Città]]</f>
        <v>B&amp;B CONERO RANCH - PORTO RECANATI</v>
      </c>
    </row>
    <row r="1112" spans="1:8" x14ac:dyDescent="0.25">
      <c r="A1112" s="1" t="s">
        <v>29</v>
      </c>
      <c r="B1112" s="1" t="s">
        <v>6589</v>
      </c>
      <c r="C1112" s="1" t="s">
        <v>6590</v>
      </c>
      <c r="D1112" s="1" t="s">
        <v>6536</v>
      </c>
      <c r="E1112" s="1" t="s">
        <v>6536</v>
      </c>
      <c r="F1112" s="1" t="s">
        <v>6591</v>
      </c>
      <c r="G1112" s="1" t="s">
        <v>6592</v>
      </c>
      <c r="H1112" s="2" t="str">
        <f>Tabella1[[#This Row],[Denominazione]]&amp;" - "&amp;Tabella1[[#This Row],[Città]]</f>
        <v>B&amp;B CORINALDO HOLIDAY - CORINALDO</v>
      </c>
    </row>
    <row r="1113" spans="1:8" x14ac:dyDescent="0.25">
      <c r="A1113" s="1" t="s">
        <v>29</v>
      </c>
      <c r="B1113" s="1" t="s">
        <v>8997</v>
      </c>
      <c r="C1113" s="1" t="s">
        <v>8998</v>
      </c>
      <c r="D1113" s="1" t="s">
        <v>8949</v>
      </c>
      <c r="G1113" s="1" t="s">
        <v>8999</v>
      </c>
      <c r="H1113" s="2" t="str">
        <f>Tabella1[[#This Row],[Denominazione]]&amp;" - "&amp;Tabella1[[#This Row],[Città]]</f>
        <v>B&amp;B CORRADO RAFFAELE - SENIGALLIA</v>
      </c>
    </row>
    <row r="1114" spans="1:8" x14ac:dyDescent="0.25">
      <c r="A1114" s="1" t="s">
        <v>29</v>
      </c>
      <c r="B1114" s="1" t="s">
        <v>1729</v>
      </c>
      <c r="C1114" s="1" t="s">
        <v>1730</v>
      </c>
      <c r="D1114" s="1" t="s">
        <v>1724</v>
      </c>
      <c r="G1114" s="1" t="s">
        <v>1731</v>
      </c>
      <c r="H1114" s="2" t="str">
        <f>Tabella1[[#This Row],[Denominazione]]&amp;" - "&amp;Tabella1[[#This Row],[Città]]</f>
        <v>B&amp;B CORTE ROSSA - FOSSOMBRONE</v>
      </c>
    </row>
    <row r="1115" spans="1:8" x14ac:dyDescent="0.25">
      <c r="A1115" s="1" t="s">
        <v>29</v>
      </c>
      <c r="B1115" s="1" t="s">
        <v>10854</v>
      </c>
      <c r="C1115" s="1" t="s">
        <v>10855</v>
      </c>
      <c r="D1115" s="1" t="s">
        <v>10737</v>
      </c>
      <c r="E1115" s="1" t="s">
        <v>10737</v>
      </c>
      <c r="G1115" s="1" t="s">
        <v>10856</v>
      </c>
      <c r="H1115" s="2" t="str">
        <f>Tabella1[[#This Row],[Denominazione]]&amp;" - "&amp;Tabella1[[#This Row],[Città]]</f>
        <v>B&amp;B COUNTRY - LA CONTEA - CAMERINO</v>
      </c>
    </row>
    <row r="1116" spans="1:8" x14ac:dyDescent="0.25">
      <c r="A1116" s="1" t="s">
        <v>29</v>
      </c>
      <c r="B1116" s="1" t="s">
        <v>1299</v>
      </c>
      <c r="C1116" s="1" t="s">
        <v>1300</v>
      </c>
      <c r="D1116" s="1" t="s">
        <v>682</v>
      </c>
      <c r="E1116" s="1" t="s">
        <v>1301</v>
      </c>
      <c r="G1116" s="1" t="s">
        <v>1302</v>
      </c>
      <c r="H1116" s="2" t="str">
        <f>Tabella1[[#This Row],[Denominazione]]&amp;" - "&amp;Tabella1[[#This Row],[Città]]</f>
        <v>B&amp;B COUNTRY HOUSE VIEWS - FANO</v>
      </c>
    </row>
    <row r="1117" spans="1:8" x14ac:dyDescent="0.25">
      <c r="A1117" s="1" t="s">
        <v>29</v>
      </c>
      <c r="B1117" s="1" t="s">
        <v>12728</v>
      </c>
      <c r="C1117" s="1" t="s">
        <v>12729</v>
      </c>
      <c r="D1117" s="1" t="s">
        <v>12730</v>
      </c>
      <c r="E1117" s="1" t="s">
        <v>12731</v>
      </c>
      <c r="H1117" s="2" t="str">
        <f>Tabella1[[#This Row],[Denominazione]]&amp;" - "&amp;Tabella1[[#This Row],[Città]]</f>
        <v>B&amp;B CRAZY HORSE di CROCETTI LUIGI - PIEVE TORINA</v>
      </c>
    </row>
    <row r="1118" spans="1:8" x14ac:dyDescent="0.25">
      <c r="A1118" s="1" t="s">
        <v>29</v>
      </c>
      <c r="B1118" s="1" t="s">
        <v>5974</v>
      </c>
      <c r="C1118" s="1" t="s">
        <v>5975</v>
      </c>
      <c r="D1118" s="1" t="s">
        <v>1864</v>
      </c>
      <c r="G1118" s="1" t="s">
        <v>5976</v>
      </c>
      <c r="H1118" s="2" t="str">
        <f>Tabella1[[#This Row],[Denominazione]]&amp;" - "&amp;Tabella1[[#This Row],[Città]]</f>
        <v>B&amp;B CRISTINA - ANCONA</v>
      </c>
    </row>
    <row r="1119" spans="1:8" x14ac:dyDescent="0.25">
      <c r="A1119" s="1" t="s">
        <v>29</v>
      </c>
      <c r="B1119" s="1" t="s">
        <v>10695</v>
      </c>
      <c r="C1119" s="1" t="s">
        <v>10696</v>
      </c>
      <c r="D1119" s="1" t="s">
        <v>10690</v>
      </c>
      <c r="E1119" s="1" t="s">
        <v>10690</v>
      </c>
      <c r="G1119" s="1" t="s">
        <v>10697</v>
      </c>
      <c r="H1119" s="2" t="str">
        <f>Tabella1[[#This Row],[Denominazione]]&amp;" - "&amp;Tabella1[[#This Row],[Città]]</f>
        <v>B&amp;B CRISTINA &amp; LAURA di MAGGI MARIA GABRIELLA - BOLOGNOLA</v>
      </c>
    </row>
    <row r="1120" spans="1:8" x14ac:dyDescent="0.25">
      <c r="A1120" s="1" t="s">
        <v>29</v>
      </c>
      <c r="B1120" s="1" t="s">
        <v>46</v>
      </c>
      <c r="C1120" s="1" t="s">
        <v>37</v>
      </c>
      <c r="D1120" s="1" t="s">
        <v>15</v>
      </c>
      <c r="E1120" s="1" t="s">
        <v>15</v>
      </c>
      <c r="G1120" s="1" t="s">
        <v>47</v>
      </c>
      <c r="H1120" s="2" t="str">
        <f>Tabella1[[#This Row],[Denominazione]]&amp;" - "&amp;Tabella1[[#This Row],[Città]]</f>
        <v>B&amp;B CRISTINI CRISTINA - ACQUALAGNA</v>
      </c>
    </row>
    <row r="1121" spans="1:8" x14ac:dyDescent="0.25">
      <c r="A1121" s="1" t="s">
        <v>29</v>
      </c>
      <c r="B1121" s="1" t="s">
        <v>17993</v>
      </c>
      <c r="C1121" s="1" t="s">
        <v>17994</v>
      </c>
      <c r="D1121" s="1" t="s">
        <v>17932</v>
      </c>
      <c r="E1121" s="1" t="s">
        <v>17995</v>
      </c>
      <c r="G1121" s="1" t="s">
        <v>17996</v>
      </c>
      <c r="H1121" s="2" t="str">
        <f>Tabella1[[#This Row],[Denominazione]]&amp;" - "&amp;Tabella1[[#This Row],[Città]]</f>
        <v>B&amp;B CRIVELLI - FERMO</v>
      </c>
    </row>
    <row r="1122" spans="1:8" x14ac:dyDescent="0.25">
      <c r="A1122" s="1" t="s">
        <v>29</v>
      </c>
      <c r="B1122" s="1" t="s">
        <v>2506</v>
      </c>
      <c r="C1122" s="1" t="s">
        <v>2507</v>
      </c>
      <c r="D1122" s="1" t="s">
        <v>2425</v>
      </c>
      <c r="F1122" s="1" t="s">
        <v>2508</v>
      </c>
      <c r="G1122" s="1" t="s">
        <v>2509</v>
      </c>
      <c r="H1122" s="2" t="str">
        <f>Tabella1[[#This Row],[Denominazione]]&amp;" - "&amp;Tabella1[[#This Row],[Città]]</f>
        <v>B&amp;B CUBO CON VISTA - GRADARA</v>
      </c>
    </row>
    <row r="1123" spans="1:8" x14ac:dyDescent="0.25">
      <c r="A1123" s="1" t="s">
        <v>29</v>
      </c>
      <c r="B1123" s="1" t="s">
        <v>14373</v>
      </c>
      <c r="C1123" s="1" t="s">
        <v>14374</v>
      </c>
      <c r="D1123" s="1" t="s">
        <v>14334</v>
      </c>
      <c r="E1123" s="1" t="s">
        <v>14334</v>
      </c>
      <c r="F1123" s="1" t="s">
        <v>14375</v>
      </c>
      <c r="G1123" s="1" t="s">
        <v>14376</v>
      </c>
      <c r="H1123" s="2" t="str">
        <f>Tabella1[[#This Row],[Denominazione]]&amp;" - "&amp;Tabella1[[#This Row],[Città]]</f>
        <v>B&amp;B CUORE - ACQUASANTA TERME</v>
      </c>
    </row>
    <row r="1124" spans="1:8" x14ac:dyDescent="0.25">
      <c r="A1124" s="1" t="s">
        <v>29</v>
      </c>
      <c r="B1124" s="1" t="s">
        <v>18728</v>
      </c>
      <c r="C1124" s="1" t="s">
        <v>18729</v>
      </c>
      <c r="D1124" s="1" t="s">
        <v>18702</v>
      </c>
      <c r="G1124" s="1" t="s">
        <v>18730</v>
      </c>
      <c r="H1124" s="2" t="str">
        <f>Tabella1[[#This Row],[Denominazione]]&amp;" - "&amp;Tabella1[[#This Row],[Città]]</f>
        <v>B&amp;B CURI MAURIZIO - MONTELPARO</v>
      </c>
    </row>
    <row r="1125" spans="1:8" x14ac:dyDescent="0.25">
      <c r="A1125" s="1" t="s">
        <v>29</v>
      </c>
      <c r="B1125" s="1" t="s">
        <v>8001</v>
      </c>
      <c r="C1125" s="1" t="s">
        <v>8002</v>
      </c>
      <c r="D1125" s="1" t="s">
        <v>7889</v>
      </c>
      <c r="G1125" s="1" t="s">
        <v>8003</v>
      </c>
      <c r="H1125" s="2" t="str">
        <f>Tabella1[[#This Row],[Denominazione]]&amp;" - "&amp;Tabella1[[#This Row],[Città]]</f>
        <v>B&amp;B DA BIANCHINA - NUMANA</v>
      </c>
    </row>
    <row r="1126" spans="1:8" x14ac:dyDescent="0.25">
      <c r="A1126" s="1" t="s">
        <v>29</v>
      </c>
      <c r="B1126" s="1" t="s">
        <v>16064</v>
      </c>
      <c r="C1126" s="1" t="s">
        <v>16065</v>
      </c>
      <c r="D1126" s="1" t="s">
        <v>16040</v>
      </c>
      <c r="F1126" s="1" t="s">
        <v>16066</v>
      </c>
      <c r="G1126" s="1" t="s">
        <v>16067</v>
      </c>
      <c r="H1126" s="2" t="str">
        <f>Tabella1[[#This Row],[Denominazione]]&amp;" - "&amp;Tabella1[[#This Row],[Città]]</f>
        <v>B&amp;B DA CRISTINA - MONSAMPOLO DEL TRONTO</v>
      </c>
    </row>
    <row r="1127" spans="1:8" x14ac:dyDescent="0.25">
      <c r="A1127" s="1" t="s">
        <v>29</v>
      </c>
      <c r="B1127" s="1" t="s">
        <v>7846</v>
      </c>
      <c r="D1127" s="1" t="s">
        <v>7824</v>
      </c>
      <c r="E1127" s="1" t="s">
        <v>7824</v>
      </c>
      <c r="G1127" s="1" t="s">
        <v>7847</v>
      </c>
      <c r="H1127" s="2" t="str">
        <f>Tabella1[[#This Row],[Denominazione]]&amp;" - "&amp;Tabella1[[#This Row],[Città]]</f>
        <v>B&amp;B DA DANY - MONTE SAN VITO</v>
      </c>
    </row>
    <row r="1128" spans="1:8" x14ac:dyDescent="0.25">
      <c r="A1128" s="1" t="s">
        <v>29</v>
      </c>
      <c r="B1128" s="1" t="s">
        <v>14044</v>
      </c>
      <c r="C1128" s="1" t="s">
        <v>14045</v>
      </c>
      <c r="D1128" s="1" t="s">
        <v>13946</v>
      </c>
      <c r="G1128" s="1" t="s">
        <v>14046</v>
      </c>
      <c r="H1128" s="2" t="str">
        <f>Tabella1[[#This Row],[Denominazione]]&amp;" - "&amp;Tabella1[[#This Row],[Città]]</f>
        <v>B&amp;B DA EZIO - TOLENTINO</v>
      </c>
    </row>
    <row r="1129" spans="1:8" x14ac:dyDescent="0.25">
      <c r="A1129" s="1" t="s">
        <v>29</v>
      </c>
      <c r="B1129" s="1" t="s">
        <v>15556</v>
      </c>
      <c r="C1129" s="1" t="s">
        <v>15557</v>
      </c>
      <c r="D1129" s="1" t="s">
        <v>15546</v>
      </c>
      <c r="E1129" s="1" t="s">
        <v>15546</v>
      </c>
      <c r="H1129" s="2" t="str">
        <f>Tabella1[[#This Row],[Denominazione]]&amp;" - "&amp;Tabella1[[#This Row],[Città]]</f>
        <v>B&amp;B DA GIULIANA - FOLIGNANO</v>
      </c>
    </row>
    <row r="1130" spans="1:8" x14ac:dyDescent="0.25">
      <c r="A1130" s="1" t="s">
        <v>29</v>
      </c>
      <c r="B1130" s="1" t="s">
        <v>4586</v>
      </c>
      <c r="C1130" s="1" t="s">
        <v>4587</v>
      </c>
      <c r="D1130" s="1" t="s">
        <v>4578</v>
      </c>
      <c r="F1130" s="1" t="s">
        <v>4588</v>
      </c>
      <c r="G1130" s="1" t="s">
        <v>4589</v>
      </c>
      <c r="H1130" s="2" t="str">
        <f>Tabella1[[#This Row],[Denominazione]]&amp;" - "&amp;Tabella1[[#This Row],[Città]]</f>
        <v>B&amp;B DA GUSTIN - SERRUNGARINA</v>
      </c>
    </row>
    <row r="1131" spans="1:8" x14ac:dyDescent="0.25">
      <c r="A1131" s="1" t="s">
        <v>29</v>
      </c>
      <c r="B1131" s="1" t="s">
        <v>3495</v>
      </c>
      <c r="C1131" s="1" t="s">
        <v>3496</v>
      </c>
      <c r="D1131" s="1" t="s">
        <v>2386</v>
      </c>
      <c r="G1131" s="1" t="s">
        <v>3497</v>
      </c>
      <c r="H1131" s="2" t="str">
        <f>Tabella1[[#This Row],[Denominazione]]&amp;" - "&amp;Tabella1[[#This Row],[Città]]</f>
        <v>B&amp;B DA LARRY - PESARO</v>
      </c>
    </row>
    <row r="1132" spans="1:8" x14ac:dyDescent="0.25">
      <c r="A1132" s="1" t="s">
        <v>29</v>
      </c>
      <c r="B1132" s="1" t="s">
        <v>5986</v>
      </c>
      <c r="C1132" s="1" t="s">
        <v>5987</v>
      </c>
      <c r="D1132" s="1" t="s">
        <v>1864</v>
      </c>
      <c r="G1132" s="1" t="s">
        <v>5988</v>
      </c>
      <c r="H1132" s="2" t="str">
        <f>Tabella1[[#This Row],[Denominazione]]&amp;" - "&amp;Tabella1[[#This Row],[Città]]</f>
        <v>B&amp;B DA MARIA - ANCONA</v>
      </c>
    </row>
    <row r="1133" spans="1:8" x14ac:dyDescent="0.25">
      <c r="A1133" s="1" t="s">
        <v>29</v>
      </c>
      <c r="B1133" s="1" t="s">
        <v>5986</v>
      </c>
      <c r="C1133" s="1" t="s">
        <v>18566</v>
      </c>
      <c r="D1133" s="1" t="s">
        <v>18522</v>
      </c>
      <c r="E1133" s="1" t="s">
        <v>18522</v>
      </c>
      <c r="G1133" s="1" t="s">
        <v>18567</v>
      </c>
      <c r="H1133" s="2" t="str">
        <f>Tabella1[[#This Row],[Denominazione]]&amp;" - "&amp;Tabella1[[#This Row],[Città]]</f>
        <v>B&amp;B DA MARIA - MONTEFORTINO</v>
      </c>
    </row>
    <row r="1134" spans="1:8" x14ac:dyDescent="0.25">
      <c r="A1134" s="1" t="s">
        <v>29</v>
      </c>
      <c r="B1134" s="1" t="s">
        <v>19238</v>
      </c>
      <c r="C1134" s="1" t="s">
        <v>19239</v>
      </c>
      <c r="D1134" s="1" t="s">
        <v>18082</v>
      </c>
      <c r="E1134" s="1" t="s">
        <v>19240</v>
      </c>
      <c r="F1134" s="1" t="s">
        <v>19240</v>
      </c>
      <c r="G1134" s="1" t="s">
        <v>19241</v>
      </c>
      <c r="H1134" s="2" t="str">
        <f>Tabella1[[#This Row],[Denominazione]]&amp;" - "&amp;Tabella1[[#This Row],[Città]]</f>
        <v>B&amp;B da NONNA SOLE - PORTO SAN GIORGIO</v>
      </c>
    </row>
    <row r="1135" spans="1:8" x14ac:dyDescent="0.25">
      <c r="A1135" s="1" t="s">
        <v>29</v>
      </c>
      <c r="B1135" s="1" t="s">
        <v>16801</v>
      </c>
      <c r="C1135" s="1" t="s">
        <v>16802</v>
      </c>
      <c r="D1135" s="1" t="s">
        <v>15819</v>
      </c>
      <c r="G1135" s="1" t="s">
        <v>16803</v>
      </c>
      <c r="H1135" s="2" t="str">
        <f>Tabella1[[#This Row],[Denominazione]]&amp;" - "&amp;Tabella1[[#This Row],[Città]]</f>
        <v>B&amp;B DA NONNA TERESA - SAN BENEDETTO DEL TRONTO</v>
      </c>
    </row>
    <row r="1136" spans="1:8" x14ac:dyDescent="0.25">
      <c r="A1136" s="1" t="s">
        <v>29</v>
      </c>
      <c r="B1136" s="1" t="s">
        <v>3481</v>
      </c>
      <c r="C1136" s="1" t="s">
        <v>3482</v>
      </c>
      <c r="D1136" s="1" t="s">
        <v>2386</v>
      </c>
      <c r="G1136" s="1" t="s">
        <v>3483</v>
      </c>
      <c r="H1136" s="2" t="str">
        <f>Tabella1[[#This Row],[Denominazione]]&amp;" - "&amp;Tabella1[[#This Row],[Città]]</f>
        <v>B&amp;B DA PENS - PESARO</v>
      </c>
    </row>
    <row r="1137" spans="1:8" x14ac:dyDescent="0.25">
      <c r="A1137" s="1" t="s">
        <v>29</v>
      </c>
      <c r="B1137" s="1" t="s">
        <v>3518</v>
      </c>
      <c r="C1137" s="1" t="s">
        <v>3519</v>
      </c>
      <c r="D1137" s="1" t="s">
        <v>2386</v>
      </c>
      <c r="E1137" s="1" t="s">
        <v>3520</v>
      </c>
      <c r="G1137" s="1" t="s">
        <v>3521</v>
      </c>
      <c r="H1137" s="2" t="str">
        <f>Tabella1[[#This Row],[Denominazione]]&amp;" - "&amp;Tabella1[[#This Row],[Città]]</f>
        <v>B&amp;B DA PEPPENNADIA - PESARO</v>
      </c>
    </row>
    <row r="1138" spans="1:8" x14ac:dyDescent="0.25">
      <c r="A1138" s="1" t="s">
        <v>29</v>
      </c>
      <c r="B1138" s="1" t="s">
        <v>7969</v>
      </c>
      <c r="C1138" s="1" t="s">
        <v>7970</v>
      </c>
      <c r="D1138" s="1" t="s">
        <v>7889</v>
      </c>
      <c r="F1138" s="1" t="s">
        <v>7971</v>
      </c>
      <c r="G1138" s="1" t="s">
        <v>7972</v>
      </c>
      <c r="H1138" s="2" t="str">
        <f>Tabella1[[#This Row],[Denominazione]]&amp;" - "&amp;Tabella1[[#This Row],[Città]]</f>
        <v>B&amp;B DA RITA - NUMANA</v>
      </c>
    </row>
    <row r="1139" spans="1:8" x14ac:dyDescent="0.25">
      <c r="A1139" s="1" t="s">
        <v>29</v>
      </c>
      <c r="B1139" s="1" t="s">
        <v>6582</v>
      </c>
      <c r="C1139" s="1" t="s">
        <v>6583</v>
      </c>
      <c r="D1139" s="1" t="s">
        <v>6536</v>
      </c>
      <c r="E1139" s="1" t="s">
        <v>6536</v>
      </c>
      <c r="G1139" s="1" t="s">
        <v>6584</v>
      </c>
      <c r="H1139" s="2" t="str">
        <f>Tabella1[[#This Row],[Denominazione]]&amp;" - "&amp;Tabella1[[#This Row],[Città]]</f>
        <v>B&amp;B DA ROBY - CORINALDO</v>
      </c>
    </row>
    <row r="1140" spans="1:8" x14ac:dyDescent="0.25">
      <c r="A1140" s="1" t="s">
        <v>29</v>
      </c>
      <c r="B1140" s="1" t="s">
        <v>10604</v>
      </c>
      <c r="C1140" s="1" t="s">
        <v>10605</v>
      </c>
      <c r="D1140" s="1" t="s">
        <v>10589</v>
      </c>
      <c r="E1140" s="1" t="s">
        <v>10606</v>
      </c>
      <c r="G1140" s="1" t="s">
        <v>10607</v>
      </c>
      <c r="H1140" s="2" t="str">
        <f>Tabella1[[#This Row],[Denominazione]]&amp;" - "&amp;Tabella1[[#This Row],[Città]]</f>
        <v>B&amp;B DA SILVA VERA LUCIA - APIRO</v>
      </c>
    </row>
    <row r="1141" spans="1:8" x14ac:dyDescent="0.25">
      <c r="A1141" s="1" t="s">
        <v>29</v>
      </c>
      <c r="B1141" s="1" t="s">
        <v>13622</v>
      </c>
      <c r="C1141" s="1" t="s">
        <v>13623</v>
      </c>
      <c r="D1141" s="1" t="s">
        <v>13548</v>
      </c>
      <c r="F1141" s="1" t="s">
        <v>13624</v>
      </c>
      <c r="G1141" s="1" t="s">
        <v>13625</v>
      </c>
      <c r="H1141" s="2" t="str">
        <f>Tabella1[[#This Row],[Denominazione]]&amp;" - "&amp;Tabella1[[#This Row],[Città]]</f>
        <v>B&amp;B DA SUGARI' - SAN SEVERINO MARCHE</v>
      </c>
    </row>
    <row r="1142" spans="1:8" x14ac:dyDescent="0.25">
      <c r="A1142" s="1" t="s">
        <v>29</v>
      </c>
      <c r="B1142" s="1" t="s">
        <v>14389</v>
      </c>
      <c r="C1142" s="1" t="s">
        <v>14390</v>
      </c>
      <c r="D1142" s="1" t="s">
        <v>14334</v>
      </c>
      <c r="E1142" s="1" t="s">
        <v>14391</v>
      </c>
      <c r="F1142" s="1" t="s">
        <v>14392</v>
      </c>
      <c r="G1142" s="1" t="s">
        <v>14393</v>
      </c>
      <c r="H1142" s="2" t="str">
        <f>Tabella1[[#This Row],[Denominazione]]&amp;" - "&amp;Tabella1[[#This Row],[Città]]</f>
        <v>B&amp;B DA TEMPERI' - ACQUASANTA TERME</v>
      </c>
    </row>
    <row r="1143" spans="1:8" x14ac:dyDescent="0.25">
      <c r="A1143" s="1" t="s">
        <v>29</v>
      </c>
      <c r="B1143" s="1" t="s">
        <v>14822</v>
      </c>
      <c r="C1143" s="1" t="s">
        <v>14823</v>
      </c>
      <c r="D1143" s="1" t="s">
        <v>14576</v>
      </c>
      <c r="E1143" s="1" t="s">
        <v>14576</v>
      </c>
      <c r="F1143" s="1" t="s">
        <v>14824</v>
      </c>
      <c r="G1143" s="1" t="s">
        <v>14825</v>
      </c>
      <c r="H1143" s="2" t="str">
        <f>Tabella1[[#This Row],[Denominazione]]&amp;" - "&amp;Tabella1[[#This Row],[Città]]</f>
        <v>B&amp;B DAFNE - ASCOLI PICENO</v>
      </c>
    </row>
    <row r="1144" spans="1:8" x14ac:dyDescent="0.25">
      <c r="A1144" s="1" t="s">
        <v>29</v>
      </c>
      <c r="B1144" s="1" t="s">
        <v>4097</v>
      </c>
      <c r="C1144" s="1" t="s">
        <v>4098</v>
      </c>
      <c r="D1144" s="1" t="s">
        <v>2386</v>
      </c>
      <c r="E1144" s="1" t="s">
        <v>2386</v>
      </c>
      <c r="F1144" s="1" t="s">
        <v>4099</v>
      </c>
      <c r="G1144" s="1" t="s">
        <v>4100</v>
      </c>
      <c r="H1144" s="2" t="str">
        <f>Tabella1[[#This Row],[Denominazione]]&amp;" - "&amp;Tabella1[[#This Row],[Città]]</f>
        <v>B&amp;B DAI CASOLI - PESARO</v>
      </c>
    </row>
    <row r="1145" spans="1:8" x14ac:dyDescent="0.25">
      <c r="A1145" s="1" t="s">
        <v>29</v>
      </c>
      <c r="B1145" s="1" t="s">
        <v>10873</v>
      </c>
      <c r="C1145" s="1" t="s">
        <v>10874</v>
      </c>
      <c r="D1145" s="1" t="s">
        <v>10737</v>
      </c>
      <c r="F1145" s="1" t="s">
        <v>10875</v>
      </c>
      <c r="G1145" s="1" t="s">
        <v>10876</v>
      </c>
      <c r="H1145" s="2" t="str">
        <f>Tabella1[[#This Row],[Denominazione]]&amp;" - "&amp;Tabella1[[#This Row],[Città]]</f>
        <v>B&amp;B DAI NONNI - CAMERINO</v>
      </c>
    </row>
    <row r="1146" spans="1:8" x14ac:dyDescent="0.25">
      <c r="A1146" s="1" t="s">
        <v>29</v>
      </c>
      <c r="B1146" s="1" t="s">
        <v>16266</v>
      </c>
      <c r="C1146" s="1" t="s">
        <v>16267</v>
      </c>
      <c r="D1146" s="1" t="s">
        <v>16202</v>
      </c>
      <c r="F1146" s="1" t="s">
        <v>16268</v>
      </c>
      <c r="G1146" s="1" t="s">
        <v>16269</v>
      </c>
      <c r="H1146" s="2" t="str">
        <f>Tabella1[[#This Row],[Denominazione]]&amp;" - "&amp;Tabella1[[#This Row],[Città]]</f>
        <v>B&amp;B DAI RAGAZZI PAZZI - MONTEFIORE DELL'ASO</v>
      </c>
    </row>
    <row r="1147" spans="1:8" x14ac:dyDescent="0.25">
      <c r="A1147" s="1" t="s">
        <v>29</v>
      </c>
      <c r="B1147" s="1" t="s">
        <v>17864</v>
      </c>
      <c r="C1147" s="1" t="s">
        <v>17865</v>
      </c>
      <c r="D1147" s="1" t="s">
        <v>17839</v>
      </c>
      <c r="E1147" s="1" t="s">
        <v>17839</v>
      </c>
      <c r="F1147" s="1" t="s">
        <v>17866</v>
      </c>
      <c r="G1147" s="1" t="s">
        <v>17867</v>
      </c>
      <c r="H1147" s="2" t="str">
        <f>Tabella1[[#This Row],[Denominazione]]&amp;" - "&amp;Tabella1[[#This Row],[Città]]</f>
        <v>B&amp;B DAL CAPO - CAMPOFILONE</v>
      </c>
    </row>
    <row r="1148" spans="1:8" x14ac:dyDescent="0.25">
      <c r="A1148" s="1" t="s">
        <v>29</v>
      </c>
      <c r="B1148" s="1" t="s">
        <v>5376</v>
      </c>
      <c r="C1148" s="1" t="s">
        <v>5377</v>
      </c>
      <c r="D1148" s="1" t="s">
        <v>5358</v>
      </c>
      <c r="E1148" s="1" t="s">
        <v>5378</v>
      </c>
      <c r="F1148" s="1" t="s">
        <v>5379</v>
      </c>
      <c r="G1148" s="1" t="s">
        <v>5380</v>
      </c>
      <c r="H1148" s="2" t="str">
        <f>Tabella1[[#This Row],[Denominazione]]&amp;" - "&amp;Tabella1[[#This Row],[Città]]</f>
        <v>B&amp;B DALLA BRUNA - VALLEFOGLIA</v>
      </c>
    </row>
    <row r="1149" spans="1:8" x14ac:dyDescent="0.25">
      <c r="A1149" s="1" t="s">
        <v>29</v>
      </c>
      <c r="B1149" s="1" t="s">
        <v>16548</v>
      </c>
      <c r="C1149" s="1" t="s">
        <v>16549</v>
      </c>
      <c r="D1149" s="1" t="s">
        <v>16440</v>
      </c>
      <c r="G1149" s="1" t="s">
        <v>16550</v>
      </c>
      <c r="H1149" s="2" t="str">
        <f>Tabella1[[#This Row],[Denominazione]]&amp;" - "&amp;Tabella1[[#This Row],[Città]]</f>
        <v>B&amp;B D'ANGELO DANIELE - OFFIDA</v>
      </c>
    </row>
    <row r="1150" spans="1:8" x14ac:dyDescent="0.25">
      <c r="A1150" s="1" t="s">
        <v>29</v>
      </c>
      <c r="B1150" s="1" t="s">
        <v>12499</v>
      </c>
      <c r="D1150" s="1" t="s">
        <v>12459</v>
      </c>
      <c r="G1150" s="1" t="s">
        <v>12498</v>
      </c>
      <c r="H1150" s="2" t="str">
        <f>Tabella1[[#This Row],[Denominazione]]&amp;" - "&amp;Tabella1[[#This Row],[Città]]</f>
        <v>B&amp;B DEDICATO A TE - MONTELUPONE</v>
      </c>
    </row>
    <row r="1151" spans="1:8" x14ac:dyDescent="0.25">
      <c r="A1151" s="1" t="s">
        <v>29</v>
      </c>
      <c r="B1151" s="1" t="s">
        <v>5763</v>
      </c>
      <c r="C1151" s="1" t="s">
        <v>5764</v>
      </c>
      <c r="D1151" s="1" t="s">
        <v>1864</v>
      </c>
      <c r="E1151" s="1" t="s">
        <v>1864</v>
      </c>
      <c r="F1151" s="1" t="s">
        <v>5765</v>
      </c>
      <c r="G1151" s="1" t="s">
        <v>5766</v>
      </c>
      <c r="H1151" s="2" t="str">
        <f>Tabella1[[#This Row],[Denominazione]]&amp;" - "&amp;Tabella1[[#This Row],[Città]]</f>
        <v>B&amp;B DEGLI ANGELI - ANCONA</v>
      </c>
    </row>
    <row r="1152" spans="1:8" x14ac:dyDescent="0.25">
      <c r="A1152" s="1" t="s">
        <v>29</v>
      </c>
      <c r="B1152" s="1" t="s">
        <v>5763</v>
      </c>
      <c r="C1152" s="1" t="s">
        <v>19563</v>
      </c>
      <c r="D1152" s="1" t="s">
        <v>19541</v>
      </c>
      <c r="E1152" s="1" t="s">
        <v>19564</v>
      </c>
      <c r="G1152" s="1" t="s">
        <v>19565</v>
      </c>
      <c r="H1152" s="2" t="str">
        <f>Tabella1[[#This Row],[Denominazione]]&amp;" - "&amp;Tabella1[[#This Row],[Città]]</f>
        <v>B&amp;B DEGLI ANGELI - SANT'ELPIDIO A MARE</v>
      </c>
    </row>
    <row r="1153" spans="1:8" x14ac:dyDescent="0.25">
      <c r="A1153" s="1" t="s">
        <v>29</v>
      </c>
      <c r="B1153" s="1" t="s">
        <v>4401</v>
      </c>
      <c r="C1153" s="1" t="s">
        <v>4402</v>
      </c>
      <c r="D1153" s="1" t="s">
        <v>4397</v>
      </c>
      <c r="G1153" s="1" t="s">
        <v>4403</v>
      </c>
      <c r="H1153" s="2" t="str">
        <f>Tabella1[[#This Row],[Denominazione]]&amp;" - "&amp;Tabella1[[#This Row],[Città]]</f>
        <v>B&amp;B DEGL'INNOCENTI MARIA ALESSANDRA - SANT'ANGELO IN VADO</v>
      </c>
    </row>
    <row r="1154" spans="1:8" x14ac:dyDescent="0.25">
      <c r="A1154" s="1" t="s">
        <v>29</v>
      </c>
      <c r="B1154" s="1" t="s">
        <v>14154</v>
      </c>
      <c r="C1154" s="1" t="s">
        <v>14155</v>
      </c>
      <c r="D1154" s="1" t="s">
        <v>14065</v>
      </c>
      <c r="G1154" s="1" t="s">
        <v>14156</v>
      </c>
      <c r="H1154" s="2" t="str">
        <f>Tabella1[[#This Row],[Denominazione]]&amp;" - "&amp;Tabella1[[#This Row],[Città]]</f>
        <v>B&amp;B DEI CESARI - TREIA</v>
      </c>
    </row>
    <row r="1155" spans="1:8" x14ac:dyDescent="0.25">
      <c r="A1155" s="1" t="s">
        <v>29</v>
      </c>
      <c r="B1155" s="1" t="s">
        <v>14882</v>
      </c>
      <c r="C1155" s="1" t="s">
        <v>14883</v>
      </c>
      <c r="D1155" s="1" t="s">
        <v>14576</v>
      </c>
      <c r="E1155" s="1" t="s">
        <v>14576</v>
      </c>
      <c r="G1155" s="1" t="s">
        <v>14727</v>
      </c>
      <c r="H1155" s="2" t="str">
        <f>Tabella1[[#This Row],[Denominazione]]&amp;" - "&amp;Tabella1[[#This Row],[Città]]</f>
        <v>B&amp;B DEI MERLETTI - ASCOLI PICENO</v>
      </c>
    </row>
    <row r="1156" spans="1:8" x14ac:dyDescent="0.25">
      <c r="A1156" s="1" t="s">
        <v>29</v>
      </c>
      <c r="B1156" s="1" t="s">
        <v>17017</v>
      </c>
      <c r="C1156" s="1" t="s">
        <v>17018</v>
      </c>
      <c r="D1156" s="1" t="s">
        <v>15819</v>
      </c>
      <c r="E1156" s="1" t="s">
        <v>15819</v>
      </c>
      <c r="F1156" s="1" t="s">
        <v>17019</v>
      </c>
      <c r="G1156" s="1" t="s">
        <v>17020</v>
      </c>
      <c r="H1156" s="2" t="str">
        <f>Tabella1[[#This Row],[Denominazione]]&amp;" - "&amp;Tabella1[[#This Row],[Città]]</f>
        <v>B&amp;B del CASTELLO - SAN BENEDETTO DEL TRONTO</v>
      </c>
    </row>
    <row r="1157" spans="1:8" x14ac:dyDescent="0.25">
      <c r="A1157" s="1" t="s">
        <v>29</v>
      </c>
      <c r="B1157" s="1" t="s">
        <v>19539</v>
      </c>
      <c r="C1157" s="1" t="s">
        <v>19540</v>
      </c>
      <c r="D1157" s="1" t="s">
        <v>19541</v>
      </c>
      <c r="E1157" s="1" t="s">
        <v>19542</v>
      </c>
      <c r="H1157" s="2" t="str">
        <f>Tabella1[[#This Row],[Denominazione]]&amp;" - "&amp;Tabella1[[#This Row],[Città]]</f>
        <v>B&amp;B DEL GATTO MARIA - SANT'ELPIDIO A MARE</v>
      </c>
    </row>
    <row r="1158" spans="1:8" x14ac:dyDescent="0.25">
      <c r="A1158" s="1" t="s">
        <v>29</v>
      </c>
      <c r="B1158" s="1" t="s">
        <v>7020</v>
      </c>
      <c r="C1158" s="1" t="s">
        <v>7021</v>
      </c>
      <c r="D1158" s="1" t="s">
        <v>6790</v>
      </c>
      <c r="E1158" s="1" t="s">
        <v>6790</v>
      </c>
      <c r="G1158" s="1" t="s">
        <v>7022</v>
      </c>
      <c r="H1158" s="2" t="str">
        <f>Tabella1[[#This Row],[Denominazione]]&amp;" - "&amp;Tabella1[[#This Row],[Città]]</f>
        <v>B&amp;B DEL PODESTA' - FABRIANO</v>
      </c>
    </row>
    <row r="1159" spans="1:8" x14ac:dyDescent="0.25">
      <c r="A1159" s="1" t="s">
        <v>29</v>
      </c>
      <c r="B1159" s="1" t="s">
        <v>480</v>
      </c>
      <c r="C1159" s="1" t="s">
        <v>481</v>
      </c>
      <c r="D1159" s="1" t="s">
        <v>316</v>
      </c>
      <c r="E1159" s="1" t="s">
        <v>316</v>
      </c>
      <c r="F1159" s="1" t="s">
        <v>482</v>
      </c>
      <c r="G1159" s="1" t="s">
        <v>483</v>
      </c>
      <c r="H1159" s="2" t="str">
        <f>Tabella1[[#This Row],[Denominazione]]&amp;" - "&amp;Tabella1[[#This Row],[Città]]</f>
        <v>B&amp;B DEL TEATRO - CAGLI</v>
      </c>
    </row>
    <row r="1160" spans="1:8" x14ac:dyDescent="0.25">
      <c r="A1160" s="1" t="s">
        <v>29</v>
      </c>
      <c r="B1160" s="1" t="s">
        <v>14458</v>
      </c>
      <c r="C1160" s="1" t="s">
        <v>14459</v>
      </c>
      <c r="D1160" s="1" t="s">
        <v>14428</v>
      </c>
      <c r="F1160" s="1" t="s">
        <v>14460</v>
      </c>
      <c r="G1160" s="1" t="s">
        <v>14461</v>
      </c>
      <c r="H1160" s="2" t="str">
        <f>Tabella1[[#This Row],[Denominazione]]&amp;" - "&amp;Tabella1[[#This Row],[Città]]</f>
        <v>B&amp;B DELLA TARTANA - ACQUAVIVA PICENA</v>
      </c>
    </row>
    <row r="1161" spans="1:8" x14ac:dyDescent="0.25">
      <c r="A1161" s="1" t="s">
        <v>29</v>
      </c>
      <c r="B1161" s="1" t="s">
        <v>4974</v>
      </c>
      <c r="C1161" s="1" t="s">
        <v>4975</v>
      </c>
      <c r="D1161" s="1" t="s">
        <v>9</v>
      </c>
      <c r="E1161" s="1" t="s">
        <v>9</v>
      </c>
      <c r="F1161" s="1" t="s">
        <v>4976</v>
      </c>
      <c r="G1161" s="1" t="s">
        <v>4977</v>
      </c>
      <c r="H1161" s="2" t="str">
        <f>Tabella1[[#This Row],[Denominazione]]&amp;" - "&amp;Tabella1[[#This Row],[Città]]</f>
        <v>B&amp;B DELLE DUCHESSE - URBINO</v>
      </c>
    </row>
    <row r="1162" spans="1:8" x14ac:dyDescent="0.25">
      <c r="A1162" s="1" t="s">
        <v>29</v>
      </c>
      <c r="B1162" s="1" t="s">
        <v>14849</v>
      </c>
      <c r="C1162" s="1" t="s">
        <v>14850</v>
      </c>
      <c r="D1162" s="1" t="s">
        <v>14576</v>
      </c>
      <c r="E1162" s="1" t="s">
        <v>14576</v>
      </c>
      <c r="G1162" s="1" t="s">
        <v>14851</v>
      </c>
      <c r="H1162" s="2" t="str">
        <f>Tabella1[[#This Row],[Denominazione]]&amp;" - "&amp;Tabella1[[#This Row],[Città]]</f>
        <v>B&amp;B DELLE STELLE DI BORZACCHINI VALERIO E PERONI CARLA - ASCOLI PICENO</v>
      </c>
    </row>
    <row r="1163" spans="1:8" x14ac:dyDescent="0.25">
      <c r="A1163" s="1" t="s">
        <v>29</v>
      </c>
      <c r="B1163" s="1" t="s">
        <v>12011</v>
      </c>
      <c r="C1163" s="1" t="s">
        <v>12012</v>
      </c>
      <c r="D1163" s="1" t="s">
        <v>11981</v>
      </c>
      <c r="G1163" s="1" t="s">
        <v>12013</v>
      </c>
      <c r="H1163" s="2" t="str">
        <f>Tabella1[[#This Row],[Denominazione]]&amp;" - "&amp;Tabella1[[#This Row],[Città]]</f>
        <v>B&amp;B DELL'ORSO GIUSEPPE - LORO PICENO</v>
      </c>
    </row>
    <row r="1164" spans="1:8" x14ac:dyDescent="0.25">
      <c r="A1164" s="1" t="s">
        <v>29</v>
      </c>
      <c r="B1164" s="1" t="s">
        <v>18882</v>
      </c>
      <c r="C1164" s="1" t="s">
        <v>18883</v>
      </c>
      <c r="D1164" s="1" t="s">
        <v>18876</v>
      </c>
      <c r="G1164" s="1" t="s">
        <v>18884</v>
      </c>
      <c r="H1164" s="2" t="str">
        <f>Tabella1[[#This Row],[Denominazione]]&amp;" - "&amp;Tabella1[[#This Row],[Città]]</f>
        <v>B&amp;B DEN HARTOG CORNELIS MAARTEN - MONTOTTONE</v>
      </c>
    </row>
    <row r="1165" spans="1:8" x14ac:dyDescent="0.25">
      <c r="A1165" s="1" t="s">
        <v>29</v>
      </c>
      <c r="B1165" s="1" t="s">
        <v>14177</v>
      </c>
      <c r="C1165" s="1" t="s">
        <v>14178</v>
      </c>
      <c r="D1165" s="1" t="s">
        <v>14065</v>
      </c>
      <c r="E1165" s="1" t="s">
        <v>14065</v>
      </c>
      <c r="G1165" s="1" t="s">
        <v>14179</v>
      </c>
      <c r="H1165" s="2" t="str">
        <f>Tabella1[[#This Row],[Denominazione]]&amp;" - "&amp;Tabella1[[#This Row],[Città]]</f>
        <v>B&amp;B DENOPOPE - TREIA</v>
      </c>
    </row>
    <row r="1166" spans="1:8" x14ac:dyDescent="0.25">
      <c r="A1166" s="1" t="s">
        <v>29</v>
      </c>
      <c r="B1166" s="1" t="s">
        <v>14961</v>
      </c>
      <c r="C1166" s="1" t="s">
        <v>14962</v>
      </c>
      <c r="D1166" s="1" t="s">
        <v>14576</v>
      </c>
      <c r="E1166" s="1" t="s">
        <v>14963</v>
      </c>
      <c r="H1166" s="2" t="str">
        <f>Tabella1[[#This Row],[Denominazione]]&amp;" - "&amp;Tabella1[[#This Row],[Città]]</f>
        <v>B&amp;B DI CRISTOFARO FIORENZA - ASCOLI PICENO</v>
      </c>
    </row>
    <row r="1167" spans="1:8" x14ac:dyDescent="0.25">
      <c r="A1167" s="1" t="s">
        <v>29</v>
      </c>
      <c r="B1167" s="1" t="s">
        <v>6997</v>
      </c>
      <c r="C1167" s="1" t="s">
        <v>6998</v>
      </c>
      <c r="D1167" s="1" t="s">
        <v>6790</v>
      </c>
      <c r="E1167" s="1" t="s">
        <v>6790</v>
      </c>
      <c r="G1167" s="1" t="s">
        <v>6999</v>
      </c>
      <c r="H1167" s="2" t="str">
        <f>Tabella1[[#This Row],[Denominazione]]&amp;" - "&amp;Tabella1[[#This Row],[Città]]</f>
        <v>B&amp;B DI GABRIELE ARGIGNANO - FABRIANO</v>
      </c>
    </row>
    <row r="1168" spans="1:8" x14ac:dyDescent="0.25">
      <c r="A1168" s="1" t="s">
        <v>29</v>
      </c>
      <c r="B1168" s="1" t="s">
        <v>8783</v>
      </c>
      <c r="C1168" s="1" t="s">
        <v>8784</v>
      </c>
      <c r="D1168" s="1" t="s">
        <v>8763</v>
      </c>
      <c r="E1168" s="1" t="s">
        <v>8763</v>
      </c>
      <c r="G1168" s="1" t="s">
        <v>8785</v>
      </c>
      <c r="H1168" s="2" t="str">
        <f>Tabella1[[#This Row],[Denominazione]]&amp;" - "&amp;Tabella1[[#This Row],[Città]]</f>
        <v>B&amp;B di GALEASSI FRANCO - ROSORA</v>
      </c>
    </row>
    <row r="1169" spans="1:8" x14ac:dyDescent="0.25">
      <c r="A1169" s="1" t="s">
        <v>29</v>
      </c>
      <c r="B1169" s="1" t="s">
        <v>1394</v>
      </c>
      <c r="C1169" s="1" t="s">
        <v>1395</v>
      </c>
      <c r="D1169" s="1" t="s">
        <v>682</v>
      </c>
      <c r="E1169" s="1" t="s">
        <v>682</v>
      </c>
      <c r="G1169" s="1" t="s">
        <v>1396</v>
      </c>
      <c r="H1169" s="2" t="str">
        <f>Tabella1[[#This Row],[Denominazione]]&amp;" - "&amp;Tabella1[[#This Row],[Città]]</f>
        <v>B&amp;B di LUCARELLI PAOLO - FANO</v>
      </c>
    </row>
    <row r="1170" spans="1:8" x14ac:dyDescent="0.25">
      <c r="A1170" s="1" t="s">
        <v>29</v>
      </c>
      <c r="B1170" s="1" t="s">
        <v>14421</v>
      </c>
      <c r="C1170" s="1" t="s">
        <v>14422</v>
      </c>
      <c r="D1170" s="1" t="s">
        <v>14334</v>
      </c>
      <c r="E1170" s="1" t="s">
        <v>14334</v>
      </c>
      <c r="H1170" s="2" t="str">
        <f>Tabella1[[#This Row],[Denominazione]]&amp;" - "&amp;Tabella1[[#This Row],[Città]]</f>
        <v>B&amp;B DI MALLONI FERDINANDO - ACQUASANTA TERME</v>
      </c>
    </row>
    <row r="1171" spans="1:8" x14ac:dyDescent="0.25">
      <c r="A1171" s="1" t="s">
        <v>29</v>
      </c>
      <c r="B1171" s="1" t="s">
        <v>11194</v>
      </c>
      <c r="C1171" s="1" t="s">
        <v>11195</v>
      </c>
      <c r="D1171" s="1" t="s">
        <v>11058</v>
      </c>
      <c r="E1171" s="1" t="s">
        <v>11058</v>
      </c>
      <c r="F1171" s="1" t="s">
        <v>11196</v>
      </c>
      <c r="G1171" s="1" t="s">
        <v>11197</v>
      </c>
      <c r="H1171" s="2" t="str">
        <f>Tabella1[[#This Row],[Denominazione]]&amp;" - "&amp;Tabella1[[#This Row],[Città]]</f>
        <v>B&amp;B DI WEALTHAL PERRY GREGORY - CINGOLI</v>
      </c>
    </row>
    <row r="1172" spans="1:8" x14ac:dyDescent="0.25">
      <c r="A1172" s="1" t="s">
        <v>29</v>
      </c>
      <c r="B1172" s="1" t="s">
        <v>19480</v>
      </c>
      <c r="C1172" s="1" t="s">
        <v>19481</v>
      </c>
      <c r="D1172" s="1" t="s">
        <v>19283</v>
      </c>
      <c r="E1172" s="1" t="s">
        <v>19363</v>
      </c>
      <c r="G1172" s="1" t="s">
        <v>19482</v>
      </c>
      <c r="H1172" s="2" t="str">
        <f>Tabella1[[#This Row],[Denominazione]]&amp;" - "&amp;Tabella1[[#This Row],[Città]]</f>
        <v>B&amp;B DIAMANTI PAOLA - PORTO SANT'ELPIDIO</v>
      </c>
    </row>
    <row r="1173" spans="1:8" x14ac:dyDescent="0.25">
      <c r="A1173" s="1" t="s">
        <v>29</v>
      </c>
      <c r="B1173" s="1" t="s">
        <v>12535</v>
      </c>
      <c r="C1173" s="1" t="s">
        <v>12536</v>
      </c>
      <c r="D1173" s="1" t="s">
        <v>12519</v>
      </c>
      <c r="E1173" s="1" t="s">
        <v>12519</v>
      </c>
      <c r="F1173" s="1" t="s">
        <v>12537</v>
      </c>
      <c r="G1173" s="1" t="s">
        <v>12538</v>
      </c>
      <c r="H1173" s="2" t="str">
        <f>Tabella1[[#This Row],[Denominazione]]&amp;" - "&amp;Tabella1[[#This Row],[Città]]</f>
        <v>B&amp;B DILETTI DANIELE - MONTE SAN MARTINO</v>
      </c>
    </row>
    <row r="1174" spans="1:8" x14ac:dyDescent="0.25">
      <c r="A1174" s="1" t="s">
        <v>29</v>
      </c>
      <c r="B1174" s="1" t="s">
        <v>2455</v>
      </c>
      <c r="C1174" s="1" t="s">
        <v>2456</v>
      </c>
      <c r="D1174" s="1" t="s">
        <v>2425</v>
      </c>
      <c r="E1174" s="1" t="s">
        <v>2457</v>
      </c>
      <c r="G1174" s="1" t="s">
        <v>2458</v>
      </c>
      <c r="H1174" s="2" t="str">
        <f>Tabella1[[#This Row],[Denominazione]]&amp;" - "&amp;Tabella1[[#This Row],[Città]]</f>
        <v>B&amp;B DIMORA DELLA ROVERE - GRADARA</v>
      </c>
    </row>
    <row r="1175" spans="1:8" x14ac:dyDescent="0.25">
      <c r="A1175" s="1" t="s">
        <v>29</v>
      </c>
      <c r="B1175" s="1" t="s">
        <v>14776</v>
      </c>
      <c r="C1175" s="1" t="s">
        <v>14777</v>
      </c>
      <c r="D1175" s="1" t="s">
        <v>14576</v>
      </c>
      <c r="G1175" s="1" t="s">
        <v>14778</v>
      </c>
      <c r="H1175" s="2" t="str">
        <f>Tabella1[[#This Row],[Denominazione]]&amp;" - "&amp;Tabella1[[#This Row],[Città]]</f>
        <v>B&amp;B DIMORA GIOSAFATTI - ASCOLI PICENO</v>
      </c>
    </row>
    <row r="1176" spans="1:8" x14ac:dyDescent="0.25">
      <c r="A1176" s="1" t="s">
        <v>29</v>
      </c>
      <c r="B1176" s="1" t="s">
        <v>2502</v>
      </c>
      <c r="C1176" s="1" t="s">
        <v>2503</v>
      </c>
      <c r="D1176" s="1" t="s">
        <v>2425</v>
      </c>
      <c r="E1176" s="1" t="s">
        <v>2504</v>
      </c>
      <c r="G1176" s="1" t="s">
        <v>2505</v>
      </c>
      <c r="H1176" s="2" t="str">
        <f>Tabella1[[#This Row],[Denominazione]]&amp;" - "&amp;Tabella1[[#This Row],[Città]]</f>
        <v>B&amp;B DIMORA MALATESTA - GRADARA</v>
      </c>
    </row>
    <row r="1177" spans="1:8" x14ac:dyDescent="0.25">
      <c r="A1177" s="1" t="s">
        <v>29</v>
      </c>
      <c r="B1177" s="1" t="s">
        <v>16544</v>
      </c>
      <c r="C1177" s="1" t="s">
        <v>16545</v>
      </c>
      <c r="D1177" s="1" t="s">
        <v>16440</v>
      </c>
      <c r="E1177" s="1" t="s">
        <v>16546</v>
      </c>
      <c r="G1177" s="1" t="s">
        <v>16547</v>
      </c>
      <c r="H1177" s="2" t="str">
        <f>Tabella1[[#This Row],[Denominazione]]&amp;" - "&amp;Tabella1[[#This Row],[Città]]</f>
        <v>B&amp;B DIMORA NEL BORGO - OFFIDA</v>
      </c>
    </row>
    <row r="1178" spans="1:8" x14ac:dyDescent="0.25">
      <c r="A1178" s="1" t="s">
        <v>29</v>
      </c>
      <c r="B1178" s="1" t="s">
        <v>16504</v>
      </c>
      <c r="C1178" s="1" t="s">
        <v>16505</v>
      </c>
      <c r="D1178" s="1" t="s">
        <v>16440</v>
      </c>
      <c r="F1178" s="1" t="s">
        <v>16506</v>
      </c>
      <c r="G1178" s="1" t="s">
        <v>16507</v>
      </c>
      <c r="H1178" s="2" t="str">
        <f>Tabella1[[#This Row],[Denominazione]]&amp;" - "&amp;Tabella1[[#This Row],[Città]]</f>
        <v>B&amp;B DIMORA ROSSO PICENO - OFFIDA</v>
      </c>
    </row>
    <row r="1179" spans="1:8" x14ac:dyDescent="0.25">
      <c r="A1179" s="1" t="s">
        <v>29</v>
      </c>
      <c r="B1179" s="1" t="s">
        <v>10537</v>
      </c>
      <c r="C1179" s="1" t="s">
        <v>10538</v>
      </c>
      <c r="D1179" s="1" t="s">
        <v>10519</v>
      </c>
      <c r="E1179" s="1" t="s">
        <v>10539</v>
      </c>
      <c r="F1179" s="1" t="s">
        <v>10540</v>
      </c>
      <c r="G1179" s="1" t="s">
        <v>10541</v>
      </c>
      <c r="H1179" s="2" t="str">
        <f>Tabella1[[#This Row],[Denominazione]]&amp;" - "&amp;Tabella1[[#This Row],[Città]]</f>
        <v>B&amp;B DIMORA STORICA CASTELLO DI MONTERADO - TRECASTELLI</v>
      </c>
    </row>
    <row r="1180" spans="1:8" x14ac:dyDescent="0.25">
      <c r="A1180" s="1" t="s">
        <v>29</v>
      </c>
      <c r="B1180" s="1" t="s">
        <v>18259</v>
      </c>
      <c r="C1180" s="1" t="s">
        <v>18260</v>
      </c>
      <c r="D1180" s="1" t="s">
        <v>17932</v>
      </c>
      <c r="E1180" s="1" t="s">
        <v>17932</v>
      </c>
      <c r="F1180" s="1" t="s">
        <v>18261</v>
      </c>
      <c r="G1180" s="1" t="s">
        <v>18262</v>
      </c>
      <c r="H1180" s="2" t="str">
        <f>Tabella1[[#This Row],[Denominazione]]&amp;" - "&amp;Tabella1[[#This Row],[Città]]</f>
        <v>B&amp;B DIMORANTICA - FERMO</v>
      </c>
    </row>
    <row r="1181" spans="1:8" x14ac:dyDescent="0.25">
      <c r="A1181" s="1" t="s">
        <v>29</v>
      </c>
      <c r="B1181" s="1" t="s">
        <v>2592</v>
      </c>
      <c r="C1181" s="1" t="s">
        <v>2593</v>
      </c>
      <c r="D1181" s="1" t="s">
        <v>2594</v>
      </c>
      <c r="G1181" s="1" t="s">
        <v>2595</v>
      </c>
      <c r="H1181" s="2" t="str">
        <f>Tabella1[[#This Row],[Denominazione]]&amp;" - "&amp;Tabella1[[#This Row],[Città]]</f>
        <v>B&amp;B DINI CARLO - MERCATELLO SUL METAURO</v>
      </c>
    </row>
    <row r="1182" spans="1:8" x14ac:dyDescent="0.25">
      <c r="A1182" s="1" t="s">
        <v>29</v>
      </c>
      <c r="B1182" s="1" t="s">
        <v>16841</v>
      </c>
      <c r="C1182" s="1" t="s">
        <v>16842</v>
      </c>
      <c r="D1182" s="1" t="s">
        <v>15819</v>
      </c>
      <c r="E1182" s="1" t="s">
        <v>15819</v>
      </c>
      <c r="G1182" s="1" t="s">
        <v>16843</v>
      </c>
      <c r="H1182" s="2" t="str">
        <f>Tabella1[[#This Row],[Denominazione]]&amp;" - "&amp;Tabella1[[#This Row],[Città]]</f>
        <v>B&amp;B DOLCE BUONGIORNO - SAN BENEDETTO DEL TRONTO</v>
      </c>
    </row>
    <row r="1183" spans="1:8" x14ac:dyDescent="0.25">
      <c r="A1183" s="1" t="s">
        <v>29</v>
      </c>
      <c r="B1183" s="1" t="s">
        <v>15105</v>
      </c>
      <c r="C1183" s="1" t="s">
        <v>15106</v>
      </c>
      <c r="D1183" s="1" t="s">
        <v>15096</v>
      </c>
      <c r="E1183" s="1" t="s">
        <v>15096</v>
      </c>
      <c r="F1183" s="1" t="s">
        <v>15107</v>
      </c>
      <c r="G1183" s="1" t="s">
        <v>15108</v>
      </c>
      <c r="H1183" s="2" t="str">
        <f>Tabella1[[#This Row],[Denominazione]]&amp;" - "&amp;Tabella1[[#This Row],[Città]]</f>
        <v>B&amp;B DOLCE MIELE - CARASSAI</v>
      </c>
    </row>
    <row r="1184" spans="1:8" x14ac:dyDescent="0.25">
      <c r="A1184" s="1" t="s">
        <v>29</v>
      </c>
      <c r="B1184" s="1" t="s">
        <v>14814</v>
      </c>
      <c r="C1184" s="1" t="s">
        <v>14815</v>
      </c>
      <c r="D1184" s="1" t="s">
        <v>14576</v>
      </c>
      <c r="E1184" s="1" t="s">
        <v>14576</v>
      </c>
      <c r="F1184" s="1" t="s">
        <v>14816</v>
      </c>
      <c r="G1184" s="1" t="s">
        <v>14817</v>
      </c>
      <c r="H1184" s="2" t="str">
        <f>Tabella1[[#This Row],[Denominazione]]&amp;" - "&amp;Tabella1[[#This Row],[Città]]</f>
        <v>B&amp;B DOMUS FLOREA - ASCOLI PICENO</v>
      </c>
    </row>
    <row r="1185" spans="1:8" x14ac:dyDescent="0.25">
      <c r="A1185" s="1" t="s">
        <v>29</v>
      </c>
      <c r="B1185" s="1" t="s">
        <v>13210</v>
      </c>
      <c r="C1185" s="1" t="s">
        <v>13211</v>
      </c>
      <c r="D1185" s="1" t="s">
        <v>13026</v>
      </c>
      <c r="E1185" s="1" t="s">
        <v>13026</v>
      </c>
      <c r="G1185" s="1" t="s">
        <v>13212</v>
      </c>
      <c r="H1185" s="2" t="str">
        <f>Tabella1[[#This Row],[Denominazione]]&amp;" - "&amp;Tabella1[[#This Row],[Città]]</f>
        <v>B&amp;B DOMUS MONTESANTO - POTENZA PICENA</v>
      </c>
    </row>
    <row r="1186" spans="1:8" x14ac:dyDescent="0.25">
      <c r="A1186" s="1" t="s">
        <v>29</v>
      </c>
      <c r="B1186" s="1" t="s">
        <v>8533</v>
      </c>
      <c r="C1186" s="1" t="s">
        <v>8534</v>
      </c>
      <c r="D1186" s="1" t="s">
        <v>8454</v>
      </c>
      <c r="E1186" s="1" t="s">
        <v>8535</v>
      </c>
      <c r="G1186" s="1" t="s">
        <v>8536</v>
      </c>
      <c r="H1186" s="2" t="str">
        <f>Tabella1[[#This Row],[Denominazione]]&amp;" - "&amp;Tabella1[[#This Row],[Città]]</f>
        <v>B&amp;B DOREMI - OSIMO</v>
      </c>
    </row>
    <row r="1187" spans="1:8" x14ac:dyDescent="0.25">
      <c r="A1187" s="1" t="s">
        <v>29</v>
      </c>
      <c r="B1187" s="1" t="s">
        <v>11473</v>
      </c>
      <c r="C1187" s="1" t="s">
        <v>11474</v>
      </c>
      <c r="D1187" s="1" t="s">
        <v>11244</v>
      </c>
      <c r="F1187" s="1" t="s">
        <v>11475</v>
      </c>
      <c r="G1187" s="1" t="s">
        <v>11476</v>
      </c>
      <c r="H1187" s="2" t="str">
        <f>Tabella1[[#This Row],[Denominazione]]&amp;" - "&amp;Tabella1[[#This Row],[Città]]</f>
        <v>B&amp;B DORMI DA NOI - CIVITANOVA MARCHE</v>
      </c>
    </row>
    <row r="1188" spans="1:8" x14ac:dyDescent="0.25">
      <c r="A1188" s="1" t="s">
        <v>29</v>
      </c>
      <c r="B1188" s="1" t="s">
        <v>7989</v>
      </c>
      <c r="C1188" s="1" t="s">
        <v>7990</v>
      </c>
      <c r="D1188" s="1" t="s">
        <v>7889</v>
      </c>
      <c r="F1188" s="1" t="s">
        <v>7991</v>
      </c>
      <c r="G1188" s="1" t="s">
        <v>7992</v>
      </c>
      <c r="H1188" s="2" t="str">
        <f>Tabella1[[#This Row],[Denominazione]]&amp;" - "&amp;Tabella1[[#This Row],[Città]]</f>
        <v>B&amp;B DORMO AL MARE - NUMANA</v>
      </c>
    </row>
    <row r="1189" spans="1:8" x14ac:dyDescent="0.25">
      <c r="A1189" s="1" t="s">
        <v>29</v>
      </c>
      <c r="B1189" s="1" t="s">
        <v>16936</v>
      </c>
      <c r="C1189" s="1" t="s">
        <v>16937</v>
      </c>
      <c r="D1189" s="1" t="s">
        <v>15819</v>
      </c>
      <c r="F1189" s="1" t="s">
        <v>16938</v>
      </c>
      <c r="G1189" s="1" t="s">
        <v>16939</v>
      </c>
      <c r="H1189" s="2" t="str">
        <f>Tabella1[[#This Row],[Denominazione]]&amp;" - "&amp;Tabella1[[#This Row],[Città]]</f>
        <v>B&amp;B DREAMTIME - SAN BENEDETTO DEL TRONTO</v>
      </c>
    </row>
    <row r="1190" spans="1:8" x14ac:dyDescent="0.25">
      <c r="A1190" s="1" t="s">
        <v>29</v>
      </c>
      <c r="B1190" s="1" t="s">
        <v>3346</v>
      </c>
      <c r="C1190" s="1" t="s">
        <v>3347</v>
      </c>
      <c r="D1190" s="1" t="s">
        <v>3305</v>
      </c>
      <c r="E1190" s="1" t="s">
        <v>3348</v>
      </c>
      <c r="G1190" s="1" t="s">
        <v>3349</v>
      </c>
      <c r="H1190" s="2" t="str">
        <f>Tabella1[[#This Row],[Denominazione]]&amp;" - "&amp;Tabella1[[#This Row],[Città]]</f>
        <v>B&amp;B DROGHINI DAVIDE - PERGOLA</v>
      </c>
    </row>
    <row r="1191" spans="1:8" x14ac:dyDescent="0.25">
      <c r="A1191" s="1" t="s">
        <v>29</v>
      </c>
      <c r="B1191" s="1" t="s">
        <v>8664</v>
      </c>
      <c r="C1191" s="1" t="s">
        <v>8665</v>
      </c>
      <c r="D1191" s="1" t="s">
        <v>8608</v>
      </c>
      <c r="E1191" s="1" t="s">
        <v>8666</v>
      </c>
      <c r="F1191" s="1" t="s">
        <v>8667</v>
      </c>
      <c r="G1191" s="1" t="s">
        <v>8668</v>
      </c>
      <c r="H1191" s="2" t="str">
        <f>Tabella1[[#This Row],[Denominazione]]&amp;" - "&amp;Tabella1[[#This Row],[Città]]</f>
        <v>B&amp;B DRUPAROSA - OSTRA</v>
      </c>
    </row>
    <row r="1192" spans="1:8" x14ac:dyDescent="0.25">
      <c r="A1192" s="1" t="s">
        <v>29</v>
      </c>
      <c r="B1192" s="1" t="s">
        <v>13173</v>
      </c>
      <c r="C1192" s="1" t="s">
        <v>13174</v>
      </c>
      <c r="D1192" s="1" t="s">
        <v>13026</v>
      </c>
      <c r="E1192" s="1" t="s">
        <v>13175</v>
      </c>
      <c r="F1192" s="1" t="s">
        <v>13176</v>
      </c>
      <c r="G1192" s="1" t="s">
        <v>13177</v>
      </c>
      <c r="H1192" s="2" t="str">
        <f>Tabella1[[#This Row],[Denominazione]]&amp;" - "&amp;Tabella1[[#This Row],[Città]]</f>
        <v>B&amp;B DUE PASSI DAL MARE - POTENZA PICENA</v>
      </c>
    </row>
    <row r="1193" spans="1:8" x14ac:dyDescent="0.25">
      <c r="A1193" s="1" t="s">
        <v>29</v>
      </c>
      <c r="B1193" s="1" t="s">
        <v>14293</v>
      </c>
      <c r="C1193" s="1" t="s">
        <v>14294</v>
      </c>
      <c r="D1193" s="1" t="s">
        <v>14276</v>
      </c>
      <c r="F1193" s="1" t="s">
        <v>14295</v>
      </c>
      <c r="G1193" s="1" t="s">
        <v>14296</v>
      </c>
      <c r="H1193" s="2" t="str">
        <f>Tabella1[[#This Row],[Denominazione]]&amp;" - "&amp;Tabella1[[#This Row],[Città]]</f>
        <v>B&amp;B DUE TORRI - VISSO</v>
      </c>
    </row>
    <row r="1194" spans="1:8" x14ac:dyDescent="0.25">
      <c r="A1194" s="1" t="s">
        <v>29</v>
      </c>
      <c r="B1194" s="1" t="s">
        <v>5393</v>
      </c>
      <c r="C1194" s="1" t="s">
        <v>5394</v>
      </c>
      <c r="D1194" s="1" t="s">
        <v>5358</v>
      </c>
      <c r="E1194" s="1" t="s">
        <v>5395</v>
      </c>
      <c r="F1194" s="1" t="s">
        <v>5396</v>
      </c>
      <c r="G1194" s="1" t="s">
        <v>5397</v>
      </c>
      <c r="H1194" s="2" t="str">
        <f>Tabella1[[#This Row],[Denominazione]]&amp;" - "&amp;Tabella1[[#This Row],[Città]]</f>
        <v>B&amp;B EL KOT - VALLEFOGLIA</v>
      </c>
    </row>
    <row r="1195" spans="1:8" x14ac:dyDescent="0.25">
      <c r="A1195" s="1" t="s">
        <v>29</v>
      </c>
      <c r="B1195" s="1" t="s">
        <v>13553</v>
      </c>
      <c r="C1195" s="1" t="s">
        <v>13554</v>
      </c>
      <c r="D1195" s="1" t="s">
        <v>13548</v>
      </c>
      <c r="E1195" s="1" t="s">
        <v>13555</v>
      </c>
      <c r="H1195" s="2" t="str">
        <f>Tabella1[[#This Row],[Denominazione]]&amp;" - "&amp;Tabella1[[#This Row],[Città]]</f>
        <v>B&amp;B EL SITO - SAN SEVERINO MARCHE</v>
      </c>
    </row>
    <row r="1196" spans="1:8" x14ac:dyDescent="0.25">
      <c r="A1196" s="1" t="s">
        <v>29</v>
      </c>
      <c r="B1196" s="1" t="s">
        <v>18996</v>
      </c>
      <c r="C1196" s="1" t="s">
        <v>18997</v>
      </c>
      <c r="D1196" s="1" t="s">
        <v>18971</v>
      </c>
      <c r="E1196" s="1" t="s">
        <v>18971</v>
      </c>
      <c r="F1196" s="1" t="s">
        <v>18998</v>
      </c>
      <c r="G1196" s="1" t="s">
        <v>18999</v>
      </c>
      <c r="H1196" s="2" t="str">
        <f>Tabella1[[#This Row],[Denominazione]]&amp;" - "&amp;Tabella1[[#This Row],[Città]]</f>
        <v>B&amp;B ELENA MONALDI - PETRITOLI</v>
      </c>
    </row>
    <row r="1197" spans="1:8" x14ac:dyDescent="0.25">
      <c r="A1197" s="1" t="s">
        <v>29</v>
      </c>
      <c r="B1197" s="1" t="s">
        <v>18206</v>
      </c>
      <c r="C1197" s="1" t="s">
        <v>18207</v>
      </c>
      <c r="D1197" s="1" t="s">
        <v>17932</v>
      </c>
      <c r="E1197" s="1" t="s">
        <v>17932</v>
      </c>
      <c r="F1197" s="1" t="s">
        <v>18208</v>
      </c>
      <c r="G1197" s="1" t="s">
        <v>18209</v>
      </c>
      <c r="H1197" s="2" t="str">
        <f>Tabella1[[#This Row],[Denominazione]]&amp;" - "&amp;Tabella1[[#This Row],[Città]]</f>
        <v>B&amp;B ELISABETTA ACHILLE - FERMO</v>
      </c>
    </row>
    <row r="1198" spans="1:8" x14ac:dyDescent="0.25">
      <c r="A1198" s="1" t="s">
        <v>29</v>
      </c>
      <c r="B1198" s="1" t="s">
        <v>14410</v>
      </c>
      <c r="C1198" s="1" t="s">
        <v>14411</v>
      </c>
      <c r="D1198" s="1" t="s">
        <v>14334</v>
      </c>
      <c r="E1198" s="1" t="s">
        <v>14412</v>
      </c>
      <c r="G1198" s="1" t="s">
        <v>14413</v>
      </c>
      <c r="H1198" s="2" t="str">
        <f>Tabella1[[#This Row],[Denominazione]]&amp;" - "&amp;Tabella1[[#This Row],[Città]]</f>
        <v>B&amp;B EMILIA MARILYN TROLI - ACQUASANTA TERME</v>
      </c>
    </row>
    <row r="1199" spans="1:8" x14ac:dyDescent="0.25">
      <c r="A1199" s="1" t="s">
        <v>29</v>
      </c>
      <c r="B1199" s="1" t="s">
        <v>11188</v>
      </c>
      <c r="C1199" s="1" t="s">
        <v>11189</v>
      </c>
      <c r="D1199" s="1" t="s">
        <v>11058</v>
      </c>
      <c r="E1199" s="1" t="s">
        <v>11058</v>
      </c>
      <c r="H1199" s="2" t="str">
        <f>Tabella1[[#This Row],[Denominazione]]&amp;" - "&amp;Tabella1[[#This Row],[Città]]</f>
        <v>B&amp;B EMILIANI GRAZIELLA - CINGOLI</v>
      </c>
    </row>
    <row r="1200" spans="1:8" x14ac:dyDescent="0.25">
      <c r="A1200" s="1" t="s">
        <v>29</v>
      </c>
      <c r="B1200" s="1" t="s">
        <v>17649</v>
      </c>
      <c r="C1200" s="1" t="s">
        <v>17648</v>
      </c>
      <c r="D1200" s="1" t="s">
        <v>15819</v>
      </c>
      <c r="E1200" s="1" t="s">
        <v>15819</v>
      </c>
      <c r="H1200" s="2" t="str">
        <f>Tabella1[[#This Row],[Denominazione]]&amp;" - "&amp;Tabella1[[#This Row],[Città]]</f>
        <v>B&amp;B EMMA DEL ZOMPO - SAN BENEDETTO DEL TRONTO</v>
      </c>
    </row>
    <row r="1201" spans="1:8" x14ac:dyDescent="0.25">
      <c r="A1201" s="1" t="s">
        <v>29</v>
      </c>
      <c r="B1201" s="1" t="s">
        <v>15945</v>
      </c>
      <c r="C1201" s="1" t="s">
        <v>15946</v>
      </c>
      <c r="D1201" s="1" t="s">
        <v>15585</v>
      </c>
      <c r="G1201" s="1" t="s">
        <v>15947</v>
      </c>
      <c r="H1201" s="2" t="str">
        <f>Tabella1[[#This Row],[Denominazione]]&amp;" - "&amp;Tabella1[[#This Row],[Città]]</f>
        <v>B&amp;B ER COLOSSEO - GROTTAMMARE</v>
      </c>
    </row>
    <row r="1202" spans="1:8" x14ac:dyDescent="0.25">
      <c r="A1202" s="1" t="s">
        <v>29</v>
      </c>
      <c r="B1202" s="1" t="s">
        <v>16804</v>
      </c>
      <c r="C1202" s="1" t="s">
        <v>16805</v>
      </c>
      <c r="D1202" s="1" t="s">
        <v>15819</v>
      </c>
      <c r="G1202" s="1" t="s">
        <v>16806</v>
      </c>
      <c r="H1202" s="2" t="str">
        <f>Tabella1[[#This Row],[Denominazione]]&amp;" - "&amp;Tabella1[[#This Row],[Città]]</f>
        <v>B&amp;B ERIKA - SAN BENEDETTO DEL TRONTO</v>
      </c>
    </row>
    <row r="1203" spans="1:8" x14ac:dyDescent="0.25">
      <c r="A1203" s="1" t="s">
        <v>29</v>
      </c>
      <c r="B1203" s="1" t="s">
        <v>7010</v>
      </c>
      <c r="C1203" s="1" t="s">
        <v>7011</v>
      </c>
      <c r="D1203" s="1" t="s">
        <v>6790</v>
      </c>
      <c r="E1203" s="1" t="s">
        <v>6790</v>
      </c>
      <c r="G1203" s="1" t="s">
        <v>7012</v>
      </c>
      <c r="H1203" s="2" t="str">
        <f>Tabella1[[#This Row],[Denominazione]]&amp;" - "&amp;Tabella1[[#This Row],[Città]]</f>
        <v>B&amp;B FABERIUS - FABRIANO</v>
      </c>
    </row>
    <row r="1204" spans="1:8" x14ac:dyDescent="0.25">
      <c r="A1204" s="1" t="s">
        <v>29</v>
      </c>
      <c r="B1204" s="1" t="s">
        <v>12332</v>
      </c>
      <c r="C1204" s="1" t="s">
        <v>12333</v>
      </c>
      <c r="D1204" s="1" t="s">
        <v>12290</v>
      </c>
      <c r="E1204" s="1" t="s">
        <v>12290</v>
      </c>
      <c r="F1204" s="1" t="s">
        <v>12334</v>
      </c>
      <c r="G1204" s="1" t="s">
        <v>12335</v>
      </c>
      <c r="H1204" s="2" t="str">
        <f>Tabella1[[#This Row],[Denominazione]]&amp;" - "&amp;Tabella1[[#This Row],[Città]]</f>
        <v>B&amp;B FABIANI ANDREA - MOGLIANO</v>
      </c>
    </row>
    <row r="1205" spans="1:8" x14ac:dyDescent="0.25">
      <c r="A1205" s="1" t="s">
        <v>29</v>
      </c>
      <c r="B1205" s="1" t="s">
        <v>1713</v>
      </c>
      <c r="C1205" s="1" t="s">
        <v>1714</v>
      </c>
      <c r="D1205" s="1" t="s">
        <v>1653</v>
      </c>
      <c r="G1205" s="1" t="s">
        <v>1715</v>
      </c>
      <c r="H1205" s="2" t="str">
        <f>Tabella1[[#This Row],[Denominazione]]&amp;" - "&amp;Tabella1[[#This Row],[Città]]</f>
        <v>B&amp;B FALASCONI MARCO - FERMIGNANO</v>
      </c>
    </row>
    <row r="1206" spans="1:8" x14ac:dyDescent="0.25">
      <c r="A1206" s="1" t="s">
        <v>29</v>
      </c>
      <c r="B1206" s="1" t="s">
        <v>18243</v>
      </c>
      <c r="C1206" s="1" t="s">
        <v>18244</v>
      </c>
      <c r="D1206" s="1" t="s">
        <v>17932</v>
      </c>
      <c r="E1206" s="1" t="s">
        <v>17932</v>
      </c>
      <c r="G1206" s="1" t="s">
        <v>18245</v>
      </c>
      <c r="H1206" s="2" t="str">
        <f>Tabella1[[#This Row],[Denominazione]]&amp;" - "&amp;Tabella1[[#This Row],[Città]]</f>
        <v>B&amp;B FALCONI CHIARA - FERMO</v>
      </c>
    </row>
    <row r="1207" spans="1:8" x14ac:dyDescent="0.25">
      <c r="A1207" s="1" t="s">
        <v>29</v>
      </c>
      <c r="B1207" s="1" t="s">
        <v>16599</v>
      </c>
      <c r="C1207" s="1" t="s">
        <v>16600</v>
      </c>
      <c r="D1207" s="1" t="s">
        <v>16585</v>
      </c>
      <c r="E1207" s="1" t="s">
        <v>16585</v>
      </c>
      <c r="F1207" s="1" t="s">
        <v>16601</v>
      </c>
      <c r="G1207" s="1" t="s">
        <v>16602</v>
      </c>
      <c r="H1207" s="2" t="str">
        <f>Tabella1[[#This Row],[Denominazione]]&amp;" - "&amp;Tabella1[[#This Row],[Città]]</f>
        <v>B&amp;B FAMIGLIA DE ANGELIS - RIPATRANSONE</v>
      </c>
    </row>
    <row r="1208" spans="1:8" x14ac:dyDescent="0.25">
      <c r="A1208" s="1" t="s">
        <v>29</v>
      </c>
      <c r="B1208" s="1" t="s">
        <v>1467</v>
      </c>
      <c r="C1208" s="1" t="s">
        <v>1468</v>
      </c>
      <c r="D1208" s="1" t="s">
        <v>682</v>
      </c>
      <c r="G1208" s="1" t="s">
        <v>1469</v>
      </c>
      <c r="H1208" s="2" t="str">
        <f>Tabella1[[#This Row],[Denominazione]]&amp;" - "&amp;Tabella1[[#This Row],[Città]]</f>
        <v>B&amp;B FATTORINI SAURO - FANO</v>
      </c>
    </row>
    <row r="1209" spans="1:8" x14ac:dyDescent="0.25">
      <c r="A1209" s="1" t="s">
        <v>29</v>
      </c>
      <c r="B1209" s="1" t="s">
        <v>15929</v>
      </c>
      <c r="C1209" s="1" t="s">
        <v>15930</v>
      </c>
      <c r="D1209" s="1" t="s">
        <v>15585</v>
      </c>
      <c r="F1209" s="1" t="s">
        <v>15931</v>
      </c>
      <c r="G1209" s="1" t="s">
        <v>15932</v>
      </c>
      <c r="H1209" s="2" t="str">
        <f>Tabella1[[#This Row],[Denominazione]]&amp;" - "&amp;Tabella1[[#This Row],[Città]]</f>
        <v>B&amp;B FERMATA 135 - GROTTAMMARE</v>
      </c>
    </row>
    <row r="1210" spans="1:8" x14ac:dyDescent="0.25">
      <c r="A1210" s="1" t="s">
        <v>29</v>
      </c>
      <c r="B1210" s="1" t="s">
        <v>18281</v>
      </c>
      <c r="C1210" s="1" t="s">
        <v>18282</v>
      </c>
      <c r="D1210" s="1" t="s">
        <v>17932</v>
      </c>
      <c r="E1210" s="1" t="s">
        <v>17932</v>
      </c>
      <c r="F1210" s="1" t="s">
        <v>18283</v>
      </c>
      <c r="G1210" s="1" t="s">
        <v>18284</v>
      </c>
      <c r="H1210" s="2" t="str">
        <f>Tabella1[[#This Row],[Denominazione]]&amp;" - "&amp;Tabella1[[#This Row],[Città]]</f>
        <v>B&amp;B FERMO D'AMARE - FERMO</v>
      </c>
    </row>
    <row r="1211" spans="1:8" x14ac:dyDescent="0.25">
      <c r="A1211" s="1" t="s">
        <v>29</v>
      </c>
      <c r="B1211" s="1" t="s">
        <v>17949</v>
      </c>
      <c r="C1211" s="1" t="s">
        <v>17950</v>
      </c>
      <c r="D1211" s="1" t="s">
        <v>17932</v>
      </c>
      <c r="E1211" s="1" t="s">
        <v>17932</v>
      </c>
      <c r="F1211" s="1" t="s">
        <v>17951</v>
      </c>
      <c r="G1211" s="1" t="s">
        <v>17952</v>
      </c>
      <c r="H1211" s="2" t="str">
        <f>Tabella1[[#This Row],[Denominazione]]&amp;" - "&amp;Tabella1[[#This Row],[Città]]</f>
        <v>B&amp;B FERMO STORICA - FERMO</v>
      </c>
    </row>
    <row r="1212" spans="1:8" x14ac:dyDescent="0.25">
      <c r="A1212" s="1" t="s">
        <v>29</v>
      </c>
      <c r="B1212" s="1" t="s">
        <v>14826</v>
      </c>
      <c r="C1212" s="1" t="s">
        <v>14827</v>
      </c>
      <c r="D1212" s="1" t="s">
        <v>14576</v>
      </c>
      <c r="E1212" s="1" t="s">
        <v>14828</v>
      </c>
      <c r="F1212" s="1" t="s">
        <v>14829</v>
      </c>
      <c r="G1212" s="1" t="s">
        <v>14830</v>
      </c>
      <c r="H1212" s="2" t="str">
        <f>Tabella1[[#This Row],[Denominazione]]&amp;" - "&amp;Tabella1[[#This Row],[Città]]</f>
        <v>B&amp;B FIL DI FUMO - ASCOLI PICENO</v>
      </c>
    </row>
    <row r="1213" spans="1:8" x14ac:dyDescent="0.25">
      <c r="A1213" s="1" t="s">
        <v>29</v>
      </c>
      <c r="B1213" s="1" t="s">
        <v>16777</v>
      </c>
      <c r="C1213" s="1" t="s">
        <v>16778</v>
      </c>
      <c r="D1213" s="1" t="s">
        <v>16767</v>
      </c>
      <c r="E1213" s="1" t="s">
        <v>16767</v>
      </c>
      <c r="F1213" s="1" t="s">
        <v>16779</v>
      </c>
      <c r="G1213" s="1" t="s">
        <v>16780</v>
      </c>
      <c r="H1213" s="2" t="str">
        <f>Tabella1[[#This Row],[Denominazione]]&amp;" - "&amp;Tabella1[[#This Row],[Città]]</f>
        <v>B&amp;B FIOCCO - ROTELLA</v>
      </c>
    </row>
    <row r="1214" spans="1:8" x14ac:dyDescent="0.25">
      <c r="A1214" s="1" t="s">
        <v>29</v>
      </c>
      <c r="B1214" s="1" t="s">
        <v>14638</v>
      </c>
      <c r="C1214" s="1" t="s">
        <v>14639</v>
      </c>
      <c r="D1214" s="1" t="s">
        <v>14576</v>
      </c>
      <c r="E1214" s="1" t="s">
        <v>14576</v>
      </c>
      <c r="H1214" s="2" t="str">
        <f>Tabella1[[#This Row],[Denominazione]]&amp;" - "&amp;Tabella1[[#This Row],[Città]]</f>
        <v>B&amp;B FIORAVANTI EMIDIO - ASCOLI PICENO</v>
      </c>
    </row>
    <row r="1215" spans="1:8" x14ac:dyDescent="0.25">
      <c r="A1215" s="1" t="s">
        <v>29</v>
      </c>
      <c r="B1215" s="1" t="s">
        <v>14985</v>
      </c>
      <c r="C1215" s="1" t="s">
        <v>14986</v>
      </c>
      <c r="D1215" s="1" t="s">
        <v>14576</v>
      </c>
      <c r="H1215" s="2" t="str">
        <f>Tabella1[[#This Row],[Denominazione]]&amp;" - "&amp;Tabella1[[#This Row],[Città]]</f>
        <v>B&amp;B FIORAVANTI SANDRA - ASCOLI PICENO</v>
      </c>
    </row>
    <row r="1216" spans="1:8" x14ac:dyDescent="0.25">
      <c r="A1216" s="1" t="s">
        <v>29</v>
      </c>
      <c r="B1216" s="1" t="s">
        <v>9407</v>
      </c>
      <c r="C1216" s="1" t="s">
        <v>9408</v>
      </c>
      <c r="D1216" s="1" t="s">
        <v>8949</v>
      </c>
      <c r="E1216" s="1" t="s">
        <v>8949</v>
      </c>
      <c r="H1216" s="2" t="str">
        <f>Tabella1[[#This Row],[Denominazione]]&amp;" - "&amp;Tabella1[[#This Row],[Città]]</f>
        <v>B&amp;B FLAT - SENIGALLIA</v>
      </c>
    </row>
    <row r="1217" spans="1:8" x14ac:dyDescent="0.25">
      <c r="A1217" s="1" t="s">
        <v>29</v>
      </c>
      <c r="B1217" s="1" t="s">
        <v>12162</v>
      </c>
      <c r="C1217" s="1" t="s">
        <v>12163</v>
      </c>
      <c r="D1217" s="1" t="s">
        <v>12050</v>
      </c>
      <c r="E1217" s="1" t="s">
        <v>12050</v>
      </c>
      <c r="F1217" s="1" t="s">
        <v>12164</v>
      </c>
      <c r="G1217" s="1" t="s">
        <v>12165</v>
      </c>
      <c r="H1217" s="2" t="str">
        <f>Tabella1[[#This Row],[Denominazione]]&amp;" - "&amp;Tabella1[[#This Row],[Città]]</f>
        <v>B&amp;B FLORIANI - MACERATA</v>
      </c>
    </row>
    <row r="1218" spans="1:8" x14ac:dyDescent="0.25">
      <c r="A1218" s="1" t="s">
        <v>29</v>
      </c>
      <c r="B1218" s="1" t="s">
        <v>11142</v>
      </c>
      <c r="C1218" s="1" t="s">
        <v>11143</v>
      </c>
      <c r="D1218" s="1" t="s">
        <v>11058</v>
      </c>
      <c r="H1218" s="2" t="str">
        <f>Tabella1[[#This Row],[Denominazione]]&amp;" - "&amp;Tabella1[[#This Row],[Città]]</f>
        <v>B&amp;B FLORIDA - CINGOLI</v>
      </c>
    </row>
    <row r="1219" spans="1:8" x14ac:dyDescent="0.25">
      <c r="A1219" s="1" t="s">
        <v>29</v>
      </c>
      <c r="B1219" s="1" t="s">
        <v>19014</v>
      </c>
      <c r="C1219" s="1" t="s">
        <v>19015</v>
      </c>
      <c r="D1219" s="1" t="s">
        <v>18971</v>
      </c>
      <c r="E1219" s="1" t="s">
        <v>18971</v>
      </c>
      <c r="F1219" s="1" t="s">
        <v>19016</v>
      </c>
      <c r="G1219" s="1" t="s">
        <v>19017</v>
      </c>
      <c r="H1219" s="2" t="str">
        <f>Tabella1[[#This Row],[Denominazione]]&amp;" - "&amp;Tabella1[[#This Row],[Città]]</f>
        <v>B&amp;B FOGLINI LIVIA - PETRITOLI</v>
      </c>
    </row>
    <row r="1220" spans="1:8" x14ac:dyDescent="0.25">
      <c r="A1220" s="1" t="s">
        <v>29</v>
      </c>
      <c r="B1220" s="1" t="s">
        <v>9346</v>
      </c>
      <c r="C1220" s="1" t="s">
        <v>9347</v>
      </c>
      <c r="D1220" s="1" t="s">
        <v>8949</v>
      </c>
      <c r="E1220" s="1" t="s">
        <v>9348</v>
      </c>
      <c r="G1220" s="1" t="s">
        <v>9349</v>
      </c>
      <c r="H1220" s="2" t="str">
        <f>Tabella1[[#This Row],[Denominazione]]&amp;" - "&amp;Tabella1[[#This Row],[Città]]</f>
        <v>B&amp;B FONTE ANTICA - SENIGALLIA</v>
      </c>
    </row>
    <row r="1221" spans="1:8" x14ac:dyDescent="0.25">
      <c r="A1221" s="1" t="s">
        <v>29</v>
      </c>
      <c r="B1221" s="1" t="s">
        <v>13933</v>
      </c>
      <c r="D1221" s="1" t="s">
        <v>13929</v>
      </c>
      <c r="E1221" s="1" t="s">
        <v>13934</v>
      </c>
      <c r="G1221" s="1" t="s">
        <v>13935</v>
      </c>
      <c r="H1221" s="2" t="str">
        <f>Tabella1[[#This Row],[Denominazione]]&amp;" - "&amp;Tabella1[[#This Row],[Città]]</f>
        <v>B&amp;B FONTE DELL'ARIA - SERRAVALLE DI CHIENTI</v>
      </c>
    </row>
    <row r="1222" spans="1:8" x14ac:dyDescent="0.25">
      <c r="A1222" s="1" t="s">
        <v>29</v>
      </c>
      <c r="B1222" s="1" t="s">
        <v>16139</v>
      </c>
      <c r="C1222" s="1" t="s">
        <v>16140</v>
      </c>
      <c r="D1222" s="1" t="s">
        <v>16083</v>
      </c>
      <c r="E1222" s="1" t="s">
        <v>16083</v>
      </c>
      <c r="G1222" s="1" t="s">
        <v>16141</v>
      </c>
      <c r="H1222" s="2" t="str">
        <f>Tabella1[[#This Row],[Denominazione]]&amp;" - "&amp;Tabella1[[#This Row],[Città]]</f>
        <v>B&amp;B FONTE D'ERCOLE - MONTALTO DELLE MARCHE</v>
      </c>
    </row>
    <row r="1223" spans="1:8" x14ac:dyDescent="0.25">
      <c r="A1223" s="1" t="s">
        <v>29</v>
      </c>
      <c r="B1223" s="1" t="s">
        <v>11267</v>
      </c>
      <c r="C1223" s="1" t="s">
        <v>11268</v>
      </c>
      <c r="D1223" s="1" t="s">
        <v>11244</v>
      </c>
      <c r="E1223" s="1" t="s">
        <v>11269</v>
      </c>
      <c r="F1223" s="1" t="s">
        <v>11270</v>
      </c>
      <c r="G1223" s="1" t="s">
        <v>11271</v>
      </c>
      <c r="H1223" s="2" t="str">
        <f>Tabella1[[#This Row],[Denominazione]]&amp;" - "&amp;Tabella1[[#This Row],[Città]]</f>
        <v>B&amp;B FONTE GIULIA - CIVITANOVA MARCHE</v>
      </c>
    </row>
    <row r="1224" spans="1:8" x14ac:dyDescent="0.25">
      <c r="A1224" s="1" t="s">
        <v>29</v>
      </c>
      <c r="B1224" s="1" t="s">
        <v>4155</v>
      </c>
      <c r="C1224" s="1" t="s">
        <v>4156</v>
      </c>
      <c r="D1224" s="1" t="s">
        <v>4151</v>
      </c>
      <c r="E1224" s="1" t="s">
        <v>4157</v>
      </c>
      <c r="F1224" s="1" t="s">
        <v>4158</v>
      </c>
      <c r="G1224" s="1" t="s">
        <v>4159</v>
      </c>
      <c r="H1224" s="2" t="str">
        <f>Tabella1[[#This Row],[Denominazione]]&amp;" - "&amp;Tabella1[[#This Row],[Città]]</f>
        <v>B&amp;B FONTE GRIMA - PIETRARUBBIA</v>
      </c>
    </row>
    <row r="1225" spans="1:8" x14ac:dyDescent="0.25">
      <c r="A1225" s="1" t="s">
        <v>29</v>
      </c>
      <c r="B1225" s="1" t="s">
        <v>7732</v>
      </c>
      <c r="C1225" s="1" t="s">
        <v>7733</v>
      </c>
      <c r="D1225" s="1" t="s">
        <v>7718</v>
      </c>
      <c r="G1225" s="1" t="s">
        <v>7734</v>
      </c>
      <c r="H1225" s="2" t="str">
        <f>Tabella1[[#This Row],[Denominazione]]&amp;" - "&amp;Tabella1[[#This Row],[Città]]</f>
        <v>B&amp;B FONTEBELLA - MONTEMARCIANO</v>
      </c>
    </row>
    <row r="1226" spans="1:8" x14ac:dyDescent="0.25">
      <c r="A1226" s="1" t="s">
        <v>29</v>
      </c>
      <c r="B1226" s="1" t="s">
        <v>14008</v>
      </c>
      <c r="C1226" s="1" t="s">
        <v>14009</v>
      </c>
      <c r="D1226" s="1" t="s">
        <v>13946</v>
      </c>
      <c r="E1226" s="1" t="s">
        <v>13946</v>
      </c>
      <c r="F1226" s="1" t="s">
        <v>14010</v>
      </c>
      <c r="G1226" s="1" t="s">
        <v>14011</v>
      </c>
      <c r="H1226" s="2" t="str">
        <f>Tabella1[[#This Row],[Denominazione]]&amp;" - "&amp;Tabella1[[#This Row],[Città]]</f>
        <v>B&amp;B FONTEBIGONCIO - TOLENTINO</v>
      </c>
    </row>
    <row r="1227" spans="1:8" x14ac:dyDescent="0.25">
      <c r="A1227" s="1" t="s">
        <v>29</v>
      </c>
      <c r="B1227" s="1" t="s">
        <v>10137</v>
      </c>
      <c r="C1227" s="1" t="s">
        <v>10138</v>
      </c>
      <c r="D1227" s="1" t="s">
        <v>10117</v>
      </c>
      <c r="F1227" s="1" t="s">
        <v>10139</v>
      </c>
      <c r="G1227" s="1" t="s">
        <v>10140</v>
      </c>
      <c r="H1227" s="2" t="str">
        <f>Tabella1[[#This Row],[Denominazione]]&amp;" - "&amp;Tabella1[[#This Row],[Città]]</f>
        <v>B&amp;B FONTECORONA - SERRA SAN QUIRICO</v>
      </c>
    </row>
    <row r="1228" spans="1:8" x14ac:dyDescent="0.25">
      <c r="A1228" s="1" t="s">
        <v>29</v>
      </c>
      <c r="B1228" s="1" t="s">
        <v>6874</v>
      </c>
      <c r="C1228" s="1" t="s">
        <v>6875</v>
      </c>
      <c r="D1228" s="1" t="s">
        <v>6790</v>
      </c>
      <c r="E1228" s="1" t="s">
        <v>6790</v>
      </c>
      <c r="F1228" s="1" t="s">
        <v>6876</v>
      </c>
      <c r="G1228" s="1" t="s">
        <v>6877</v>
      </c>
      <c r="H1228" s="2" t="str">
        <f>Tabella1[[#This Row],[Denominazione]]&amp;" - "&amp;Tabella1[[#This Row],[Città]]</f>
        <v>B&amp;B FONTEFRESCA - FABRIANO</v>
      </c>
    </row>
    <row r="1229" spans="1:8" x14ac:dyDescent="0.25">
      <c r="A1229" s="1" t="s">
        <v>29</v>
      </c>
      <c r="B1229" s="1" t="s">
        <v>5237</v>
      </c>
      <c r="C1229" s="1" t="s">
        <v>5238</v>
      </c>
      <c r="D1229" s="1" t="s">
        <v>9</v>
      </c>
      <c r="E1229" s="1" t="s">
        <v>9</v>
      </c>
      <c r="F1229" s="1" t="s">
        <v>5239</v>
      </c>
      <c r="G1229" s="1" t="s">
        <v>5240</v>
      </c>
      <c r="H1229" s="2" t="str">
        <f>Tabella1[[#This Row],[Denominazione]]&amp;" - "&amp;Tabella1[[#This Row],[Città]]</f>
        <v>B&amp;B FONTESPINO - URBINO</v>
      </c>
    </row>
    <row r="1230" spans="1:8" x14ac:dyDescent="0.25">
      <c r="A1230" s="1" t="s">
        <v>29</v>
      </c>
      <c r="B1230" s="1" t="s">
        <v>14517</v>
      </c>
      <c r="C1230" s="1" t="s">
        <v>14518</v>
      </c>
      <c r="D1230" s="1" t="s">
        <v>14510</v>
      </c>
      <c r="E1230" s="1" t="s">
        <v>14519</v>
      </c>
      <c r="G1230" s="1" t="s">
        <v>14520</v>
      </c>
      <c r="H1230" s="2" t="str">
        <f>Tabella1[[#This Row],[Denominazione]]&amp;" - "&amp;Tabella1[[#This Row],[Città]]</f>
        <v>B&amp;B FORTUNA EMANUELA - ARQUATA DEL TRONTO</v>
      </c>
    </row>
    <row r="1231" spans="1:8" x14ac:dyDescent="0.25">
      <c r="A1231" s="1" t="s">
        <v>29</v>
      </c>
      <c r="B1231" s="1" t="s">
        <v>4769</v>
      </c>
      <c r="C1231" s="1" t="s">
        <v>4770</v>
      </c>
      <c r="D1231" s="1" t="s">
        <v>4735</v>
      </c>
      <c r="E1231" s="1" t="s">
        <v>4735</v>
      </c>
      <c r="F1231" s="1" t="s">
        <v>4771</v>
      </c>
      <c r="G1231" s="1" t="s">
        <v>4772</v>
      </c>
      <c r="H1231" s="2" t="str">
        <f>Tabella1[[#This Row],[Denominazione]]&amp;" - "&amp;Tabella1[[#This Row],[Città]]</f>
        <v>B&amp;B FOX'S HILL - URBANIA</v>
      </c>
    </row>
    <row r="1232" spans="1:8" x14ac:dyDescent="0.25">
      <c r="A1232" s="1" t="s">
        <v>29</v>
      </c>
      <c r="B1232" s="1" t="s">
        <v>18285</v>
      </c>
      <c r="C1232" s="1" t="s">
        <v>18286</v>
      </c>
      <c r="D1232" s="1" t="s">
        <v>17932</v>
      </c>
      <c r="G1232" s="1" t="s">
        <v>18287</v>
      </c>
      <c r="H1232" s="2" t="str">
        <f>Tabella1[[#This Row],[Denominazione]]&amp;" - "&amp;Tabella1[[#This Row],[Città]]</f>
        <v>B&amp;B FRANCESCO BERBELLINI - FERMO</v>
      </c>
    </row>
    <row r="1233" spans="1:8" x14ac:dyDescent="0.25">
      <c r="A1233" s="1" t="s">
        <v>29</v>
      </c>
      <c r="B1233" s="1" t="s">
        <v>10811</v>
      </c>
      <c r="C1233" s="1" t="s">
        <v>10812</v>
      </c>
      <c r="D1233" s="1" t="s">
        <v>10737</v>
      </c>
      <c r="E1233" s="1" t="s">
        <v>10737</v>
      </c>
      <c r="H1233" s="2" t="str">
        <f>Tabella1[[#This Row],[Denominazione]]&amp;" - "&amp;Tabella1[[#This Row],[Città]]</f>
        <v>B&amp;B FRANCIONI DONATELLA - CAMERINO</v>
      </c>
    </row>
    <row r="1234" spans="1:8" x14ac:dyDescent="0.25">
      <c r="A1234" s="1" t="s">
        <v>29</v>
      </c>
      <c r="B1234" s="1" t="s">
        <v>18480</v>
      </c>
      <c r="C1234" s="1" t="s">
        <v>18481</v>
      </c>
      <c r="D1234" s="1" t="s">
        <v>18478</v>
      </c>
      <c r="E1234" s="1" t="s">
        <v>18482</v>
      </c>
      <c r="F1234" s="1" t="s">
        <v>18483</v>
      </c>
      <c r="G1234" s="1" t="s">
        <v>18484</v>
      </c>
      <c r="H1234" s="2" t="str">
        <f>Tabella1[[#This Row],[Denominazione]]&amp;" - "&amp;Tabella1[[#This Row],[Città]]</f>
        <v>B&amp;B FUNARI ALBERTO - MONSAMPIETRO MORICO</v>
      </c>
    </row>
    <row r="1235" spans="1:8" x14ac:dyDescent="0.25">
      <c r="A1235" s="1" t="s">
        <v>29</v>
      </c>
      <c r="B1235" s="1" t="s">
        <v>16944</v>
      </c>
      <c r="C1235" s="1" t="s">
        <v>16945</v>
      </c>
      <c r="D1235" s="1" t="s">
        <v>15819</v>
      </c>
      <c r="F1235" s="1" t="s">
        <v>16946</v>
      </c>
      <c r="G1235" s="1" t="s">
        <v>16947</v>
      </c>
      <c r="H1235" s="2" t="str">
        <f>Tabella1[[#This Row],[Denominazione]]&amp;" - "&amp;Tabella1[[#This Row],[Città]]</f>
        <v>B&amp;B FUORI ROTTA - SAN BENEDETTO DEL TRONTO</v>
      </c>
    </row>
    <row r="1236" spans="1:8" x14ac:dyDescent="0.25">
      <c r="A1236" s="1" t="s">
        <v>29</v>
      </c>
      <c r="B1236" s="1" t="s">
        <v>14976</v>
      </c>
      <c r="C1236" s="1" t="s">
        <v>14977</v>
      </c>
      <c r="D1236" s="1" t="s">
        <v>14576</v>
      </c>
      <c r="E1236" s="1" t="s">
        <v>14576</v>
      </c>
      <c r="H1236" s="2" t="str">
        <f>Tabella1[[#This Row],[Denominazione]]&amp;" - "&amp;Tabella1[[#This Row],[Città]]</f>
        <v>B&amp;B GALIE' - ASCOLI PICENO</v>
      </c>
    </row>
    <row r="1237" spans="1:8" x14ac:dyDescent="0.25">
      <c r="A1237" s="1" t="s">
        <v>29</v>
      </c>
      <c r="B1237" s="1" t="s">
        <v>19228</v>
      </c>
      <c r="C1237" s="1" t="s">
        <v>19229</v>
      </c>
      <c r="D1237" s="1" t="s">
        <v>18082</v>
      </c>
      <c r="G1237" s="1" t="s">
        <v>19230</v>
      </c>
      <c r="H1237" s="2" t="str">
        <f>Tabella1[[#This Row],[Denominazione]]&amp;" - "&amp;Tabella1[[#This Row],[Città]]</f>
        <v>B&amp;B GALLETTO - PORTO SAN GIORGIO</v>
      </c>
    </row>
    <row r="1238" spans="1:8" x14ac:dyDescent="0.25">
      <c r="A1238" s="1" t="s">
        <v>29</v>
      </c>
      <c r="B1238" s="1" t="s">
        <v>4451</v>
      </c>
      <c r="C1238" s="1" t="s">
        <v>4452</v>
      </c>
      <c r="D1238" s="1" t="s">
        <v>4397</v>
      </c>
      <c r="E1238" s="1" t="s">
        <v>4406</v>
      </c>
      <c r="F1238" s="1" t="s">
        <v>4453</v>
      </c>
      <c r="G1238" s="1" t="s">
        <v>4454</v>
      </c>
      <c r="H1238" s="2" t="str">
        <f>Tabella1[[#This Row],[Denominazione]]&amp;" - "&amp;Tabella1[[#This Row],[Città]]</f>
        <v>B&amp;B GALLI ENRICO - SANT'ANGELO IN VADO</v>
      </c>
    </row>
    <row r="1239" spans="1:8" x14ac:dyDescent="0.25">
      <c r="A1239" s="1" t="s">
        <v>29</v>
      </c>
      <c r="B1239" s="1" t="s">
        <v>14285</v>
      </c>
      <c r="C1239" s="1" t="s">
        <v>14286</v>
      </c>
      <c r="D1239" s="1" t="s">
        <v>14276</v>
      </c>
      <c r="G1239" s="1" t="s">
        <v>14287</v>
      </c>
      <c r="H1239" s="2" t="str">
        <f>Tabella1[[#This Row],[Denominazione]]&amp;" - "&amp;Tabella1[[#This Row],[Città]]</f>
        <v>B&amp;B GALLIANO - VISSO</v>
      </c>
    </row>
    <row r="1240" spans="1:8" x14ac:dyDescent="0.25">
      <c r="A1240" s="1" t="s">
        <v>29</v>
      </c>
      <c r="B1240" s="1" t="s">
        <v>1704</v>
      </c>
      <c r="C1240" s="1" t="s">
        <v>1705</v>
      </c>
      <c r="D1240" s="1" t="s">
        <v>1653</v>
      </c>
      <c r="E1240" s="1" t="s">
        <v>1653</v>
      </c>
      <c r="F1240" s="1" t="s">
        <v>1706</v>
      </c>
      <c r="G1240" s="1" t="s">
        <v>1707</v>
      </c>
      <c r="H1240" s="2" t="str">
        <f>Tabella1[[#This Row],[Denominazione]]&amp;" - "&amp;Tabella1[[#This Row],[Città]]</f>
        <v>B&amp;B GARDEN - FERMIGNANO</v>
      </c>
    </row>
    <row r="1241" spans="1:8" x14ac:dyDescent="0.25">
      <c r="A1241" s="1" t="s">
        <v>29</v>
      </c>
      <c r="B1241" s="1" t="s">
        <v>11378</v>
      </c>
      <c r="C1241" s="1" t="s">
        <v>11379</v>
      </c>
      <c r="D1241" s="1" t="s">
        <v>11244</v>
      </c>
      <c r="E1241" s="1" t="s">
        <v>11244</v>
      </c>
      <c r="G1241" s="1" t="s">
        <v>11380</v>
      </c>
      <c r="H1241" s="2" t="str">
        <f>Tabella1[[#This Row],[Denominazione]]&amp;" - "&amp;Tabella1[[#This Row],[Città]]</f>
        <v>B&amp;B GARDENIA - CIVITANOVA MARCHE</v>
      </c>
    </row>
    <row r="1242" spans="1:8" x14ac:dyDescent="0.25">
      <c r="A1242" s="1" t="s">
        <v>29</v>
      </c>
      <c r="B1242" s="1" t="s">
        <v>8617</v>
      </c>
      <c r="C1242" s="1" t="s">
        <v>8618</v>
      </c>
      <c r="D1242" s="1" t="s">
        <v>8608</v>
      </c>
      <c r="E1242" s="1" t="s">
        <v>8608</v>
      </c>
      <c r="G1242" s="1" t="s">
        <v>8619</v>
      </c>
      <c r="H1242" s="2" t="str">
        <f>Tabella1[[#This Row],[Denominazione]]&amp;" - "&amp;Tabella1[[#This Row],[Città]]</f>
        <v>B&amp;B GEBAUER PETRA - OSTRA</v>
      </c>
    </row>
    <row r="1243" spans="1:8" x14ac:dyDescent="0.25">
      <c r="A1243" s="1" t="s">
        <v>29</v>
      </c>
      <c r="B1243" s="1" t="s">
        <v>16684</v>
      </c>
      <c r="C1243" s="1" t="s">
        <v>16685</v>
      </c>
      <c r="D1243" s="1" t="s">
        <v>16585</v>
      </c>
      <c r="F1243" s="1" t="s">
        <v>16686</v>
      </c>
      <c r="G1243" s="1" t="s">
        <v>16687</v>
      </c>
      <c r="H1243" s="2" t="str">
        <f>Tabella1[[#This Row],[Denominazione]]&amp;" - "&amp;Tabella1[[#This Row],[Città]]</f>
        <v>B&amp;B GECO di FARES GIANCARLO - RIPATRANSONE</v>
      </c>
    </row>
    <row r="1244" spans="1:8" x14ac:dyDescent="0.25">
      <c r="A1244" s="1" t="s">
        <v>29</v>
      </c>
      <c r="B1244" s="1" t="s">
        <v>18154</v>
      </c>
      <c r="C1244" s="1" t="s">
        <v>18155</v>
      </c>
      <c r="D1244" s="1" t="s">
        <v>17932</v>
      </c>
      <c r="E1244" s="1" t="s">
        <v>17932</v>
      </c>
      <c r="G1244" s="1" t="s">
        <v>18156</v>
      </c>
      <c r="H1244" s="2" t="str">
        <f>Tabella1[[#This Row],[Denominazione]]&amp;" - "&amp;Tabella1[[#This Row],[Città]]</f>
        <v>B&amp;B GENTILI TERESA MARIA - FERMO</v>
      </c>
    </row>
    <row r="1245" spans="1:8" x14ac:dyDescent="0.25">
      <c r="A1245" s="1" t="s">
        <v>29</v>
      </c>
      <c r="B1245" s="1" t="s">
        <v>14557</v>
      </c>
      <c r="C1245" s="1" t="s">
        <v>14558</v>
      </c>
      <c r="D1245" s="1" t="s">
        <v>14510</v>
      </c>
      <c r="E1245" s="1" t="s">
        <v>14510</v>
      </c>
      <c r="F1245" s="1" t="s">
        <v>14363</v>
      </c>
      <c r="G1245" s="1" t="s">
        <v>14559</v>
      </c>
      <c r="H1245" s="2" t="str">
        <f>Tabella1[[#This Row],[Denominazione]]&amp;" - "&amp;Tabella1[[#This Row],[Città]]</f>
        <v>B&amp;B GIANFRANCO FALCONETTI - ARQUATA DEL TRONTO</v>
      </c>
    </row>
    <row r="1246" spans="1:8" x14ac:dyDescent="0.25">
      <c r="A1246" s="1" t="s">
        <v>29</v>
      </c>
      <c r="B1246" s="1" t="s">
        <v>15921</v>
      </c>
      <c r="C1246" s="1" t="s">
        <v>15922</v>
      </c>
      <c r="D1246" s="1" t="s">
        <v>15585</v>
      </c>
      <c r="E1246" s="1" t="s">
        <v>15585</v>
      </c>
      <c r="H1246" s="2" t="str">
        <f>Tabella1[[#This Row],[Denominazione]]&amp;" - "&amp;Tabella1[[#This Row],[Città]]</f>
        <v>B&amp;B GIANLUIGI SPAZIANI - GROTTAMMARE</v>
      </c>
    </row>
    <row r="1247" spans="1:8" x14ac:dyDescent="0.25">
      <c r="A1247" s="1" t="s">
        <v>29</v>
      </c>
      <c r="B1247" s="1" t="s">
        <v>397</v>
      </c>
      <c r="C1247" s="1" t="s">
        <v>398</v>
      </c>
      <c r="D1247" s="1" t="s">
        <v>316</v>
      </c>
      <c r="E1247" s="1" t="s">
        <v>316</v>
      </c>
      <c r="H1247" s="2" t="str">
        <f>Tabella1[[#This Row],[Denominazione]]&amp;" - "&amp;Tabella1[[#This Row],[Città]]</f>
        <v>B&amp;B GIANPAOLO LUCHINI - CAGLI</v>
      </c>
    </row>
    <row r="1248" spans="1:8" x14ac:dyDescent="0.25">
      <c r="A1248" s="1" t="s">
        <v>29</v>
      </c>
      <c r="B1248" s="1" t="s">
        <v>14521</v>
      </c>
      <c r="C1248" s="1" t="s">
        <v>14522</v>
      </c>
      <c r="D1248" s="1" t="s">
        <v>14510</v>
      </c>
      <c r="E1248" s="1" t="s">
        <v>14523</v>
      </c>
      <c r="F1248" s="1" t="s">
        <v>14524</v>
      </c>
      <c r="G1248" s="1" t="s">
        <v>14525</v>
      </c>
      <c r="H1248" s="2" t="str">
        <f>Tabella1[[#This Row],[Denominazione]]&amp;" - "&amp;Tabella1[[#This Row],[Città]]</f>
        <v>B&amp;B GIARDINO DELLE FATE - ARQUATA DEL TRONTO</v>
      </c>
    </row>
    <row r="1249" spans="1:8" x14ac:dyDescent="0.25">
      <c r="A1249" s="1" t="s">
        <v>29</v>
      </c>
      <c r="B1249" s="1" t="s">
        <v>14465</v>
      </c>
      <c r="C1249" s="1" t="s">
        <v>14466</v>
      </c>
      <c r="D1249" s="1" t="s">
        <v>14428</v>
      </c>
      <c r="E1249" s="1" t="s">
        <v>14467</v>
      </c>
      <c r="F1249" s="1" t="s">
        <v>14468</v>
      </c>
      <c r="G1249" s="1" t="s">
        <v>14469</v>
      </c>
      <c r="H1249" s="2" t="str">
        <f>Tabella1[[#This Row],[Denominazione]]&amp;" - "&amp;Tabella1[[#This Row],[Città]]</f>
        <v>B&amp;B GIARDINO MEDITERRANEO - ACQUAVIVA PICENA</v>
      </c>
    </row>
    <row r="1250" spans="1:8" x14ac:dyDescent="0.25">
      <c r="A1250" s="1" t="s">
        <v>29</v>
      </c>
      <c r="B1250" s="1" t="s">
        <v>6378</v>
      </c>
      <c r="C1250" s="1" t="s">
        <v>6379</v>
      </c>
      <c r="D1250" s="1" t="s">
        <v>6371</v>
      </c>
      <c r="F1250" s="1" t="s">
        <v>6380</v>
      </c>
      <c r="G1250" s="1" t="s">
        <v>6381</v>
      </c>
      <c r="H1250" s="2" t="str">
        <f>Tabella1[[#This Row],[Denominazione]]&amp;" - "&amp;Tabella1[[#This Row],[Città]]</f>
        <v>B&amp;B GILI - CASTELFIDARDO</v>
      </c>
    </row>
    <row r="1251" spans="1:8" x14ac:dyDescent="0.25">
      <c r="A1251" s="1" t="s">
        <v>29</v>
      </c>
      <c r="B1251" s="1" t="s">
        <v>4285</v>
      </c>
      <c r="C1251" s="1" t="s">
        <v>4286</v>
      </c>
      <c r="D1251" s="1" t="s">
        <v>4272</v>
      </c>
      <c r="F1251" s="1" t="s">
        <v>4287</v>
      </c>
      <c r="G1251" s="1" t="s">
        <v>4288</v>
      </c>
      <c r="H1251" s="2" t="str">
        <f>Tabella1[[#This Row],[Denominazione]]&amp;" - "&amp;Tabella1[[#This Row],[Città]]</f>
        <v>B&amp;B GIORGINI MARINELLA - SAN COSTANZO</v>
      </c>
    </row>
    <row r="1252" spans="1:8" x14ac:dyDescent="0.25">
      <c r="A1252" s="1" t="s">
        <v>29</v>
      </c>
      <c r="B1252" s="1" t="s">
        <v>14555</v>
      </c>
      <c r="C1252" s="1" t="s">
        <v>14556</v>
      </c>
      <c r="D1252" s="1" t="s">
        <v>14510</v>
      </c>
      <c r="E1252" s="1" t="s">
        <v>14510</v>
      </c>
      <c r="H1252" s="2" t="str">
        <f>Tabella1[[#This Row],[Denominazione]]&amp;" - "&amp;Tabella1[[#This Row],[Città]]</f>
        <v>B&amp;B GIOVANNA EUPIZI - ARQUATA DEL TRONTO</v>
      </c>
    </row>
    <row r="1253" spans="1:8" x14ac:dyDescent="0.25">
      <c r="A1253" s="1" t="s">
        <v>29</v>
      </c>
      <c r="B1253" s="1" t="s">
        <v>13550</v>
      </c>
      <c r="C1253" s="1" t="s">
        <v>13551</v>
      </c>
      <c r="D1253" s="1" t="s">
        <v>13548</v>
      </c>
      <c r="G1253" s="1" t="s">
        <v>13552</v>
      </c>
      <c r="H1253" s="2" t="str">
        <f>Tabella1[[#This Row],[Denominazione]]&amp;" - "&amp;Tabella1[[#This Row],[Città]]</f>
        <v>B&amp;B GIOVANNI DELLACASA - SAN SEVERINO MARCHE</v>
      </c>
    </row>
    <row r="1254" spans="1:8" x14ac:dyDescent="0.25">
      <c r="A1254" s="1" t="s">
        <v>29</v>
      </c>
      <c r="B1254" s="1" t="s">
        <v>15068</v>
      </c>
      <c r="C1254" s="1" t="s">
        <v>15069</v>
      </c>
      <c r="D1254" s="1" t="s">
        <v>14576</v>
      </c>
      <c r="E1254" s="1" t="s">
        <v>14576</v>
      </c>
      <c r="G1254" s="1" t="s">
        <v>15070</v>
      </c>
      <c r="H1254" s="2" t="str">
        <f>Tabella1[[#This Row],[Denominazione]]&amp;" - "&amp;Tabella1[[#This Row],[Città]]</f>
        <v>B&amp;B GIRASOLI - ASCOLI PICENO</v>
      </c>
    </row>
    <row r="1255" spans="1:8" x14ac:dyDescent="0.25">
      <c r="A1255" s="1" t="s">
        <v>29</v>
      </c>
      <c r="B1255" s="1" t="s">
        <v>19373</v>
      </c>
      <c r="C1255" s="1" t="s">
        <v>19374</v>
      </c>
      <c r="D1255" s="1" t="s">
        <v>19283</v>
      </c>
      <c r="E1255" s="1" t="s">
        <v>19363</v>
      </c>
      <c r="F1255" s="1" t="s">
        <v>19375</v>
      </c>
      <c r="G1255" s="1" t="s">
        <v>19376</v>
      </c>
      <c r="H1255" s="2" t="str">
        <f>Tabella1[[#This Row],[Denominazione]]&amp;" - "&amp;Tabella1[[#This Row],[Città]]</f>
        <v>B&amp;B GIROVAGANDO - PORTO SANT'ELPIDIO</v>
      </c>
    </row>
    <row r="1256" spans="1:8" x14ac:dyDescent="0.25">
      <c r="A1256" s="1" t="s">
        <v>29</v>
      </c>
      <c r="B1256" s="1" t="s">
        <v>17968</v>
      </c>
      <c r="C1256" s="1" t="s">
        <v>17969</v>
      </c>
      <c r="D1256" s="1" t="s">
        <v>17932</v>
      </c>
      <c r="G1256" s="1" t="s">
        <v>17970</v>
      </c>
      <c r="H1256" s="2" t="str">
        <f>Tabella1[[#This Row],[Denominazione]]&amp;" - "&amp;Tabella1[[#This Row],[Città]]</f>
        <v>B&amp;B GLI ALBERELLI - FERMO</v>
      </c>
    </row>
    <row r="1257" spans="1:8" x14ac:dyDescent="0.25">
      <c r="A1257" s="1" t="s">
        <v>29</v>
      </c>
      <c r="B1257" s="1" t="s">
        <v>19218</v>
      </c>
      <c r="C1257" s="1" t="s">
        <v>19219</v>
      </c>
      <c r="D1257" s="1" t="s">
        <v>18082</v>
      </c>
      <c r="E1257" s="1" t="s">
        <v>18082</v>
      </c>
      <c r="F1257" s="1" t="s">
        <v>19220</v>
      </c>
      <c r="G1257" s="1" t="s">
        <v>19221</v>
      </c>
      <c r="H1257" s="2" t="str">
        <f>Tabella1[[#This Row],[Denominazione]]&amp;" - "&amp;Tabella1[[#This Row],[Città]]</f>
        <v>B&amp;B GLI ARTISTI - PORTO SAN GIORGIO</v>
      </c>
    </row>
    <row r="1258" spans="1:8" x14ac:dyDescent="0.25">
      <c r="A1258" s="1" t="s">
        <v>29</v>
      </c>
      <c r="B1258" s="1" t="s">
        <v>5055</v>
      </c>
      <c r="C1258" s="1" t="s">
        <v>5056</v>
      </c>
      <c r="D1258" s="1" t="s">
        <v>9</v>
      </c>
      <c r="E1258" s="1" t="s">
        <v>9</v>
      </c>
      <c r="G1258" s="1" t="s">
        <v>5057</v>
      </c>
      <c r="H1258" s="2" t="str">
        <f>Tabella1[[#This Row],[Denominazione]]&amp;" - "&amp;Tabella1[[#This Row],[Città]]</f>
        <v>B&amp;B GLI AURI - URBINO</v>
      </c>
    </row>
    <row r="1259" spans="1:8" x14ac:dyDescent="0.25">
      <c r="A1259" s="1" t="s">
        <v>29</v>
      </c>
      <c r="B1259" s="1" t="s">
        <v>6773</v>
      </c>
      <c r="C1259" s="1" t="s">
        <v>6774</v>
      </c>
      <c r="D1259" s="1" t="s">
        <v>6652</v>
      </c>
      <c r="E1259" s="1" t="s">
        <v>6652</v>
      </c>
      <c r="G1259" s="1" t="s">
        <v>6775</v>
      </c>
      <c r="H1259" s="2" t="str">
        <f>Tabella1[[#This Row],[Denominazione]]&amp;" - "&amp;Tabella1[[#This Row],[Città]]</f>
        <v>B&amp;B GLI ELFI - CUPRAMONTANA</v>
      </c>
    </row>
    <row r="1260" spans="1:8" x14ac:dyDescent="0.25">
      <c r="A1260" s="1" t="s">
        <v>29</v>
      </c>
      <c r="B1260" s="1" t="s">
        <v>3621</v>
      </c>
      <c r="C1260" s="1" t="s">
        <v>3622</v>
      </c>
      <c r="D1260" s="1" t="s">
        <v>2386</v>
      </c>
      <c r="E1260" s="1" t="s">
        <v>3623</v>
      </c>
      <c r="G1260" s="1" t="s">
        <v>3624</v>
      </c>
      <c r="H1260" s="2" t="str">
        <f>Tabella1[[#This Row],[Denominazione]]&amp;" - "&amp;Tabella1[[#This Row],[Città]]</f>
        <v>B&amp;B GLI ULIVI - PESARO</v>
      </c>
    </row>
    <row r="1261" spans="1:8" x14ac:dyDescent="0.25">
      <c r="A1261" s="1" t="s">
        <v>29</v>
      </c>
      <c r="B1261" s="1" t="s">
        <v>3621</v>
      </c>
      <c r="C1261" s="1" t="s">
        <v>5477</v>
      </c>
      <c r="D1261" s="1" t="s">
        <v>1864</v>
      </c>
      <c r="F1261" s="1" t="s">
        <v>5478</v>
      </c>
      <c r="G1261" s="1" t="s">
        <v>5479</v>
      </c>
      <c r="H1261" s="2" t="str">
        <f>Tabella1[[#This Row],[Denominazione]]&amp;" - "&amp;Tabella1[[#This Row],[Città]]</f>
        <v>B&amp;B GLI ULIVI - ANCONA</v>
      </c>
    </row>
    <row r="1262" spans="1:8" x14ac:dyDescent="0.25">
      <c r="A1262" s="1" t="s">
        <v>29</v>
      </c>
      <c r="B1262" s="1" t="s">
        <v>5885</v>
      </c>
      <c r="C1262" s="1" t="s">
        <v>5886</v>
      </c>
      <c r="D1262" s="1" t="s">
        <v>1864</v>
      </c>
      <c r="E1262" s="1" t="s">
        <v>1864</v>
      </c>
      <c r="F1262" s="1" t="s">
        <v>5887</v>
      </c>
      <c r="G1262" s="1" t="s">
        <v>5888</v>
      </c>
      <c r="H1262" s="2" t="str">
        <f>Tabella1[[#This Row],[Denominazione]]&amp;" - "&amp;Tabella1[[#This Row],[Città]]</f>
        <v>B&amp;B GLICINE - ANCONA</v>
      </c>
    </row>
    <row r="1263" spans="1:8" x14ac:dyDescent="0.25">
      <c r="A1263" s="1" t="s">
        <v>29</v>
      </c>
      <c r="B1263" s="1" t="s">
        <v>5885</v>
      </c>
      <c r="C1263" s="1" t="s">
        <v>11470</v>
      </c>
      <c r="D1263" s="1" t="s">
        <v>11244</v>
      </c>
      <c r="F1263" s="1" t="s">
        <v>11471</v>
      </c>
      <c r="G1263" s="1" t="s">
        <v>11472</v>
      </c>
      <c r="H1263" s="2" t="str">
        <f>Tabella1[[#This Row],[Denominazione]]&amp;" - "&amp;Tabella1[[#This Row],[Città]]</f>
        <v>B&amp;B GLICINE - CIVITANOVA MARCHE</v>
      </c>
    </row>
    <row r="1264" spans="1:8" x14ac:dyDescent="0.25">
      <c r="A1264" s="1" t="s">
        <v>29</v>
      </c>
      <c r="B1264" s="1" t="s">
        <v>5467</v>
      </c>
      <c r="C1264" s="1" t="s">
        <v>5468</v>
      </c>
      <c r="D1264" s="1" t="s">
        <v>1864</v>
      </c>
      <c r="G1264" s="1" t="s">
        <v>5469</v>
      </c>
      <c r="H1264" s="2" t="str">
        <f>Tabella1[[#This Row],[Denominazione]]&amp;" - "&amp;Tabella1[[#This Row],[Città]]</f>
        <v>B&amp;B GLORIA - ANCONA</v>
      </c>
    </row>
    <row r="1265" spans="1:8" x14ac:dyDescent="0.25">
      <c r="A1265" s="1" t="s">
        <v>29</v>
      </c>
      <c r="B1265" s="1" t="s">
        <v>3988</v>
      </c>
      <c r="C1265" s="1" t="s">
        <v>3989</v>
      </c>
      <c r="D1265" s="1" t="s">
        <v>2386</v>
      </c>
      <c r="E1265" s="1" t="s">
        <v>3963</v>
      </c>
      <c r="G1265" s="1" t="s">
        <v>3990</v>
      </c>
      <c r="H1265" s="2" t="str">
        <f>Tabella1[[#This Row],[Denominazione]]&amp;" - "&amp;Tabella1[[#This Row],[Città]]</f>
        <v>B&amp;B GOGA &amp; ROMEO - PESARO</v>
      </c>
    </row>
    <row r="1266" spans="1:8" x14ac:dyDescent="0.25">
      <c r="A1266" s="1" t="s">
        <v>29</v>
      </c>
      <c r="B1266" s="1" t="s">
        <v>2474</v>
      </c>
      <c r="C1266" s="1" t="s">
        <v>2475</v>
      </c>
      <c r="D1266" s="1" t="s">
        <v>2425</v>
      </c>
      <c r="E1266" s="1" t="s">
        <v>2425</v>
      </c>
      <c r="G1266" s="1" t="s">
        <v>2476</v>
      </c>
      <c r="H1266" s="2" t="str">
        <f>Tabella1[[#This Row],[Denominazione]]&amp;" - "&amp;Tabella1[[#This Row],[Città]]</f>
        <v>B&amp;B GRADARA - GRADARA</v>
      </c>
    </row>
    <row r="1267" spans="1:8" x14ac:dyDescent="0.25">
      <c r="A1267" s="1" t="s">
        <v>29</v>
      </c>
      <c r="B1267" s="1" t="s">
        <v>14886</v>
      </c>
      <c r="C1267" s="1" t="s">
        <v>14887</v>
      </c>
      <c r="D1267" s="1" t="s">
        <v>14576</v>
      </c>
      <c r="E1267" s="1" t="s">
        <v>14576</v>
      </c>
      <c r="G1267" s="1" t="s">
        <v>14888</v>
      </c>
      <c r="H1267" s="2" t="str">
        <f>Tabella1[[#This Row],[Denominazione]]&amp;" - "&amp;Tabella1[[#This Row],[Città]]</f>
        <v>B&amp;B GRAN CASO - ASCOLI PICENO</v>
      </c>
    </row>
    <row r="1268" spans="1:8" x14ac:dyDescent="0.25">
      <c r="A1268" s="1" t="s">
        <v>29</v>
      </c>
      <c r="B1268" s="1" t="s">
        <v>119</v>
      </c>
      <c r="C1268" s="1" t="s">
        <v>120</v>
      </c>
      <c r="D1268" s="1" t="s">
        <v>102</v>
      </c>
      <c r="E1268" s="1" t="s">
        <v>102</v>
      </c>
      <c r="H1268" s="2" t="str">
        <f>Tabella1[[#This Row],[Denominazione]]&amp;" - "&amp;Tabella1[[#This Row],[Città]]</f>
        <v>B&amp;B GRANCI MARIA GRAZIA - APECCHIO</v>
      </c>
    </row>
    <row r="1269" spans="1:8" x14ac:dyDescent="0.25">
      <c r="A1269" s="1" t="s">
        <v>29</v>
      </c>
      <c r="B1269" s="1" t="s">
        <v>14970</v>
      </c>
      <c r="C1269" s="1" t="s">
        <v>14971</v>
      </c>
      <c r="D1269" s="1" t="s">
        <v>14576</v>
      </c>
      <c r="E1269" s="1" t="s">
        <v>14576</v>
      </c>
      <c r="F1269" s="1" t="s">
        <v>14972</v>
      </c>
      <c r="H1269" s="2" t="str">
        <f>Tabella1[[#This Row],[Denominazione]]&amp;" - "&amp;Tabella1[[#This Row],[Città]]</f>
        <v>B&amp;B GRAZIELLA NICOLAI - ASCOLI PICENO</v>
      </c>
    </row>
    <row r="1270" spans="1:8" x14ac:dyDescent="0.25">
      <c r="A1270" s="1" t="s">
        <v>29</v>
      </c>
      <c r="B1270" s="1" t="s">
        <v>19262</v>
      </c>
      <c r="C1270" s="1" t="s">
        <v>19263</v>
      </c>
      <c r="D1270" s="1" t="s">
        <v>18082</v>
      </c>
      <c r="G1270" s="1" t="s">
        <v>19264</v>
      </c>
      <c r="H1270" s="2" t="str">
        <f>Tabella1[[#This Row],[Denominazione]]&amp;" - "&amp;Tabella1[[#This Row],[Città]]</f>
        <v>B&amp;B GREEN HARMONY di BIANCA MARIA CASALI - PORTO SAN GIORGIO</v>
      </c>
    </row>
    <row r="1271" spans="1:8" x14ac:dyDescent="0.25">
      <c r="A1271" s="1" t="s">
        <v>29</v>
      </c>
      <c r="B1271" s="1" t="s">
        <v>889</v>
      </c>
      <c r="C1271" s="1" t="s">
        <v>890</v>
      </c>
      <c r="D1271" s="1" t="s">
        <v>682</v>
      </c>
      <c r="E1271" s="1" t="s">
        <v>891</v>
      </c>
      <c r="G1271" s="1" t="s">
        <v>892</v>
      </c>
      <c r="H1271" s="2" t="str">
        <f>Tabella1[[#This Row],[Denominazione]]&amp;" - "&amp;Tabella1[[#This Row],[Città]]</f>
        <v>B&amp;B GRETA - FANO</v>
      </c>
    </row>
    <row r="1272" spans="1:8" x14ac:dyDescent="0.25">
      <c r="A1272" s="1" t="s">
        <v>29</v>
      </c>
      <c r="B1272" s="1" t="s">
        <v>5947</v>
      </c>
      <c r="C1272" s="1" t="s">
        <v>5948</v>
      </c>
      <c r="D1272" s="1" t="s">
        <v>1864</v>
      </c>
      <c r="G1272" s="1" t="s">
        <v>5949</v>
      </c>
      <c r="H1272" s="2" t="str">
        <f>Tabella1[[#This Row],[Denominazione]]&amp;" - "&amp;Tabella1[[#This Row],[Città]]</f>
        <v>B&amp;B GRIGRA' - ANCONA</v>
      </c>
    </row>
    <row r="1273" spans="1:8" x14ac:dyDescent="0.25">
      <c r="A1273" s="1" t="s">
        <v>29</v>
      </c>
      <c r="B1273" s="1" t="s">
        <v>15653</v>
      </c>
      <c r="C1273" s="1" t="s">
        <v>15650</v>
      </c>
      <c r="D1273" s="1" t="s">
        <v>15585</v>
      </c>
      <c r="E1273" s="1" t="s">
        <v>15585</v>
      </c>
      <c r="F1273" s="1" t="s">
        <v>15654</v>
      </c>
      <c r="G1273" s="1" t="s">
        <v>15655</v>
      </c>
      <c r="H1273" s="2" t="str">
        <f>Tabella1[[#This Row],[Denominazione]]&amp;" - "&amp;Tabella1[[#This Row],[Città]]</f>
        <v>B&amp;B GUARNERI IVANA - GROTTAMMARE</v>
      </c>
    </row>
    <row r="1274" spans="1:8" x14ac:dyDescent="0.25">
      <c r="A1274" s="1" t="s">
        <v>29</v>
      </c>
      <c r="B1274" s="1" t="s">
        <v>16279</v>
      </c>
      <c r="C1274" s="1" t="s">
        <v>16280</v>
      </c>
      <c r="D1274" s="1" t="s">
        <v>16281</v>
      </c>
      <c r="G1274" s="1" t="s">
        <v>16282</v>
      </c>
      <c r="H1274" s="2" t="str">
        <f>Tabella1[[#This Row],[Denominazione]]&amp;" - "&amp;Tabella1[[#This Row],[Città]]</f>
        <v>B&amp;B GUERRIERI ALESSANDRO - MONTEGALLO</v>
      </c>
    </row>
    <row r="1275" spans="1:8" x14ac:dyDescent="0.25">
      <c r="A1275" s="1" t="s">
        <v>29</v>
      </c>
      <c r="B1275" s="1" t="s">
        <v>15568</v>
      </c>
      <c r="C1275" s="1" t="s">
        <v>15569</v>
      </c>
      <c r="D1275" s="1" t="s">
        <v>15560</v>
      </c>
      <c r="E1275" s="1" t="s">
        <v>15570</v>
      </c>
      <c r="F1275" s="1" t="s">
        <v>15571</v>
      </c>
      <c r="G1275" s="1" t="s">
        <v>15572</v>
      </c>
      <c r="H1275" s="2" t="str">
        <f>Tabella1[[#This Row],[Denominazione]]&amp;" - "&amp;Tabella1[[#This Row],[Città]]</f>
        <v>B&amp;B GUSTISSIMO - FORCE</v>
      </c>
    </row>
    <row r="1276" spans="1:8" x14ac:dyDescent="0.25">
      <c r="A1276" s="1" t="s">
        <v>29</v>
      </c>
      <c r="B1276" s="1" t="s">
        <v>8417</v>
      </c>
      <c r="C1276" s="1" t="s">
        <v>8418</v>
      </c>
      <c r="D1276" s="1" t="s">
        <v>8411</v>
      </c>
      <c r="G1276" s="1" t="s">
        <v>8419</v>
      </c>
      <c r="H1276" s="2" t="str">
        <f>Tabella1[[#This Row],[Denominazione]]&amp;" - "&amp;Tabella1[[#This Row],[Città]]</f>
        <v>B&amp;B GYM &amp; TENNIS IL FALCO - OFFAGNA</v>
      </c>
    </row>
    <row r="1277" spans="1:8" x14ac:dyDescent="0.25">
      <c r="A1277" s="1" t="s">
        <v>29</v>
      </c>
      <c r="B1277" s="1" t="s">
        <v>19301</v>
      </c>
      <c r="C1277" s="1" t="s">
        <v>19302</v>
      </c>
      <c r="D1277" s="1" t="s">
        <v>19283</v>
      </c>
      <c r="E1277" s="1" t="s">
        <v>19303</v>
      </c>
      <c r="G1277" s="1" t="s">
        <v>19304</v>
      </c>
      <c r="H1277" s="2" t="str">
        <f>Tabella1[[#This Row],[Denominazione]]&amp;" - "&amp;Tabella1[[#This Row],[Città]]</f>
        <v>B&amp;B HAPPY - PORTO SANT'ELPIDIO</v>
      </c>
    </row>
    <row r="1278" spans="1:8" x14ac:dyDescent="0.25">
      <c r="A1278" s="1" t="s">
        <v>29</v>
      </c>
      <c r="B1278" s="1" t="s">
        <v>16973</v>
      </c>
      <c r="C1278" s="1" t="s">
        <v>16974</v>
      </c>
      <c r="D1278" s="1" t="s">
        <v>15819</v>
      </c>
      <c r="G1278" s="1" t="s">
        <v>16975</v>
      </c>
      <c r="H1278" s="2" t="str">
        <f>Tabella1[[#This Row],[Denominazione]]&amp;" - "&amp;Tabella1[[#This Row],[Città]]</f>
        <v>B&amp;B HAPPY FAMILY - SAN BENEDETTO DEL TRONTO</v>
      </c>
    </row>
    <row r="1279" spans="1:8" x14ac:dyDescent="0.25">
      <c r="A1279" s="1" t="s">
        <v>29</v>
      </c>
      <c r="B1279" s="1" t="s">
        <v>10794</v>
      </c>
      <c r="C1279" s="1" t="s">
        <v>10795</v>
      </c>
      <c r="D1279" s="1" t="s">
        <v>10737</v>
      </c>
      <c r="E1279" s="1" t="s">
        <v>10796</v>
      </c>
      <c r="G1279" s="1" t="s">
        <v>10797</v>
      </c>
      <c r="H1279" s="2" t="str">
        <f>Tabella1[[#This Row],[Denominazione]]&amp;" - "&amp;Tabella1[[#This Row],[Città]]</f>
        <v>B&amp;B HAPPY HOUSES - CAMERINO</v>
      </c>
    </row>
    <row r="1280" spans="1:8" x14ac:dyDescent="0.25">
      <c r="A1280" s="1" t="s">
        <v>29</v>
      </c>
      <c r="B1280" s="1" t="s">
        <v>12081</v>
      </c>
      <c r="C1280" s="1" t="s">
        <v>12082</v>
      </c>
      <c r="D1280" s="1" t="s">
        <v>12050</v>
      </c>
      <c r="G1280" s="1" t="s">
        <v>12083</v>
      </c>
      <c r="H1280" s="2" t="str">
        <f>Tabella1[[#This Row],[Denominazione]]&amp;" - "&amp;Tabella1[[#This Row],[Città]]</f>
        <v>B&amp;B HELVIA RECINA - MACERATA</v>
      </c>
    </row>
    <row r="1281" spans="1:8" x14ac:dyDescent="0.25">
      <c r="A1281" s="1" t="s">
        <v>29</v>
      </c>
      <c r="B1281" s="1" t="s">
        <v>7393</v>
      </c>
      <c r="C1281" s="1" t="s">
        <v>7394</v>
      </c>
      <c r="D1281" s="1" t="s">
        <v>7385</v>
      </c>
      <c r="F1281" s="1" t="s">
        <v>7395</v>
      </c>
      <c r="G1281" s="1" t="s">
        <v>7396</v>
      </c>
      <c r="H1281" s="2" t="str">
        <f>Tabella1[[#This Row],[Denominazione]]&amp;" - "&amp;Tabella1[[#This Row],[Città]]</f>
        <v>B&amp;B HOLY HOUSE - LORETO</v>
      </c>
    </row>
    <row r="1282" spans="1:8" x14ac:dyDescent="0.25">
      <c r="A1282" s="1" t="s">
        <v>29</v>
      </c>
      <c r="B1282" s="1" t="s">
        <v>18616</v>
      </c>
      <c r="C1282" s="1" t="s">
        <v>18617</v>
      </c>
      <c r="D1282" s="1" t="s">
        <v>18618</v>
      </c>
      <c r="E1282" s="1" t="s">
        <v>18619</v>
      </c>
      <c r="F1282" s="1" t="s">
        <v>18620</v>
      </c>
      <c r="G1282" s="1" t="s">
        <v>18621</v>
      </c>
      <c r="H1282" s="2" t="str">
        <f>Tabella1[[#This Row],[Denominazione]]&amp;" - "&amp;Tabella1[[#This Row],[Città]]</f>
        <v>B&amp;B HOUSE SAN NICOLO' - MONTEGIORGIO</v>
      </c>
    </row>
    <row r="1283" spans="1:8" x14ac:dyDescent="0.25">
      <c r="A1283" s="1" t="s">
        <v>29</v>
      </c>
      <c r="B1283" s="1" t="s">
        <v>16624</v>
      </c>
      <c r="C1283" s="1" t="s">
        <v>16625</v>
      </c>
      <c r="D1283" s="1" t="s">
        <v>16585</v>
      </c>
      <c r="G1283" s="1" t="s">
        <v>16626</v>
      </c>
      <c r="H1283" s="2" t="str">
        <f>Tabella1[[#This Row],[Denominazione]]&amp;" - "&amp;Tabella1[[#This Row],[Città]]</f>
        <v>B&amp;B I .. GATTI DI RIPA - RIPATRANSONE</v>
      </c>
    </row>
    <row r="1284" spans="1:8" x14ac:dyDescent="0.25">
      <c r="A1284" s="1" t="s">
        <v>29</v>
      </c>
      <c r="B1284" s="1" t="s">
        <v>5291</v>
      </c>
      <c r="C1284" s="1" t="s">
        <v>5292</v>
      </c>
      <c r="D1284" s="1" t="s">
        <v>9</v>
      </c>
      <c r="E1284" s="1" t="s">
        <v>9</v>
      </c>
      <c r="F1284" s="1" t="s">
        <v>5293</v>
      </c>
      <c r="G1284" s="1" t="s">
        <v>5294</v>
      </c>
      <c r="H1284" s="2" t="str">
        <f>Tabella1[[#This Row],[Denominazione]]&amp;" - "&amp;Tabella1[[#This Row],[Città]]</f>
        <v>B&amp;B I CANONICI - URBINO</v>
      </c>
    </row>
    <row r="1285" spans="1:8" x14ac:dyDescent="0.25">
      <c r="A1285" s="1" t="s">
        <v>29</v>
      </c>
      <c r="B1285" s="1" t="s">
        <v>8461</v>
      </c>
      <c r="C1285" s="1" t="s">
        <v>8462</v>
      </c>
      <c r="D1285" s="1" t="s">
        <v>8454</v>
      </c>
      <c r="E1285" s="1" t="s">
        <v>8454</v>
      </c>
      <c r="F1285" s="1" t="s">
        <v>8463</v>
      </c>
      <c r="G1285" s="1" t="s">
        <v>8464</v>
      </c>
      <c r="H1285" s="2" t="str">
        <f>Tabella1[[#This Row],[Denominazione]]&amp;" - "&amp;Tabella1[[#This Row],[Città]]</f>
        <v>B&amp;B I CILIEGI - OSIMO</v>
      </c>
    </row>
    <row r="1286" spans="1:8" x14ac:dyDescent="0.25">
      <c r="A1286" s="1" t="s">
        <v>29</v>
      </c>
      <c r="B1286" s="1" t="s">
        <v>8461</v>
      </c>
      <c r="C1286" s="1" t="s">
        <v>11529</v>
      </c>
      <c r="D1286" s="1" t="s">
        <v>11244</v>
      </c>
      <c r="G1286" s="1" t="s">
        <v>11530</v>
      </c>
      <c r="H1286" s="2" t="str">
        <f>Tabella1[[#This Row],[Denominazione]]&amp;" - "&amp;Tabella1[[#This Row],[Città]]</f>
        <v>B&amp;B I CILIEGI - CIVITANOVA MARCHE</v>
      </c>
    </row>
    <row r="1287" spans="1:8" x14ac:dyDescent="0.25">
      <c r="A1287" s="1" t="s">
        <v>29</v>
      </c>
      <c r="B1287" s="1" t="s">
        <v>12770</v>
      </c>
      <c r="C1287" s="1" t="s">
        <v>12771</v>
      </c>
      <c r="D1287" s="1" t="s">
        <v>12772</v>
      </c>
      <c r="G1287" s="1" t="s">
        <v>12773</v>
      </c>
      <c r="H1287" s="2" t="str">
        <f>Tabella1[[#This Row],[Denominazione]]&amp;" - "&amp;Tabella1[[#This Row],[Città]]</f>
        <v>B&amp;B I CINQUE COLLI - POLLENZA</v>
      </c>
    </row>
    <row r="1288" spans="1:8" x14ac:dyDescent="0.25">
      <c r="A1288" s="1" t="s">
        <v>29</v>
      </c>
      <c r="B1288" s="1" t="s">
        <v>7975</v>
      </c>
      <c r="C1288" s="1" t="s">
        <v>7976</v>
      </c>
      <c r="D1288" s="1" t="s">
        <v>7889</v>
      </c>
      <c r="F1288" s="1" t="s">
        <v>7977</v>
      </c>
      <c r="G1288" s="1" t="s">
        <v>7978</v>
      </c>
      <c r="H1288" s="2" t="str">
        <f>Tabella1[[#This Row],[Denominazione]]&amp;" - "&amp;Tabella1[[#This Row],[Città]]</f>
        <v>B&amp;B I COLORI DEL CONERO - NUMANA</v>
      </c>
    </row>
    <row r="1289" spans="1:8" x14ac:dyDescent="0.25">
      <c r="A1289" s="1" t="s">
        <v>29</v>
      </c>
      <c r="B1289" s="1" t="s">
        <v>12988</v>
      </c>
      <c r="C1289" s="1" t="s">
        <v>12989</v>
      </c>
      <c r="D1289" s="1" t="s">
        <v>12801</v>
      </c>
      <c r="F1289" s="1" t="s">
        <v>12990</v>
      </c>
      <c r="G1289" s="1" t="s">
        <v>12991</v>
      </c>
      <c r="H1289" s="2" t="str">
        <f>Tabella1[[#This Row],[Denominazione]]&amp;" - "&amp;Tabella1[[#This Row],[Città]]</f>
        <v>B&amp;B I CUCALI - PORTO RECANATI</v>
      </c>
    </row>
    <row r="1290" spans="1:8" x14ac:dyDescent="0.25">
      <c r="A1290" s="1" t="s">
        <v>29</v>
      </c>
      <c r="B1290" s="1" t="s">
        <v>3957</v>
      </c>
      <c r="C1290" s="1" t="s">
        <v>3958</v>
      </c>
      <c r="D1290" s="1" t="s">
        <v>2386</v>
      </c>
      <c r="F1290" s="1" t="s">
        <v>3959</v>
      </c>
      <c r="G1290" s="1" t="s">
        <v>3960</v>
      </c>
      <c r="H1290" s="2" t="str">
        <f>Tabella1[[#This Row],[Denominazione]]&amp;" - "&amp;Tabella1[[#This Row],[Città]]</f>
        <v>B&amp;B I FIORI DELLA CAVA - PESARO</v>
      </c>
    </row>
    <row r="1291" spans="1:8" x14ac:dyDescent="0.25">
      <c r="A1291" s="1" t="s">
        <v>29</v>
      </c>
      <c r="B1291" s="1" t="s">
        <v>15814</v>
      </c>
      <c r="C1291" s="1" t="s">
        <v>15815</v>
      </c>
      <c r="D1291" s="1" t="s">
        <v>15585</v>
      </c>
      <c r="E1291" s="1" t="s">
        <v>15585</v>
      </c>
      <c r="G1291" s="1" t="s">
        <v>15816</v>
      </c>
      <c r="H1291" s="2" t="str">
        <f>Tabella1[[#This Row],[Denominazione]]&amp;" - "&amp;Tabella1[[#This Row],[Città]]</f>
        <v>B&amp;B I GIRASOLI di ANTONINI DANIELA - GROTTAMMARE</v>
      </c>
    </row>
    <row r="1292" spans="1:8" x14ac:dyDescent="0.25">
      <c r="A1292" s="1" t="s">
        <v>29</v>
      </c>
      <c r="B1292" s="1" t="s">
        <v>7529</v>
      </c>
      <c r="C1292" s="1" t="s">
        <v>7530</v>
      </c>
      <c r="D1292" s="1" t="s">
        <v>7385</v>
      </c>
      <c r="G1292" s="1" t="s">
        <v>7531</v>
      </c>
      <c r="H1292" s="2" t="str">
        <f>Tabella1[[#This Row],[Denominazione]]&amp;" - "&amp;Tabella1[[#This Row],[Città]]</f>
        <v>B&amp;B I TRE BASSOTTI - LORETO</v>
      </c>
    </row>
    <row r="1293" spans="1:8" x14ac:dyDescent="0.25">
      <c r="A1293" s="1" t="s">
        <v>29</v>
      </c>
      <c r="B1293" s="1" t="s">
        <v>12281</v>
      </c>
      <c r="C1293" s="1" t="s">
        <v>12282</v>
      </c>
      <c r="D1293" s="1" t="s">
        <v>12208</v>
      </c>
      <c r="H1293" s="2" t="str">
        <f>Tabella1[[#This Row],[Denominazione]]&amp;" - "&amp;Tabella1[[#This Row],[Città]]</f>
        <v>B&amp;B I TRE CILIEGI - MATELICA</v>
      </c>
    </row>
    <row r="1294" spans="1:8" x14ac:dyDescent="0.25">
      <c r="A1294" s="1" t="s">
        <v>29</v>
      </c>
      <c r="B1294" s="1" t="s">
        <v>5998</v>
      </c>
      <c r="C1294" s="1" t="s">
        <v>5999</v>
      </c>
      <c r="D1294" s="1" t="s">
        <v>1864</v>
      </c>
      <c r="F1294" s="1" t="s">
        <v>6000</v>
      </c>
      <c r="G1294" s="1" t="s">
        <v>6001</v>
      </c>
      <c r="H1294" s="2" t="str">
        <f>Tabella1[[#This Row],[Denominazione]]&amp;" - "&amp;Tabella1[[#This Row],[Città]]</f>
        <v>B&amp;B I TRE GELSI - ANCONA</v>
      </c>
    </row>
    <row r="1295" spans="1:8" x14ac:dyDescent="0.25">
      <c r="A1295" s="1" t="s">
        <v>29</v>
      </c>
      <c r="B1295" s="1" t="s">
        <v>7171</v>
      </c>
      <c r="C1295" s="1" t="s">
        <v>7172</v>
      </c>
      <c r="D1295" s="1" t="s">
        <v>7161</v>
      </c>
      <c r="E1295" s="1" t="s">
        <v>7161</v>
      </c>
      <c r="F1295" s="1" t="s">
        <v>7173</v>
      </c>
      <c r="G1295" s="1" t="s">
        <v>7174</v>
      </c>
      <c r="H1295" s="2" t="str">
        <f>Tabella1[[#This Row],[Denominazione]]&amp;" - "&amp;Tabella1[[#This Row],[Città]]</f>
        <v>B&amp;B I TRE PULCINI - FILOTTRANO</v>
      </c>
    </row>
    <row r="1296" spans="1:8" x14ac:dyDescent="0.25">
      <c r="A1296" s="1" t="s">
        <v>29</v>
      </c>
      <c r="B1296" s="1" t="s">
        <v>6024</v>
      </c>
      <c r="C1296" s="1" t="s">
        <v>6025</v>
      </c>
      <c r="D1296" s="1" t="s">
        <v>1864</v>
      </c>
      <c r="E1296" s="1" t="s">
        <v>6026</v>
      </c>
      <c r="F1296" s="1" t="s">
        <v>6027</v>
      </c>
      <c r="G1296" s="1" t="s">
        <v>6028</v>
      </c>
      <c r="H1296" s="2" t="str">
        <f>Tabella1[[#This Row],[Denominazione]]&amp;" - "&amp;Tabella1[[#This Row],[Città]]</f>
        <v>B&amp;B I TRINCI - ANCONA</v>
      </c>
    </row>
    <row r="1297" spans="1:8" x14ac:dyDescent="0.25">
      <c r="A1297" s="1" t="s">
        <v>29</v>
      </c>
      <c r="B1297" s="1" t="s">
        <v>16928</v>
      </c>
      <c r="C1297" s="1" t="s">
        <v>16929</v>
      </c>
      <c r="D1297" s="1" t="s">
        <v>15819</v>
      </c>
      <c r="F1297" s="1" t="s">
        <v>16930</v>
      </c>
      <c r="G1297" s="1" t="s">
        <v>16931</v>
      </c>
      <c r="H1297" s="2" t="str">
        <f>Tabella1[[#This Row],[Denominazione]]&amp;" - "&amp;Tabella1[[#This Row],[Città]]</f>
        <v>B&amp;B IDIANA - SAN BENEDETTO DEL TRONTO</v>
      </c>
    </row>
    <row r="1298" spans="1:8" x14ac:dyDescent="0.25">
      <c r="A1298" s="1" t="s">
        <v>29</v>
      </c>
      <c r="B1298" s="1" t="s">
        <v>6729</v>
      </c>
      <c r="C1298" s="1" t="s">
        <v>6730</v>
      </c>
      <c r="D1298" s="1" t="s">
        <v>6652</v>
      </c>
      <c r="E1298" s="1" t="s">
        <v>6652</v>
      </c>
      <c r="F1298" s="1" t="s">
        <v>6731</v>
      </c>
      <c r="G1298" s="1" t="s">
        <v>6732</v>
      </c>
      <c r="H1298" s="2" t="str">
        <f>Tabella1[[#This Row],[Denominazione]]&amp;" - "&amp;Tabella1[[#This Row],[Città]]</f>
        <v>B&amp;B IL BACO - CUPRAMONTANA</v>
      </c>
    </row>
    <row r="1299" spans="1:8" x14ac:dyDescent="0.25">
      <c r="A1299" s="1" t="s">
        <v>29</v>
      </c>
      <c r="B1299" s="1" t="s">
        <v>11416</v>
      </c>
      <c r="C1299" s="1" t="s">
        <v>11417</v>
      </c>
      <c r="D1299" s="1" t="s">
        <v>11244</v>
      </c>
      <c r="E1299" s="1" t="s">
        <v>11244</v>
      </c>
      <c r="G1299" s="1" t="s">
        <v>11418</v>
      </c>
      <c r="H1299" s="2" t="str">
        <f>Tabella1[[#This Row],[Denominazione]]&amp;" - "&amp;Tabella1[[#This Row],[Città]]</f>
        <v>B&amp;B IL BAIOCCO - CIVITANOVA MARCHE</v>
      </c>
    </row>
    <row r="1300" spans="1:8" x14ac:dyDescent="0.25">
      <c r="A1300" s="1" t="s">
        <v>29</v>
      </c>
      <c r="B1300" s="1" t="s">
        <v>14772</v>
      </c>
      <c r="C1300" s="1" t="s">
        <v>14773</v>
      </c>
      <c r="D1300" s="1" t="s">
        <v>14576</v>
      </c>
      <c r="E1300" s="1" t="s">
        <v>14582</v>
      </c>
      <c r="F1300" s="1" t="s">
        <v>14774</v>
      </c>
      <c r="G1300" s="1" t="s">
        <v>14775</v>
      </c>
      <c r="H1300" s="2" t="str">
        <f>Tabella1[[#This Row],[Denominazione]]&amp;" - "&amp;Tabella1[[#This Row],[Città]]</f>
        <v>B&amp;B IL BATTISTERO di FIORAVANTI EUROSIA - ASCOLI PICENO</v>
      </c>
    </row>
    <row r="1301" spans="1:8" x14ac:dyDescent="0.25">
      <c r="A1301" s="1" t="s">
        <v>29</v>
      </c>
      <c r="B1301" s="1" t="s">
        <v>1719</v>
      </c>
      <c r="C1301" s="1" t="s">
        <v>1720</v>
      </c>
      <c r="D1301" s="1" t="s">
        <v>1653</v>
      </c>
      <c r="E1301" s="1" t="s">
        <v>1653</v>
      </c>
      <c r="G1301" s="1" t="s">
        <v>1721</v>
      </c>
      <c r="H1301" s="2" t="str">
        <f>Tabella1[[#This Row],[Denominazione]]&amp;" - "&amp;Tabella1[[#This Row],[Città]]</f>
        <v>B&amp;B IL BICICLO - FERMIGNANO</v>
      </c>
    </row>
    <row r="1302" spans="1:8" x14ac:dyDescent="0.25">
      <c r="A1302" s="1" t="s">
        <v>29</v>
      </c>
      <c r="B1302" s="1" t="s">
        <v>4270</v>
      </c>
      <c r="C1302" s="1" t="s">
        <v>4271</v>
      </c>
      <c r="D1302" s="1" t="s">
        <v>4272</v>
      </c>
      <c r="E1302" s="1" t="s">
        <v>4273</v>
      </c>
      <c r="G1302" s="1" t="s">
        <v>4274</v>
      </c>
      <c r="H1302" s="2" t="str">
        <f>Tabella1[[#This Row],[Denominazione]]&amp;" - "&amp;Tabella1[[#This Row],[Città]]</f>
        <v>B&amp;B IL BORGHETTO - SAN COSTANZO</v>
      </c>
    </row>
    <row r="1303" spans="1:8" x14ac:dyDescent="0.25">
      <c r="A1303" s="1" t="s">
        <v>29</v>
      </c>
      <c r="B1303" s="1" t="s">
        <v>4270</v>
      </c>
      <c r="C1303" s="1" t="s">
        <v>11882</v>
      </c>
      <c r="D1303" s="1" t="s">
        <v>11883</v>
      </c>
      <c r="E1303" s="1" t="s">
        <v>11883</v>
      </c>
      <c r="G1303" s="1" t="s">
        <v>11884</v>
      </c>
      <c r="H1303" s="2" t="str">
        <f>Tabella1[[#This Row],[Denominazione]]&amp;" - "&amp;Tabella1[[#This Row],[Città]]</f>
        <v>B&amp;B IL BORGHETTO - GUALDO</v>
      </c>
    </row>
    <row r="1304" spans="1:8" x14ac:dyDescent="0.25">
      <c r="A1304" s="1" t="s">
        <v>29</v>
      </c>
      <c r="B1304" s="1" t="s">
        <v>2767</v>
      </c>
      <c r="C1304" s="1" t="s">
        <v>2768</v>
      </c>
      <c r="D1304" s="1" t="s">
        <v>2729</v>
      </c>
      <c r="G1304" s="1" t="s">
        <v>2769</v>
      </c>
      <c r="H1304" s="2" t="str">
        <f>Tabella1[[#This Row],[Denominazione]]&amp;" - "&amp;Tabella1[[#This Row],[Città]]</f>
        <v>B&amp;B IL BORGHETTO DI SOTTO - MONDAVIO</v>
      </c>
    </row>
    <row r="1305" spans="1:8" x14ac:dyDescent="0.25">
      <c r="A1305" s="1" t="s">
        <v>29</v>
      </c>
      <c r="B1305" s="1" t="s">
        <v>194</v>
      </c>
      <c r="C1305" s="1" t="s">
        <v>195</v>
      </c>
      <c r="D1305" s="1" t="s">
        <v>102</v>
      </c>
      <c r="E1305" s="1" t="s">
        <v>102</v>
      </c>
      <c r="G1305" s="1" t="s">
        <v>196</v>
      </c>
      <c r="H1305" s="2" t="str">
        <f>Tabella1[[#This Row],[Denominazione]]&amp;" - "&amp;Tabella1[[#This Row],[Città]]</f>
        <v>B&amp;B IL BORGO - APECCHIO</v>
      </c>
    </row>
    <row r="1306" spans="1:8" x14ac:dyDescent="0.25">
      <c r="A1306" s="1" t="s">
        <v>29</v>
      </c>
      <c r="B1306" s="1" t="s">
        <v>194</v>
      </c>
      <c r="C1306" s="1" t="s">
        <v>2674</v>
      </c>
      <c r="D1306" s="1" t="s">
        <v>2672</v>
      </c>
      <c r="E1306" s="1" t="s">
        <v>2675</v>
      </c>
      <c r="H1306" s="2" t="str">
        <f>Tabella1[[#This Row],[Denominazione]]&amp;" - "&amp;Tabella1[[#This Row],[Città]]</f>
        <v>B&amp;B IL BORGO - MERCATINO CONCA</v>
      </c>
    </row>
    <row r="1307" spans="1:8" x14ac:dyDescent="0.25">
      <c r="A1307" s="1" t="s">
        <v>29</v>
      </c>
      <c r="B1307" s="1" t="s">
        <v>194</v>
      </c>
      <c r="C1307" s="1" t="s">
        <v>8523</v>
      </c>
      <c r="D1307" s="1" t="s">
        <v>8454</v>
      </c>
      <c r="E1307" s="1" t="s">
        <v>8454</v>
      </c>
      <c r="F1307" s="1" t="s">
        <v>8524</v>
      </c>
      <c r="G1307" s="1" t="s">
        <v>8525</v>
      </c>
      <c r="H1307" s="2" t="str">
        <f>Tabella1[[#This Row],[Denominazione]]&amp;" - "&amp;Tabella1[[#This Row],[Città]]</f>
        <v>B&amp;B IL BORGO - OSIMO</v>
      </c>
    </row>
    <row r="1308" spans="1:8" x14ac:dyDescent="0.25">
      <c r="A1308" s="1" t="s">
        <v>29</v>
      </c>
      <c r="B1308" s="1" t="s">
        <v>194</v>
      </c>
      <c r="C1308" s="1" t="s">
        <v>14291</v>
      </c>
      <c r="D1308" s="1" t="s">
        <v>14276</v>
      </c>
      <c r="G1308" s="1" t="s">
        <v>14292</v>
      </c>
      <c r="H1308" s="2" t="str">
        <f>Tabella1[[#This Row],[Denominazione]]&amp;" - "&amp;Tabella1[[#This Row],[Città]]</f>
        <v>B&amp;B IL BORGO - VISSO</v>
      </c>
    </row>
    <row r="1309" spans="1:8" x14ac:dyDescent="0.25">
      <c r="A1309" s="1" t="s">
        <v>29</v>
      </c>
      <c r="B1309" s="1" t="s">
        <v>19327</v>
      </c>
      <c r="C1309" s="1" t="s">
        <v>19328</v>
      </c>
      <c r="D1309" s="1" t="s">
        <v>19283</v>
      </c>
      <c r="F1309" s="1" t="s">
        <v>19329</v>
      </c>
      <c r="G1309" s="1" t="s">
        <v>19330</v>
      </c>
      <c r="H1309" s="2" t="str">
        <f>Tabella1[[#This Row],[Denominazione]]&amp;" - "&amp;Tabella1[[#This Row],[Città]]</f>
        <v>B&amp;B IL BOSCHETTO - PORTO SANT'ELPIDIO</v>
      </c>
    </row>
    <row r="1310" spans="1:8" x14ac:dyDescent="0.25">
      <c r="A1310" s="1" t="s">
        <v>29</v>
      </c>
      <c r="B1310" s="1" t="s">
        <v>5933</v>
      </c>
      <c r="C1310" s="1" t="s">
        <v>5934</v>
      </c>
      <c r="D1310" s="1" t="s">
        <v>1864</v>
      </c>
      <c r="E1310" s="1" t="s">
        <v>5712</v>
      </c>
      <c r="G1310" s="1" t="s">
        <v>5935</v>
      </c>
      <c r="H1310" s="2" t="str">
        <f>Tabella1[[#This Row],[Denominazione]]&amp;" - "&amp;Tabella1[[#This Row],[Città]]</f>
        <v>B&amp;B IL BOSCO DEGLI ALLORI - ANCONA</v>
      </c>
    </row>
    <row r="1311" spans="1:8" x14ac:dyDescent="0.25">
      <c r="A1311" s="1" t="s">
        <v>29</v>
      </c>
      <c r="B1311" s="1" t="s">
        <v>2724</v>
      </c>
      <c r="C1311" s="1" t="s">
        <v>2725</v>
      </c>
      <c r="D1311" s="1" t="s">
        <v>2678</v>
      </c>
      <c r="E1311" s="1" t="s">
        <v>2678</v>
      </c>
      <c r="G1311" s="1" t="s">
        <v>2726</v>
      </c>
      <c r="H1311" s="2" t="str">
        <f>Tabella1[[#This Row],[Denominazione]]&amp;" - "&amp;Tabella1[[#This Row],[Città]]</f>
        <v>B&amp;B IL BOSCO DEI CICLAMINI - MOMBAROCCIO</v>
      </c>
    </row>
    <row r="1312" spans="1:8" x14ac:dyDescent="0.25">
      <c r="A1312" s="1" t="s">
        <v>29</v>
      </c>
      <c r="B1312" s="1" t="s">
        <v>6843</v>
      </c>
      <c r="C1312" s="1" t="s">
        <v>6844</v>
      </c>
      <c r="D1312" s="1" t="s">
        <v>6790</v>
      </c>
      <c r="E1312" s="1" t="s">
        <v>6790</v>
      </c>
      <c r="H1312" s="2" t="str">
        <f>Tabella1[[#This Row],[Denominazione]]&amp;" - "&amp;Tabella1[[#This Row],[Città]]</f>
        <v>B&amp;B IL BOSCO DI VALARGUE - FABRIANO</v>
      </c>
    </row>
    <row r="1313" spans="1:8" x14ac:dyDescent="0.25">
      <c r="A1313" s="1" t="s">
        <v>29</v>
      </c>
      <c r="B1313" s="1" t="s">
        <v>617</v>
      </c>
      <c r="C1313" s="1" t="s">
        <v>618</v>
      </c>
      <c r="D1313" s="1" t="s">
        <v>579</v>
      </c>
      <c r="E1313" s="1" t="s">
        <v>579</v>
      </c>
      <c r="F1313" s="1" t="s">
        <v>619</v>
      </c>
      <c r="G1313" s="1" t="s">
        <v>620</v>
      </c>
      <c r="H1313" s="2" t="str">
        <f>Tabella1[[#This Row],[Denominazione]]&amp;" - "&amp;Tabella1[[#This Row],[Città]]</f>
        <v>B&amp;B IL BUGHETTO - CARPEGNA</v>
      </c>
    </row>
    <row r="1314" spans="1:8" x14ac:dyDescent="0.25">
      <c r="A1314" s="1" t="s">
        <v>29</v>
      </c>
      <c r="B1314" s="1" t="s">
        <v>16198</v>
      </c>
      <c r="C1314" s="1" t="s">
        <v>16199</v>
      </c>
      <c r="D1314" s="1" t="s">
        <v>16165</v>
      </c>
      <c r="E1314" s="1" t="s">
        <v>16165</v>
      </c>
      <c r="H1314" s="2" t="str">
        <f>Tabella1[[#This Row],[Denominazione]]&amp;" - "&amp;Tabella1[[#This Row],[Città]]</f>
        <v>B&amp;B IL CAMPANILE - MONTEDINOVE</v>
      </c>
    </row>
    <row r="1315" spans="1:8" x14ac:dyDescent="0.25">
      <c r="A1315" s="1" t="s">
        <v>29</v>
      </c>
      <c r="B1315" s="1" t="s">
        <v>5235</v>
      </c>
      <c r="C1315" s="1" t="s">
        <v>5236</v>
      </c>
      <c r="D1315" s="1" t="s">
        <v>9</v>
      </c>
      <c r="E1315" s="1" t="s">
        <v>9</v>
      </c>
      <c r="H1315" s="2" t="str">
        <f>Tabella1[[#This Row],[Denominazione]]&amp;" - "&amp;Tabella1[[#This Row],[Città]]</f>
        <v>B&amp;B IL CAMPO DEGLI OLIVI - URBINO</v>
      </c>
    </row>
    <row r="1316" spans="1:8" x14ac:dyDescent="0.25">
      <c r="A1316" s="1" t="s">
        <v>29</v>
      </c>
      <c r="B1316" s="1" t="s">
        <v>11456</v>
      </c>
      <c r="C1316" s="1" t="s">
        <v>11457</v>
      </c>
      <c r="D1316" s="1" t="s">
        <v>11244</v>
      </c>
      <c r="G1316" s="1" t="s">
        <v>11458</v>
      </c>
      <c r="H1316" s="2" t="str">
        <f>Tabella1[[#This Row],[Denominazione]]&amp;" - "&amp;Tabella1[[#This Row],[Città]]</f>
        <v>B&amp;B IL CANTASTORIE - CIVITANOVA MARCHE</v>
      </c>
    </row>
    <row r="1317" spans="1:8" x14ac:dyDescent="0.25">
      <c r="A1317" s="1" t="s">
        <v>29</v>
      </c>
      <c r="B1317" s="1" t="s">
        <v>14281</v>
      </c>
      <c r="C1317" s="1" t="s">
        <v>14282</v>
      </c>
      <c r="D1317" s="1" t="s">
        <v>14276</v>
      </c>
      <c r="F1317" s="1" t="s">
        <v>14283</v>
      </c>
      <c r="G1317" s="1" t="s">
        <v>14284</v>
      </c>
      <c r="H1317" s="2" t="str">
        <f>Tabella1[[#This Row],[Denominazione]]&amp;" - "&amp;Tabella1[[#This Row],[Città]]</f>
        <v>B&amp;B IL CANTO DEL NERA - VISSO</v>
      </c>
    </row>
    <row r="1318" spans="1:8" x14ac:dyDescent="0.25">
      <c r="A1318" s="1" t="s">
        <v>29</v>
      </c>
      <c r="B1318" s="1" t="s">
        <v>13579</v>
      </c>
      <c r="C1318" s="1" t="s">
        <v>13580</v>
      </c>
      <c r="D1318" s="1" t="s">
        <v>13548</v>
      </c>
      <c r="E1318" s="1" t="s">
        <v>13581</v>
      </c>
      <c r="G1318" s="1" t="s">
        <v>13582</v>
      </c>
      <c r="H1318" s="2" t="str">
        <f>Tabella1[[#This Row],[Denominazione]]&amp;" - "&amp;Tabella1[[#This Row],[Città]]</f>
        <v>B&amp;B IL CANTUCCIO - SAN SEVERINO MARCHE</v>
      </c>
    </row>
    <row r="1319" spans="1:8" x14ac:dyDescent="0.25">
      <c r="A1319" s="1" t="s">
        <v>29</v>
      </c>
      <c r="B1319" s="1" t="s">
        <v>2689</v>
      </c>
      <c r="C1319" s="1" t="s">
        <v>2690</v>
      </c>
      <c r="D1319" s="1" t="s">
        <v>2678</v>
      </c>
      <c r="E1319" s="1" t="s">
        <v>2691</v>
      </c>
      <c r="F1319" s="1" t="s">
        <v>2692</v>
      </c>
      <c r="G1319" s="1" t="s">
        <v>2693</v>
      </c>
      <c r="H1319" s="2" t="str">
        <f>Tabella1[[#This Row],[Denominazione]]&amp;" - "&amp;Tabella1[[#This Row],[Città]]</f>
        <v>B&amp;B IL CASALE - MOMBAROCCIO</v>
      </c>
    </row>
    <row r="1320" spans="1:8" x14ac:dyDescent="0.25">
      <c r="A1320" s="1" t="s">
        <v>29</v>
      </c>
      <c r="B1320" s="1" t="s">
        <v>13959</v>
      </c>
      <c r="D1320" s="1" t="s">
        <v>13946</v>
      </c>
      <c r="E1320" s="1" t="s">
        <v>13946</v>
      </c>
      <c r="F1320" s="1" t="s">
        <v>13960</v>
      </c>
      <c r="G1320" s="1" t="s">
        <v>13961</v>
      </c>
      <c r="H1320" s="2" t="str">
        <f>Tabella1[[#This Row],[Denominazione]]&amp;" - "&amp;Tabella1[[#This Row],[Città]]</f>
        <v>B&amp;B IL CASALE DEGLI INCANTI - TOLENTINO</v>
      </c>
    </row>
    <row r="1321" spans="1:8" x14ac:dyDescent="0.25">
      <c r="A1321" s="1" t="s">
        <v>29</v>
      </c>
      <c r="B1321" s="1" t="s">
        <v>4882</v>
      </c>
      <c r="C1321" s="1" t="s">
        <v>4883</v>
      </c>
      <c r="D1321" s="1" t="s">
        <v>9</v>
      </c>
      <c r="E1321" s="1" t="s">
        <v>4884</v>
      </c>
      <c r="F1321" s="1" t="s">
        <v>4885</v>
      </c>
      <c r="G1321" s="1" t="s">
        <v>4886</v>
      </c>
      <c r="H1321" s="2" t="str">
        <f>Tabella1[[#This Row],[Denominazione]]&amp;" - "&amp;Tabella1[[#This Row],[Città]]</f>
        <v>B&amp;B IL CASALE DEL DUCA - URBINO</v>
      </c>
    </row>
    <row r="1322" spans="1:8" x14ac:dyDescent="0.25">
      <c r="A1322" s="1" t="s">
        <v>29</v>
      </c>
      <c r="B1322" s="1" t="s">
        <v>8669</v>
      </c>
      <c r="C1322" s="1" t="s">
        <v>8670</v>
      </c>
      <c r="D1322" s="1" t="s">
        <v>8608</v>
      </c>
      <c r="G1322" s="1" t="s">
        <v>8671</v>
      </c>
      <c r="H1322" s="2" t="str">
        <f>Tabella1[[#This Row],[Denominazione]]&amp;" - "&amp;Tabella1[[#This Row],[Città]]</f>
        <v>B&amp;B IL CASALE DEL SOLE - OSTRA</v>
      </c>
    </row>
    <row r="1323" spans="1:8" x14ac:dyDescent="0.25">
      <c r="A1323" s="1" t="s">
        <v>29</v>
      </c>
      <c r="B1323" s="1" t="s">
        <v>1318</v>
      </c>
      <c r="C1323" s="1" t="s">
        <v>1319</v>
      </c>
      <c r="D1323" s="1" t="s">
        <v>682</v>
      </c>
      <c r="E1323" s="1" t="s">
        <v>1320</v>
      </c>
      <c r="G1323" s="1" t="s">
        <v>1321</v>
      </c>
      <c r="H1323" s="2" t="str">
        <f>Tabella1[[#This Row],[Denominazione]]&amp;" - "&amp;Tabella1[[#This Row],[Città]]</f>
        <v>B&amp;B IL CASALE DI GIOVE - FANO</v>
      </c>
    </row>
    <row r="1324" spans="1:8" x14ac:dyDescent="0.25">
      <c r="A1324" s="1" t="s">
        <v>29</v>
      </c>
      <c r="B1324" s="1" t="s">
        <v>12656</v>
      </c>
      <c r="C1324" s="1" t="s">
        <v>12657</v>
      </c>
      <c r="D1324" s="1" t="s">
        <v>12635</v>
      </c>
      <c r="E1324" s="1" t="s">
        <v>12635</v>
      </c>
      <c r="G1324" s="1" t="s">
        <v>12658</v>
      </c>
      <c r="H1324" s="2" t="str">
        <f>Tabella1[[#This Row],[Denominazione]]&amp;" - "&amp;Tabella1[[#This Row],[Città]]</f>
        <v>B&amp;B IL CASALE DI NANNI - PENNA SAN GIOVANNI</v>
      </c>
    </row>
    <row r="1325" spans="1:8" x14ac:dyDescent="0.25">
      <c r="A1325" s="1" t="s">
        <v>29</v>
      </c>
      <c r="B1325" s="1" t="s">
        <v>12457</v>
      </c>
      <c r="C1325" s="1" t="s">
        <v>12458</v>
      </c>
      <c r="D1325" s="1" t="s">
        <v>12459</v>
      </c>
      <c r="F1325" s="1" t="s">
        <v>12460</v>
      </c>
      <c r="G1325" s="1" t="s">
        <v>12461</v>
      </c>
      <c r="H1325" s="2" t="str">
        <f>Tabella1[[#This Row],[Denominazione]]&amp;" - "&amp;Tabella1[[#This Row],[Città]]</f>
        <v>B&amp;B IL CASONE - MONTELUPONE</v>
      </c>
    </row>
    <row r="1326" spans="1:8" x14ac:dyDescent="0.25">
      <c r="A1326" s="1" t="s">
        <v>29</v>
      </c>
      <c r="B1326" s="1" t="s">
        <v>14332</v>
      </c>
      <c r="C1326" s="1" t="s">
        <v>14333</v>
      </c>
      <c r="D1326" s="1" t="s">
        <v>14334</v>
      </c>
      <c r="E1326" s="1" t="s">
        <v>14334</v>
      </c>
      <c r="G1326" s="1" t="s">
        <v>14335</v>
      </c>
      <c r="H1326" s="2" t="str">
        <f>Tabella1[[#This Row],[Denominazione]]&amp;" - "&amp;Tabella1[[#This Row],[Città]]</f>
        <v>B&amp;B IL CASTELLANO - ACQUASANTA TERME</v>
      </c>
    </row>
    <row r="1327" spans="1:8" x14ac:dyDescent="0.25">
      <c r="A1327" s="1" t="s">
        <v>29</v>
      </c>
      <c r="B1327" s="1" t="s">
        <v>7127</v>
      </c>
      <c r="C1327" s="1" t="s">
        <v>7128</v>
      </c>
      <c r="D1327" s="1" t="s">
        <v>5735</v>
      </c>
      <c r="E1327" s="1" t="s">
        <v>7129</v>
      </c>
      <c r="G1327" s="1" t="s">
        <v>7130</v>
      </c>
      <c r="H1327" s="2" t="str">
        <f>Tabella1[[#This Row],[Denominazione]]&amp;" - "&amp;Tabella1[[#This Row],[Città]]</f>
        <v>B&amp;B IL CASTELLO - FALCONARA MARITTIMA</v>
      </c>
    </row>
    <row r="1328" spans="1:8" x14ac:dyDescent="0.25">
      <c r="A1328" s="1" t="s">
        <v>29</v>
      </c>
      <c r="B1328" s="1" t="s">
        <v>7127</v>
      </c>
      <c r="C1328" s="1" t="s">
        <v>11848</v>
      </c>
      <c r="D1328" s="1" t="s">
        <v>11849</v>
      </c>
      <c r="E1328" s="1" t="s">
        <v>11850</v>
      </c>
      <c r="F1328" s="1" t="s">
        <v>11851</v>
      </c>
      <c r="G1328" s="1" t="s">
        <v>11852</v>
      </c>
      <c r="H1328" s="2" t="str">
        <f>Tabella1[[#This Row],[Denominazione]]&amp;" - "&amp;Tabella1[[#This Row],[Città]]</f>
        <v>B&amp;B IL CASTELLO - FIORDIMONTE</v>
      </c>
    </row>
    <row r="1329" spans="1:8" x14ac:dyDescent="0.25">
      <c r="A1329" s="1" t="s">
        <v>29</v>
      </c>
      <c r="B1329" s="1" t="s">
        <v>7127</v>
      </c>
      <c r="C1329" s="1" t="s">
        <v>16254</v>
      </c>
      <c r="D1329" s="1" t="s">
        <v>16202</v>
      </c>
      <c r="G1329" s="1" t="s">
        <v>16255</v>
      </c>
      <c r="H1329" s="2" t="str">
        <f>Tabella1[[#This Row],[Denominazione]]&amp;" - "&amp;Tabella1[[#This Row],[Città]]</f>
        <v>B&amp;B IL CASTELLO - MONTEFIORE DELL'ASO</v>
      </c>
    </row>
    <row r="1330" spans="1:8" x14ac:dyDescent="0.25">
      <c r="A1330" s="1" t="s">
        <v>29</v>
      </c>
      <c r="B1330" s="1" t="s">
        <v>13733</v>
      </c>
      <c r="C1330" s="1" t="s">
        <v>13734</v>
      </c>
      <c r="D1330" s="1" t="s">
        <v>13548</v>
      </c>
      <c r="E1330" s="1" t="s">
        <v>13548</v>
      </c>
      <c r="F1330" s="1" t="s">
        <v>13735</v>
      </c>
      <c r="G1330" s="1" t="s">
        <v>13736</v>
      </c>
      <c r="H1330" s="2" t="str">
        <f>Tabella1[[#This Row],[Denominazione]]&amp;" - "&amp;Tabella1[[#This Row],[Città]]</f>
        <v>B&amp;B IL CAVALLINO BIANCO - SAN SEVERINO MARCHE</v>
      </c>
    </row>
    <row r="1331" spans="1:8" x14ac:dyDescent="0.25">
      <c r="A1331" s="1" t="s">
        <v>29</v>
      </c>
      <c r="B1331" s="1" t="s">
        <v>13733</v>
      </c>
      <c r="C1331" s="1" t="s">
        <v>13427</v>
      </c>
      <c r="D1331" s="1" t="s">
        <v>14510</v>
      </c>
      <c r="E1331" s="1" t="s">
        <v>14510</v>
      </c>
      <c r="F1331" s="1" t="s">
        <v>14545</v>
      </c>
      <c r="G1331" s="1" t="s">
        <v>14544</v>
      </c>
      <c r="H1331" s="2" t="str">
        <f>Tabella1[[#This Row],[Denominazione]]&amp;" - "&amp;Tabella1[[#This Row],[Città]]</f>
        <v>B&amp;B IL CAVALLINO BIANCO - ARQUATA DEL TRONTO</v>
      </c>
    </row>
    <row r="1332" spans="1:8" x14ac:dyDescent="0.25">
      <c r="A1332" s="1" t="s">
        <v>29</v>
      </c>
      <c r="B1332" s="1" t="s">
        <v>5767</v>
      </c>
      <c r="C1332" s="1" t="s">
        <v>5768</v>
      </c>
      <c r="D1332" s="1" t="s">
        <v>1864</v>
      </c>
      <c r="E1332" s="1" t="s">
        <v>1864</v>
      </c>
      <c r="F1332" s="1" t="s">
        <v>5769</v>
      </c>
      <c r="G1332" s="1" t="s">
        <v>5770</v>
      </c>
      <c r="H1332" s="2" t="str">
        <f>Tabella1[[#This Row],[Denominazione]]&amp;" - "&amp;Tabella1[[#This Row],[Città]]</f>
        <v>B&amp;B IL CENTRO - ANCONA</v>
      </c>
    </row>
    <row r="1333" spans="1:8" x14ac:dyDescent="0.25">
      <c r="A1333" s="1" t="s">
        <v>29</v>
      </c>
      <c r="B1333" s="1" t="s">
        <v>19596</v>
      </c>
      <c r="C1333" s="1" t="s">
        <v>19597</v>
      </c>
      <c r="D1333" s="1" t="s">
        <v>19541</v>
      </c>
      <c r="F1333" s="1" t="s">
        <v>19598</v>
      </c>
      <c r="G1333" s="1" t="s">
        <v>19599</v>
      </c>
      <c r="H1333" s="2" t="str">
        <f>Tabella1[[#This Row],[Denominazione]]&amp;" - "&amp;Tabella1[[#This Row],[Città]]</f>
        <v>B&amp;B IL CHIARO DI LUNA - SANT'ELPIDIO A MARE</v>
      </c>
    </row>
    <row r="1334" spans="1:8" x14ac:dyDescent="0.25">
      <c r="A1334" s="1" t="s">
        <v>29</v>
      </c>
      <c r="B1334" s="1" t="s">
        <v>14866</v>
      </c>
      <c r="C1334" s="1" t="s">
        <v>14867</v>
      </c>
      <c r="D1334" s="1" t="s">
        <v>14576</v>
      </c>
      <c r="E1334" s="1" t="s">
        <v>14576</v>
      </c>
      <c r="F1334" s="1" t="s">
        <v>14868</v>
      </c>
      <c r="G1334" s="1" t="s">
        <v>14869</v>
      </c>
      <c r="H1334" s="2" t="str">
        <f>Tabella1[[#This Row],[Denominazione]]&amp;" - "&amp;Tabella1[[#This Row],[Città]]</f>
        <v>B&amp;B IL CICLAMINO - ASCOLI PICENO</v>
      </c>
    </row>
    <row r="1335" spans="1:8" x14ac:dyDescent="0.25">
      <c r="A1335" s="1" t="s">
        <v>29</v>
      </c>
      <c r="B1335" s="1" t="s">
        <v>16998</v>
      </c>
      <c r="C1335" s="1" t="s">
        <v>16999</v>
      </c>
      <c r="D1335" s="1" t="s">
        <v>15819</v>
      </c>
      <c r="E1335" s="1" t="s">
        <v>15819</v>
      </c>
      <c r="F1335" s="1" t="s">
        <v>17000</v>
      </c>
      <c r="G1335" s="1" t="s">
        <v>17001</v>
      </c>
      <c r="H1335" s="2" t="str">
        <f>Tabella1[[#This Row],[Denominazione]]&amp;" - "&amp;Tabella1[[#This Row],[Città]]</f>
        <v>B&amp;B IL CIELO IN UNA STANZA - SAN BENEDETTO DEL TRONTO</v>
      </c>
    </row>
    <row r="1336" spans="1:8" x14ac:dyDescent="0.25">
      <c r="A1336" s="1" t="s">
        <v>29</v>
      </c>
      <c r="B1336" s="1" t="s">
        <v>19331</v>
      </c>
      <c r="C1336" s="1" t="s">
        <v>19332</v>
      </c>
      <c r="D1336" s="1" t="s">
        <v>19283</v>
      </c>
      <c r="F1336" s="1" t="s">
        <v>19333</v>
      </c>
      <c r="G1336" s="1" t="s">
        <v>19330</v>
      </c>
      <c r="H1336" s="2" t="str">
        <f>Tabella1[[#This Row],[Denominazione]]&amp;" - "&amp;Tabella1[[#This Row],[Città]]</f>
        <v>B&amp;B IL CILIEGIO - PORTO SANT'ELPIDIO</v>
      </c>
    </row>
    <row r="1337" spans="1:8" x14ac:dyDescent="0.25">
      <c r="A1337" s="1" t="s">
        <v>29</v>
      </c>
      <c r="B1337" s="1" t="s">
        <v>17747</v>
      </c>
      <c r="C1337" s="1" t="s">
        <v>17748</v>
      </c>
      <c r="D1337" s="1" t="s">
        <v>17745</v>
      </c>
      <c r="E1337" s="1" t="s">
        <v>17745</v>
      </c>
      <c r="G1337" s="1" t="s">
        <v>17749</v>
      </c>
      <c r="H1337" s="2" t="str">
        <f>Tabella1[[#This Row],[Denominazione]]&amp;" - "&amp;Tabella1[[#This Row],[Città]]</f>
        <v>B&amp;B IL COLIBRI' - AMANDOLA</v>
      </c>
    </row>
    <row r="1338" spans="1:8" x14ac:dyDescent="0.25">
      <c r="A1338" s="1" t="s">
        <v>29</v>
      </c>
      <c r="B1338" s="1" t="s">
        <v>14462</v>
      </c>
      <c r="C1338" s="1" t="s">
        <v>14463</v>
      </c>
      <c r="D1338" s="1" t="s">
        <v>14428</v>
      </c>
      <c r="G1338" s="1" t="s">
        <v>14464</v>
      </c>
      <c r="H1338" s="2" t="str">
        <f>Tabella1[[#This Row],[Denominazione]]&amp;" - "&amp;Tabella1[[#This Row],[Città]]</f>
        <v>B&amp;B IL COLLE - ACQUAVIVA PICENA</v>
      </c>
    </row>
    <row r="1339" spans="1:8" x14ac:dyDescent="0.25">
      <c r="A1339" s="1" t="s">
        <v>29</v>
      </c>
      <c r="B1339" s="1" t="s">
        <v>10370</v>
      </c>
      <c r="C1339" s="1" t="s">
        <v>10371</v>
      </c>
      <c r="D1339" s="1" t="s">
        <v>10206</v>
      </c>
      <c r="E1339" s="1" t="s">
        <v>10372</v>
      </c>
      <c r="F1339" s="1" t="s">
        <v>10373</v>
      </c>
      <c r="G1339" s="1" t="s">
        <v>10374</v>
      </c>
      <c r="H1339" s="2" t="str">
        <f>Tabella1[[#This Row],[Denominazione]]&amp;" - "&amp;Tabella1[[#This Row],[Città]]</f>
        <v>B&amp;B IL CONCIO - SIROLO</v>
      </c>
    </row>
    <row r="1340" spans="1:8" x14ac:dyDescent="0.25">
      <c r="A1340" s="1" t="s">
        <v>29</v>
      </c>
      <c r="B1340" s="1" t="s">
        <v>14233</v>
      </c>
      <c r="C1340" s="1" t="s">
        <v>14234</v>
      </c>
      <c r="D1340" s="1" t="s">
        <v>14213</v>
      </c>
      <c r="E1340" s="1" t="s">
        <v>14213</v>
      </c>
      <c r="G1340" s="1" t="s">
        <v>14235</v>
      </c>
      <c r="H1340" s="2" t="str">
        <f>Tabella1[[#This Row],[Denominazione]]&amp;" - "&amp;Tabella1[[#This Row],[Città]]</f>
        <v>B&amp;B IL CONVENTINO - USSITA</v>
      </c>
    </row>
    <row r="1341" spans="1:8" x14ac:dyDescent="0.25">
      <c r="A1341" s="1" t="s">
        <v>29</v>
      </c>
      <c r="B1341" s="1" t="s">
        <v>7026</v>
      </c>
      <c r="C1341" s="1" t="s">
        <v>7027</v>
      </c>
      <c r="D1341" s="1" t="s">
        <v>5735</v>
      </c>
      <c r="E1341" s="1" t="s">
        <v>5735</v>
      </c>
      <c r="F1341" s="1" t="s">
        <v>7028</v>
      </c>
      <c r="G1341" s="1" t="s">
        <v>7029</v>
      </c>
      <c r="H1341" s="2" t="str">
        <f>Tabella1[[#This Row],[Denominazione]]&amp;" - "&amp;Tabella1[[#This Row],[Città]]</f>
        <v>B&amp;B IL CONVENTINO 44 - FALCONARA MARITTIMA</v>
      </c>
    </row>
    <row r="1342" spans="1:8" x14ac:dyDescent="0.25">
      <c r="A1342" s="1" t="s">
        <v>29</v>
      </c>
      <c r="B1342" s="1" t="s">
        <v>18292</v>
      </c>
      <c r="C1342" s="1" t="s">
        <v>18293</v>
      </c>
      <c r="D1342" s="1" t="s">
        <v>17932</v>
      </c>
      <c r="H1342" s="2" t="str">
        <f>Tabella1[[#This Row],[Denominazione]]&amp;" - "&amp;Tabella1[[#This Row],[Città]]</f>
        <v>B&amp;B IL CORSO - FERMO</v>
      </c>
    </row>
    <row r="1343" spans="1:8" x14ac:dyDescent="0.25">
      <c r="A1343" s="1" t="s">
        <v>29</v>
      </c>
      <c r="B1343" s="1" t="s">
        <v>6437</v>
      </c>
      <c r="C1343" s="1" t="s">
        <v>6438</v>
      </c>
      <c r="D1343" s="1" t="s">
        <v>6371</v>
      </c>
      <c r="G1343" s="1" t="s">
        <v>6439</v>
      </c>
      <c r="H1343" s="2" t="str">
        <f>Tabella1[[#This Row],[Denominazione]]&amp;" - "&amp;Tabella1[[#This Row],[Città]]</f>
        <v>B&amp;B IL COVO DEI PICCIONI - CASTELFIDARDO</v>
      </c>
    </row>
    <row r="1344" spans="1:8" x14ac:dyDescent="0.25">
      <c r="A1344" s="1" t="s">
        <v>29</v>
      </c>
      <c r="B1344" s="1" t="s">
        <v>11537</v>
      </c>
      <c r="C1344" s="1" t="s">
        <v>11538</v>
      </c>
      <c r="D1344" s="1" t="s">
        <v>11244</v>
      </c>
      <c r="E1344" s="1" t="s">
        <v>11289</v>
      </c>
      <c r="F1344" s="1" t="s">
        <v>11539</v>
      </c>
      <c r="G1344" s="1" t="s">
        <v>11540</v>
      </c>
      <c r="H1344" s="2" t="str">
        <f>Tabella1[[#This Row],[Denominazione]]&amp;" - "&amp;Tabella1[[#This Row],[Città]]</f>
        <v>B&amp;B IL DORMIGLIONE - CIVITANOVA MARCHE</v>
      </c>
    </row>
    <row r="1345" spans="1:8" x14ac:dyDescent="0.25">
      <c r="A1345" s="1" t="s">
        <v>29</v>
      </c>
      <c r="B1345" s="1" t="s">
        <v>16913</v>
      </c>
      <c r="C1345" s="1" t="s">
        <v>16914</v>
      </c>
      <c r="D1345" s="1" t="s">
        <v>15819</v>
      </c>
      <c r="F1345" s="1" t="s">
        <v>16915</v>
      </c>
      <c r="G1345" s="1" t="s">
        <v>16916</v>
      </c>
      <c r="H1345" s="2" t="str">
        <f>Tabella1[[#This Row],[Denominazione]]&amp;" - "&amp;Tabella1[[#This Row],[Città]]</f>
        <v>B&amp;B IL FARO - SAN BENEDETTO DEL TRONTO</v>
      </c>
    </row>
    <row r="1346" spans="1:8" x14ac:dyDescent="0.25">
      <c r="A1346" s="1" t="s">
        <v>29</v>
      </c>
      <c r="B1346" s="1" t="s">
        <v>17945</v>
      </c>
      <c r="C1346" s="1" t="s">
        <v>17946</v>
      </c>
      <c r="D1346" s="1" t="s">
        <v>17932</v>
      </c>
      <c r="F1346" s="1" t="s">
        <v>17947</v>
      </c>
      <c r="G1346" s="1" t="s">
        <v>17948</v>
      </c>
      <c r="H1346" s="2" t="str">
        <f>Tabella1[[#This Row],[Denominazione]]&amp;" - "&amp;Tabella1[[#This Row],[Città]]</f>
        <v>B&amp;B IL FICO GENTILE - FERMO</v>
      </c>
    </row>
    <row r="1347" spans="1:8" x14ac:dyDescent="0.25">
      <c r="A1347" s="1" t="s">
        <v>29</v>
      </c>
      <c r="B1347" s="1" t="s">
        <v>12237</v>
      </c>
      <c r="C1347" s="1" t="s">
        <v>12238</v>
      </c>
      <c r="D1347" s="1" t="s">
        <v>12208</v>
      </c>
      <c r="E1347" s="1" t="s">
        <v>12208</v>
      </c>
      <c r="F1347" s="1" t="s">
        <v>12239</v>
      </c>
      <c r="G1347" s="1" t="s">
        <v>12240</v>
      </c>
      <c r="H1347" s="2" t="str">
        <f>Tabella1[[#This Row],[Denominazione]]&amp;" - "&amp;Tabella1[[#This Row],[Città]]</f>
        <v>B&amp;B IL FIENILE - MATELICA</v>
      </c>
    </row>
    <row r="1348" spans="1:8" x14ac:dyDescent="0.25">
      <c r="A1348" s="1" t="s">
        <v>29</v>
      </c>
      <c r="B1348" s="1" t="s">
        <v>1373</v>
      </c>
      <c r="C1348" s="1" t="s">
        <v>1374</v>
      </c>
      <c r="D1348" s="1" t="s">
        <v>682</v>
      </c>
      <c r="E1348" s="1" t="s">
        <v>682</v>
      </c>
      <c r="G1348" s="1" t="s">
        <v>1375</v>
      </c>
      <c r="H1348" s="2" t="str">
        <f>Tabella1[[#This Row],[Denominazione]]&amp;" - "&amp;Tabella1[[#This Row],[Città]]</f>
        <v>B&amp;B IL FIENILE DI UGUCCIONI RENATO - FANO</v>
      </c>
    </row>
    <row r="1349" spans="1:8" x14ac:dyDescent="0.25">
      <c r="A1349" s="1" t="s">
        <v>29</v>
      </c>
      <c r="B1349" s="1" t="s">
        <v>9429</v>
      </c>
      <c r="C1349" s="1" t="s">
        <v>9430</v>
      </c>
      <c r="D1349" s="1" t="s">
        <v>8949</v>
      </c>
      <c r="E1349" s="1" t="s">
        <v>8949</v>
      </c>
      <c r="G1349" s="1" t="s">
        <v>9431</v>
      </c>
      <c r="H1349" s="2" t="str">
        <f>Tabella1[[#This Row],[Denominazione]]&amp;" - "&amp;Tabella1[[#This Row],[Città]]</f>
        <v>B&amp;B IL GELSO - SENIGALLIA</v>
      </c>
    </row>
    <row r="1350" spans="1:8" x14ac:dyDescent="0.25">
      <c r="A1350" s="1" t="s">
        <v>29</v>
      </c>
      <c r="B1350" s="1" t="s">
        <v>4545</v>
      </c>
      <c r="C1350" s="1" t="s">
        <v>4546</v>
      </c>
      <c r="D1350" s="1" t="s">
        <v>4527</v>
      </c>
      <c r="G1350" s="1" t="s">
        <v>4547</v>
      </c>
      <c r="H1350" s="2" t="str">
        <f>Tabella1[[#This Row],[Denominazione]]&amp;" - "&amp;Tabella1[[#This Row],[Città]]</f>
        <v>B&amp;B IL GELSOMINO - SASSOFELTRIO</v>
      </c>
    </row>
    <row r="1351" spans="1:8" x14ac:dyDescent="0.25">
      <c r="A1351" s="1" t="s">
        <v>29</v>
      </c>
      <c r="B1351" s="1" t="s">
        <v>4545</v>
      </c>
      <c r="C1351" s="1" t="s">
        <v>8574</v>
      </c>
      <c r="D1351" s="1" t="s">
        <v>8454</v>
      </c>
      <c r="E1351" s="1" t="s">
        <v>8575</v>
      </c>
      <c r="G1351" s="1" t="s">
        <v>8576</v>
      </c>
      <c r="H1351" s="2" t="str">
        <f>Tabella1[[#This Row],[Denominazione]]&amp;" - "&amp;Tabella1[[#This Row],[Città]]</f>
        <v>B&amp;B IL GELSOMINO - OSIMO</v>
      </c>
    </row>
    <row r="1352" spans="1:8" x14ac:dyDescent="0.25">
      <c r="A1352" s="1" t="s">
        <v>29</v>
      </c>
      <c r="B1352" s="1" t="s">
        <v>4955</v>
      </c>
      <c r="C1352" s="1" t="s">
        <v>4956</v>
      </c>
      <c r="D1352" s="1" t="s">
        <v>9</v>
      </c>
      <c r="E1352" s="1" t="s">
        <v>9</v>
      </c>
      <c r="F1352" s="1" t="s">
        <v>4957</v>
      </c>
      <c r="G1352" s="1" t="s">
        <v>4958</v>
      </c>
      <c r="H1352" s="2" t="str">
        <f>Tabella1[[#This Row],[Denominazione]]&amp;" - "&amp;Tabella1[[#This Row],[Città]]</f>
        <v>B&amp;B IL GHETTO - URBINO</v>
      </c>
    </row>
    <row r="1353" spans="1:8" x14ac:dyDescent="0.25">
      <c r="A1353" s="1" t="s">
        <v>29</v>
      </c>
      <c r="B1353" s="1" t="s">
        <v>4700</v>
      </c>
      <c r="C1353" s="1" t="s">
        <v>4701</v>
      </c>
      <c r="D1353" s="1" t="s">
        <v>4657</v>
      </c>
      <c r="E1353" s="1" t="s">
        <v>4657</v>
      </c>
      <c r="F1353" s="1" t="s">
        <v>4702</v>
      </c>
      <c r="G1353" s="1" t="s">
        <v>4703</v>
      </c>
      <c r="H1353" s="2" t="str">
        <f>Tabella1[[#This Row],[Denominazione]]&amp;" - "&amp;Tabella1[[#This Row],[Città]]</f>
        <v>B&amp;B IL GIARDINO - TAVULLIA</v>
      </c>
    </row>
    <row r="1354" spans="1:8" x14ac:dyDescent="0.25">
      <c r="A1354" s="1" t="s">
        <v>29</v>
      </c>
      <c r="B1354" s="1" t="s">
        <v>4700</v>
      </c>
      <c r="C1354" s="1" t="s">
        <v>14752</v>
      </c>
      <c r="D1354" s="1" t="s">
        <v>14576</v>
      </c>
      <c r="G1354" s="1" t="s">
        <v>14753</v>
      </c>
      <c r="H1354" s="2" t="str">
        <f>Tabella1[[#This Row],[Denominazione]]&amp;" - "&amp;Tabella1[[#This Row],[Città]]</f>
        <v>B&amp;B IL GIARDINO - ASCOLI PICENO</v>
      </c>
    </row>
    <row r="1355" spans="1:8" x14ac:dyDescent="0.25">
      <c r="A1355" s="1" t="s">
        <v>29</v>
      </c>
      <c r="B1355" s="1" t="s">
        <v>12373</v>
      </c>
      <c r="C1355" s="1" t="s">
        <v>12374</v>
      </c>
      <c r="D1355" s="1" t="s">
        <v>12342</v>
      </c>
      <c r="E1355" s="1" t="s">
        <v>12342</v>
      </c>
      <c r="F1355" s="1" t="s">
        <v>12375</v>
      </c>
      <c r="G1355" s="1" t="s">
        <v>12376</v>
      </c>
      <c r="H1355" s="2" t="str">
        <f>Tabella1[[#This Row],[Denominazione]]&amp;" - "&amp;Tabella1[[#This Row],[Città]]</f>
        <v>B&amp;B IL GIARDINO DEI LIMONI - MONTECASSIANO</v>
      </c>
    </row>
    <row r="1356" spans="1:8" x14ac:dyDescent="0.25">
      <c r="A1356" s="1" t="s">
        <v>29</v>
      </c>
      <c r="B1356" s="1" t="s">
        <v>203</v>
      </c>
      <c r="C1356" s="1" t="s">
        <v>204</v>
      </c>
      <c r="D1356" s="1" t="s">
        <v>199</v>
      </c>
      <c r="E1356" s="1" t="s">
        <v>205</v>
      </c>
      <c r="G1356" s="1" t="s">
        <v>206</v>
      </c>
      <c r="H1356" s="2" t="str">
        <f>Tabella1[[#This Row],[Denominazione]]&amp;" - "&amp;Tabella1[[#This Row],[Città]]</f>
        <v>B&amp;B IL GIARDINO DELLE NOCI - AUDITORE</v>
      </c>
    </row>
    <row r="1357" spans="1:8" x14ac:dyDescent="0.25">
      <c r="A1357" s="1" t="s">
        <v>29</v>
      </c>
      <c r="B1357" s="1" t="s">
        <v>203</v>
      </c>
      <c r="C1357" s="1" t="s">
        <v>19383</v>
      </c>
      <c r="D1357" s="1" t="s">
        <v>19283</v>
      </c>
      <c r="E1357" s="1" t="s">
        <v>19363</v>
      </c>
      <c r="G1357" s="1" t="s">
        <v>19384</v>
      </c>
      <c r="H1357" s="2" t="str">
        <f>Tabella1[[#This Row],[Denominazione]]&amp;" - "&amp;Tabella1[[#This Row],[Città]]</f>
        <v>B&amp;B IL GIARDINO DELLE NOCI - PORTO SANT'ELPIDIO</v>
      </c>
    </row>
    <row r="1358" spans="1:8" x14ac:dyDescent="0.25">
      <c r="A1358" s="1" t="s">
        <v>29</v>
      </c>
      <c r="B1358" s="1" t="s">
        <v>5899</v>
      </c>
      <c r="C1358" s="1" t="s">
        <v>5900</v>
      </c>
      <c r="D1358" s="1" t="s">
        <v>1864</v>
      </c>
      <c r="E1358" s="1" t="s">
        <v>1864</v>
      </c>
      <c r="G1358" s="1" t="s">
        <v>5901</v>
      </c>
      <c r="H1358" s="2" t="str">
        <f>Tabella1[[#This Row],[Denominazione]]&amp;" - "&amp;Tabella1[[#This Row],[Città]]</f>
        <v>B&amp;B IL GIARDINO DI ANNA - ANCONA</v>
      </c>
    </row>
    <row r="1359" spans="1:8" x14ac:dyDescent="0.25">
      <c r="A1359" s="1" t="s">
        <v>29</v>
      </c>
      <c r="B1359" s="1" t="s">
        <v>3366</v>
      </c>
      <c r="C1359" s="1" t="s">
        <v>3367</v>
      </c>
      <c r="D1359" s="1" t="s">
        <v>3305</v>
      </c>
      <c r="E1359" s="1" t="s">
        <v>3305</v>
      </c>
      <c r="G1359" s="1" t="s">
        <v>3368</v>
      </c>
      <c r="H1359" s="2" t="str">
        <f>Tabella1[[#This Row],[Denominazione]]&amp;" - "&amp;Tabella1[[#This Row],[Città]]</f>
        <v>B&amp;B IL GIARDINO di FABBRI MARIA CRISTINA - PERGOLA</v>
      </c>
    </row>
    <row r="1360" spans="1:8" x14ac:dyDescent="0.25">
      <c r="A1360" s="1" t="s">
        <v>29</v>
      </c>
      <c r="B1360" s="1" t="s">
        <v>11343</v>
      </c>
      <c r="C1360" s="1" t="s">
        <v>11344</v>
      </c>
      <c r="D1360" s="1" t="s">
        <v>11244</v>
      </c>
      <c r="E1360" s="1" t="s">
        <v>11244</v>
      </c>
      <c r="G1360" s="1" t="s">
        <v>11345</v>
      </c>
      <c r="H1360" s="2" t="str">
        <f>Tabella1[[#This Row],[Denominazione]]&amp;" - "&amp;Tabella1[[#This Row],[Città]]</f>
        <v>B&amp;B IL GIARDINO DI VIKI - CIVITANOVA MARCHE</v>
      </c>
    </row>
    <row r="1361" spans="1:8" x14ac:dyDescent="0.25">
      <c r="A1361" s="1" t="s">
        <v>29</v>
      </c>
      <c r="B1361" s="1" t="s">
        <v>16043</v>
      </c>
      <c r="C1361" s="1" t="s">
        <v>16044</v>
      </c>
      <c r="D1361" s="1" t="s">
        <v>16040</v>
      </c>
      <c r="E1361" s="1" t="s">
        <v>16040</v>
      </c>
      <c r="F1361" s="1" t="s">
        <v>16045</v>
      </c>
      <c r="G1361" s="1" t="s">
        <v>16046</v>
      </c>
      <c r="H1361" s="2" t="str">
        <f>Tabella1[[#This Row],[Denominazione]]&amp;" - "&amp;Tabella1[[#This Row],[Città]]</f>
        <v>B&amp;B IL GIARDINO ERBOSO - MONSAMPOLO DEL TRONTO</v>
      </c>
    </row>
    <row r="1362" spans="1:8" x14ac:dyDescent="0.25">
      <c r="A1362" s="1" t="s">
        <v>29</v>
      </c>
      <c r="B1362" s="1" t="s">
        <v>902</v>
      </c>
      <c r="C1362" s="1" t="s">
        <v>903</v>
      </c>
      <c r="D1362" s="1" t="s">
        <v>682</v>
      </c>
      <c r="E1362" s="1" t="s">
        <v>904</v>
      </c>
      <c r="G1362" s="1" t="s">
        <v>905</v>
      </c>
      <c r="H1362" s="2" t="str">
        <f>Tabella1[[#This Row],[Denominazione]]&amp;" - "&amp;Tabella1[[#This Row],[Città]]</f>
        <v>B&amp;B IL GIARDINO RITROVATO - FANO</v>
      </c>
    </row>
    <row r="1363" spans="1:8" x14ac:dyDescent="0.25">
      <c r="A1363" s="1" t="s">
        <v>29</v>
      </c>
      <c r="B1363" s="1" t="s">
        <v>14878</v>
      </c>
      <c r="C1363" s="1" t="s">
        <v>14879</v>
      </c>
      <c r="D1363" s="1" t="s">
        <v>14576</v>
      </c>
      <c r="E1363" s="1" t="s">
        <v>14576</v>
      </c>
      <c r="F1363" s="1" t="s">
        <v>14880</v>
      </c>
      <c r="G1363" s="1" t="s">
        <v>14881</v>
      </c>
      <c r="H1363" s="2" t="str">
        <f>Tabella1[[#This Row],[Denominazione]]&amp;" - "&amp;Tabella1[[#This Row],[Città]]</f>
        <v>B&amp;B IL GIARDINO SEGRETO - ASCOLI PICENO</v>
      </c>
    </row>
    <row r="1364" spans="1:8" x14ac:dyDescent="0.25">
      <c r="A1364" s="1" t="s">
        <v>29</v>
      </c>
      <c r="B1364" s="1" t="s">
        <v>14878</v>
      </c>
      <c r="C1364" s="1" t="s">
        <v>18821</v>
      </c>
      <c r="D1364" s="1" t="s">
        <v>18783</v>
      </c>
      <c r="E1364" s="1" t="s">
        <v>18822</v>
      </c>
      <c r="G1364" s="1" t="s">
        <v>18823</v>
      </c>
      <c r="H1364" s="2" t="str">
        <f>Tabella1[[#This Row],[Denominazione]]&amp;" - "&amp;Tabella1[[#This Row],[Città]]</f>
        <v>B&amp;B IL GIARDINO SEGRETO - MONTERUBBIANO</v>
      </c>
    </row>
    <row r="1365" spans="1:8" x14ac:dyDescent="0.25">
      <c r="A1365" s="1" t="s">
        <v>29</v>
      </c>
      <c r="B1365" s="1" t="s">
        <v>1881</v>
      </c>
      <c r="C1365" s="1" t="s">
        <v>1882</v>
      </c>
      <c r="D1365" s="1" t="s">
        <v>356</v>
      </c>
      <c r="E1365" s="1" t="s">
        <v>1883</v>
      </c>
      <c r="G1365" s="1" t="s">
        <v>1884</v>
      </c>
      <c r="H1365" s="2" t="str">
        <f>Tabella1[[#This Row],[Denominazione]]&amp;" - "&amp;Tabella1[[#This Row],[Città]]</f>
        <v>B&amp;B IL GIBBO - FRONTONE</v>
      </c>
    </row>
    <row r="1366" spans="1:8" x14ac:dyDescent="0.25">
      <c r="A1366" s="1" t="s">
        <v>29</v>
      </c>
      <c r="B1366" s="1" t="s">
        <v>11392</v>
      </c>
      <c r="C1366" s="1" t="s">
        <v>11393</v>
      </c>
      <c r="D1366" s="1" t="s">
        <v>11244</v>
      </c>
      <c r="E1366" s="1" t="s">
        <v>11244</v>
      </c>
      <c r="G1366" s="1" t="s">
        <v>11394</v>
      </c>
      <c r="H1366" s="2" t="str">
        <f>Tabella1[[#This Row],[Denominazione]]&amp;" - "&amp;Tabella1[[#This Row],[Città]]</f>
        <v>B&amp;B IL GIGLIO - CIVITANOVA MARCHE</v>
      </c>
    </row>
    <row r="1367" spans="1:8" x14ac:dyDescent="0.25">
      <c r="A1367" s="1" t="s">
        <v>29</v>
      </c>
      <c r="B1367" s="1" t="s">
        <v>19310</v>
      </c>
      <c r="C1367" s="1" t="s">
        <v>19311</v>
      </c>
      <c r="D1367" s="1" t="s">
        <v>19283</v>
      </c>
      <c r="G1367" s="1" t="s">
        <v>19312</v>
      </c>
      <c r="H1367" s="2" t="str">
        <f>Tabella1[[#This Row],[Denominazione]]&amp;" - "&amp;Tabella1[[#This Row],[Città]]</f>
        <v>B&amp;B IL GIGLIO VERDE - PORTO SANT'ELPIDIO</v>
      </c>
    </row>
    <row r="1368" spans="1:8" x14ac:dyDescent="0.25">
      <c r="A1368" s="1" t="s">
        <v>29</v>
      </c>
      <c r="B1368" s="1" t="s">
        <v>18781</v>
      </c>
      <c r="C1368" s="1" t="s">
        <v>18782</v>
      </c>
      <c r="D1368" s="1" t="s">
        <v>18783</v>
      </c>
      <c r="F1368" s="1" t="s">
        <v>18784</v>
      </c>
      <c r="G1368" s="1" t="s">
        <v>18785</v>
      </c>
      <c r="H1368" s="2" t="str">
        <f>Tabella1[[#This Row],[Denominazione]]&amp;" - "&amp;Tabella1[[#This Row],[Città]]</f>
        <v>B&amp;B IL GIOGO - MONTERUBBIANO</v>
      </c>
    </row>
    <row r="1369" spans="1:8" x14ac:dyDescent="0.25">
      <c r="A1369" s="1" t="s">
        <v>29</v>
      </c>
      <c r="B1369" s="1" t="s">
        <v>3416</v>
      </c>
      <c r="C1369" s="1" t="s">
        <v>3417</v>
      </c>
      <c r="D1369" s="1" t="s">
        <v>3305</v>
      </c>
      <c r="G1369" s="1" t="s">
        <v>3418</v>
      </c>
      <c r="H1369" s="2" t="str">
        <f>Tabella1[[#This Row],[Denominazione]]&amp;" - "&amp;Tabella1[[#This Row],[Città]]</f>
        <v>B&amp;B IL GIRASOLE - PERGOLA</v>
      </c>
    </row>
    <row r="1370" spans="1:8" x14ac:dyDescent="0.25">
      <c r="A1370" s="1" t="s">
        <v>29</v>
      </c>
      <c r="B1370" s="1" t="s">
        <v>3416</v>
      </c>
      <c r="C1370" s="1" t="s">
        <v>11730</v>
      </c>
      <c r="D1370" s="1" t="s">
        <v>11728</v>
      </c>
      <c r="E1370" s="1" t="s">
        <v>11728</v>
      </c>
      <c r="F1370" s="1" t="s">
        <v>11731</v>
      </c>
      <c r="G1370" s="1" t="s">
        <v>11732</v>
      </c>
      <c r="H1370" s="2" t="str">
        <f>Tabella1[[#This Row],[Denominazione]]&amp;" - "&amp;Tabella1[[#This Row],[Città]]</f>
        <v>B&amp;B IL GIRASOLE - CORRIDONIA</v>
      </c>
    </row>
    <row r="1371" spans="1:8" x14ac:dyDescent="0.25">
      <c r="A1371" s="1" t="s">
        <v>29</v>
      </c>
      <c r="B1371" s="1" t="s">
        <v>3416</v>
      </c>
      <c r="C1371" s="1" t="s">
        <v>12142</v>
      </c>
      <c r="D1371" s="1" t="s">
        <v>12050</v>
      </c>
      <c r="F1371" s="1" t="s">
        <v>12143</v>
      </c>
      <c r="G1371" s="1" t="s">
        <v>12144</v>
      </c>
      <c r="H1371" s="2" t="str">
        <f>Tabella1[[#This Row],[Denominazione]]&amp;" - "&amp;Tabella1[[#This Row],[Città]]</f>
        <v>B&amp;B IL GIRASOLE - MACERATA</v>
      </c>
    </row>
    <row r="1372" spans="1:8" x14ac:dyDescent="0.25">
      <c r="A1372" s="1" t="s">
        <v>29</v>
      </c>
      <c r="B1372" s="1" t="s">
        <v>12904</v>
      </c>
      <c r="C1372" s="1" t="s">
        <v>2481</v>
      </c>
      <c r="D1372" s="1" t="s">
        <v>12801</v>
      </c>
      <c r="F1372" s="1" t="s">
        <v>12905</v>
      </c>
      <c r="G1372" s="1" t="s">
        <v>12906</v>
      </c>
      <c r="H1372" s="2" t="str">
        <f>Tabella1[[#This Row],[Denominazione]]&amp;" - "&amp;Tabella1[[#This Row],[Città]]</f>
        <v>B&amp;B IL GIRASOLE FORTUNATO - PORTO RECANATI</v>
      </c>
    </row>
    <row r="1373" spans="1:8" x14ac:dyDescent="0.25">
      <c r="A1373" s="1" t="s">
        <v>29</v>
      </c>
      <c r="B1373" s="1" t="s">
        <v>18343</v>
      </c>
      <c r="C1373" s="1" t="s">
        <v>18344</v>
      </c>
      <c r="D1373" s="1" t="s">
        <v>17932</v>
      </c>
      <c r="G1373" s="1" t="s">
        <v>18345</v>
      </c>
      <c r="H1373" s="2" t="str">
        <f>Tabella1[[#This Row],[Denominazione]]&amp;" - "&amp;Tabella1[[#This Row],[Città]]</f>
        <v>B&amp;B IL GIRFALCO - FERMO</v>
      </c>
    </row>
    <row r="1374" spans="1:8" x14ac:dyDescent="0.25">
      <c r="A1374" s="1" t="s">
        <v>29</v>
      </c>
      <c r="B1374" s="1" t="s">
        <v>5244</v>
      </c>
      <c r="C1374" s="1" t="s">
        <v>5245</v>
      </c>
      <c r="D1374" s="1" t="s">
        <v>9</v>
      </c>
      <c r="E1374" s="1" t="s">
        <v>9</v>
      </c>
      <c r="F1374" s="1" t="s">
        <v>5246</v>
      </c>
      <c r="G1374" s="1" t="s">
        <v>5247</v>
      </c>
      <c r="H1374" s="2" t="str">
        <f>Tabella1[[#This Row],[Denominazione]]&amp;" - "&amp;Tabella1[[#This Row],[Città]]</f>
        <v>B&amp;B IL GIUGGIOLO - URBINO</v>
      </c>
    </row>
    <row r="1375" spans="1:8" x14ac:dyDescent="0.25">
      <c r="A1375" s="1" t="s">
        <v>29</v>
      </c>
      <c r="B1375" s="1" t="s">
        <v>4289</v>
      </c>
      <c r="C1375" s="1" t="s">
        <v>4290</v>
      </c>
      <c r="D1375" s="1" t="s">
        <v>4272</v>
      </c>
      <c r="E1375" s="1" t="s">
        <v>4272</v>
      </c>
      <c r="G1375" s="1" t="s">
        <v>4291</v>
      </c>
      <c r="H1375" s="2" t="str">
        <f>Tabella1[[#This Row],[Denominazione]]&amp;" - "&amp;Tabella1[[#This Row],[Città]]</f>
        <v>B&amp;B IL GLICINE - SAN COSTANZO</v>
      </c>
    </row>
    <row r="1376" spans="1:8" x14ac:dyDescent="0.25">
      <c r="A1376" s="1" t="s">
        <v>29</v>
      </c>
      <c r="B1376" s="1" t="s">
        <v>4289</v>
      </c>
      <c r="C1376" s="1" t="s">
        <v>12923</v>
      </c>
      <c r="D1376" s="1" t="s">
        <v>12801</v>
      </c>
      <c r="E1376" s="1" t="s">
        <v>12801</v>
      </c>
      <c r="F1376" s="1" t="s">
        <v>12924</v>
      </c>
      <c r="G1376" s="1" t="s">
        <v>12925</v>
      </c>
      <c r="H1376" s="2" t="str">
        <f>Tabella1[[#This Row],[Denominazione]]&amp;" - "&amp;Tabella1[[#This Row],[Città]]</f>
        <v>B&amp;B IL GLICINE - PORTO RECANATI</v>
      </c>
    </row>
    <row r="1377" spans="1:8" x14ac:dyDescent="0.25">
      <c r="A1377" s="1" t="s">
        <v>29</v>
      </c>
      <c r="B1377" s="1" t="s">
        <v>10124</v>
      </c>
      <c r="C1377" s="1" t="s">
        <v>10125</v>
      </c>
      <c r="D1377" s="1" t="s">
        <v>10117</v>
      </c>
      <c r="G1377" s="1" t="s">
        <v>10126</v>
      </c>
      <c r="H1377" s="2" t="str">
        <f>Tabella1[[#This Row],[Denominazione]]&amp;" - "&amp;Tabella1[[#This Row],[Città]]</f>
        <v>B&amp;B IL GRANDE ALBERO - SERRA SAN QUIRICO</v>
      </c>
    </row>
    <row r="1378" spans="1:8" x14ac:dyDescent="0.25">
      <c r="A1378" s="1" t="s">
        <v>29</v>
      </c>
      <c r="B1378" s="1" t="s">
        <v>5936</v>
      </c>
      <c r="C1378" s="1" t="s">
        <v>5937</v>
      </c>
      <c r="D1378" s="1" t="s">
        <v>1864</v>
      </c>
      <c r="E1378" s="1" t="s">
        <v>5712</v>
      </c>
      <c r="F1378" s="1" t="s">
        <v>5938</v>
      </c>
      <c r="G1378" s="1" t="s">
        <v>5939</v>
      </c>
      <c r="H1378" s="2" t="str">
        <f>Tabella1[[#This Row],[Denominazione]]&amp;" - "&amp;Tabella1[[#This Row],[Città]]</f>
        <v>B&amp;B IL GRECALE - ANCONA</v>
      </c>
    </row>
    <row r="1379" spans="1:8" x14ac:dyDescent="0.25">
      <c r="A1379" s="1" t="s">
        <v>29</v>
      </c>
      <c r="B1379" s="1" t="s">
        <v>18818</v>
      </c>
      <c r="C1379" s="1" t="s">
        <v>18819</v>
      </c>
      <c r="D1379" s="1" t="s">
        <v>18783</v>
      </c>
      <c r="G1379" s="1" t="s">
        <v>18820</v>
      </c>
      <c r="H1379" s="2" t="str">
        <f>Tabella1[[#This Row],[Denominazione]]&amp;" - "&amp;Tabella1[[#This Row],[Città]]</f>
        <v>B&amp;B IL GROTTINO di DAVID CIUTI - MONTERUBBIANO</v>
      </c>
    </row>
    <row r="1380" spans="1:8" x14ac:dyDescent="0.25">
      <c r="A1380" s="1" t="s">
        <v>29</v>
      </c>
      <c r="B1380" s="1" t="s">
        <v>2758</v>
      </c>
      <c r="C1380" s="1" t="s">
        <v>2759</v>
      </c>
      <c r="D1380" s="1" t="s">
        <v>2729</v>
      </c>
      <c r="E1380" s="1" t="s">
        <v>2760</v>
      </c>
      <c r="F1380" s="1" t="s">
        <v>2761</v>
      </c>
      <c r="G1380" s="1" t="s">
        <v>2762</v>
      </c>
      <c r="H1380" s="2" t="str">
        <f>Tabella1[[#This Row],[Denominazione]]&amp;" - "&amp;Tabella1[[#This Row],[Città]]</f>
        <v>B&amp;B IL GUFO RILASSATO - MONDAVIO</v>
      </c>
    </row>
    <row r="1381" spans="1:8" x14ac:dyDescent="0.25">
      <c r="A1381" s="1" t="s">
        <v>29</v>
      </c>
      <c r="B1381" s="1" t="s">
        <v>8681</v>
      </c>
      <c r="C1381" s="1" t="s">
        <v>8682</v>
      </c>
      <c r="D1381" s="1" t="s">
        <v>8683</v>
      </c>
      <c r="F1381" s="1" t="s">
        <v>8684</v>
      </c>
      <c r="G1381" s="1" t="s">
        <v>8685</v>
      </c>
      <c r="H1381" s="2" t="str">
        <f>Tabella1[[#This Row],[Denominazione]]&amp;" - "&amp;Tabella1[[#This Row],[Città]]</f>
        <v>B&amp;B IL LECCINO - OSTRA VETERE</v>
      </c>
    </row>
    <row r="1382" spans="1:8" x14ac:dyDescent="0.25">
      <c r="A1382" s="1" t="s">
        <v>29</v>
      </c>
      <c r="B1382" s="1" t="s">
        <v>10312</v>
      </c>
      <c r="C1382" s="1" t="s">
        <v>10313</v>
      </c>
      <c r="D1382" s="1" t="s">
        <v>10206</v>
      </c>
      <c r="E1382" s="1" t="s">
        <v>10206</v>
      </c>
      <c r="G1382" s="1" t="s">
        <v>10314</v>
      </c>
      <c r="H1382" s="2" t="str">
        <f>Tabella1[[#This Row],[Denominazione]]&amp;" - "&amp;Tabella1[[#This Row],[Città]]</f>
        <v>B&amp;B IL MAESTRALE - SIROLO</v>
      </c>
    </row>
    <row r="1383" spans="1:8" x14ac:dyDescent="0.25">
      <c r="A1383" s="1" t="s">
        <v>29</v>
      </c>
      <c r="B1383" s="1" t="s">
        <v>11262</v>
      </c>
      <c r="C1383" s="1" t="s">
        <v>11263</v>
      </c>
      <c r="D1383" s="1" t="s">
        <v>11244</v>
      </c>
      <c r="E1383" s="1" t="s">
        <v>11264</v>
      </c>
      <c r="F1383" s="1" t="s">
        <v>11265</v>
      </c>
      <c r="G1383" s="1" t="s">
        <v>11266</v>
      </c>
      <c r="H1383" s="2" t="str">
        <f>Tabella1[[#This Row],[Denominazione]]&amp;" - "&amp;Tabella1[[#This Row],[Città]]</f>
        <v>B&amp;B IL MANDORLO - CIVITANOVA MARCHE</v>
      </c>
    </row>
    <row r="1384" spans="1:8" x14ac:dyDescent="0.25">
      <c r="A1384" s="1" t="s">
        <v>29</v>
      </c>
      <c r="B1384" s="1" t="s">
        <v>7566</v>
      </c>
      <c r="C1384" s="1" t="s">
        <v>7567</v>
      </c>
      <c r="D1384" s="1" t="s">
        <v>7385</v>
      </c>
      <c r="F1384" s="1" t="s">
        <v>7568</v>
      </c>
      <c r="G1384" s="1" t="s">
        <v>7569</v>
      </c>
      <c r="H1384" s="2" t="str">
        <f>Tabella1[[#This Row],[Denominazione]]&amp;" - "&amp;Tabella1[[#This Row],[Città]]</f>
        <v>B&amp;B IL MARE IN MEZZO - LORETO</v>
      </c>
    </row>
    <row r="1385" spans="1:8" x14ac:dyDescent="0.25">
      <c r="A1385" s="1" t="s">
        <v>29</v>
      </c>
      <c r="B1385" s="1" t="s">
        <v>16006</v>
      </c>
      <c r="C1385" s="1" t="s">
        <v>16007</v>
      </c>
      <c r="D1385" s="1" t="s">
        <v>5692</v>
      </c>
      <c r="E1385" s="1" t="s">
        <v>5692</v>
      </c>
      <c r="F1385" s="1" t="s">
        <v>16008</v>
      </c>
      <c r="G1385" s="1" t="s">
        <v>16009</v>
      </c>
      <c r="H1385" s="2" t="str">
        <f>Tabella1[[#This Row],[Denominazione]]&amp;" - "&amp;Tabella1[[#This Row],[Città]]</f>
        <v>B&amp;B IL MELOGRANO - MASSIGNANO</v>
      </c>
    </row>
    <row r="1386" spans="1:8" x14ac:dyDescent="0.25">
      <c r="A1386" s="1" t="s">
        <v>29</v>
      </c>
      <c r="B1386" s="1" t="s">
        <v>16661</v>
      </c>
      <c r="C1386" s="1" t="s">
        <v>16662</v>
      </c>
      <c r="D1386" s="1" t="s">
        <v>16585</v>
      </c>
      <c r="E1386" s="1" t="s">
        <v>16585</v>
      </c>
      <c r="F1386" s="1" t="s">
        <v>16663</v>
      </c>
      <c r="G1386" s="1" t="s">
        <v>16664</v>
      </c>
      <c r="H1386" s="2" t="str">
        <f>Tabella1[[#This Row],[Denominazione]]&amp;" - "&amp;Tabella1[[#This Row],[Città]]</f>
        <v>B&amp;B IL MERLO - RIPATRANSONE</v>
      </c>
    </row>
    <row r="1387" spans="1:8" x14ac:dyDescent="0.25">
      <c r="A1387" s="1" t="s">
        <v>29</v>
      </c>
      <c r="B1387" s="1" t="s">
        <v>4874</v>
      </c>
      <c r="C1387" s="1" t="s">
        <v>4875</v>
      </c>
      <c r="D1387" s="1" t="s">
        <v>9</v>
      </c>
      <c r="E1387" s="1" t="s">
        <v>4876</v>
      </c>
      <c r="G1387" s="1" t="s">
        <v>4877</v>
      </c>
      <c r="H1387" s="2" t="str">
        <f>Tabella1[[#This Row],[Denominazione]]&amp;" - "&amp;Tabella1[[#This Row],[Città]]</f>
        <v>B&amp;B IL MONCHETTO - URBINO</v>
      </c>
    </row>
    <row r="1388" spans="1:8" x14ac:dyDescent="0.25">
      <c r="A1388" s="1" t="s">
        <v>29</v>
      </c>
      <c r="B1388" s="1" t="s">
        <v>12364</v>
      </c>
      <c r="C1388" s="1" t="s">
        <v>12365</v>
      </c>
      <c r="D1388" s="1" t="s">
        <v>12342</v>
      </c>
      <c r="G1388" s="1" t="s">
        <v>12366</v>
      </c>
      <c r="H1388" s="2" t="str">
        <f>Tabella1[[#This Row],[Denominazione]]&amp;" - "&amp;Tabella1[[#This Row],[Città]]</f>
        <v>B&amp;B IL MUGHETTO - MONTECASSIANO</v>
      </c>
    </row>
    <row r="1389" spans="1:8" x14ac:dyDescent="0.25">
      <c r="A1389" s="1" t="s">
        <v>29</v>
      </c>
      <c r="B1389" s="1" t="s">
        <v>13940</v>
      </c>
      <c r="C1389" s="1" t="s">
        <v>13941</v>
      </c>
      <c r="D1389" s="1" t="s">
        <v>13929</v>
      </c>
      <c r="E1389" s="1" t="s">
        <v>13929</v>
      </c>
      <c r="F1389" s="1" t="s">
        <v>13942</v>
      </c>
      <c r="G1389" s="1" t="s">
        <v>13943</v>
      </c>
      <c r="H1389" s="2" t="str">
        <f>Tabella1[[#This Row],[Denominazione]]&amp;" - "&amp;Tabella1[[#This Row],[Città]]</f>
        <v>B&amp;B IL MULINO DI GELAGNA - SERRAVALLE DI CHIENTI</v>
      </c>
    </row>
    <row r="1390" spans="1:8" x14ac:dyDescent="0.25">
      <c r="A1390" s="1" t="s">
        <v>29</v>
      </c>
      <c r="B1390" s="1" t="s">
        <v>17816</v>
      </c>
      <c r="C1390" s="1" t="s">
        <v>17817</v>
      </c>
      <c r="D1390" s="1" t="s">
        <v>17745</v>
      </c>
      <c r="E1390" s="1" t="s">
        <v>17745</v>
      </c>
      <c r="F1390" s="1" t="s">
        <v>17818</v>
      </c>
      <c r="G1390" s="1" t="s">
        <v>17819</v>
      </c>
      <c r="H1390" s="2" t="str">
        <f>Tabella1[[#This Row],[Denominazione]]&amp;" - "&amp;Tabella1[[#This Row],[Città]]</f>
        <v>B&amp;B IL NASCONDIGLIO DI FAYERS MARK ANDREW - AMANDOLA</v>
      </c>
    </row>
    <row r="1391" spans="1:8" x14ac:dyDescent="0.25">
      <c r="A1391" s="1" t="s">
        <v>29</v>
      </c>
      <c r="B1391" s="1" t="s">
        <v>14532</v>
      </c>
      <c r="D1391" s="1" t="s">
        <v>14510</v>
      </c>
      <c r="E1391" s="1" t="s">
        <v>14533</v>
      </c>
      <c r="F1391" s="1" t="s">
        <v>14534</v>
      </c>
      <c r="H1391" s="2" t="str">
        <f>Tabella1[[#This Row],[Denominazione]]&amp;" - "&amp;Tabella1[[#This Row],[Città]]</f>
        <v>B&amp;B IL NIDO - ARQUATA DEL TRONTO</v>
      </c>
    </row>
    <row r="1392" spans="1:8" x14ac:dyDescent="0.25">
      <c r="A1392" s="1" t="s">
        <v>29</v>
      </c>
      <c r="B1392" s="1" t="s">
        <v>14532</v>
      </c>
      <c r="C1392" s="1" t="s">
        <v>18219</v>
      </c>
      <c r="D1392" s="1" t="s">
        <v>17932</v>
      </c>
      <c r="E1392" s="1" t="s">
        <v>17932</v>
      </c>
      <c r="F1392" s="1" t="s">
        <v>18220</v>
      </c>
      <c r="G1392" s="1" t="s">
        <v>18221</v>
      </c>
      <c r="H1392" s="2" t="str">
        <f>Tabella1[[#This Row],[Denominazione]]&amp;" - "&amp;Tabella1[[#This Row],[Città]]</f>
        <v>B&amp;B IL NIDO - FERMO</v>
      </c>
    </row>
    <row r="1393" spans="1:8" x14ac:dyDescent="0.25">
      <c r="A1393" s="1" t="s">
        <v>29</v>
      </c>
      <c r="B1393" s="1" t="s">
        <v>18350</v>
      </c>
      <c r="C1393" s="1" t="s">
        <v>18351</v>
      </c>
      <c r="D1393" s="1" t="s">
        <v>17932</v>
      </c>
      <c r="G1393" s="1" t="s">
        <v>18352</v>
      </c>
      <c r="H1393" s="2" t="str">
        <f>Tabella1[[#This Row],[Denominazione]]&amp;" - "&amp;Tabella1[[#This Row],[Città]]</f>
        <v>B&amp;B IL NIDO DEL FALCO - FERMO</v>
      </c>
    </row>
    <row r="1394" spans="1:8" x14ac:dyDescent="0.25">
      <c r="A1394" s="1" t="s">
        <v>29</v>
      </c>
      <c r="B1394" s="1" t="s">
        <v>3190</v>
      </c>
      <c r="C1394" s="1" t="s">
        <v>3191</v>
      </c>
      <c r="D1394" s="1" t="s">
        <v>3182</v>
      </c>
      <c r="G1394" s="1" t="s">
        <v>3192</v>
      </c>
      <c r="H1394" s="2" t="str">
        <f>Tabella1[[#This Row],[Denominazione]]&amp;" - "&amp;Tabella1[[#This Row],[Città]]</f>
        <v>B&amp;B IL NIDO DELLE ROSE di MANDOLINI NAZARIO - MONTEMAGGIORE AL METAURO</v>
      </c>
    </row>
    <row r="1395" spans="1:8" x14ac:dyDescent="0.25">
      <c r="A1395" s="1" t="s">
        <v>29</v>
      </c>
      <c r="B1395" s="1" t="s">
        <v>18409</v>
      </c>
      <c r="C1395" s="1" t="s">
        <v>18410</v>
      </c>
      <c r="D1395" s="1" t="s">
        <v>18389</v>
      </c>
      <c r="E1395" s="1" t="s">
        <v>18389</v>
      </c>
      <c r="F1395" s="1" t="s">
        <v>18411</v>
      </c>
      <c r="G1395" s="1" t="s">
        <v>18412</v>
      </c>
      <c r="H1395" s="2" t="str">
        <f>Tabella1[[#This Row],[Denominazione]]&amp;" - "&amp;Tabella1[[#This Row],[Città]]</f>
        <v>B&amp;B IL NIDO DI ALICE - LAPEDONA</v>
      </c>
    </row>
    <row r="1396" spans="1:8" x14ac:dyDescent="0.25">
      <c r="A1396" s="1" t="s">
        <v>29</v>
      </c>
      <c r="B1396" s="1" t="s">
        <v>6412</v>
      </c>
      <c r="C1396" s="1" t="s">
        <v>6413</v>
      </c>
      <c r="D1396" s="1" t="s">
        <v>6371</v>
      </c>
      <c r="E1396" s="1" t="s">
        <v>6371</v>
      </c>
      <c r="F1396" s="1" t="s">
        <v>6414</v>
      </c>
      <c r="G1396" s="1" t="s">
        <v>6415</v>
      </c>
      <c r="H1396" s="2" t="str">
        <f>Tabella1[[#This Row],[Denominazione]]&amp;" - "&amp;Tabella1[[#This Row],[Città]]</f>
        <v>B&amp;B IL NIDO DI PAT - CASTELFIDARDO</v>
      </c>
    </row>
    <row r="1397" spans="1:8" x14ac:dyDescent="0.25">
      <c r="A1397" s="1" t="s">
        <v>29</v>
      </c>
      <c r="B1397" s="1" t="s">
        <v>9340</v>
      </c>
      <c r="C1397" s="1" t="s">
        <v>9341</v>
      </c>
      <c r="D1397" s="1" t="s">
        <v>8949</v>
      </c>
      <c r="G1397" s="1" t="s">
        <v>9342</v>
      </c>
      <c r="H1397" s="2" t="str">
        <f>Tabella1[[#This Row],[Denominazione]]&amp;" - "&amp;Tabella1[[#This Row],[Città]]</f>
        <v>B&amp;B IL PAPAVERO - SENIGALLIA</v>
      </c>
    </row>
    <row r="1398" spans="1:8" x14ac:dyDescent="0.25">
      <c r="A1398" s="1" t="s">
        <v>29</v>
      </c>
      <c r="B1398" s="1" t="s">
        <v>16739</v>
      </c>
      <c r="C1398" s="1" t="s">
        <v>16740</v>
      </c>
      <c r="D1398" s="1" t="s">
        <v>16714</v>
      </c>
      <c r="E1398" s="1" t="s">
        <v>16714</v>
      </c>
      <c r="F1398" s="1" t="s">
        <v>16741</v>
      </c>
      <c r="G1398" s="1" t="s">
        <v>16742</v>
      </c>
      <c r="H1398" s="2" t="str">
        <f>Tabella1[[#This Row],[Denominazione]]&amp;" - "&amp;Tabella1[[#This Row],[Città]]</f>
        <v>B&amp;B IL PASSETTO - ROCCAFLUVIONE</v>
      </c>
    </row>
    <row r="1399" spans="1:8" x14ac:dyDescent="0.25">
      <c r="A1399" s="1" t="s">
        <v>29</v>
      </c>
      <c r="B1399" s="1" t="s">
        <v>11970</v>
      </c>
      <c r="C1399" s="1" t="s">
        <v>11971</v>
      </c>
      <c r="D1399" s="1" t="s">
        <v>11883</v>
      </c>
      <c r="E1399" s="1" t="s">
        <v>11883</v>
      </c>
      <c r="F1399" s="1" t="s">
        <v>11972</v>
      </c>
      <c r="G1399" s="1" t="s">
        <v>11973</v>
      </c>
      <c r="H1399" s="2" t="str">
        <f>Tabella1[[#This Row],[Denominazione]]&amp;" - "&amp;Tabella1[[#This Row],[Città]]</f>
        <v>B&amp;B IL PICACCHIO - GUALDO</v>
      </c>
    </row>
    <row r="1400" spans="1:8" x14ac:dyDescent="0.25">
      <c r="A1400" s="1" t="s">
        <v>29</v>
      </c>
      <c r="B1400" s="1" t="s">
        <v>14584</v>
      </c>
      <c r="C1400" s="1" t="s">
        <v>14585</v>
      </c>
      <c r="D1400" s="1" t="s">
        <v>14576</v>
      </c>
      <c r="E1400" s="1" t="s">
        <v>14576</v>
      </c>
      <c r="F1400" s="1" t="s">
        <v>14586</v>
      </c>
      <c r="G1400" s="1" t="s">
        <v>14587</v>
      </c>
      <c r="H1400" s="2" t="str">
        <f>Tabella1[[#This Row],[Denominazione]]&amp;" - "&amp;Tabella1[[#This Row],[Città]]</f>
        <v>B&amp;B IL PICCHIO - ASCOLI PICENO</v>
      </c>
    </row>
    <row r="1401" spans="1:8" x14ac:dyDescent="0.25">
      <c r="A1401" s="1" t="s">
        <v>29</v>
      </c>
      <c r="B1401" s="1" t="s">
        <v>10532</v>
      </c>
      <c r="C1401" s="1" t="s">
        <v>10533</v>
      </c>
      <c r="D1401" s="1" t="s">
        <v>10519</v>
      </c>
      <c r="E1401" s="1" t="s">
        <v>10534</v>
      </c>
      <c r="F1401" s="1" t="s">
        <v>10535</v>
      </c>
      <c r="G1401" s="1" t="s">
        <v>10536</v>
      </c>
      <c r="H1401" s="2" t="str">
        <f>Tabella1[[#This Row],[Denominazione]]&amp;" - "&amp;Tabella1[[#This Row],[Città]]</f>
        <v>B&amp;B IL PICCIONE VIAGGIATORE - TRECASTELLI</v>
      </c>
    </row>
    <row r="1402" spans="1:8" x14ac:dyDescent="0.25">
      <c r="A1402" s="1" t="s">
        <v>29</v>
      </c>
      <c r="B1402" s="1" t="s">
        <v>12087</v>
      </c>
      <c r="C1402" s="1" t="s">
        <v>12088</v>
      </c>
      <c r="D1402" s="1" t="s">
        <v>12050</v>
      </c>
      <c r="E1402" s="1" t="s">
        <v>12050</v>
      </c>
      <c r="G1402" s="1" t="s">
        <v>12089</v>
      </c>
      <c r="H1402" s="2" t="str">
        <f>Tabella1[[#This Row],[Denominazione]]&amp;" - "&amp;Tabella1[[#This Row],[Città]]</f>
        <v>B&amp;B IL PICCOLO FRUTTETO - MACERATA</v>
      </c>
    </row>
    <row r="1403" spans="1:8" x14ac:dyDescent="0.25">
      <c r="A1403" s="1" t="s">
        <v>29</v>
      </c>
      <c r="B1403" s="1" t="s">
        <v>12380</v>
      </c>
      <c r="C1403" s="1" t="s">
        <v>12381</v>
      </c>
      <c r="D1403" s="1" t="s">
        <v>12382</v>
      </c>
      <c r="F1403" s="1" t="s">
        <v>12383</v>
      </c>
      <c r="G1403" s="1" t="s">
        <v>12384</v>
      </c>
      <c r="H1403" s="2" t="str">
        <f>Tabella1[[#This Row],[Denominazione]]&amp;" - "&amp;Tabella1[[#This Row],[Città]]</f>
        <v>B&amp;B IL PICCOLO MELOGRANO - MONTECOSARO</v>
      </c>
    </row>
    <row r="1404" spans="1:8" x14ac:dyDescent="0.25">
      <c r="A1404" s="1" t="s">
        <v>29</v>
      </c>
      <c r="B1404" s="1" t="s">
        <v>4572</v>
      </c>
      <c r="C1404" s="1" t="s">
        <v>4573</v>
      </c>
      <c r="D1404" s="1" t="s">
        <v>4550</v>
      </c>
      <c r="E1404" s="1" t="s">
        <v>4574</v>
      </c>
      <c r="G1404" s="1" t="s">
        <v>4575</v>
      </c>
      <c r="H1404" s="2" t="str">
        <f>Tabella1[[#This Row],[Denominazione]]&amp;" - "&amp;Tabella1[[#This Row],[Città]]</f>
        <v>B&amp;B IL POGGETTO di CARBONARI LUISA - SERRA SANT'ABBONDIO</v>
      </c>
    </row>
    <row r="1405" spans="1:8" x14ac:dyDescent="0.25">
      <c r="A1405" s="1" t="s">
        <v>29</v>
      </c>
      <c r="B1405" s="1" t="s">
        <v>3070</v>
      </c>
      <c r="C1405" s="1" t="s">
        <v>3071</v>
      </c>
      <c r="D1405" s="1" t="s">
        <v>3067</v>
      </c>
      <c r="E1405" s="1" t="s">
        <v>3072</v>
      </c>
      <c r="G1405" s="1" t="s">
        <v>3073</v>
      </c>
      <c r="H1405" s="2" t="str">
        <f>Tabella1[[#This Row],[Denominazione]]&amp;" - "&amp;Tabella1[[#This Row],[Città]]</f>
        <v>B&amp;B IL POGGIO - MONTECOPIOLO</v>
      </c>
    </row>
    <row r="1406" spans="1:8" x14ac:dyDescent="0.25">
      <c r="A1406" s="1" t="s">
        <v>29</v>
      </c>
      <c r="B1406" s="1" t="s">
        <v>3070</v>
      </c>
      <c r="C1406" s="1" t="s">
        <v>3139</v>
      </c>
      <c r="D1406" s="1" t="s">
        <v>3131</v>
      </c>
      <c r="E1406" s="1" t="s">
        <v>3132</v>
      </c>
      <c r="G1406" s="1" t="s">
        <v>3140</v>
      </c>
      <c r="H1406" s="2" t="str">
        <f>Tabella1[[#This Row],[Denominazione]]&amp;" - "&amp;Tabella1[[#This Row],[Città]]</f>
        <v>B&amp;B IL POGGIO - MONTE GRIMANO TERME</v>
      </c>
    </row>
    <row r="1407" spans="1:8" x14ac:dyDescent="0.25">
      <c r="A1407" s="1" t="s">
        <v>29</v>
      </c>
      <c r="B1407" s="1" t="s">
        <v>3070</v>
      </c>
      <c r="C1407" s="1" t="s">
        <v>4094</v>
      </c>
      <c r="D1407" s="1" t="s">
        <v>2386</v>
      </c>
      <c r="E1407" s="1" t="s">
        <v>2386</v>
      </c>
      <c r="F1407" s="1" t="s">
        <v>4095</v>
      </c>
      <c r="G1407" s="1" t="s">
        <v>4096</v>
      </c>
      <c r="H1407" s="2" t="str">
        <f>Tabella1[[#This Row],[Denominazione]]&amp;" - "&amp;Tabella1[[#This Row],[Città]]</f>
        <v>B&amp;B IL POGGIO - PESARO</v>
      </c>
    </row>
    <row r="1408" spans="1:8" x14ac:dyDescent="0.25">
      <c r="A1408" s="1" t="s">
        <v>29</v>
      </c>
      <c r="B1408" s="1" t="s">
        <v>3070</v>
      </c>
      <c r="C1408" s="1" t="s">
        <v>4543</v>
      </c>
      <c r="D1408" s="1" t="s">
        <v>4527</v>
      </c>
      <c r="E1408" s="1" t="s">
        <v>4527</v>
      </c>
      <c r="G1408" s="1" t="s">
        <v>4544</v>
      </c>
      <c r="H1408" s="2" t="str">
        <f>Tabella1[[#This Row],[Denominazione]]&amp;" - "&amp;Tabella1[[#This Row],[Città]]</f>
        <v>B&amp;B IL POGGIO - SASSOFELTRIO</v>
      </c>
    </row>
    <row r="1409" spans="1:8" x14ac:dyDescent="0.25">
      <c r="A1409" s="1" t="s">
        <v>29</v>
      </c>
      <c r="B1409" s="1" t="s">
        <v>17936</v>
      </c>
      <c r="C1409" s="1" t="s">
        <v>17937</v>
      </c>
      <c r="D1409" s="1" t="s">
        <v>17932</v>
      </c>
      <c r="G1409" s="1" t="s">
        <v>17938</v>
      </c>
      <c r="H1409" s="2" t="str">
        <f>Tabella1[[#This Row],[Denominazione]]&amp;" - "&amp;Tabella1[[#This Row],[Città]]</f>
        <v>B&amp;B IL PONTE DI LEGNO - FERMO</v>
      </c>
    </row>
    <row r="1410" spans="1:8" x14ac:dyDescent="0.25">
      <c r="A1410" s="1" t="s">
        <v>29</v>
      </c>
      <c r="B1410" s="1" t="s">
        <v>13780</v>
      </c>
      <c r="C1410" s="1" t="s">
        <v>13781</v>
      </c>
      <c r="D1410" s="1" t="s">
        <v>13756</v>
      </c>
      <c r="E1410" s="1" t="s">
        <v>13756</v>
      </c>
      <c r="G1410" s="1" t="s">
        <v>13782</v>
      </c>
      <c r="H1410" s="2" t="str">
        <f>Tabella1[[#This Row],[Denominazione]]&amp;" - "&amp;Tabella1[[#This Row],[Città]]</f>
        <v>B&amp;B IL PORTICO DI FROLLONI GIUSEPPE - SARNANO</v>
      </c>
    </row>
    <row r="1411" spans="1:8" x14ac:dyDescent="0.25">
      <c r="A1411" s="1" t="s">
        <v>29</v>
      </c>
      <c r="B1411" s="1" t="s">
        <v>7206</v>
      </c>
      <c r="C1411" s="1" t="s">
        <v>7207</v>
      </c>
      <c r="D1411" s="1" t="s">
        <v>7200</v>
      </c>
      <c r="G1411" s="1" t="s">
        <v>7208</v>
      </c>
      <c r="H1411" s="2" t="str">
        <f>Tabella1[[#This Row],[Denominazione]]&amp;" - "&amp;Tabella1[[#This Row],[Città]]</f>
        <v>B&amp;B IL POSTO DELLE FARFALLE - GENGA</v>
      </c>
    </row>
    <row r="1412" spans="1:8" x14ac:dyDescent="0.25">
      <c r="A1412" s="1" t="s">
        <v>29</v>
      </c>
      <c r="B1412" s="1" t="s">
        <v>16963</v>
      </c>
      <c r="C1412" s="1" t="s">
        <v>16964</v>
      </c>
      <c r="D1412" s="1" t="s">
        <v>15819</v>
      </c>
      <c r="G1412" s="1" t="s">
        <v>16965</v>
      </c>
      <c r="H1412" s="2" t="str">
        <f>Tabella1[[#This Row],[Denominazione]]&amp;" - "&amp;Tabella1[[#This Row],[Città]]</f>
        <v>B&amp;B IL POZZO (LU PòZZE) - SAN BENEDETTO DEL TRONTO</v>
      </c>
    </row>
    <row r="1413" spans="1:8" x14ac:dyDescent="0.25">
      <c r="A1413" s="1" t="s">
        <v>29</v>
      </c>
      <c r="B1413" s="1" t="s">
        <v>10090</v>
      </c>
      <c r="C1413" s="1" t="s">
        <v>10091</v>
      </c>
      <c r="D1413" s="1" t="s">
        <v>10074</v>
      </c>
      <c r="F1413" s="1" t="s">
        <v>10092</v>
      </c>
      <c r="G1413" s="1" t="s">
        <v>10093</v>
      </c>
      <c r="H1413" s="2" t="str">
        <f>Tabella1[[#This Row],[Denominazione]]&amp;" - "&amp;Tabella1[[#This Row],[Città]]</f>
        <v>B&amp;B IL POZZO DI VIVALPA - SERRA DE' CONTI</v>
      </c>
    </row>
    <row r="1414" spans="1:8" x14ac:dyDescent="0.25">
      <c r="A1414" s="1" t="s">
        <v>29</v>
      </c>
      <c r="B1414" s="1" t="s">
        <v>14629</v>
      </c>
      <c r="C1414" s="1" t="s">
        <v>14630</v>
      </c>
      <c r="D1414" s="1" t="s">
        <v>14576</v>
      </c>
      <c r="E1414" s="1" t="s">
        <v>14631</v>
      </c>
      <c r="F1414" s="1" t="s">
        <v>14632</v>
      </c>
      <c r="G1414" s="1" t="s">
        <v>14633</v>
      </c>
      <c r="H1414" s="2" t="str">
        <f>Tabella1[[#This Row],[Denominazione]]&amp;" - "&amp;Tabella1[[#This Row],[Città]]</f>
        <v>B&amp;B IL POZZO INCANTATO - ASCOLI PICENO</v>
      </c>
    </row>
    <row r="1415" spans="1:8" x14ac:dyDescent="0.25">
      <c r="A1415" s="1" t="s">
        <v>29</v>
      </c>
      <c r="B1415" s="1" t="s">
        <v>8448</v>
      </c>
      <c r="C1415" s="1" t="s">
        <v>8449</v>
      </c>
      <c r="D1415" s="1" t="s">
        <v>8411</v>
      </c>
      <c r="F1415" s="1" t="s">
        <v>8450</v>
      </c>
      <c r="G1415" s="1" t="s">
        <v>8451</v>
      </c>
      <c r="H1415" s="2" t="str">
        <f>Tabella1[[#This Row],[Denominazione]]&amp;" - "&amp;Tabella1[[#This Row],[Città]]</f>
        <v>B&amp;B IL PUNTO MAGICO - OFFAGNA</v>
      </c>
    </row>
    <row r="1416" spans="1:8" x14ac:dyDescent="0.25">
      <c r="A1416" s="1" t="s">
        <v>29</v>
      </c>
      <c r="B1416" s="1" t="s">
        <v>7578</v>
      </c>
      <c r="C1416" s="1" t="s">
        <v>7579</v>
      </c>
      <c r="D1416" s="1" t="s">
        <v>7571</v>
      </c>
      <c r="F1416" s="1" t="s">
        <v>7580</v>
      </c>
      <c r="G1416" s="1" t="s">
        <v>7581</v>
      </c>
      <c r="H1416" s="2" t="str">
        <f>Tabella1[[#This Row],[Denominazione]]&amp;" - "&amp;Tabella1[[#This Row],[Città]]</f>
        <v>B&amp;B IL QUADRIFOGLIO LA SIESTA - MAIOLATI SPONTINI</v>
      </c>
    </row>
    <row r="1417" spans="1:8" x14ac:dyDescent="0.25">
      <c r="A1417" s="1" t="s">
        <v>29</v>
      </c>
      <c r="B1417" s="1" t="s">
        <v>7222</v>
      </c>
      <c r="C1417" s="1" t="s">
        <v>7223</v>
      </c>
      <c r="D1417" s="1" t="s">
        <v>7200</v>
      </c>
      <c r="E1417" s="1" t="s">
        <v>7200</v>
      </c>
      <c r="F1417" s="1" t="s">
        <v>7224</v>
      </c>
      <c r="G1417" s="1" t="s">
        <v>7225</v>
      </c>
      <c r="H1417" s="2" t="str">
        <f>Tabella1[[#This Row],[Denominazione]]&amp;" - "&amp;Tabella1[[#This Row],[Città]]</f>
        <v>B&amp;B IL REVELLONE - GENGA</v>
      </c>
    </row>
    <row r="1418" spans="1:8" x14ac:dyDescent="0.25">
      <c r="A1418" s="1" t="s">
        <v>29</v>
      </c>
      <c r="B1418" s="1" t="s">
        <v>13815</v>
      </c>
      <c r="C1418" s="1" t="s">
        <v>13816</v>
      </c>
      <c r="D1418" s="1" t="s">
        <v>13756</v>
      </c>
      <c r="F1418" s="1" t="s">
        <v>13803</v>
      </c>
      <c r="G1418" s="1" t="s">
        <v>13804</v>
      </c>
      <c r="H1418" s="2" t="str">
        <f>Tabella1[[#This Row],[Denominazione]]&amp;" - "&amp;Tabella1[[#This Row],[Città]]</f>
        <v>B&amp;B IL RIFUGIO DEI CANTICI - SARNANO</v>
      </c>
    </row>
    <row r="1419" spans="1:8" x14ac:dyDescent="0.25">
      <c r="A1419" s="1" t="s">
        <v>29</v>
      </c>
      <c r="B1419" s="1" t="s">
        <v>6981</v>
      </c>
      <c r="C1419" s="1" t="s">
        <v>6982</v>
      </c>
      <c r="D1419" s="1" t="s">
        <v>6790</v>
      </c>
      <c r="E1419" s="1" t="s">
        <v>6983</v>
      </c>
      <c r="G1419" s="1" t="s">
        <v>6984</v>
      </c>
      <c r="H1419" s="2" t="str">
        <f>Tabella1[[#This Row],[Denominazione]]&amp;" - "&amp;Tabella1[[#This Row],[Città]]</f>
        <v>B&amp;B IL RIFUGIO DEL PITTORE - FABRIANO</v>
      </c>
    </row>
    <row r="1420" spans="1:8" x14ac:dyDescent="0.25">
      <c r="A1420" s="1" t="s">
        <v>29</v>
      </c>
      <c r="B1420" s="1" t="s">
        <v>16610</v>
      </c>
      <c r="C1420" s="1" t="s">
        <v>16611</v>
      </c>
      <c r="D1420" s="1" t="s">
        <v>16585</v>
      </c>
      <c r="E1420" s="1" t="s">
        <v>16585</v>
      </c>
      <c r="F1420" s="1" t="s">
        <v>16612</v>
      </c>
      <c r="G1420" s="1" t="s">
        <v>16613</v>
      </c>
      <c r="H1420" s="2" t="str">
        <f>Tabella1[[#This Row],[Denominazione]]&amp;" - "&amp;Tabella1[[#This Row],[Città]]</f>
        <v>B&amp;B IL ROCCOLO - RIPATRANSONE</v>
      </c>
    </row>
    <row r="1421" spans="1:8" x14ac:dyDescent="0.25">
      <c r="A1421" s="1" t="s">
        <v>29</v>
      </c>
      <c r="B1421" s="1" t="s">
        <v>14315</v>
      </c>
      <c r="C1421" s="1" t="s">
        <v>14316</v>
      </c>
      <c r="D1421" s="1" t="s">
        <v>14276</v>
      </c>
      <c r="G1421" s="1" t="s">
        <v>14317</v>
      </c>
      <c r="H1421" s="2" t="str">
        <f>Tabella1[[#This Row],[Denominazione]]&amp;" - "&amp;Tabella1[[#This Row],[Città]]</f>
        <v>B&amp;B IL RUSCELLO - VISSO</v>
      </c>
    </row>
    <row r="1422" spans="1:8" x14ac:dyDescent="0.25">
      <c r="A1422" s="1" t="s">
        <v>29</v>
      </c>
      <c r="B1422" s="1" t="s">
        <v>12568</v>
      </c>
      <c r="C1422" s="1" t="s">
        <v>12569</v>
      </c>
      <c r="D1422" s="1" t="s">
        <v>12546</v>
      </c>
      <c r="E1422" s="1" t="s">
        <v>12570</v>
      </c>
      <c r="F1422" s="1" t="s">
        <v>12571</v>
      </c>
      <c r="G1422" s="1" t="s">
        <v>12572</v>
      </c>
      <c r="H1422" s="2" t="str">
        <f>Tabella1[[#This Row],[Denominazione]]&amp;" - "&amp;Tabella1[[#This Row],[Città]]</f>
        <v>B&amp;B IL SAMBUCO - MORROVALLE</v>
      </c>
    </row>
    <row r="1423" spans="1:8" x14ac:dyDescent="0.25">
      <c r="A1423" s="1" t="s">
        <v>29</v>
      </c>
      <c r="B1423" s="1" t="s">
        <v>7743</v>
      </c>
      <c r="C1423" s="1" t="s">
        <v>7744</v>
      </c>
      <c r="D1423" s="1" t="s">
        <v>7718</v>
      </c>
      <c r="E1423" s="1" t="s">
        <v>7718</v>
      </c>
      <c r="G1423" s="1" t="s">
        <v>7745</v>
      </c>
      <c r="H1423" s="2" t="str">
        <f>Tabella1[[#This Row],[Denominazione]]&amp;" - "&amp;Tabella1[[#This Row],[Città]]</f>
        <v>B&amp;B IL SENTIERO - MONTEMARCIANO</v>
      </c>
    </row>
    <row r="1424" spans="1:8" x14ac:dyDescent="0.25">
      <c r="A1424" s="1" t="s">
        <v>29</v>
      </c>
      <c r="B1424" s="1" t="s">
        <v>3129</v>
      </c>
      <c r="C1424" s="1" t="s">
        <v>3130</v>
      </c>
      <c r="D1424" s="1" t="s">
        <v>3131</v>
      </c>
      <c r="E1424" s="1" t="s">
        <v>3132</v>
      </c>
      <c r="G1424" s="1" t="s">
        <v>3133</v>
      </c>
      <c r="H1424" s="2" t="str">
        <f>Tabella1[[#This Row],[Denominazione]]&amp;" - "&amp;Tabella1[[#This Row],[Città]]</f>
        <v>B&amp;B IL SENTIERO DEI GOTI - MONTE GRIMANO TERME</v>
      </c>
    </row>
    <row r="1425" spans="1:8" x14ac:dyDescent="0.25">
      <c r="A1425" s="1" t="s">
        <v>29</v>
      </c>
      <c r="B1425" s="1" t="s">
        <v>6585</v>
      </c>
      <c r="C1425" s="1" t="s">
        <v>6586</v>
      </c>
      <c r="D1425" s="1" t="s">
        <v>6536</v>
      </c>
      <c r="E1425" s="1" t="s">
        <v>6536</v>
      </c>
      <c r="F1425" s="1" t="s">
        <v>6569</v>
      </c>
      <c r="G1425" s="1" t="s">
        <v>6570</v>
      </c>
      <c r="H1425" s="2" t="str">
        <f>Tabella1[[#This Row],[Denominazione]]&amp;" - "&amp;Tabella1[[#This Row],[Città]]</f>
        <v>B&amp;B IL SETTIMO BORGO - CORINALDO</v>
      </c>
    </row>
    <row r="1426" spans="1:8" x14ac:dyDescent="0.25">
      <c r="A1426" s="1" t="s">
        <v>29</v>
      </c>
      <c r="B1426" s="1" t="s">
        <v>2626</v>
      </c>
      <c r="C1426" s="1" t="s">
        <v>2627</v>
      </c>
      <c r="D1426" s="1" t="s">
        <v>2594</v>
      </c>
      <c r="E1426" s="1" t="s">
        <v>2594</v>
      </c>
      <c r="F1426" s="1" t="s">
        <v>2628</v>
      </c>
      <c r="G1426" s="1" t="s">
        <v>2629</v>
      </c>
      <c r="H1426" s="2" t="str">
        <f>Tabella1[[#This Row],[Denominazione]]&amp;" - "&amp;Tabella1[[#This Row],[Città]]</f>
        <v>B&amp;B IL SOCCORSO - MERCATELLO SUL METAURO</v>
      </c>
    </row>
    <row r="1427" spans="1:8" x14ac:dyDescent="0.25">
      <c r="A1427" s="1" t="s">
        <v>29</v>
      </c>
      <c r="B1427" s="1" t="s">
        <v>18383</v>
      </c>
      <c r="C1427" s="1" t="s">
        <v>18384</v>
      </c>
      <c r="D1427" s="1" t="s">
        <v>18372</v>
      </c>
      <c r="F1427" s="1" t="s">
        <v>18385</v>
      </c>
      <c r="G1427" s="1" t="s">
        <v>18386</v>
      </c>
      <c r="H1427" s="2" t="str">
        <f>Tabella1[[#This Row],[Denominazione]]&amp;" - "&amp;Tabella1[[#This Row],[Città]]</f>
        <v>B&amp;B IL SOGNO - GROTTAZZOLINA</v>
      </c>
    </row>
    <row r="1428" spans="1:8" x14ac:dyDescent="0.25">
      <c r="A1428" s="1" t="s">
        <v>29</v>
      </c>
      <c r="B1428" s="1" t="s">
        <v>12967</v>
      </c>
      <c r="C1428" s="1" t="s">
        <v>12968</v>
      </c>
      <c r="D1428" s="1" t="s">
        <v>12801</v>
      </c>
      <c r="F1428" s="1" t="s">
        <v>12969</v>
      </c>
      <c r="G1428" s="1" t="s">
        <v>12970</v>
      </c>
      <c r="H1428" s="2" t="str">
        <f>Tabella1[[#This Row],[Denominazione]]&amp;" - "&amp;Tabella1[[#This Row],[Città]]</f>
        <v>B&amp;B IL SOL LEONE - PORTO RECANATI</v>
      </c>
    </row>
    <row r="1429" spans="1:8" x14ac:dyDescent="0.25">
      <c r="A1429" s="1" t="s">
        <v>29</v>
      </c>
      <c r="B1429" s="1" t="s">
        <v>5965</v>
      </c>
      <c r="C1429" s="1" t="s">
        <v>5966</v>
      </c>
      <c r="D1429" s="1" t="s">
        <v>1864</v>
      </c>
      <c r="G1429" s="1" t="s">
        <v>5967</v>
      </c>
      <c r="H1429" s="2" t="str">
        <f>Tabella1[[#This Row],[Denominazione]]&amp;" - "&amp;Tabella1[[#This Row],[Città]]</f>
        <v>B&amp;B IL SOLE - ANCONA</v>
      </c>
    </row>
    <row r="1430" spans="1:8" x14ac:dyDescent="0.25">
      <c r="A1430" s="1" t="s">
        <v>29</v>
      </c>
      <c r="B1430" s="1" t="s">
        <v>6788</v>
      </c>
      <c r="C1430" s="1" t="s">
        <v>6789</v>
      </c>
      <c r="D1430" s="1" t="s">
        <v>6790</v>
      </c>
      <c r="F1430" s="1" t="s">
        <v>6791</v>
      </c>
      <c r="G1430" s="1" t="s">
        <v>6792</v>
      </c>
      <c r="H1430" s="2" t="str">
        <f>Tabella1[[#This Row],[Denominazione]]&amp;" - "&amp;Tabella1[[#This Row],[Città]]</f>
        <v>B&amp;B IL SORBO - FABRIANO</v>
      </c>
    </row>
    <row r="1431" spans="1:8" x14ac:dyDescent="0.25">
      <c r="A1431" s="1" t="s">
        <v>29</v>
      </c>
      <c r="B1431" s="1" t="s">
        <v>14025</v>
      </c>
      <c r="C1431" s="1" t="s">
        <v>14026</v>
      </c>
      <c r="D1431" s="1" t="s">
        <v>13946</v>
      </c>
      <c r="E1431" s="1" t="s">
        <v>13946</v>
      </c>
      <c r="G1431" s="1" t="s">
        <v>14027</v>
      </c>
      <c r="H1431" s="2" t="str">
        <f>Tabella1[[#This Row],[Denominazione]]&amp;" - "&amp;Tabella1[[#This Row],[Città]]</f>
        <v>B&amp;B IL TEATRO - TOLENTINO</v>
      </c>
    </row>
    <row r="1432" spans="1:8" x14ac:dyDescent="0.25">
      <c r="A1432" s="1" t="s">
        <v>29</v>
      </c>
      <c r="B1432" s="1" t="s">
        <v>14992</v>
      </c>
      <c r="C1432" s="1" t="s">
        <v>14993</v>
      </c>
      <c r="D1432" s="1" t="s">
        <v>14576</v>
      </c>
      <c r="G1432" s="1" t="s">
        <v>14994</v>
      </c>
      <c r="H1432" s="2" t="str">
        <f>Tabella1[[#This Row],[Denominazione]]&amp;" - "&amp;Tabella1[[#This Row],[Città]]</f>
        <v>B&amp;B IL TEMPO RITROVATO - ASCOLI PICENO</v>
      </c>
    </row>
    <row r="1433" spans="1:8" x14ac:dyDescent="0.25">
      <c r="A1433" s="1" t="s">
        <v>29</v>
      </c>
      <c r="B1433" s="1" t="s">
        <v>7123</v>
      </c>
      <c r="C1433" s="1" t="s">
        <v>7124</v>
      </c>
      <c r="D1433" s="1" t="s">
        <v>5735</v>
      </c>
      <c r="E1433" s="1" t="s">
        <v>5735</v>
      </c>
      <c r="F1433" s="1" t="s">
        <v>7125</v>
      </c>
      <c r="G1433" s="1" t="s">
        <v>7126</v>
      </c>
      <c r="H1433" s="2" t="str">
        <f>Tabella1[[#This Row],[Denominazione]]&amp;" - "&amp;Tabella1[[#This Row],[Città]]</f>
        <v>B&amp;B IL TESORO DI MARIO - FALCONARA MARITTIMA</v>
      </c>
    </row>
    <row r="1434" spans="1:8" x14ac:dyDescent="0.25">
      <c r="A1434" s="1" t="s">
        <v>29</v>
      </c>
      <c r="B1434" s="1" t="s">
        <v>750</v>
      </c>
      <c r="C1434" s="1" t="s">
        <v>751</v>
      </c>
      <c r="D1434" s="1" t="s">
        <v>682</v>
      </c>
      <c r="E1434" s="1" t="s">
        <v>682</v>
      </c>
      <c r="F1434" s="1" t="s">
        <v>752</v>
      </c>
      <c r="G1434" s="1" t="s">
        <v>753</v>
      </c>
      <c r="H1434" s="2" t="str">
        <f>Tabella1[[#This Row],[Denominazione]]&amp;" - "&amp;Tabella1[[#This Row],[Città]]</f>
        <v>B&amp;B IL TIGLIO - FANO</v>
      </c>
    </row>
    <row r="1435" spans="1:8" x14ac:dyDescent="0.25">
      <c r="A1435" s="1" t="s">
        <v>29</v>
      </c>
      <c r="B1435" s="1" t="s">
        <v>6550</v>
      </c>
      <c r="C1435" s="1" t="s">
        <v>6551</v>
      </c>
      <c r="D1435" s="1" t="s">
        <v>6536</v>
      </c>
      <c r="F1435" s="1" t="s">
        <v>6552</v>
      </c>
      <c r="G1435" s="1" t="s">
        <v>6553</v>
      </c>
      <c r="H1435" s="2" t="str">
        <f>Tabella1[[#This Row],[Denominazione]]&amp;" - "&amp;Tabella1[[#This Row],[Città]]</f>
        <v>B&amp;B IL TRAMONTO - CORINALDO</v>
      </c>
    </row>
    <row r="1436" spans="1:8" x14ac:dyDescent="0.25">
      <c r="A1436" s="1" t="s">
        <v>29</v>
      </c>
      <c r="B1436" s="1" t="s">
        <v>6550</v>
      </c>
      <c r="C1436" s="1" t="s">
        <v>16501</v>
      </c>
      <c r="D1436" s="1" t="s">
        <v>16440</v>
      </c>
      <c r="F1436" s="1" t="s">
        <v>16502</v>
      </c>
      <c r="G1436" s="1" t="s">
        <v>16503</v>
      </c>
      <c r="H1436" s="2" t="str">
        <f>Tabella1[[#This Row],[Denominazione]]&amp;" - "&amp;Tabella1[[#This Row],[Città]]</f>
        <v>B&amp;B IL TRAMONTO - OFFIDA</v>
      </c>
    </row>
    <row r="1437" spans="1:8" x14ac:dyDescent="0.25">
      <c r="A1437" s="1" t="s">
        <v>29</v>
      </c>
      <c r="B1437" s="1" t="s">
        <v>14906</v>
      </c>
      <c r="C1437" s="1" t="s">
        <v>14907</v>
      </c>
      <c r="D1437" s="1" t="s">
        <v>14576</v>
      </c>
      <c r="E1437" s="1" t="s">
        <v>14908</v>
      </c>
      <c r="G1437" s="1" t="s">
        <v>14909</v>
      </c>
      <c r="H1437" s="2" t="str">
        <f>Tabella1[[#This Row],[Denominazione]]&amp;" - "&amp;Tabella1[[#This Row],[Città]]</f>
        <v>B&amp;B IL TRATTO di KATIA E GIANCARLO - ASCOLI PICENO</v>
      </c>
    </row>
    <row r="1438" spans="1:8" x14ac:dyDescent="0.25">
      <c r="A1438" s="1" t="s">
        <v>29</v>
      </c>
      <c r="B1438" s="1" t="s">
        <v>14980</v>
      </c>
      <c r="C1438" s="1" t="s">
        <v>14981</v>
      </c>
      <c r="D1438" s="1" t="s">
        <v>14576</v>
      </c>
      <c r="G1438" s="1" t="s">
        <v>14909</v>
      </c>
      <c r="H1438" s="2" t="str">
        <f>Tabella1[[#This Row],[Denominazione]]&amp;" - "&amp;Tabella1[[#This Row],[Città]]</f>
        <v>B&amp;B IL TRATTO IN CENTRO - ASCOLI PICENO</v>
      </c>
    </row>
    <row r="1439" spans="1:8" x14ac:dyDescent="0.25">
      <c r="A1439" s="1" t="s">
        <v>29</v>
      </c>
      <c r="B1439" s="1" t="s">
        <v>8825</v>
      </c>
      <c r="C1439" s="1" t="s">
        <v>8826</v>
      </c>
      <c r="D1439" s="1" t="s">
        <v>8801</v>
      </c>
      <c r="F1439" s="1" t="s">
        <v>8827</v>
      </c>
      <c r="G1439" s="1" t="s">
        <v>8828</v>
      </c>
      <c r="H1439" s="2" t="str">
        <f>Tabella1[[#This Row],[Denominazione]]&amp;" - "&amp;Tabella1[[#This Row],[Città]]</f>
        <v>B&amp;B IL VECCHIO NESPOLO - SAN MARCELLO</v>
      </c>
    </row>
    <row r="1440" spans="1:8" x14ac:dyDescent="0.25">
      <c r="A1440" s="1" t="s">
        <v>29</v>
      </c>
      <c r="B1440" s="1" t="s">
        <v>18885</v>
      </c>
      <c r="C1440" s="1" t="s">
        <v>18886</v>
      </c>
      <c r="D1440" s="1" t="s">
        <v>18876</v>
      </c>
      <c r="G1440" s="1" t="s">
        <v>18887</v>
      </c>
      <c r="H1440" s="2" t="str">
        <f>Tabella1[[#This Row],[Denominazione]]&amp;" - "&amp;Tabella1[[#This Row],[Città]]</f>
        <v>B&amp;B IL VECCHIO TIGLIO di ERCOLI ROBERTA - MONTOTTONE</v>
      </c>
    </row>
    <row r="1441" spans="1:8" x14ac:dyDescent="0.25">
      <c r="A1441" s="1" t="s">
        <v>29</v>
      </c>
      <c r="B1441" s="1" t="s">
        <v>19516</v>
      </c>
      <c r="C1441" s="1" t="s">
        <v>19517</v>
      </c>
      <c r="D1441" s="1" t="s">
        <v>19500</v>
      </c>
      <c r="F1441" s="1" t="s">
        <v>19518</v>
      </c>
      <c r="G1441" s="1" t="s">
        <v>19519</v>
      </c>
      <c r="H1441" s="2" t="str">
        <f>Tabella1[[#This Row],[Denominazione]]&amp;" - "&amp;Tabella1[[#This Row],[Città]]</f>
        <v>B&amp;B IL VECCHIO TORCHIO - SANTA VITTORIA IN MATENANO</v>
      </c>
    </row>
    <row r="1442" spans="1:8" x14ac:dyDescent="0.25">
      <c r="A1442" s="1" t="s">
        <v>29</v>
      </c>
      <c r="B1442" s="1" t="s">
        <v>5923</v>
      </c>
      <c r="C1442" s="1" t="s">
        <v>5924</v>
      </c>
      <c r="D1442" s="1" t="s">
        <v>1864</v>
      </c>
      <c r="E1442" s="1" t="s">
        <v>5925</v>
      </c>
      <c r="F1442" s="1" t="s">
        <v>5926</v>
      </c>
      <c r="G1442" s="1" t="s">
        <v>5927</v>
      </c>
      <c r="H1442" s="2" t="str">
        <f>Tabella1[[#This Row],[Denominazione]]&amp;" - "&amp;Tabella1[[#This Row],[Città]]</f>
        <v>B&amp;B IL VERDE PINO - ANCONA</v>
      </c>
    </row>
    <row r="1443" spans="1:8" x14ac:dyDescent="0.25">
      <c r="A1443" s="1" t="s">
        <v>29</v>
      </c>
      <c r="B1443" s="1" t="s">
        <v>12406</v>
      </c>
      <c r="C1443" s="1" t="s">
        <v>12407</v>
      </c>
      <c r="D1443" s="1" t="s">
        <v>12382</v>
      </c>
      <c r="E1443" s="1" t="s">
        <v>12408</v>
      </c>
      <c r="G1443" s="1" t="s">
        <v>12409</v>
      </c>
      <c r="H1443" s="2" t="str">
        <f>Tabella1[[#This Row],[Denominazione]]&amp;" - "&amp;Tabella1[[#This Row],[Città]]</f>
        <v>B&amp;B IL VIALE - MONTECOSARO</v>
      </c>
    </row>
    <row r="1444" spans="1:8" x14ac:dyDescent="0.25">
      <c r="A1444" s="1" t="s">
        <v>29</v>
      </c>
      <c r="B1444" s="1" t="s">
        <v>19566</v>
      </c>
      <c r="C1444" s="1" t="s">
        <v>19567</v>
      </c>
      <c r="D1444" s="1" t="s">
        <v>19541</v>
      </c>
      <c r="E1444" s="1" t="s">
        <v>19564</v>
      </c>
      <c r="F1444" s="1" t="s">
        <v>19568</v>
      </c>
      <c r="G1444" s="1" t="s">
        <v>19569</v>
      </c>
      <c r="H1444" s="2" t="str">
        <f>Tabella1[[#This Row],[Denominazione]]&amp;" - "&amp;Tabella1[[#This Row],[Città]]</f>
        <v>B&amp;B IL VIALE DEGLI ULIVI - SANT'ELPIDIO A MARE</v>
      </c>
    </row>
    <row r="1445" spans="1:8" x14ac:dyDescent="0.25">
      <c r="A1445" s="1" t="s">
        <v>29</v>
      </c>
      <c r="B1445" s="1" t="s">
        <v>5324</v>
      </c>
      <c r="C1445" s="1" t="s">
        <v>5325</v>
      </c>
      <c r="D1445" s="1" t="s">
        <v>9</v>
      </c>
      <c r="G1445" s="1" t="s">
        <v>5326</v>
      </c>
      <c r="H1445" s="2" t="str">
        <f>Tabella1[[#This Row],[Denominazione]]&amp;" - "&amp;Tabella1[[#This Row],[Città]]</f>
        <v>B&amp;B IL VICOLO - URBINO</v>
      </c>
    </row>
    <row r="1446" spans="1:8" x14ac:dyDescent="0.25">
      <c r="A1446" s="1" t="s">
        <v>29</v>
      </c>
      <c r="B1446" s="1" t="s">
        <v>15162</v>
      </c>
      <c r="C1446" s="1" t="s">
        <v>15163</v>
      </c>
      <c r="D1446" s="1" t="s">
        <v>15151</v>
      </c>
      <c r="E1446" s="1" t="s">
        <v>15151</v>
      </c>
      <c r="H1446" s="2" t="str">
        <f>Tabella1[[#This Row],[Denominazione]]&amp;" - "&amp;Tabella1[[#This Row],[Città]]</f>
        <v>B&amp;B IL VICOLO di VALENTINI FRANCO - CASTIGNANO</v>
      </c>
    </row>
    <row r="1447" spans="1:8" x14ac:dyDescent="0.25">
      <c r="A1447" s="1" t="s">
        <v>29</v>
      </c>
      <c r="B1447" s="1" t="s">
        <v>10684</v>
      </c>
      <c r="C1447" s="1" t="s">
        <v>10685</v>
      </c>
      <c r="D1447" s="1" t="s">
        <v>10654</v>
      </c>
      <c r="E1447" s="1" t="s">
        <v>10654</v>
      </c>
      <c r="F1447" s="1" t="s">
        <v>10686</v>
      </c>
      <c r="G1447" s="1" t="s">
        <v>10687</v>
      </c>
      <c r="H1447" s="2" t="str">
        <f>Tabella1[[#This Row],[Denominazione]]&amp;" - "&amp;Tabella1[[#This Row],[Città]]</f>
        <v>B&amp;B IL VILLINO - BELFORTE DEL CHIENTI</v>
      </c>
    </row>
    <row r="1448" spans="1:8" x14ac:dyDescent="0.25">
      <c r="A1448" s="1" t="s">
        <v>29</v>
      </c>
      <c r="B1448" s="1" t="s">
        <v>15792</v>
      </c>
      <c r="C1448" s="1" t="s">
        <v>15793</v>
      </c>
      <c r="D1448" s="1" t="s">
        <v>15585</v>
      </c>
      <c r="E1448" s="1" t="s">
        <v>15585</v>
      </c>
      <c r="G1448" s="1" t="s">
        <v>15794</v>
      </c>
      <c r="H1448" s="2" t="str">
        <f>Tabella1[[#This Row],[Denominazione]]&amp;" - "&amp;Tabella1[[#This Row],[Città]]</f>
        <v>B&amp;B IMBRESCIA - GROTTAMMARE</v>
      </c>
    </row>
    <row r="1449" spans="1:8" x14ac:dyDescent="0.25">
      <c r="A1449" s="1" t="s">
        <v>29</v>
      </c>
      <c r="B1449" s="1" t="s">
        <v>6478</v>
      </c>
      <c r="C1449" s="1" t="s">
        <v>6479</v>
      </c>
      <c r="D1449" s="1" t="s">
        <v>6467</v>
      </c>
      <c r="E1449" s="1" t="s">
        <v>6467</v>
      </c>
      <c r="F1449" s="1" t="s">
        <v>6480</v>
      </c>
      <c r="G1449" s="1" t="s">
        <v>6481</v>
      </c>
      <c r="H1449" s="2" t="str">
        <f>Tabella1[[#This Row],[Denominazione]]&amp;" - "&amp;Tabella1[[#This Row],[Città]]</f>
        <v>B&amp;B IN CASA D'ARTE - CASTELPLANIO</v>
      </c>
    </row>
    <row r="1450" spans="1:8" x14ac:dyDescent="0.25">
      <c r="A1450" s="1" t="s">
        <v>29</v>
      </c>
      <c r="B1450" s="1" t="s">
        <v>6482</v>
      </c>
      <c r="C1450" s="1" t="s">
        <v>6483</v>
      </c>
      <c r="D1450" s="1" t="s">
        <v>6467</v>
      </c>
      <c r="E1450" s="1" t="s">
        <v>6467</v>
      </c>
      <c r="F1450" s="1" t="s">
        <v>6480</v>
      </c>
      <c r="G1450" s="1" t="s">
        <v>6481</v>
      </c>
      <c r="H1450" s="2" t="str">
        <f>Tabella1[[#This Row],[Denominazione]]&amp;" - "&amp;Tabella1[[#This Row],[Città]]</f>
        <v>B&amp;B IN CASA D'ARTE - RESIDENZA STORICA - CASTELPLANIO</v>
      </c>
    </row>
    <row r="1451" spans="1:8" x14ac:dyDescent="0.25">
      <c r="A1451" s="1" t="s">
        <v>29</v>
      </c>
      <c r="B1451" s="1" t="s">
        <v>17050</v>
      </c>
      <c r="C1451" s="1" t="s">
        <v>17051</v>
      </c>
      <c r="D1451" s="1" t="s">
        <v>15819</v>
      </c>
      <c r="E1451" s="1" t="s">
        <v>10384</v>
      </c>
      <c r="F1451" s="1" t="s">
        <v>17052</v>
      </c>
      <c r="G1451" s="1" t="s">
        <v>17053</v>
      </c>
      <c r="H1451" s="2" t="str">
        <f>Tabella1[[#This Row],[Denominazione]]&amp;" - "&amp;Tabella1[[#This Row],[Città]]</f>
        <v>B&amp;B IN CENTRO di LUIGINO DE LAURENTIS - SAN BENEDETTO DEL TRONTO</v>
      </c>
    </row>
    <row r="1452" spans="1:8" x14ac:dyDescent="0.25">
      <c r="A1452" s="1" t="s">
        <v>29</v>
      </c>
      <c r="B1452" s="1" t="s">
        <v>13406</v>
      </c>
      <c r="C1452" s="1" t="s">
        <v>13407</v>
      </c>
      <c r="D1452" s="1" t="s">
        <v>13298</v>
      </c>
      <c r="G1452" s="1" t="s">
        <v>13408</v>
      </c>
      <c r="H1452" s="2" t="str">
        <f>Tabella1[[#This Row],[Denominazione]]&amp;" - "&amp;Tabella1[[#This Row],[Città]]</f>
        <v>B&amp;B IN PRINCIPIO VITAE - RECANATI</v>
      </c>
    </row>
    <row r="1453" spans="1:8" x14ac:dyDescent="0.25">
      <c r="A1453" s="1" t="s">
        <v>29</v>
      </c>
      <c r="B1453" s="1" t="s">
        <v>7939</v>
      </c>
      <c r="C1453" s="1" t="s">
        <v>7940</v>
      </c>
      <c r="D1453" s="1" t="s">
        <v>7889</v>
      </c>
      <c r="E1453" s="1" t="s">
        <v>7890</v>
      </c>
      <c r="G1453" s="1" t="s">
        <v>7941</v>
      </c>
      <c r="H1453" s="2" t="str">
        <f>Tabella1[[#This Row],[Denominazione]]&amp;" - "&amp;Tabella1[[#This Row],[Città]]</f>
        <v>B&amp;B IN RIVA AL MARE - NUMANA</v>
      </c>
    </row>
    <row r="1454" spans="1:8" x14ac:dyDescent="0.25">
      <c r="A1454" s="1" t="s">
        <v>29</v>
      </c>
      <c r="B1454" s="1" t="s">
        <v>11508</v>
      </c>
      <c r="C1454" s="1" t="s">
        <v>11509</v>
      </c>
      <c r="D1454" s="1" t="s">
        <v>11244</v>
      </c>
      <c r="F1454" s="1" t="s">
        <v>11510</v>
      </c>
      <c r="G1454" s="1" t="s">
        <v>11511</v>
      </c>
      <c r="H1454" s="2" t="str">
        <f>Tabella1[[#This Row],[Denominazione]]&amp;" - "&amp;Tabella1[[#This Row],[Città]]</f>
        <v>B&amp;B IN VILLA - CIVITANOVA MARCHE</v>
      </c>
    </row>
    <row r="1455" spans="1:8" x14ac:dyDescent="0.25">
      <c r="A1455" s="1" t="s">
        <v>29</v>
      </c>
      <c r="B1455" s="1" t="s">
        <v>11445</v>
      </c>
      <c r="C1455" s="1" t="s">
        <v>11393</v>
      </c>
      <c r="D1455" s="1" t="s">
        <v>11244</v>
      </c>
      <c r="E1455" s="1" t="s">
        <v>11244</v>
      </c>
      <c r="F1455" s="1" t="s">
        <v>11446</v>
      </c>
      <c r="G1455" s="1" t="s">
        <v>11447</v>
      </c>
      <c r="H1455" s="2" t="str">
        <f>Tabella1[[#This Row],[Denominazione]]&amp;" - "&amp;Tabella1[[#This Row],[Città]]</f>
        <v>B&amp;B INDIPENDENZA - CIVITANOVA MARCHE</v>
      </c>
    </row>
    <row r="1456" spans="1:8" x14ac:dyDescent="0.25">
      <c r="A1456" s="1" t="s">
        <v>29</v>
      </c>
      <c r="B1456" s="1" t="s">
        <v>13219</v>
      </c>
      <c r="C1456" s="1" t="s">
        <v>13220</v>
      </c>
      <c r="D1456" s="1" t="s">
        <v>13026</v>
      </c>
      <c r="E1456" s="1" t="s">
        <v>13026</v>
      </c>
      <c r="F1456" s="1" t="s">
        <v>13221</v>
      </c>
      <c r="G1456" s="1" t="s">
        <v>13222</v>
      </c>
      <c r="H1456" s="2" t="str">
        <f>Tabella1[[#This Row],[Denominazione]]&amp;" - "&amp;Tabella1[[#This Row],[Città]]</f>
        <v>B&amp;B INES di MUNTEANU MIHAELA - POTENZA PICENA</v>
      </c>
    </row>
    <row r="1457" spans="1:8" x14ac:dyDescent="0.25">
      <c r="A1457" s="1" t="s">
        <v>29</v>
      </c>
      <c r="B1457" s="1" t="s">
        <v>19242</v>
      </c>
      <c r="C1457" s="1" t="s">
        <v>19243</v>
      </c>
      <c r="D1457" s="1" t="s">
        <v>18082</v>
      </c>
      <c r="E1457" s="1" t="s">
        <v>19244</v>
      </c>
      <c r="G1457" s="1" t="s">
        <v>19245</v>
      </c>
      <c r="H1457" s="2" t="str">
        <f>Tabella1[[#This Row],[Denominazione]]&amp;" - "&amp;Tabella1[[#This Row],[Città]]</f>
        <v>B&amp;B INTERNO 24 - PORTO SAN GIORGIO</v>
      </c>
    </row>
    <row r="1458" spans="1:8" x14ac:dyDescent="0.25">
      <c r="A1458" s="1" t="s">
        <v>29</v>
      </c>
      <c r="B1458" s="1" t="s">
        <v>19492</v>
      </c>
      <c r="C1458" s="1" t="s">
        <v>19493</v>
      </c>
      <c r="D1458" s="1" t="s">
        <v>19489</v>
      </c>
      <c r="E1458" s="1" t="s">
        <v>19489</v>
      </c>
      <c r="H1458" s="2" t="str">
        <f>Tabella1[[#This Row],[Denominazione]]&amp;" - "&amp;Tabella1[[#This Row],[Città]]</f>
        <v>B&amp;B IPPOCASTANO - RAPAGNANO</v>
      </c>
    </row>
    <row r="1459" spans="1:8" x14ac:dyDescent="0.25">
      <c r="A1459" s="1" t="s">
        <v>29</v>
      </c>
      <c r="B1459" s="1" t="s">
        <v>12158</v>
      </c>
      <c r="C1459" s="1" t="s">
        <v>12159</v>
      </c>
      <c r="D1459" s="1" t="s">
        <v>12050</v>
      </c>
      <c r="F1459" s="1" t="s">
        <v>12160</v>
      </c>
      <c r="G1459" s="1" t="s">
        <v>12161</v>
      </c>
      <c r="H1459" s="2" t="str">
        <f>Tabella1[[#This Row],[Denominazione]]&amp;" - "&amp;Tabella1[[#This Row],[Città]]</f>
        <v>B&amp;B IRIS - MACERATA</v>
      </c>
    </row>
    <row r="1460" spans="1:8" x14ac:dyDescent="0.25">
      <c r="A1460" s="1" t="s">
        <v>29</v>
      </c>
      <c r="B1460" s="1" t="s">
        <v>7421</v>
      </c>
      <c r="C1460" s="1" t="s">
        <v>7422</v>
      </c>
      <c r="D1460" s="1" t="s">
        <v>7385</v>
      </c>
      <c r="F1460" s="1" t="s">
        <v>7423</v>
      </c>
      <c r="G1460" s="1" t="s">
        <v>7424</v>
      </c>
      <c r="H1460" s="2" t="str">
        <f>Tabella1[[#This Row],[Denominazione]]&amp;" - "&amp;Tabella1[[#This Row],[Città]]</f>
        <v>B&amp;B ISA - LORETO</v>
      </c>
    </row>
    <row r="1461" spans="1:8" x14ac:dyDescent="0.25">
      <c r="A1461" s="1" t="s">
        <v>29</v>
      </c>
      <c r="B1461" s="1" t="s">
        <v>8131</v>
      </c>
      <c r="C1461" s="1" t="s">
        <v>8132</v>
      </c>
      <c r="D1461" s="1" t="s">
        <v>7889</v>
      </c>
      <c r="E1461" s="1" t="s">
        <v>7889</v>
      </c>
      <c r="F1461" s="1" t="s">
        <v>8133</v>
      </c>
      <c r="G1461" s="1" t="s">
        <v>8134</v>
      </c>
      <c r="H1461" s="2" t="str">
        <f>Tabella1[[#This Row],[Denominazione]]&amp;" - "&amp;Tabella1[[#This Row],[Città]]</f>
        <v>B&amp;B ISABELLA - NUMANA</v>
      </c>
    </row>
    <row r="1462" spans="1:8" x14ac:dyDescent="0.25">
      <c r="A1462" s="1" t="s">
        <v>29</v>
      </c>
      <c r="B1462" s="1" t="s">
        <v>13361</v>
      </c>
      <c r="C1462" s="1" t="s">
        <v>13362</v>
      </c>
      <c r="D1462" s="1" t="s">
        <v>13298</v>
      </c>
      <c r="E1462" s="1" t="s">
        <v>13298</v>
      </c>
      <c r="F1462" s="1" t="s">
        <v>13363</v>
      </c>
      <c r="G1462" s="1" t="s">
        <v>13364</v>
      </c>
      <c r="H1462" s="2" t="str">
        <f>Tabella1[[#This Row],[Denominazione]]&amp;" - "&amp;Tabella1[[#This Row],[Città]]</f>
        <v>B&amp;B ITALA di CORVATTA DANIELE - RECANATI</v>
      </c>
    </row>
    <row r="1463" spans="1:8" x14ac:dyDescent="0.25">
      <c r="A1463" s="1" t="s">
        <v>29</v>
      </c>
      <c r="B1463" s="1" t="s">
        <v>7712</v>
      </c>
      <c r="C1463" s="1" t="s">
        <v>7713</v>
      </c>
      <c r="D1463" s="1" t="s">
        <v>7678</v>
      </c>
      <c r="F1463" s="1" t="s">
        <v>7714</v>
      </c>
      <c r="G1463" s="1" t="s">
        <v>7715</v>
      </c>
      <c r="H1463" s="2" t="str">
        <f>Tabella1[[#This Row],[Denominazione]]&amp;" - "&amp;Tabella1[[#This Row],[Città]]</f>
        <v>B&amp;B JESA - MONTECAROTTO</v>
      </c>
    </row>
    <row r="1464" spans="1:8" x14ac:dyDescent="0.25">
      <c r="A1464" s="1" t="s">
        <v>29</v>
      </c>
      <c r="B1464" s="1" t="s">
        <v>18888</v>
      </c>
      <c r="C1464" s="1" t="s">
        <v>18889</v>
      </c>
      <c r="D1464" s="1" t="s">
        <v>18876</v>
      </c>
      <c r="F1464" s="1" t="s">
        <v>18890</v>
      </c>
      <c r="G1464" s="1" t="s">
        <v>18891</v>
      </c>
      <c r="H1464" s="2" t="str">
        <f>Tabella1[[#This Row],[Denominazione]]&amp;" - "&amp;Tabella1[[#This Row],[Città]]</f>
        <v>B&amp;B KLEIN SEVERT ANNE CLAIRE VERONIQUE - MONTOTTONE</v>
      </c>
    </row>
    <row r="1465" spans="1:8" x14ac:dyDescent="0.25">
      <c r="A1465" s="1" t="s">
        <v>29</v>
      </c>
      <c r="B1465" s="1" t="s">
        <v>5305</v>
      </c>
      <c r="C1465" s="1" t="s">
        <v>5306</v>
      </c>
      <c r="D1465" s="1" t="s">
        <v>9</v>
      </c>
      <c r="E1465" s="1" t="s">
        <v>9</v>
      </c>
      <c r="G1465" s="1" t="s">
        <v>5307</v>
      </c>
      <c r="H1465" s="2" t="str">
        <f>Tabella1[[#This Row],[Denominazione]]&amp;" - "&amp;Tabella1[[#This Row],[Città]]</f>
        <v>B&amp;B L' ALVEAPE - URBINO</v>
      </c>
    </row>
    <row r="1466" spans="1:8" x14ac:dyDescent="0.25">
      <c r="A1466" s="1" t="s">
        <v>29</v>
      </c>
      <c r="B1466" s="1" t="s">
        <v>11441</v>
      </c>
      <c r="C1466" s="1" t="s">
        <v>11442</v>
      </c>
      <c r="D1466" s="1" t="s">
        <v>11244</v>
      </c>
      <c r="E1466" s="1" t="s">
        <v>11244</v>
      </c>
      <c r="F1466" s="1" t="s">
        <v>11443</v>
      </c>
      <c r="G1466" s="1" t="s">
        <v>11444</v>
      </c>
      <c r="H1466" s="2" t="str">
        <f>Tabella1[[#This Row],[Denominazione]]&amp;" - "&amp;Tabella1[[#This Row],[Città]]</f>
        <v>B&amp;B L' OLIMPO - CIVITANOVA MARCHE</v>
      </c>
    </row>
    <row r="1467" spans="1:8" x14ac:dyDescent="0.25">
      <c r="A1467" s="1" t="s">
        <v>29</v>
      </c>
      <c r="B1467" s="1" t="s">
        <v>18323</v>
      </c>
      <c r="C1467" s="1" t="s">
        <v>18324</v>
      </c>
      <c r="D1467" s="1" t="s">
        <v>17932</v>
      </c>
      <c r="E1467" s="1" t="s">
        <v>18048</v>
      </c>
      <c r="F1467" s="1" t="s">
        <v>18325</v>
      </c>
      <c r="G1467" s="1" t="s">
        <v>18326</v>
      </c>
      <c r="H1467" s="2" t="str">
        <f>Tabella1[[#This Row],[Denominazione]]&amp;" - "&amp;Tabella1[[#This Row],[Città]]</f>
        <v>B&amp;B LA BAITA SUL MARE - FERMO</v>
      </c>
    </row>
    <row r="1468" spans="1:8" x14ac:dyDescent="0.25">
      <c r="A1468" s="1" t="s">
        <v>29</v>
      </c>
      <c r="B1468" s="1" t="s">
        <v>5058</v>
      </c>
      <c r="C1468" s="1" t="s">
        <v>5059</v>
      </c>
      <c r="D1468" s="1" t="s">
        <v>9</v>
      </c>
      <c r="E1468" s="1" t="s">
        <v>9</v>
      </c>
      <c r="G1468" s="1" t="s">
        <v>5060</v>
      </c>
      <c r="H1468" s="2" t="str">
        <f>Tabella1[[#This Row],[Denominazione]]&amp;" - "&amp;Tabella1[[#This Row],[Città]]</f>
        <v>B&amp;B LA BELLA URBINO - URBINO</v>
      </c>
    </row>
    <row r="1469" spans="1:8" x14ac:dyDescent="0.25">
      <c r="A1469" s="1" t="s">
        <v>29</v>
      </c>
      <c r="B1469" s="1" t="s">
        <v>13223</v>
      </c>
      <c r="C1469" s="1" t="s">
        <v>13224</v>
      </c>
      <c r="D1469" s="1" t="s">
        <v>13026</v>
      </c>
      <c r="G1469" s="1" t="s">
        <v>13225</v>
      </c>
      <c r="H1469" s="2" t="str">
        <f>Tabella1[[#This Row],[Denominazione]]&amp;" - "&amp;Tabella1[[#This Row],[Città]]</f>
        <v>B&amp;B LA BIANCA - POTENZA PICENA</v>
      </c>
    </row>
    <row r="1470" spans="1:8" x14ac:dyDescent="0.25">
      <c r="A1470" s="1" t="s">
        <v>29</v>
      </c>
      <c r="B1470" s="1" t="s">
        <v>10196</v>
      </c>
      <c r="C1470" s="1" t="s">
        <v>10197</v>
      </c>
      <c r="D1470" s="1" t="s">
        <v>10117</v>
      </c>
      <c r="E1470" s="1" t="s">
        <v>10117</v>
      </c>
      <c r="F1470" s="1" t="s">
        <v>10198</v>
      </c>
      <c r="G1470" s="1" t="s">
        <v>10199</v>
      </c>
      <c r="H1470" s="2" t="str">
        <f>Tabella1[[#This Row],[Denominazione]]&amp;" - "&amp;Tabella1[[#This Row],[Città]]</f>
        <v>B&amp;B LA CALANCA - SERRA SAN QUIRICO</v>
      </c>
    </row>
    <row r="1471" spans="1:8" x14ac:dyDescent="0.25">
      <c r="A1471" s="1" t="s">
        <v>29</v>
      </c>
      <c r="B1471" s="1" t="s">
        <v>8400</v>
      </c>
      <c r="C1471" s="1" t="s">
        <v>8401</v>
      </c>
      <c r="D1471" s="1" t="s">
        <v>7889</v>
      </c>
      <c r="E1471" s="1" t="s">
        <v>7895</v>
      </c>
      <c r="G1471" s="1" t="s">
        <v>8402</v>
      </c>
      <c r="H1471" s="2" t="str">
        <f>Tabella1[[#This Row],[Denominazione]]&amp;" - "&amp;Tabella1[[#This Row],[Città]]</f>
        <v>B&amp;B LA CALLETTA 37 - NUMANA</v>
      </c>
    </row>
    <row r="1472" spans="1:8" x14ac:dyDescent="0.25">
      <c r="A1472" s="1" t="s">
        <v>29</v>
      </c>
      <c r="B1472" s="1" t="s">
        <v>5971</v>
      </c>
      <c r="D1472" s="1" t="s">
        <v>1864</v>
      </c>
      <c r="E1472" s="1" t="s">
        <v>5972</v>
      </c>
      <c r="G1472" s="1" t="s">
        <v>5973</v>
      </c>
      <c r="H1472" s="2" t="str">
        <f>Tabella1[[#This Row],[Denominazione]]&amp;" - "&amp;Tabella1[[#This Row],[Città]]</f>
        <v>B&amp;B LA CAMPAGNA DEL CONERO - ANCONA</v>
      </c>
    </row>
    <row r="1473" spans="1:8" x14ac:dyDescent="0.25">
      <c r="A1473" s="1" t="s">
        <v>29</v>
      </c>
      <c r="B1473" s="1" t="s">
        <v>16980</v>
      </c>
      <c r="C1473" s="1" t="s">
        <v>16981</v>
      </c>
      <c r="D1473" s="1" t="s">
        <v>15819</v>
      </c>
      <c r="E1473" s="1" t="s">
        <v>15819</v>
      </c>
      <c r="F1473" s="1" t="s">
        <v>16982</v>
      </c>
      <c r="G1473" s="1" t="s">
        <v>16983</v>
      </c>
      <c r="H1473" s="2" t="str">
        <f>Tabella1[[#This Row],[Denominazione]]&amp;" - "&amp;Tabella1[[#This Row],[Città]]</f>
        <v>B&amp;B LA CANOA - SAN BENEDETTO DEL TRONTO</v>
      </c>
    </row>
    <row r="1474" spans="1:8" x14ac:dyDescent="0.25">
      <c r="A1474" s="1" t="s">
        <v>29</v>
      </c>
      <c r="B1474" s="1" t="s">
        <v>11784</v>
      </c>
      <c r="D1474" s="1" t="s">
        <v>11769</v>
      </c>
      <c r="E1474" s="1" t="s">
        <v>11785</v>
      </c>
      <c r="G1474" s="1" t="s">
        <v>11786</v>
      </c>
      <c r="H1474" s="2" t="str">
        <f>Tabella1[[#This Row],[Denominazione]]&amp;" - "&amp;Tabella1[[#This Row],[Città]]</f>
        <v>B&amp;B LA CANONICA - ESANATOGLIA</v>
      </c>
    </row>
    <row r="1475" spans="1:8" x14ac:dyDescent="0.25">
      <c r="A1475" s="1" t="s">
        <v>29</v>
      </c>
      <c r="B1475" s="1" t="s">
        <v>5421</v>
      </c>
      <c r="C1475" s="1" t="s">
        <v>5422</v>
      </c>
      <c r="D1475" s="1" t="s">
        <v>5423</v>
      </c>
      <c r="E1475" s="1" t="s">
        <v>5424</v>
      </c>
      <c r="F1475" s="1" t="s">
        <v>5425</v>
      </c>
      <c r="G1475" s="1" t="s">
        <v>5426</v>
      </c>
      <c r="H1475" s="2" t="str">
        <f>Tabella1[[#This Row],[Denominazione]]&amp;" - "&amp;Tabella1[[#This Row],[Città]]</f>
        <v>B&amp;B LA CAPINERA - AGUGLIANO</v>
      </c>
    </row>
    <row r="1476" spans="1:8" x14ac:dyDescent="0.25">
      <c r="A1476" s="1" t="s">
        <v>29</v>
      </c>
      <c r="B1476" s="1" t="s">
        <v>18622</v>
      </c>
      <c r="C1476" s="1" t="s">
        <v>18623</v>
      </c>
      <c r="D1476" s="1" t="s">
        <v>18618</v>
      </c>
      <c r="E1476" s="1" t="s">
        <v>18624</v>
      </c>
      <c r="F1476" s="1" t="s">
        <v>18625</v>
      </c>
      <c r="G1476" s="1" t="s">
        <v>18626</v>
      </c>
      <c r="H1476" s="2" t="str">
        <f>Tabella1[[#This Row],[Denominazione]]&amp;" - "&amp;Tabella1[[#This Row],[Città]]</f>
        <v>B&amp;B LA CAPPELLANIA - MONTEGIORGIO</v>
      </c>
    </row>
    <row r="1477" spans="1:8" x14ac:dyDescent="0.25">
      <c r="A1477" s="1" t="s">
        <v>29</v>
      </c>
      <c r="B1477" s="1" t="s">
        <v>11207</v>
      </c>
      <c r="C1477" s="1" t="s">
        <v>11208</v>
      </c>
      <c r="D1477" s="1" t="s">
        <v>11058</v>
      </c>
      <c r="E1477" s="1" t="s">
        <v>11209</v>
      </c>
      <c r="G1477" s="1" t="s">
        <v>11210</v>
      </c>
      <c r="H1477" s="2" t="str">
        <f>Tabella1[[#This Row],[Denominazione]]&amp;" - "&amp;Tabella1[[#This Row],[Città]]</f>
        <v>B&amp;B LA CAPUCCINA di CAPUCCI ALESSANDRO - CINGOLI</v>
      </c>
    </row>
    <row r="1478" spans="1:8" x14ac:dyDescent="0.25">
      <c r="A1478" s="1" t="s">
        <v>29</v>
      </c>
      <c r="B1478" s="1" t="s">
        <v>909</v>
      </c>
      <c r="C1478" s="1" t="s">
        <v>910</v>
      </c>
      <c r="D1478" s="1" t="s">
        <v>682</v>
      </c>
      <c r="F1478" s="1" t="s">
        <v>911</v>
      </c>
      <c r="G1478" s="1" t="s">
        <v>912</v>
      </c>
      <c r="H1478" s="2" t="str">
        <f>Tabella1[[#This Row],[Denominazione]]&amp;" - "&amp;Tabella1[[#This Row],[Città]]</f>
        <v>B&amp;B LA CARDINELLA - FANO</v>
      </c>
    </row>
    <row r="1479" spans="1:8" x14ac:dyDescent="0.25">
      <c r="A1479" s="1" t="s">
        <v>29</v>
      </c>
      <c r="B1479" s="1" t="s">
        <v>10523</v>
      </c>
      <c r="C1479" s="1" t="s">
        <v>10524</v>
      </c>
      <c r="D1479" s="1" t="s">
        <v>10519</v>
      </c>
      <c r="F1479" s="1" t="s">
        <v>10525</v>
      </c>
      <c r="G1479" s="1" t="s">
        <v>10526</v>
      </c>
      <c r="H1479" s="2" t="str">
        <f>Tabella1[[#This Row],[Denominazione]]&amp;" - "&amp;Tabella1[[#This Row],[Città]]</f>
        <v>B&amp;B LA CASA DEGLI ULIVI. ART &amp; RESIDENCE - TRECASTELLI</v>
      </c>
    </row>
    <row r="1480" spans="1:8" x14ac:dyDescent="0.25">
      <c r="A1480" s="1" t="s">
        <v>29</v>
      </c>
      <c r="B1480" s="1" t="s">
        <v>15711</v>
      </c>
      <c r="C1480" s="1" t="s">
        <v>15712</v>
      </c>
      <c r="D1480" s="1" t="s">
        <v>15585</v>
      </c>
      <c r="E1480" s="1" t="s">
        <v>15713</v>
      </c>
      <c r="G1480" s="1" t="s">
        <v>15714</v>
      </c>
      <c r="H1480" s="2" t="str">
        <f>Tabella1[[#This Row],[Denominazione]]&amp;" - "&amp;Tabella1[[#This Row],[Città]]</f>
        <v>B&amp;B LA CASA DEI GERANI VACANZE - GROTTAMMARE</v>
      </c>
    </row>
    <row r="1481" spans="1:8" x14ac:dyDescent="0.25">
      <c r="A1481" s="1" t="s">
        <v>29</v>
      </c>
      <c r="B1481" s="1" t="s">
        <v>6793</v>
      </c>
      <c r="C1481" s="1" t="s">
        <v>6794</v>
      </c>
      <c r="D1481" s="1" t="s">
        <v>6790</v>
      </c>
      <c r="E1481" s="1" t="s">
        <v>6795</v>
      </c>
      <c r="G1481" s="1" t="s">
        <v>6796</v>
      </c>
      <c r="H1481" s="2" t="str">
        <f>Tabella1[[#This Row],[Denominazione]]&amp;" - "&amp;Tabella1[[#This Row],[Città]]</f>
        <v>B&amp;B LA CASA DEI PAPI - FABRIANO</v>
      </c>
    </row>
    <row r="1482" spans="1:8" x14ac:dyDescent="0.25">
      <c r="A1482" s="1" t="s">
        <v>29</v>
      </c>
      <c r="B1482" s="1" t="s">
        <v>14542</v>
      </c>
      <c r="C1482" s="1" t="s">
        <v>14543</v>
      </c>
      <c r="D1482" s="1" t="s">
        <v>14510</v>
      </c>
      <c r="E1482" s="1" t="s">
        <v>14510</v>
      </c>
      <c r="G1482" s="1" t="s">
        <v>14544</v>
      </c>
      <c r="H1482" s="2" t="str">
        <f>Tabella1[[#This Row],[Denominazione]]&amp;" - "&amp;Tabella1[[#This Row],[Città]]</f>
        <v>B&amp;B LA CASA DEL CONTE - ARQUATA DEL TRONTO</v>
      </c>
    </row>
    <row r="1483" spans="1:8" x14ac:dyDescent="0.25">
      <c r="A1483" s="1" t="s">
        <v>29</v>
      </c>
      <c r="B1483" s="1" t="s">
        <v>14438</v>
      </c>
      <c r="C1483" s="1" t="s">
        <v>14439</v>
      </c>
      <c r="D1483" s="1" t="s">
        <v>14428</v>
      </c>
      <c r="E1483" s="1" t="s">
        <v>14428</v>
      </c>
      <c r="F1483" s="1" t="s">
        <v>14440</v>
      </c>
      <c r="G1483" s="1" t="s">
        <v>14441</v>
      </c>
      <c r="H1483" s="2" t="str">
        <f>Tabella1[[#This Row],[Denominazione]]&amp;" - "&amp;Tabella1[[#This Row],[Città]]</f>
        <v>B&amp;B LA CASA DEL MELOCOTOGNO - ACQUAVIVA PICENA</v>
      </c>
    </row>
    <row r="1484" spans="1:8" x14ac:dyDescent="0.25">
      <c r="A1484" s="1" t="s">
        <v>29</v>
      </c>
      <c r="B1484" s="1" t="s">
        <v>16679</v>
      </c>
      <c r="C1484" s="1" t="s">
        <v>16680</v>
      </c>
      <c r="D1484" s="1" t="s">
        <v>16585</v>
      </c>
      <c r="E1484" s="1" t="s">
        <v>16681</v>
      </c>
      <c r="F1484" s="1" t="s">
        <v>16682</v>
      </c>
      <c r="G1484" s="1" t="s">
        <v>16683</v>
      </c>
      <c r="H1484" s="2" t="str">
        <f>Tabella1[[#This Row],[Denominazione]]&amp;" - "&amp;Tabella1[[#This Row],[Città]]</f>
        <v>B&amp;B LA CASA DEL PRETE - RIPATRANSONE</v>
      </c>
    </row>
    <row r="1485" spans="1:8" x14ac:dyDescent="0.25">
      <c r="A1485" s="1" t="s">
        <v>29</v>
      </c>
      <c r="B1485" s="1" t="s">
        <v>1410</v>
      </c>
      <c r="C1485" s="1" t="s">
        <v>1411</v>
      </c>
      <c r="D1485" s="1" t="s">
        <v>682</v>
      </c>
      <c r="E1485" s="1" t="s">
        <v>682</v>
      </c>
      <c r="G1485" s="1" t="s">
        <v>1412</v>
      </c>
      <c r="H1485" s="2" t="str">
        <f>Tabella1[[#This Row],[Denominazione]]&amp;" - "&amp;Tabella1[[#This Row],[Città]]</f>
        <v>B&amp;B LA CASA DEL SOLE - FANO</v>
      </c>
    </row>
    <row r="1486" spans="1:8" x14ac:dyDescent="0.25">
      <c r="A1486" s="1" t="s">
        <v>29</v>
      </c>
      <c r="B1486" s="1" t="s">
        <v>1410</v>
      </c>
      <c r="C1486" s="1" t="s">
        <v>18391</v>
      </c>
      <c r="D1486" s="1" t="s">
        <v>18389</v>
      </c>
      <c r="E1486" s="1" t="s">
        <v>18389</v>
      </c>
      <c r="G1486" s="1" t="s">
        <v>18392</v>
      </c>
      <c r="H1486" s="2" t="str">
        <f>Tabella1[[#This Row],[Denominazione]]&amp;" - "&amp;Tabella1[[#This Row],[Città]]</f>
        <v>B&amp;B LA CASA DEL SOLE - LAPEDONA</v>
      </c>
    </row>
    <row r="1487" spans="1:8" x14ac:dyDescent="0.25">
      <c r="A1487" s="1" t="s">
        <v>29</v>
      </c>
      <c r="B1487" s="1" t="s">
        <v>5867</v>
      </c>
      <c r="C1487" s="1" t="s">
        <v>5868</v>
      </c>
      <c r="D1487" s="1" t="s">
        <v>1864</v>
      </c>
      <c r="E1487" s="1" t="s">
        <v>1864</v>
      </c>
      <c r="G1487" s="1" t="s">
        <v>5869</v>
      </c>
      <c r="H1487" s="2" t="str">
        <f>Tabella1[[#This Row],[Denominazione]]&amp;" - "&amp;Tabella1[[#This Row],[Città]]</f>
        <v>B&amp;B LA CASA DEL SOLE E DELLA LUNA - ANCONA</v>
      </c>
    </row>
    <row r="1488" spans="1:8" x14ac:dyDescent="0.25">
      <c r="A1488" s="1" t="s">
        <v>29</v>
      </c>
      <c r="B1488" s="1" t="s">
        <v>9007</v>
      </c>
      <c r="C1488" s="1" t="s">
        <v>9008</v>
      </c>
      <c r="D1488" s="1" t="s">
        <v>8949</v>
      </c>
      <c r="F1488" s="1" t="s">
        <v>9009</v>
      </c>
      <c r="G1488" s="1" t="s">
        <v>9010</v>
      </c>
      <c r="H1488" s="2" t="str">
        <f>Tabella1[[#This Row],[Denominazione]]&amp;" - "&amp;Tabella1[[#This Row],[Città]]</f>
        <v>B&amp;B LA CASA DEL VIAGGIATORE - SENIGALLIA</v>
      </c>
    </row>
    <row r="1489" spans="1:8" x14ac:dyDescent="0.25">
      <c r="A1489" s="1" t="s">
        <v>29</v>
      </c>
      <c r="B1489" s="1" t="s">
        <v>18472</v>
      </c>
      <c r="C1489" s="1" t="s">
        <v>18473</v>
      </c>
      <c r="D1489" s="1" t="s">
        <v>18474</v>
      </c>
      <c r="E1489" s="1" t="s">
        <v>18474</v>
      </c>
      <c r="G1489" s="1" t="s">
        <v>18475</v>
      </c>
      <c r="H1489" s="2" t="str">
        <f>Tabella1[[#This Row],[Denominazione]]&amp;" - "&amp;Tabella1[[#This Row],[Città]]</f>
        <v>B&amp;B LA CASA DEL VIAGGIATORE DI BELOTTI FRANCESCA - MASSA FERMANA</v>
      </c>
    </row>
    <row r="1490" spans="1:8" x14ac:dyDescent="0.25">
      <c r="A1490" s="1" t="s">
        <v>29</v>
      </c>
      <c r="B1490" s="1" t="s">
        <v>18239</v>
      </c>
      <c r="C1490" s="1" t="s">
        <v>18240</v>
      </c>
      <c r="D1490" s="1" t="s">
        <v>17932</v>
      </c>
      <c r="E1490" s="1" t="s">
        <v>17932</v>
      </c>
      <c r="F1490" s="1" t="s">
        <v>18241</v>
      </c>
      <c r="G1490" s="1" t="s">
        <v>18242</v>
      </c>
      <c r="H1490" s="2" t="str">
        <f>Tabella1[[#This Row],[Denominazione]]&amp;" - "&amp;Tabella1[[#This Row],[Città]]</f>
        <v>B&amp;B LA CASA DELL'ARTISTA - FERMO</v>
      </c>
    </row>
    <row r="1491" spans="1:8" x14ac:dyDescent="0.25">
      <c r="A1491" s="1" t="s">
        <v>29</v>
      </c>
      <c r="B1491" s="1" t="s">
        <v>1285</v>
      </c>
      <c r="C1491" s="1" t="s">
        <v>1286</v>
      </c>
      <c r="D1491" s="1" t="s">
        <v>682</v>
      </c>
      <c r="G1491" s="1" t="s">
        <v>1287</v>
      </c>
      <c r="H1491" s="2" t="str">
        <f>Tabella1[[#This Row],[Denominazione]]&amp;" - "&amp;Tabella1[[#This Row],[Città]]</f>
        <v>B&amp;B LA CASA DELLE FATE - FANO</v>
      </c>
    </row>
    <row r="1492" spans="1:8" x14ac:dyDescent="0.25">
      <c r="A1492" s="1" t="s">
        <v>29</v>
      </c>
      <c r="B1492" s="1" t="s">
        <v>14259</v>
      </c>
      <c r="C1492" s="1" t="s">
        <v>14260</v>
      </c>
      <c r="D1492" s="1" t="s">
        <v>14213</v>
      </c>
      <c r="F1492" s="1" t="s">
        <v>14261</v>
      </c>
      <c r="G1492" s="1" t="s">
        <v>14262</v>
      </c>
      <c r="H1492" s="2" t="str">
        <f>Tabella1[[#This Row],[Denominazione]]&amp;" - "&amp;Tabella1[[#This Row],[Città]]</f>
        <v>B&amp;B LA CASA DELL'ORTIGIANA - USSITA</v>
      </c>
    </row>
    <row r="1493" spans="1:8" x14ac:dyDescent="0.25">
      <c r="A1493" s="1" t="s">
        <v>29</v>
      </c>
      <c r="B1493" s="1" t="s">
        <v>19345</v>
      </c>
      <c r="C1493" s="1" t="s">
        <v>19346</v>
      </c>
      <c r="D1493" s="1" t="s">
        <v>19283</v>
      </c>
      <c r="F1493" s="1" t="s">
        <v>19347</v>
      </c>
      <c r="G1493" s="1" t="s">
        <v>19348</v>
      </c>
      <c r="H1493" s="2" t="str">
        <f>Tabella1[[#This Row],[Denominazione]]&amp;" - "&amp;Tabella1[[#This Row],[Città]]</f>
        <v>B&amp;B LA CASA DI ALFREDO - PORTO SANT'ELPIDIO</v>
      </c>
    </row>
    <row r="1494" spans="1:8" x14ac:dyDescent="0.25">
      <c r="A1494" s="1" t="s">
        <v>29</v>
      </c>
      <c r="B1494" s="1" t="s">
        <v>17730</v>
      </c>
      <c r="C1494" s="1" t="s">
        <v>17731</v>
      </c>
      <c r="D1494" s="1" t="s">
        <v>17703</v>
      </c>
      <c r="E1494" s="1" t="s">
        <v>17703</v>
      </c>
      <c r="G1494" s="1" t="s">
        <v>17732</v>
      </c>
      <c r="H1494" s="2" t="str">
        <f>Tabella1[[#This Row],[Denominazione]]&amp;" - "&amp;Tabella1[[#This Row],[Città]]</f>
        <v>B&amp;B LA CASA DI ANGELICA - ALTIDONA</v>
      </c>
    </row>
    <row r="1495" spans="1:8" x14ac:dyDescent="0.25">
      <c r="A1495" s="1" t="s">
        <v>29</v>
      </c>
      <c r="B1495" s="1" t="s">
        <v>12135</v>
      </c>
      <c r="C1495" s="1" t="s">
        <v>12136</v>
      </c>
      <c r="D1495" s="1" t="s">
        <v>12050</v>
      </c>
      <c r="G1495" s="1" t="s">
        <v>12137</v>
      </c>
      <c r="H1495" s="2" t="str">
        <f>Tabella1[[#This Row],[Denominazione]]&amp;" - "&amp;Tabella1[[#This Row],[Città]]</f>
        <v>B&amp;B LA CASA DI ASSUNTA - MACERATA</v>
      </c>
    </row>
    <row r="1496" spans="1:8" x14ac:dyDescent="0.25">
      <c r="A1496" s="1" t="s">
        <v>29</v>
      </c>
      <c r="B1496" s="1" t="s">
        <v>4564</v>
      </c>
      <c r="C1496" s="1" t="s">
        <v>4565</v>
      </c>
      <c r="D1496" s="1" t="s">
        <v>4550</v>
      </c>
      <c r="G1496" s="1" t="s">
        <v>4566</v>
      </c>
      <c r="H1496" s="2" t="str">
        <f>Tabella1[[#This Row],[Denominazione]]&amp;" - "&amp;Tabella1[[#This Row],[Città]]</f>
        <v>B&amp;B LA CASA DI CENCIO - SERRA SANT'ABBONDIO</v>
      </c>
    </row>
    <row r="1497" spans="1:8" x14ac:dyDescent="0.25">
      <c r="A1497" s="1" t="s">
        <v>29</v>
      </c>
      <c r="B1497" s="1" t="s">
        <v>16035</v>
      </c>
      <c r="C1497" s="1" t="s">
        <v>16036</v>
      </c>
      <c r="D1497" s="1" t="s">
        <v>5692</v>
      </c>
      <c r="G1497" s="1" t="s">
        <v>16037</v>
      </c>
      <c r="H1497" s="2" t="str">
        <f>Tabella1[[#This Row],[Denominazione]]&amp;" - "&amp;Tabella1[[#This Row],[Città]]</f>
        <v>B&amp;B LA CASA DI CLELIA - MASSIGNANO</v>
      </c>
    </row>
    <row r="1498" spans="1:8" x14ac:dyDescent="0.25">
      <c r="A1498" s="1" t="s">
        <v>29</v>
      </c>
      <c r="B1498" s="1" t="s">
        <v>818</v>
      </c>
      <c r="C1498" s="1" t="s">
        <v>819</v>
      </c>
      <c r="D1498" s="1" t="s">
        <v>682</v>
      </c>
      <c r="G1498" s="1" t="s">
        <v>820</v>
      </c>
      <c r="H1498" s="2" t="str">
        <f>Tabella1[[#This Row],[Denominazione]]&amp;" - "&amp;Tabella1[[#This Row],[Città]]</f>
        <v>B&amp;B LA CASA DI FANO - FANO</v>
      </c>
    </row>
    <row r="1499" spans="1:8" x14ac:dyDescent="0.25">
      <c r="A1499" s="1" t="s">
        <v>29</v>
      </c>
      <c r="B1499" s="1" t="s">
        <v>16698</v>
      </c>
      <c r="C1499" s="1" t="s">
        <v>16699</v>
      </c>
      <c r="D1499" s="1" t="s">
        <v>16585</v>
      </c>
      <c r="F1499" s="1" t="s">
        <v>16700</v>
      </c>
      <c r="G1499" s="1" t="s">
        <v>16701</v>
      </c>
      <c r="H1499" s="2" t="str">
        <f>Tabella1[[#This Row],[Denominazione]]&amp;" - "&amp;Tabella1[[#This Row],[Città]]</f>
        <v>B&amp;B LA CASA DI GAETANO E VITTORIA - RIPATRANSONE</v>
      </c>
    </row>
    <row r="1500" spans="1:8" x14ac:dyDescent="0.25">
      <c r="A1500" s="1" t="s">
        <v>29</v>
      </c>
      <c r="B1500" s="1" t="s">
        <v>5593</v>
      </c>
      <c r="C1500" s="1" t="s">
        <v>5594</v>
      </c>
      <c r="D1500" s="1" t="s">
        <v>1864</v>
      </c>
      <c r="E1500" s="1" t="s">
        <v>1864</v>
      </c>
      <c r="G1500" s="1" t="s">
        <v>5595</v>
      </c>
      <c r="H1500" s="2" t="str">
        <f>Tabella1[[#This Row],[Denominazione]]&amp;" - "&amp;Tabella1[[#This Row],[Città]]</f>
        <v>B&amp;B LA CASA DI LICIA di BUGLIONI ANNA PAOLA - ANCONA</v>
      </c>
    </row>
    <row r="1501" spans="1:8" x14ac:dyDescent="0.25">
      <c r="A1501" s="1" t="s">
        <v>29</v>
      </c>
      <c r="B1501" s="1" t="s">
        <v>16497</v>
      </c>
      <c r="C1501" s="1" t="s">
        <v>16498</v>
      </c>
      <c r="D1501" s="1" t="s">
        <v>16440</v>
      </c>
      <c r="F1501" s="1" t="s">
        <v>16499</v>
      </c>
      <c r="G1501" s="1" t="s">
        <v>16500</v>
      </c>
      <c r="H1501" s="2" t="str">
        <f>Tabella1[[#This Row],[Denominazione]]&amp;" - "&amp;Tabella1[[#This Row],[Città]]</f>
        <v>B&amp;B LA CASA DI LUCY - OFFIDA</v>
      </c>
    </row>
    <row r="1502" spans="1:8" x14ac:dyDescent="0.25">
      <c r="A1502" s="1" t="s">
        <v>29</v>
      </c>
      <c r="B1502" s="1" t="s">
        <v>11772</v>
      </c>
      <c r="C1502" s="1" t="s">
        <v>11773</v>
      </c>
      <c r="D1502" s="1" t="s">
        <v>11769</v>
      </c>
      <c r="G1502" s="1" t="s">
        <v>11774</v>
      </c>
      <c r="H1502" s="2" t="str">
        <f>Tabella1[[#This Row],[Denominazione]]&amp;" - "&amp;Tabella1[[#This Row],[Città]]</f>
        <v>B&amp;B LA CASA DI PAGLIA - ESANATOGLIA</v>
      </c>
    </row>
    <row r="1503" spans="1:8" x14ac:dyDescent="0.25">
      <c r="A1503" s="1" t="s">
        <v>29</v>
      </c>
      <c r="B1503" s="1" t="s">
        <v>16753</v>
      </c>
      <c r="C1503" s="1" t="s">
        <v>16754</v>
      </c>
      <c r="D1503" s="1" t="s">
        <v>16714</v>
      </c>
      <c r="F1503" s="1" t="s">
        <v>16755</v>
      </c>
      <c r="G1503" s="1" t="s">
        <v>16756</v>
      </c>
      <c r="H1503" s="2" t="str">
        <f>Tabella1[[#This Row],[Denominazione]]&amp;" - "&amp;Tabella1[[#This Row],[Città]]</f>
        <v>B&amp;B LA CASA DI SABRINA - ROCCAFLUVIONE</v>
      </c>
    </row>
    <row r="1504" spans="1:8" x14ac:dyDescent="0.25">
      <c r="A1504" s="1" t="s">
        <v>29</v>
      </c>
      <c r="B1504" s="1" t="s">
        <v>15583</v>
      </c>
      <c r="C1504" s="1" t="s">
        <v>15584</v>
      </c>
      <c r="D1504" s="1" t="s">
        <v>15585</v>
      </c>
      <c r="G1504" s="1" t="s">
        <v>15586</v>
      </c>
      <c r="H1504" s="2" t="str">
        <f>Tabella1[[#This Row],[Denominazione]]&amp;" - "&amp;Tabella1[[#This Row],[Città]]</f>
        <v>B&amp;B LA CASA DI TINA - GROTTAMMARE</v>
      </c>
    </row>
    <row r="1505" spans="1:8" x14ac:dyDescent="0.25">
      <c r="A1505" s="1" t="s">
        <v>29</v>
      </c>
      <c r="B1505" s="1" t="s">
        <v>19293</v>
      </c>
      <c r="C1505" s="1" t="s">
        <v>19294</v>
      </c>
      <c r="D1505" s="1" t="s">
        <v>19283</v>
      </c>
      <c r="G1505" s="1" t="s">
        <v>19295</v>
      </c>
      <c r="H1505" s="2" t="str">
        <f>Tabella1[[#This Row],[Denominazione]]&amp;" - "&amp;Tabella1[[#This Row],[Città]]</f>
        <v>B&amp;B LA CASA DI TOMMI - PORTO SANT'ELPIDIO</v>
      </c>
    </row>
    <row r="1506" spans="1:8" x14ac:dyDescent="0.25">
      <c r="A1506" s="1" t="s">
        <v>29</v>
      </c>
      <c r="B1506" s="1" t="s">
        <v>12774</v>
      </c>
      <c r="C1506" s="1" t="s">
        <v>12775</v>
      </c>
      <c r="D1506" s="1" t="s">
        <v>12772</v>
      </c>
      <c r="G1506" s="1" t="s">
        <v>12776</v>
      </c>
      <c r="H1506" s="2" t="str">
        <f>Tabella1[[#This Row],[Denominazione]]&amp;" - "&amp;Tabella1[[#This Row],[Città]]</f>
        <v>B&amp;B LA CASA DI VALE - POLLENZA</v>
      </c>
    </row>
    <row r="1507" spans="1:8" x14ac:dyDescent="0.25">
      <c r="A1507" s="1" t="s">
        <v>29</v>
      </c>
      <c r="B1507" s="1" t="s">
        <v>18731</v>
      </c>
      <c r="C1507" s="1" t="s">
        <v>18732</v>
      </c>
      <c r="D1507" s="1" t="s">
        <v>18702</v>
      </c>
      <c r="H1507" s="2" t="str">
        <f>Tabella1[[#This Row],[Denominazione]]&amp;" - "&amp;Tabella1[[#This Row],[Città]]</f>
        <v>B&amp;B LA CASA IN COLLINA - MONTELPARO</v>
      </c>
    </row>
    <row r="1508" spans="1:8" x14ac:dyDescent="0.25">
      <c r="A1508" s="1" t="s">
        <v>29</v>
      </c>
      <c r="B1508" s="1" t="s">
        <v>15318</v>
      </c>
      <c r="C1508" s="1" t="s">
        <v>15319</v>
      </c>
      <c r="D1508" s="1" t="s">
        <v>15282</v>
      </c>
      <c r="E1508" s="1" t="s">
        <v>15282</v>
      </c>
      <c r="F1508" s="1" t="s">
        <v>15320</v>
      </c>
      <c r="G1508" s="1" t="s">
        <v>15321</v>
      </c>
      <c r="H1508" s="2" t="str">
        <f>Tabella1[[#This Row],[Denominazione]]&amp;" - "&amp;Tabella1[[#This Row],[Città]]</f>
        <v>B&amp;B LA CASA SUL FIUME - COSSIGNANO</v>
      </c>
    </row>
    <row r="1509" spans="1:8" x14ac:dyDescent="0.25">
      <c r="A1509" s="1" t="s">
        <v>29</v>
      </c>
      <c r="B1509" s="1" t="s">
        <v>11670</v>
      </c>
      <c r="C1509" s="1" t="s">
        <v>11671</v>
      </c>
      <c r="D1509" s="1" t="s">
        <v>11244</v>
      </c>
      <c r="E1509" s="1" t="s">
        <v>11244</v>
      </c>
      <c r="F1509" s="1" t="s">
        <v>11672</v>
      </c>
      <c r="G1509" s="1" t="s">
        <v>11673</v>
      </c>
      <c r="H1509" s="2" t="str">
        <f>Tabella1[[#This Row],[Denominazione]]&amp;" - "&amp;Tabella1[[#This Row],[Città]]</f>
        <v>B&amp;B LA CASA TRA GLI ULIVI - CIVITANOVA MARCHE</v>
      </c>
    </row>
    <row r="1510" spans="1:8" x14ac:dyDescent="0.25">
      <c r="A1510" s="1" t="s">
        <v>29</v>
      </c>
      <c r="B1510" s="1" t="s">
        <v>2881</v>
      </c>
      <c r="C1510" s="1" t="s">
        <v>2882</v>
      </c>
      <c r="D1510" s="1" t="s">
        <v>1605</v>
      </c>
      <c r="E1510" s="1" t="s">
        <v>1605</v>
      </c>
      <c r="G1510" s="1" t="s">
        <v>2883</v>
      </c>
      <c r="H1510" s="2" t="str">
        <f>Tabella1[[#This Row],[Denominazione]]&amp;" - "&amp;Tabella1[[#This Row],[Città]]</f>
        <v>B&amp;B LA CASETTA - MONDOLFO</v>
      </c>
    </row>
    <row r="1511" spans="1:8" x14ac:dyDescent="0.25">
      <c r="A1511" s="1" t="s">
        <v>29</v>
      </c>
      <c r="B1511" s="1" t="s">
        <v>2881</v>
      </c>
      <c r="C1511" s="1" t="s">
        <v>7848</v>
      </c>
      <c r="D1511" s="1" t="s">
        <v>7849</v>
      </c>
      <c r="G1511" s="1" t="s">
        <v>7850</v>
      </c>
      <c r="H1511" s="2" t="str">
        <f>Tabella1[[#This Row],[Denominazione]]&amp;" - "&amp;Tabella1[[#This Row],[Città]]</f>
        <v>B&amp;B LA CASETTA - MORRO D'ALBA</v>
      </c>
    </row>
    <row r="1512" spans="1:8" x14ac:dyDescent="0.25">
      <c r="A1512" s="1" t="s">
        <v>29</v>
      </c>
      <c r="B1512" s="1" t="s">
        <v>2881</v>
      </c>
      <c r="C1512" s="1" t="s">
        <v>8435</v>
      </c>
      <c r="D1512" s="1" t="s">
        <v>8411</v>
      </c>
      <c r="F1512" s="1" t="s">
        <v>8436</v>
      </c>
      <c r="G1512" s="1" t="s">
        <v>8437</v>
      </c>
      <c r="H1512" s="2" t="str">
        <f>Tabella1[[#This Row],[Denominazione]]&amp;" - "&amp;Tabella1[[#This Row],[Città]]</f>
        <v>B&amp;B LA CASETTA - OFFAGNA</v>
      </c>
    </row>
    <row r="1513" spans="1:8" x14ac:dyDescent="0.25">
      <c r="A1513" s="1" t="s">
        <v>29</v>
      </c>
      <c r="B1513" s="1" t="s">
        <v>2881</v>
      </c>
      <c r="C1513" s="1" t="s">
        <v>16871</v>
      </c>
      <c r="D1513" s="1" t="s">
        <v>15819</v>
      </c>
      <c r="E1513" s="1" t="s">
        <v>15819</v>
      </c>
      <c r="G1513" s="1" t="s">
        <v>16872</v>
      </c>
      <c r="H1513" s="2" t="str">
        <f>Tabella1[[#This Row],[Denominazione]]&amp;" - "&amp;Tabella1[[#This Row],[Città]]</f>
        <v>B&amp;B LA CASETTA - SAN BENEDETTO DEL TRONTO</v>
      </c>
    </row>
    <row r="1514" spans="1:8" x14ac:dyDescent="0.25">
      <c r="A1514" s="1" t="s">
        <v>29</v>
      </c>
      <c r="B1514" s="1" t="s">
        <v>4935</v>
      </c>
      <c r="C1514" s="1" t="s">
        <v>4936</v>
      </c>
      <c r="D1514" s="1" t="s">
        <v>9</v>
      </c>
      <c r="E1514" s="1" t="s">
        <v>4937</v>
      </c>
      <c r="G1514" s="1" t="s">
        <v>4938</v>
      </c>
      <c r="H1514" s="2" t="str">
        <f>Tabella1[[#This Row],[Denominazione]]&amp;" - "&amp;Tabella1[[#This Row],[Città]]</f>
        <v>B&amp;B LA CASETTA DEL BORGO - URBINO</v>
      </c>
    </row>
    <row r="1515" spans="1:8" x14ac:dyDescent="0.25">
      <c r="A1515" s="1" t="s">
        <v>29</v>
      </c>
      <c r="B1515" s="1" t="s">
        <v>8721</v>
      </c>
      <c r="C1515" s="1" t="s">
        <v>8722</v>
      </c>
      <c r="D1515" s="1" t="s">
        <v>8719</v>
      </c>
      <c r="F1515" s="1" t="s">
        <v>8723</v>
      </c>
      <c r="G1515" s="1" t="s">
        <v>8724</v>
      </c>
      <c r="H1515" s="2" t="str">
        <f>Tabella1[[#This Row],[Denominazione]]&amp;" - "&amp;Tabella1[[#This Row],[Città]]</f>
        <v>B&amp;B LA CASETTA DEL VECCHIO MOLINO - POGGIO SAN MARCELLO</v>
      </c>
    </row>
    <row r="1516" spans="1:8" x14ac:dyDescent="0.25">
      <c r="A1516" s="1" t="s">
        <v>29</v>
      </c>
      <c r="B1516" s="1" t="s">
        <v>1647</v>
      </c>
      <c r="C1516" s="1" t="s">
        <v>1648</v>
      </c>
      <c r="D1516" s="1" t="s">
        <v>682</v>
      </c>
      <c r="F1516" s="1" t="s">
        <v>1649</v>
      </c>
      <c r="G1516" s="1" t="s">
        <v>1649</v>
      </c>
      <c r="H1516" s="2" t="str">
        <f>Tabella1[[#This Row],[Denominazione]]&amp;" - "&amp;Tabella1[[#This Row],[Città]]</f>
        <v>B&amp;B LA CASETTA ROSA - FANO</v>
      </c>
    </row>
    <row r="1517" spans="1:8" x14ac:dyDescent="0.25">
      <c r="A1517" s="1" t="s">
        <v>29</v>
      </c>
      <c r="B1517" s="1" t="s">
        <v>17807</v>
      </c>
      <c r="C1517" s="1" t="s">
        <v>17808</v>
      </c>
      <c r="D1517" s="1" t="s">
        <v>17745</v>
      </c>
      <c r="E1517" s="1" t="s">
        <v>17745</v>
      </c>
      <c r="G1517" s="1" t="s">
        <v>17809</v>
      </c>
      <c r="H1517" s="2" t="str">
        <f>Tabella1[[#This Row],[Denominazione]]&amp;" - "&amp;Tabella1[[#This Row],[Città]]</f>
        <v>B&amp;B LA CASETTA ROSSA 1840 - AMANDOLA</v>
      </c>
    </row>
    <row r="1518" spans="1:8" x14ac:dyDescent="0.25">
      <c r="A1518" s="1" t="s">
        <v>29</v>
      </c>
      <c r="B1518" s="1" t="s">
        <v>1400</v>
      </c>
      <c r="C1518" s="1" t="s">
        <v>1401</v>
      </c>
      <c r="D1518" s="1" t="s">
        <v>682</v>
      </c>
      <c r="E1518" s="1" t="s">
        <v>682</v>
      </c>
      <c r="G1518" s="1" t="s">
        <v>1402</v>
      </c>
      <c r="H1518" s="2" t="str">
        <f>Tabella1[[#This Row],[Denominazione]]&amp;" - "&amp;Tabella1[[#This Row],[Città]]</f>
        <v>B&amp;B LA CASINA CELESTE - FANO</v>
      </c>
    </row>
    <row r="1519" spans="1:8" x14ac:dyDescent="0.25">
      <c r="A1519" s="1" t="s">
        <v>29</v>
      </c>
      <c r="B1519" s="1" t="s">
        <v>6855</v>
      </c>
      <c r="C1519" s="1" t="s">
        <v>6856</v>
      </c>
      <c r="D1519" s="1" t="s">
        <v>6790</v>
      </c>
      <c r="E1519" s="1" t="s">
        <v>6790</v>
      </c>
      <c r="F1519" s="1" t="s">
        <v>6857</v>
      </c>
      <c r="G1519" s="1" t="s">
        <v>6858</v>
      </c>
      <c r="H1519" s="2" t="str">
        <f>Tabella1[[#This Row],[Denominazione]]&amp;" - "&amp;Tabella1[[#This Row],[Città]]</f>
        <v>B&amp;B LA CASINA DEL VICOLO DI SOTTO - FABRIANO</v>
      </c>
    </row>
    <row r="1520" spans="1:8" x14ac:dyDescent="0.25">
      <c r="A1520" s="1" t="s">
        <v>29</v>
      </c>
      <c r="B1520" s="1" t="s">
        <v>8754</v>
      </c>
      <c r="C1520" s="1" t="s">
        <v>8755</v>
      </c>
      <c r="D1520" s="1" t="s">
        <v>8731</v>
      </c>
      <c r="E1520" s="1" t="s">
        <v>8756</v>
      </c>
      <c r="G1520" s="1" t="s">
        <v>8757</v>
      </c>
      <c r="H1520" s="2" t="str">
        <f>Tabella1[[#This Row],[Denominazione]]&amp;" - "&amp;Tabella1[[#This Row],[Città]]</f>
        <v>B&amp;B LA CASINA DI GINA - POLVERIGI</v>
      </c>
    </row>
    <row r="1521" spans="1:8" x14ac:dyDescent="0.25">
      <c r="A1521" s="1" t="s">
        <v>29</v>
      </c>
      <c r="B1521" s="1" t="s">
        <v>19503</v>
      </c>
      <c r="C1521" s="1" t="s">
        <v>19504</v>
      </c>
      <c r="D1521" s="1" t="s">
        <v>19500</v>
      </c>
      <c r="F1521" s="1" t="s">
        <v>19505</v>
      </c>
      <c r="G1521" s="1" t="s">
        <v>19506</v>
      </c>
      <c r="H1521" s="2" t="str">
        <f>Tabella1[[#This Row],[Denominazione]]&amp;" - "&amp;Tabella1[[#This Row],[Città]]</f>
        <v>B&amp;B LA CASITA - SANTA VITTORIA IN MATENANO</v>
      </c>
    </row>
    <row r="1522" spans="1:8" x14ac:dyDescent="0.25">
      <c r="A1522" s="1" t="s">
        <v>29</v>
      </c>
      <c r="B1522" s="1" t="s">
        <v>13119</v>
      </c>
      <c r="C1522" s="1" t="s">
        <v>13120</v>
      </c>
      <c r="D1522" s="1" t="s">
        <v>13026</v>
      </c>
      <c r="F1522" s="1" t="s">
        <v>13121</v>
      </c>
      <c r="G1522" s="1" t="s">
        <v>13122</v>
      </c>
      <c r="H1522" s="2" t="str">
        <f>Tabella1[[#This Row],[Denominazione]]&amp;" - "&amp;Tabella1[[#This Row],[Città]]</f>
        <v>B&amp;B LA CASTRA - POTENZA PICENA</v>
      </c>
    </row>
    <row r="1523" spans="1:8" x14ac:dyDescent="0.25">
      <c r="A1523" s="1" t="s">
        <v>29</v>
      </c>
      <c r="B1523" s="1" t="s">
        <v>11687</v>
      </c>
      <c r="C1523" s="1" t="s">
        <v>11688</v>
      </c>
      <c r="D1523" s="1" t="s">
        <v>11244</v>
      </c>
      <c r="E1523" s="1" t="s">
        <v>11244</v>
      </c>
      <c r="F1523" s="1" t="s">
        <v>11689</v>
      </c>
      <c r="G1523" s="1" t="s">
        <v>11690</v>
      </c>
      <c r="H1523" s="2" t="str">
        <f>Tabella1[[#This Row],[Denominazione]]&amp;" - "&amp;Tabella1[[#This Row],[Città]]</f>
        <v>B&amp;B LA CELESTE - CIVITANOVA MARCHE</v>
      </c>
    </row>
    <row r="1524" spans="1:8" x14ac:dyDescent="0.25">
      <c r="A1524" s="1" t="s">
        <v>29</v>
      </c>
      <c r="B1524" s="1" t="s">
        <v>9445</v>
      </c>
      <c r="D1524" s="1" t="s">
        <v>8949</v>
      </c>
      <c r="E1524" s="1" t="s">
        <v>9446</v>
      </c>
      <c r="F1524" s="1" t="s">
        <v>9447</v>
      </c>
      <c r="G1524" s="1" t="s">
        <v>9448</v>
      </c>
      <c r="H1524" s="2" t="str">
        <f>Tabella1[[#This Row],[Denominazione]]&amp;" - "&amp;Tabella1[[#This Row],[Città]]</f>
        <v>B&amp;B LA CERCUA - SENIGALLIA</v>
      </c>
    </row>
    <row r="1525" spans="1:8" x14ac:dyDescent="0.25">
      <c r="A1525" s="1" t="s">
        <v>29</v>
      </c>
      <c r="B1525" s="1" t="s">
        <v>14843</v>
      </c>
      <c r="C1525" s="1" t="s">
        <v>14844</v>
      </c>
      <c r="D1525" s="1" t="s">
        <v>14576</v>
      </c>
      <c r="E1525" s="1" t="s">
        <v>14576</v>
      </c>
      <c r="F1525" s="1" t="s">
        <v>14845</v>
      </c>
      <c r="G1525" s="1" t="s">
        <v>14846</v>
      </c>
      <c r="H1525" s="2" t="str">
        <f>Tabella1[[#This Row],[Denominazione]]&amp;" - "&amp;Tabella1[[#This Row],[Città]]</f>
        <v>B&amp;B LA CHIARINA - ASCOLI PICENO</v>
      </c>
    </row>
    <row r="1526" spans="1:8" x14ac:dyDescent="0.25">
      <c r="A1526" s="1" t="s">
        <v>29</v>
      </c>
      <c r="B1526" s="1" t="s">
        <v>11201</v>
      </c>
      <c r="C1526" s="1" t="s">
        <v>11202</v>
      </c>
      <c r="D1526" s="1" t="s">
        <v>11058</v>
      </c>
      <c r="E1526" s="1" t="s">
        <v>11058</v>
      </c>
      <c r="F1526" s="1" t="s">
        <v>11203</v>
      </c>
      <c r="G1526" s="1" t="s">
        <v>11204</v>
      </c>
      <c r="H1526" s="2" t="str">
        <f>Tabella1[[#This Row],[Denominazione]]&amp;" - "&amp;Tabella1[[#This Row],[Città]]</f>
        <v>B&amp;B LA CHIOCA - CINGOLI</v>
      </c>
    </row>
    <row r="1527" spans="1:8" x14ac:dyDescent="0.25">
      <c r="A1527" s="1" t="s">
        <v>29</v>
      </c>
      <c r="B1527" s="1" t="s">
        <v>12145</v>
      </c>
      <c r="C1527" s="1" t="s">
        <v>12146</v>
      </c>
      <c r="D1527" s="1" t="s">
        <v>12050</v>
      </c>
      <c r="F1527" s="1" t="s">
        <v>12147</v>
      </c>
      <c r="G1527" s="1" t="s">
        <v>12148</v>
      </c>
      <c r="H1527" s="2" t="str">
        <f>Tabella1[[#This Row],[Denominazione]]&amp;" - "&amp;Tabella1[[#This Row],[Città]]</f>
        <v>B&amp;B LA CICALA - MACERATA</v>
      </c>
    </row>
    <row r="1528" spans="1:8" x14ac:dyDescent="0.25">
      <c r="A1528" s="1" t="s">
        <v>29</v>
      </c>
      <c r="B1528" s="1" t="s">
        <v>5427</v>
      </c>
      <c r="C1528" s="1" t="s">
        <v>5428</v>
      </c>
      <c r="D1528" s="1" t="s">
        <v>5423</v>
      </c>
      <c r="E1528" s="1" t="s">
        <v>5423</v>
      </c>
      <c r="F1528" s="1" t="s">
        <v>5429</v>
      </c>
      <c r="G1528" s="1" t="s">
        <v>5430</v>
      </c>
      <c r="H1528" s="2" t="str">
        <f>Tabella1[[#This Row],[Denominazione]]&amp;" - "&amp;Tabella1[[#This Row],[Città]]</f>
        <v>B&amp;B LA CILICCHIA - AGUGLIANO</v>
      </c>
    </row>
    <row r="1529" spans="1:8" x14ac:dyDescent="0.25">
      <c r="A1529" s="1" t="s">
        <v>29</v>
      </c>
      <c r="B1529" s="1" t="s">
        <v>5516</v>
      </c>
      <c r="C1529" s="1" t="s">
        <v>5517</v>
      </c>
      <c r="D1529" s="1" t="s">
        <v>1864</v>
      </c>
      <c r="E1529" s="1" t="s">
        <v>1864</v>
      </c>
      <c r="G1529" s="1" t="s">
        <v>5518</v>
      </c>
      <c r="H1529" s="2" t="str">
        <f>Tabella1[[#This Row],[Denominazione]]&amp;" - "&amp;Tabella1[[#This Row],[Città]]</f>
        <v>B&amp;B LA CIUETTA - ANCONA</v>
      </c>
    </row>
    <row r="1530" spans="1:8" x14ac:dyDescent="0.25">
      <c r="A1530" s="1" t="s">
        <v>29</v>
      </c>
      <c r="B1530" s="1" t="s">
        <v>11802</v>
      </c>
      <c r="C1530" s="1" t="s">
        <v>11803</v>
      </c>
      <c r="D1530" s="1" t="s">
        <v>11792</v>
      </c>
      <c r="F1530" s="1" t="s">
        <v>11804</v>
      </c>
      <c r="G1530" s="1" t="s">
        <v>11805</v>
      </c>
      <c r="H1530" s="2" t="str">
        <f>Tabella1[[#This Row],[Denominazione]]&amp;" - "&amp;Tabella1[[#This Row],[Città]]</f>
        <v>B&amp;B LA COCCINELLA - FIASTRA</v>
      </c>
    </row>
    <row r="1531" spans="1:8" x14ac:dyDescent="0.25">
      <c r="A1531" s="1" t="s">
        <v>29</v>
      </c>
      <c r="B1531" s="1" t="s">
        <v>11802</v>
      </c>
      <c r="C1531" s="1" t="s">
        <v>13817</v>
      </c>
      <c r="D1531" s="1" t="s">
        <v>13756</v>
      </c>
      <c r="G1531" s="1" t="s">
        <v>13818</v>
      </c>
      <c r="H1531" s="2" t="str">
        <f>Tabella1[[#This Row],[Denominazione]]&amp;" - "&amp;Tabella1[[#This Row],[Città]]</f>
        <v>B&amp;B LA COCCINELLA - SARNANO</v>
      </c>
    </row>
    <row r="1532" spans="1:8" x14ac:dyDescent="0.25">
      <c r="A1532" s="1" t="s">
        <v>29</v>
      </c>
      <c r="B1532" s="1" t="s">
        <v>11802</v>
      </c>
      <c r="C1532" s="1" t="s">
        <v>15553</v>
      </c>
      <c r="D1532" s="1" t="s">
        <v>15546</v>
      </c>
      <c r="E1532" s="1" t="s">
        <v>15554</v>
      </c>
      <c r="G1532" s="1" t="s">
        <v>15555</v>
      </c>
      <c r="H1532" s="2" t="str">
        <f>Tabella1[[#This Row],[Denominazione]]&amp;" - "&amp;Tabella1[[#This Row],[Città]]</f>
        <v>B&amp;B LA COCCINELLA - FOLIGNANO</v>
      </c>
    </row>
    <row r="1533" spans="1:8" x14ac:dyDescent="0.25">
      <c r="A1533" s="1" t="s">
        <v>29</v>
      </c>
      <c r="B1533" s="1" t="s">
        <v>7551</v>
      </c>
      <c r="C1533" s="1" t="s">
        <v>7552</v>
      </c>
      <c r="D1533" s="1" t="s">
        <v>7385</v>
      </c>
      <c r="F1533" s="1" t="s">
        <v>7553</v>
      </c>
      <c r="G1533" s="1" t="s">
        <v>7554</v>
      </c>
      <c r="H1533" s="2" t="str">
        <f>Tabella1[[#This Row],[Denominazione]]&amp;" - "&amp;Tabella1[[#This Row],[Città]]</f>
        <v>B&amp;B LA COLLINA DEL CUORE - LORETO</v>
      </c>
    </row>
    <row r="1534" spans="1:8" x14ac:dyDescent="0.25">
      <c r="A1534" s="1" t="s">
        <v>29</v>
      </c>
      <c r="B1534" s="1" t="s">
        <v>8441</v>
      </c>
      <c r="C1534" s="1" t="s">
        <v>8442</v>
      </c>
      <c r="D1534" s="1" t="s">
        <v>8411</v>
      </c>
      <c r="E1534" s="1" t="s">
        <v>8443</v>
      </c>
      <c r="F1534" s="1" t="s">
        <v>8444</v>
      </c>
      <c r="G1534" s="1" t="s">
        <v>8445</v>
      </c>
      <c r="H1534" s="2" t="str">
        <f>Tabella1[[#This Row],[Denominazione]]&amp;" - "&amp;Tabella1[[#This Row],[Città]]</f>
        <v>B&amp;B LA COLLINA DORATA - OFFAGNA</v>
      </c>
    </row>
    <row r="1535" spans="1:8" x14ac:dyDescent="0.25">
      <c r="A1535" s="1" t="s">
        <v>29</v>
      </c>
      <c r="B1535" s="1" t="s">
        <v>12777</v>
      </c>
      <c r="C1535" s="1" t="s">
        <v>12778</v>
      </c>
      <c r="D1535" s="1" t="s">
        <v>12772</v>
      </c>
      <c r="G1535" s="1" t="s">
        <v>12779</v>
      </c>
      <c r="H1535" s="2" t="str">
        <f>Tabella1[[#This Row],[Denominazione]]&amp;" - "&amp;Tabella1[[#This Row],[Città]]</f>
        <v>B&amp;B LA COLLINETTA - POLLENZA</v>
      </c>
    </row>
    <row r="1536" spans="1:8" x14ac:dyDescent="0.25">
      <c r="A1536" s="1" t="s">
        <v>29</v>
      </c>
      <c r="B1536" s="1" t="s">
        <v>7809</v>
      </c>
      <c r="C1536" s="1" t="s">
        <v>7810</v>
      </c>
      <c r="D1536" s="1" t="s">
        <v>7811</v>
      </c>
      <c r="E1536" s="1" t="s">
        <v>7811</v>
      </c>
      <c r="F1536" s="1" t="s">
        <v>7812</v>
      </c>
      <c r="G1536" s="1" t="s">
        <v>7813</v>
      </c>
      <c r="H1536" s="2" t="str">
        <f>Tabella1[[#This Row],[Denominazione]]&amp;" - "&amp;Tabella1[[#This Row],[Città]]</f>
        <v>B&amp;B LA COLLINETTA di BRUSCHINI VITTORIA - MONTE ROBERTO</v>
      </c>
    </row>
    <row r="1537" spans="1:8" x14ac:dyDescent="0.25">
      <c r="A1537" s="1" t="s">
        <v>29</v>
      </c>
      <c r="B1537" s="1" t="s">
        <v>7247</v>
      </c>
      <c r="C1537" s="1" t="s">
        <v>7248</v>
      </c>
      <c r="D1537" s="1" t="s">
        <v>7200</v>
      </c>
      <c r="E1537" s="1" t="s">
        <v>7249</v>
      </c>
      <c r="F1537" s="1" t="s">
        <v>7250</v>
      </c>
      <c r="G1537" s="1" t="s">
        <v>7251</v>
      </c>
      <c r="H1537" s="2" t="str">
        <f>Tabella1[[#This Row],[Denominazione]]&amp;" - "&amp;Tabella1[[#This Row],[Città]]</f>
        <v>B&amp;B LA COLOMBAIA - GENGA</v>
      </c>
    </row>
    <row r="1538" spans="1:8" x14ac:dyDescent="0.25">
      <c r="A1538" s="1" t="s">
        <v>29</v>
      </c>
      <c r="B1538" s="1" t="s">
        <v>19670</v>
      </c>
      <c r="C1538" s="1" t="s">
        <v>19671</v>
      </c>
      <c r="D1538" s="1" t="s">
        <v>19649</v>
      </c>
      <c r="E1538" s="1" t="s">
        <v>19649</v>
      </c>
      <c r="G1538" s="1" t="s">
        <v>19672</v>
      </c>
      <c r="H1538" s="2" t="str">
        <f>Tabella1[[#This Row],[Denominazione]]&amp;" - "&amp;Tabella1[[#This Row],[Città]]</f>
        <v>B&amp;B LA CONCA - SMERILLO</v>
      </c>
    </row>
    <row r="1539" spans="1:8" x14ac:dyDescent="0.25">
      <c r="A1539" s="1" t="s">
        <v>29</v>
      </c>
      <c r="B1539" s="1" t="s">
        <v>14266</v>
      </c>
      <c r="C1539" s="1" t="s">
        <v>14267</v>
      </c>
      <c r="D1539" s="1" t="s">
        <v>14213</v>
      </c>
      <c r="E1539" s="1" t="s">
        <v>14268</v>
      </c>
      <c r="G1539" s="1" t="s">
        <v>14269</v>
      </c>
      <c r="H1539" s="2" t="str">
        <f>Tabella1[[#This Row],[Denominazione]]&amp;" - "&amp;Tabella1[[#This Row],[Città]]</f>
        <v>B&amp;B LA COPPARA - USSITA</v>
      </c>
    </row>
    <row r="1540" spans="1:8" x14ac:dyDescent="0.25">
      <c r="A1540" s="1" t="s">
        <v>29</v>
      </c>
      <c r="B1540" s="1" t="s">
        <v>13953</v>
      </c>
      <c r="C1540" s="1" t="s">
        <v>13954</v>
      </c>
      <c r="D1540" s="1" t="s">
        <v>13946</v>
      </c>
      <c r="E1540" s="1" t="s">
        <v>13946</v>
      </c>
      <c r="F1540" s="1" t="s">
        <v>13955</v>
      </c>
      <c r="G1540" s="1" t="s">
        <v>13956</v>
      </c>
      <c r="H1540" s="2" t="str">
        <f>Tabella1[[#This Row],[Denominazione]]&amp;" - "&amp;Tabella1[[#This Row],[Città]]</f>
        <v>B&amp;B LA CORTE - TOLENTINO</v>
      </c>
    </row>
    <row r="1541" spans="1:8" x14ac:dyDescent="0.25">
      <c r="A1541" s="1" t="s">
        <v>29</v>
      </c>
      <c r="B1541" s="1" t="s">
        <v>13953</v>
      </c>
      <c r="C1541" s="1" t="s">
        <v>18214</v>
      </c>
      <c r="D1541" s="1" t="s">
        <v>17932</v>
      </c>
      <c r="E1541" s="1" t="s">
        <v>17932</v>
      </c>
      <c r="F1541" s="1" t="s">
        <v>17991</v>
      </c>
      <c r="G1541" s="1" t="s">
        <v>17992</v>
      </c>
      <c r="H1541" s="2" t="str">
        <f>Tabella1[[#This Row],[Denominazione]]&amp;" - "&amp;Tabella1[[#This Row],[Città]]</f>
        <v>B&amp;B LA CORTE - FERMO</v>
      </c>
    </row>
    <row r="1542" spans="1:8" x14ac:dyDescent="0.25">
      <c r="A1542" s="1" t="s">
        <v>29</v>
      </c>
      <c r="B1542" s="1" t="s">
        <v>17988</v>
      </c>
      <c r="C1542" s="1" t="s">
        <v>17989</v>
      </c>
      <c r="D1542" s="1" t="s">
        <v>17932</v>
      </c>
      <c r="E1542" s="1" t="s">
        <v>17990</v>
      </c>
      <c r="F1542" s="1" t="s">
        <v>17991</v>
      </c>
      <c r="G1542" s="1" t="s">
        <v>17992</v>
      </c>
      <c r="H1542" s="2" t="str">
        <f>Tabella1[[#This Row],[Denominazione]]&amp;" - "&amp;Tabella1[[#This Row],[Città]]</f>
        <v>B&amp;B LA CORTE UNO - FERMO</v>
      </c>
    </row>
    <row r="1543" spans="1:8" x14ac:dyDescent="0.25">
      <c r="A1543" s="1" t="s">
        <v>29</v>
      </c>
      <c r="B1543" s="1" t="s">
        <v>14889</v>
      </c>
      <c r="C1543" s="1" t="s">
        <v>14890</v>
      </c>
      <c r="D1543" s="1" t="s">
        <v>14576</v>
      </c>
      <c r="E1543" s="1" t="s">
        <v>14576</v>
      </c>
      <c r="F1543" s="1" t="s">
        <v>14891</v>
      </c>
      <c r="G1543" s="1" t="s">
        <v>14892</v>
      </c>
      <c r="H1543" s="2" t="str">
        <f>Tabella1[[#This Row],[Denominazione]]&amp;" - "&amp;Tabella1[[#This Row],[Città]]</f>
        <v>B&amp;B LA CULLA DEI SABINI - ASCOLI PICENO</v>
      </c>
    </row>
    <row r="1544" spans="1:8" x14ac:dyDescent="0.25">
      <c r="A1544" s="1" t="s">
        <v>29</v>
      </c>
      <c r="B1544" s="1" t="s">
        <v>18393</v>
      </c>
      <c r="C1544" s="1" t="s">
        <v>18394</v>
      </c>
      <c r="D1544" s="1" t="s">
        <v>18389</v>
      </c>
      <c r="F1544" s="1" t="s">
        <v>18395</v>
      </c>
      <c r="G1544" s="1" t="s">
        <v>18396</v>
      </c>
      <c r="H1544" s="2" t="str">
        <f>Tabella1[[#This Row],[Denominazione]]&amp;" - "&amp;Tabella1[[#This Row],[Città]]</f>
        <v>B&amp;B LA DAMA - LAPEDONA</v>
      </c>
    </row>
    <row r="1545" spans="1:8" x14ac:dyDescent="0.25">
      <c r="A1545" s="1" t="s">
        <v>29</v>
      </c>
      <c r="B1545" s="1" t="s">
        <v>7141</v>
      </c>
      <c r="C1545" s="1" t="s">
        <v>7142</v>
      </c>
      <c r="D1545" s="1" t="s">
        <v>5735</v>
      </c>
      <c r="E1545" s="1" t="s">
        <v>7143</v>
      </c>
      <c r="G1545" s="1" t="s">
        <v>7144</v>
      </c>
      <c r="H1545" s="2" t="str">
        <f>Tabella1[[#This Row],[Denominazione]]&amp;" - "&amp;Tabella1[[#This Row],[Città]]</f>
        <v>B&amp;B LA DIMORA - FALCONARA MARITTIMA</v>
      </c>
    </row>
    <row r="1546" spans="1:8" x14ac:dyDescent="0.25">
      <c r="A1546" s="1" t="s">
        <v>29</v>
      </c>
      <c r="B1546" s="1" t="s">
        <v>2818</v>
      </c>
      <c r="C1546" s="1" t="s">
        <v>2819</v>
      </c>
      <c r="D1546" s="1" t="s">
        <v>1605</v>
      </c>
      <c r="E1546" s="1" t="s">
        <v>1456</v>
      </c>
      <c r="F1546" s="1" t="s">
        <v>2820</v>
      </c>
      <c r="G1546" s="1" t="s">
        <v>2821</v>
      </c>
      <c r="H1546" s="2" t="str">
        <f>Tabella1[[#This Row],[Denominazione]]&amp;" - "&amp;Tabella1[[#This Row],[Città]]</f>
        <v>B&amp;B LA DIMORA DEL GAMBERO - MONDOLFO</v>
      </c>
    </row>
    <row r="1547" spans="1:8" x14ac:dyDescent="0.25">
      <c r="A1547" s="1" t="s">
        <v>29</v>
      </c>
      <c r="B1547" s="1" t="s">
        <v>15525</v>
      </c>
      <c r="C1547" s="1" t="s">
        <v>15526</v>
      </c>
      <c r="D1547" s="1" t="s">
        <v>15349</v>
      </c>
      <c r="E1547" s="1" t="s">
        <v>15349</v>
      </c>
      <c r="H1547" s="2" t="str">
        <f>Tabella1[[#This Row],[Denominazione]]&amp;" - "&amp;Tabella1[[#This Row],[Città]]</f>
        <v>B&amp;B LA DOGARESSA - CUPRA MARITTIMA</v>
      </c>
    </row>
    <row r="1548" spans="1:8" x14ac:dyDescent="0.25">
      <c r="A1548" s="1" t="s">
        <v>29</v>
      </c>
      <c r="B1548" s="1" t="s">
        <v>14943</v>
      </c>
      <c r="C1548" s="1" t="s">
        <v>14944</v>
      </c>
      <c r="D1548" s="1" t="s">
        <v>14576</v>
      </c>
      <c r="E1548" s="1" t="s">
        <v>14576</v>
      </c>
      <c r="G1548" s="1" t="s">
        <v>14945</v>
      </c>
      <c r="H1548" s="2" t="str">
        <f>Tabella1[[#This Row],[Denominazione]]&amp;" - "&amp;Tabella1[[#This Row],[Città]]</f>
        <v>B&amp;B LA DOLCE VIA DI CIOTTI CLAUDIA - ASCOLI PICENO</v>
      </c>
    </row>
    <row r="1549" spans="1:8" x14ac:dyDescent="0.25">
      <c r="A1549" s="1" t="s">
        <v>29</v>
      </c>
      <c r="B1549" s="1" t="s">
        <v>10304</v>
      </c>
      <c r="C1549" s="1" t="s">
        <v>10305</v>
      </c>
      <c r="D1549" s="1" t="s">
        <v>10206</v>
      </c>
      <c r="E1549" s="1" t="s">
        <v>6927</v>
      </c>
      <c r="F1549" s="1" t="s">
        <v>10306</v>
      </c>
      <c r="G1549" s="1" t="s">
        <v>10307</v>
      </c>
      <c r="H1549" s="2" t="str">
        <f>Tabella1[[#This Row],[Denominazione]]&amp;" - "&amp;Tabella1[[#This Row],[Città]]</f>
        <v>B&amp;B LA FABULA - SIROLO</v>
      </c>
    </row>
    <row r="1550" spans="1:8" x14ac:dyDescent="0.25">
      <c r="A1550" s="1" t="s">
        <v>29</v>
      </c>
      <c r="B1550" s="1" t="s">
        <v>14229</v>
      </c>
      <c r="C1550" s="1" t="s">
        <v>14230</v>
      </c>
      <c r="D1550" s="1" t="s">
        <v>14213</v>
      </c>
      <c r="E1550" s="1" t="s">
        <v>14231</v>
      </c>
      <c r="G1550" s="1" t="s">
        <v>14232</v>
      </c>
      <c r="H1550" s="2" t="str">
        <f>Tabella1[[#This Row],[Denominazione]]&amp;" - "&amp;Tabella1[[#This Row],[Città]]</f>
        <v>B&amp;B LA FINESTRA SUI MONTI - USSITA</v>
      </c>
    </row>
    <row r="1551" spans="1:8" x14ac:dyDescent="0.25">
      <c r="A1551" s="1" t="s">
        <v>29</v>
      </c>
      <c r="B1551" s="1" t="s">
        <v>6427</v>
      </c>
      <c r="C1551" s="1" t="s">
        <v>6428</v>
      </c>
      <c r="D1551" s="1" t="s">
        <v>6371</v>
      </c>
      <c r="E1551" s="1" t="s">
        <v>6429</v>
      </c>
      <c r="F1551" s="1" t="s">
        <v>6430</v>
      </c>
      <c r="G1551" s="1" t="s">
        <v>6431</v>
      </c>
      <c r="H1551" s="2" t="str">
        <f>Tabella1[[#This Row],[Denominazione]]&amp;" - "&amp;Tabella1[[#This Row],[Città]]</f>
        <v>B&amp;B LA FINESTRA SUL CONERO - CASTELFIDARDO</v>
      </c>
    </row>
    <row r="1552" spans="1:8" x14ac:dyDescent="0.25">
      <c r="A1552" s="1" t="s">
        <v>29</v>
      </c>
      <c r="B1552" s="1" t="s">
        <v>1778</v>
      </c>
      <c r="C1552" s="1" t="s">
        <v>1779</v>
      </c>
      <c r="D1552" s="1" t="s">
        <v>1724</v>
      </c>
      <c r="F1552" s="1" t="s">
        <v>1780</v>
      </c>
      <c r="G1552" s="1" t="s">
        <v>1781</v>
      </c>
      <c r="H1552" s="2" t="str">
        <f>Tabella1[[#This Row],[Denominazione]]&amp;" - "&amp;Tabella1[[#This Row],[Città]]</f>
        <v>B&amp;B LA FINESTRA SUL FIUME - FOSSOMBRONE</v>
      </c>
    </row>
    <row r="1553" spans="1:8" x14ac:dyDescent="0.25">
      <c r="A1553" s="1" t="s">
        <v>29</v>
      </c>
      <c r="B1553" s="1" t="s">
        <v>4395</v>
      </c>
      <c r="C1553" s="1" t="s">
        <v>4396</v>
      </c>
      <c r="D1553" s="1" t="s">
        <v>4397</v>
      </c>
      <c r="F1553" s="1" t="s">
        <v>4398</v>
      </c>
      <c r="G1553" s="1" t="s">
        <v>4399</v>
      </c>
      <c r="H1553" s="2" t="str">
        <f>Tabella1[[#This Row],[Denominazione]]&amp;" - "&amp;Tabella1[[#This Row],[Città]]</f>
        <v>B&amp;B LA FIORENZUOLA di TRUFFI TANIA E FERRI ALESSANDRO - SANT'ANGELO IN VADO</v>
      </c>
    </row>
    <row r="1554" spans="1:8" x14ac:dyDescent="0.25">
      <c r="A1554" s="1" t="s">
        <v>29</v>
      </c>
      <c r="B1554" s="1" t="s">
        <v>1893</v>
      </c>
      <c r="C1554" s="1" t="s">
        <v>1894</v>
      </c>
      <c r="D1554" s="1" t="s">
        <v>356</v>
      </c>
      <c r="E1554" s="1" t="s">
        <v>356</v>
      </c>
      <c r="F1554" s="1" t="s">
        <v>1895</v>
      </c>
      <c r="G1554" s="1" t="s">
        <v>1896</v>
      </c>
      <c r="H1554" s="2" t="str">
        <f>Tabella1[[#This Row],[Denominazione]]&amp;" - "&amp;Tabella1[[#This Row],[Città]]</f>
        <v>B&amp;B LA FOCE - FRONTONE</v>
      </c>
    </row>
    <row r="1555" spans="1:8" x14ac:dyDescent="0.25">
      <c r="A1555" s="1" t="s">
        <v>29</v>
      </c>
      <c r="B1555" s="1" t="s">
        <v>14810</v>
      </c>
      <c r="C1555" s="1" t="s">
        <v>14811</v>
      </c>
      <c r="D1555" s="1" t="s">
        <v>14576</v>
      </c>
      <c r="E1555" s="1" t="s">
        <v>14576</v>
      </c>
      <c r="F1555" s="1" t="s">
        <v>14812</v>
      </c>
      <c r="G1555" s="1" t="s">
        <v>14813</v>
      </c>
      <c r="H1555" s="2" t="str">
        <f>Tabella1[[#This Row],[Denominazione]]&amp;" - "&amp;Tabella1[[#This Row],[Città]]</f>
        <v>B&amp;B LA FONTANA DEI CANI - ASCOLI PICENO</v>
      </c>
    </row>
    <row r="1556" spans="1:8" x14ac:dyDescent="0.25">
      <c r="A1556" s="1" t="s">
        <v>29</v>
      </c>
      <c r="B1556" s="1" t="s">
        <v>13876</v>
      </c>
      <c r="C1556" s="1" t="s">
        <v>13877</v>
      </c>
      <c r="D1556" s="1" t="s">
        <v>13756</v>
      </c>
      <c r="G1556" s="1" t="s">
        <v>13878</v>
      </c>
      <c r="H1556" s="2" t="str">
        <f>Tabella1[[#This Row],[Denominazione]]&amp;" - "&amp;Tabella1[[#This Row],[Città]]</f>
        <v>B&amp;B LA FONTE - SARNANO</v>
      </c>
    </row>
    <row r="1557" spans="1:8" x14ac:dyDescent="0.25">
      <c r="A1557" s="1" t="s">
        <v>29</v>
      </c>
      <c r="B1557" s="1" t="s">
        <v>8599</v>
      </c>
      <c r="C1557" s="1" t="s">
        <v>8600</v>
      </c>
      <c r="D1557" s="1" t="s">
        <v>8454</v>
      </c>
      <c r="E1557" s="1" t="s">
        <v>8454</v>
      </c>
      <c r="G1557" s="1" t="s">
        <v>8601</v>
      </c>
      <c r="H1557" s="2" t="str">
        <f>Tabella1[[#This Row],[Denominazione]]&amp;" - "&amp;Tabella1[[#This Row],[Città]]</f>
        <v>B&amp;B LA FORESTERIA - OSIMO</v>
      </c>
    </row>
    <row r="1558" spans="1:8" x14ac:dyDescent="0.25">
      <c r="A1558" s="1" t="s">
        <v>29</v>
      </c>
      <c r="B1558" s="1" t="s">
        <v>14782</v>
      </c>
      <c r="C1558" s="1" t="s">
        <v>14783</v>
      </c>
      <c r="D1558" s="1" t="s">
        <v>14576</v>
      </c>
      <c r="F1558" s="1" t="s">
        <v>14784</v>
      </c>
      <c r="G1558" s="1" t="s">
        <v>14785</v>
      </c>
      <c r="H1558" s="2" t="str">
        <f>Tabella1[[#This Row],[Denominazione]]&amp;" - "&amp;Tabella1[[#This Row],[Città]]</f>
        <v>B&amp;B LA FORMICA - ASCOLI PICENO</v>
      </c>
    </row>
    <row r="1559" spans="1:8" x14ac:dyDescent="0.25">
      <c r="A1559" s="1" t="s">
        <v>29</v>
      </c>
      <c r="B1559" s="1" t="s">
        <v>5363</v>
      </c>
      <c r="C1559" s="1" t="s">
        <v>5364</v>
      </c>
      <c r="D1559" s="1" t="s">
        <v>5358</v>
      </c>
      <c r="E1559" s="1" t="s">
        <v>5365</v>
      </c>
      <c r="G1559" s="1" t="s">
        <v>5366</v>
      </c>
      <c r="H1559" s="2" t="str">
        <f>Tabella1[[#This Row],[Denominazione]]&amp;" - "&amp;Tabella1[[#This Row],[Città]]</f>
        <v>B&amp;B LA FORMICA di URTINI FRANCESCA - VALLEFOGLIA</v>
      </c>
    </row>
    <row r="1560" spans="1:8" x14ac:dyDescent="0.25">
      <c r="A1560" s="1" t="s">
        <v>29</v>
      </c>
      <c r="B1560" s="1" t="s">
        <v>6423</v>
      </c>
      <c r="C1560" s="1" t="s">
        <v>6424</v>
      </c>
      <c r="D1560" s="1" t="s">
        <v>6371</v>
      </c>
      <c r="E1560" s="1" t="s">
        <v>6371</v>
      </c>
      <c r="F1560" s="1" t="s">
        <v>6425</v>
      </c>
      <c r="G1560" s="1" t="s">
        <v>6426</v>
      </c>
      <c r="H1560" s="2" t="str">
        <f>Tabella1[[#This Row],[Denominazione]]&amp;" - "&amp;Tabella1[[#This Row],[Città]]</f>
        <v>B&amp;B LA FUCHSIA - CASTELFIDARDO</v>
      </c>
    </row>
    <row r="1561" spans="1:8" x14ac:dyDescent="0.25">
      <c r="A1561" s="1" t="s">
        <v>29</v>
      </c>
      <c r="B1561" s="1" t="s">
        <v>3474</v>
      </c>
      <c r="C1561" s="1" t="s">
        <v>3475</v>
      </c>
      <c r="D1561" s="1" t="s">
        <v>2386</v>
      </c>
      <c r="E1561" s="1" t="s">
        <v>2386</v>
      </c>
      <c r="F1561" s="1" t="s">
        <v>3476</v>
      </c>
      <c r="G1561" s="1" t="s">
        <v>3477</v>
      </c>
      <c r="H1561" s="2" t="str">
        <f>Tabella1[[#This Row],[Denominazione]]&amp;" - "&amp;Tabella1[[#This Row],[Città]]</f>
        <v>B&amp;B LA GAZZA LADRA - PESARO</v>
      </c>
    </row>
    <row r="1562" spans="1:8" x14ac:dyDescent="0.25">
      <c r="A1562" s="1" t="s">
        <v>29</v>
      </c>
      <c r="B1562" s="1" t="s">
        <v>6689</v>
      </c>
      <c r="C1562" s="1" t="s">
        <v>6690</v>
      </c>
      <c r="D1562" s="1" t="s">
        <v>6652</v>
      </c>
      <c r="E1562" s="1" t="s">
        <v>6652</v>
      </c>
      <c r="F1562" s="1" t="s">
        <v>6691</v>
      </c>
      <c r="G1562" s="1" t="s">
        <v>6692</v>
      </c>
      <c r="H1562" s="2" t="str">
        <f>Tabella1[[#This Row],[Denominazione]]&amp;" - "&amp;Tabella1[[#This Row],[Città]]</f>
        <v>B&amp;B LA GIRANDOLA - CUPRAMONTANA</v>
      </c>
    </row>
    <row r="1563" spans="1:8" x14ac:dyDescent="0.25">
      <c r="A1563" s="1" t="s">
        <v>29</v>
      </c>
      <c r="B1563" s="1" t="s">
        <v>4088</v>
      </c>
      <c r="C1563" s="1" t="s">
        <v>4089</v>
      </c>
      <c r="D1563" s="1" t="s">
        <v>2386</v>
      </c>
      <c r="E1563" s="1" t="s">
        <v>2386</v>
      </c>
      <c r="F1563" s="1" t="s">
        <v>4090</v>
      </c>
      <c r="G1563" s="1" t="s">
        <v>4091</v>
      </c>
      <c r="H1563" s="2" t="str">
        <f>Tabella1[[#This Row],[Denominazione]]&amp;" - "&amp;Tabella1[[#This Row],[Città]]</f>
        <v>B&amp;B LA GRANDE AGAVE - PESARO</v>
      </c>
    </row>
    <row r="1564" spans="1:8" x14ac:dyDescent="0.25">
      <c r="A1564" s="1" t="s">
        <v>29</v>
      </c>
      <c r="B1564" s="1" t="s">
        <v>18353</v>
      </c>
      <c r="C1564" s="1" t="s">
        <v>18354</v>
      </c>
      <c r="D1564" s="1" t="s">
        <v>17932</v>
      </c>
      <c r="F1564" s="1" t="s">
        <v>18355</v>
      </c>
      <c r="G1564" s="1" t="s">
        <v>18356</v>
      </c>
      <c r="H1564" s="2" t="str">
        <f>Tabella1[[#This Row],[Denominazione]]&amp;" - "&amp;Tabella1[[#This Row],[Città]]</f>
        <v>B&amp;B LA LANTERNA - FERMO</v>
      </c>
    </row>
    <row r="1565" spans="1:8" x14ac:dyDescent="0.25">
      <c r="A1565" s="1" t="s">
        <v>29</v>
      </c>
      <c r="B1565" s="1" t="s">
        <v>10473</v>
      </c>
      <c r="C1565" s="1" t="s">
        <v>10474</v>
      </c>
      <c r="D1565" s="1" t="s">
        <v>10206</v>
      </c>
      <c r="G1565" s="1" t="s">
        <v>10450</v>
      </c>
      <c r="H1565" s="2" t="str">
        <f>Tabella1[[#This Row],[Denominazione]]&amp;" - "&amp;Tabella1[[#This Row],[Città]]</f>
        <v>B&amp;B LA LAVANDA DEL BORGO - SIROLO</v>
      </c>
    </row>
    <row r="1566" spans="1:8" x14ac:dyDescent="0.25">
      <c r="A1566" s="1" t="s">
        <v>29</v>
      </c>
      <c r="B1566" s="1" t="s">
        <v>10448</v>
      </c>
      <c r="C1566" s="1" t="s">
        <v>10449</v>
      </c>
      <c r="D1566" s="1" t="s">
        <v>10206</v>
      </c>
      <c r="E1566" s="1" t="s">
        <v>10206</v>
      </c>
      <c r="G1566" s="1" t="s">
        <v>10450</v>
      </c>
      <c r="H1566" s="2" t="str">
        <f>Tabella1[[#This Row],[Denominazione]]&amp;" - "&amp;Tabella1[[#This Row],[Città]]</f>
        <v>B&amp;B LA LAVANDA DEL BORGO BIS - SIROLO</v>
      </c>
    </row>
    <row r="1567" spans="1:8" x14ac:dyDescent="0.25">
      <c r="A1567" s="1" t="s">
        <v>29</v>
      </c>
      <c r="B1567" s="1" t="s">
        <v>10391</v>
      </c>
      <c r="C1567" s="1" t="s">
        <v>10392</v>
      </c>
      <c r="D1567" s="1" t="s">
        <v>10206</v>
      </c>
      <c r="F1567" s="1" t="s">
        <v>10393</v>
      </c>
      <c r="G1567" s="1" t="s">
        <v>10394</v>
      </c>
      <c r="H1567" s="2" t="str">
        <f>Tabella1[[#This Row],[Denominazione]]&amp;" - "&amp;Tabella1[[#This Row],[Città]]</f>
        <v>B&amp;B LA LIBELLULA DEL CONERO - SIROLO</v>
      </c>
    </row>
    <row r="1568" spans="1:8" x14ac:dyDescent="0.25">
      <c r="A1568" s="1" t="s">
        <v>29</v>
      </c>
      <c r="B1568" s="1" t="s">
        <v>7514</v>
      </c>
      <c r="C1568" s="1" t="s">
        <v>7515</v>
      </c>
      <c r="D1568" s="1" t="s">
        <v>7385</v>
      </c>
      <c r="E1568" s="1" t="s">
        <v>7385</v>
      </c>
      <c r="F1568" s="1" t="s">
        <v>7516</v>
      </c>
      <c r="G1568" s="1" t="s">
        <v>7517</v>
      </c>
      <c r="H1568" s="2" t="str">
        <f>Tabella1[[#This Row],[Denominazione]]&amp;" - "&amp;Tabella1[[#This Row],[Città]]</f>
        <v>B&amp;B LA LOCANDA DEL PICCHIO - LORETO</v>
      </c>
    </row>
    <row r="1569" spans="1:8" x14ac:dyDescent="0.25">
      <c r="A1569" s="1" t="s">
        <v>29</v>
      </c>
      <c r="B1569" s="1" t="s">
        <v>16719</v>
      </c>
      <c r="C1569" s="1" t="s">
        <v>16720</v>
      </c>
      <c r="D1569" s="1" t="s">
        <v>16714</v>
      </c>
      <c r="H1569" s="2" t="str">
        <f>Tabella1[[#This Row],[Denominazione]]&amp;" - "&amp;Tabella1[[#This Row],[Città]]</f>
        <v>B&amp;B LA LOCANDA DELLA CIVETTA PAOLA PARASECOLI - ROCCAFLUVIONE</v>
      </c>
    </row>
    <row r="1570" spans="1:8" x14ac:dyDescent="0.25">
      <c r="A1570" s="1" t="s">
        <v>29</v>
      </c>
      <c r="B1570" s="1" t="s">
        <v>4128</v>
      </c>
      <c r="C1570" s="1" t="s">
        <v>4129</v>
      </c>
      <c r="D1570" s="1" t="s">
        <v>4130</v>
      </c>
      <c r="E1570" s="1" t="s">
        <v>4130</v>
      </c>
      <c r="F1570" s="1" t="s">
        <v>4131</v>
      </c>
      <c r="G1570" s="1" t="s">
        <v>4132</v>
      </c>
      <c r="H1570" s="2" t="str">
        <f>Tabella1[[#This Row],[Denominazione]]&amp;" - "&amp;Tabella1[[#This Row],[Città]]</f>
        <v>B&amp;B LA LOCANDA DI CAVOLETO - PIANDIMELETO</v>
      </c>
    </row>
    <row r="1571" spans="1:8" x14ac:dyDescent="0.25">
      <c r="A1571" s="1" t="s">
        <v>29</v>
      </c>
      <c r="B1571" s="1" t="s">
        <v>14492</v>
      </c>
      <c r="C1571" s="1" t="s">
        <v>14493</v>
      </c>
      <c r="D1571" s="1" t="s">
        <v>14428</v>
      </c>
      <c r="E1571" s="1" t="s">
        <v>14428</v>
      </c>
      <c r="F1571" s="1" t="s">
        <v>14494</v>
      </c>
      <c r="G1571" s="1" t="s">
        <v>14495</v>
      </c>
      <c r="H1571" s="2" t="str">
        <f>Tabella1[[#This Row],[Denominazione]]&amp;" - "&amp;Tabella1[[#This Row],[Città]]</f>
        <v>B&amp;B LA LUNA E LA FORTEZZA - ACQUAVIVA PICENA</v>
      </c>
    </row>
    <row r="1572" spans="1:8" x14ac:dyDescent="0.25">
      <c r="A1572" s="1" t="s">
        <v>29</v>
      </c>
      <c r="B1572" s="1" t="s">
        <v>6716</v>
      </c>
      <c r="C1572" s="1" t="s">
        <v>6717</v>
      </c>
      <c r="D1572" s="1" t="s">
        <v>6652</v>
      </c>
      <c r="E1572" s="1" t="s">
        <v>6652</v>
      </c>
      <c r="G1572" s="1" t="s">
        <v>6718</v>
      </c>
      <c r="H1572" s="2" t="str">
        <f>Tabella1[[#This Row],[Denominazione]]&amp;" - "&amp;Tabella1[[#This Row],[Città]]</f>
        <v>B&amp;B LA MADONNINA - CUPRAMONTANA</v>
      </c>
    </row>
    <row r="1573" spans="1:8" x14ac:dyDescent="0.25">
      <c r="A1573" s="1" t="s">
        <v>29</v>
      </c>
      <c r="B1573" s="1" t="s">
        <v>12241</v>
      </c>
      <c r="C1573" s="1" t="s">
        <v>12242</v>
      </c>
      <c r="D1573" s="1" t="s">
        <v>12208</v>
      </c>
      <c r="G1573" s="1" t="s">
        <v>12243</v>
      </c>
      <c r="H1573" s="2" t="str">
        <f>Tabella1[[#This Row],[Denominazione]]&amp;" - "&amp;Tabella1[[#This Row],[Città]]</f>
        <v>B&amp;B LA MADONNINA DEI PANTANI - MATELICA</v>
      </c>
    </row>
    <row r="1574" spans="1:8" x14ac:dyDescent="0.25">
      <c r="A1574" s="1" t="s">
        <v>29</v>
      </c>
      <c r="B1574" s="1" t="s">
        <v>1390</v>
      </c>
      <c r="C1574" s="1" t="s">
        <v>1391</v>
      </c>
      <c r="D1574" s="1" t="s">
        <v>682</v>
      </c>
      <c r="E1574" s="1" t="s">
        <v>682</v>
      </c>
      <c r="F1574" s="1" t="s">
        <v>1392</v>
      </c>
      <c r="G1574" s="1" t="s">
        <v>1393</v>
      </c>
      <c r="H1574" s="2" t="str">
        <f>Tabella1[[#This Row],[Denominazione]]&amp;" - "&amp;Tabella1[[#This Row],[Città]]</f>
        <v>B&amp;B LA MAGNOLIA - FANO</v>
      </c>
    </row>
    <row r="1575" spans="1:8" x14ac:dyDescent="0.25">
      <c r="A1575" s="1" t="s">
        <v>29</v>
      </c>
      <c r="B1575" s="1" t="s">
        <v>1390</v>
      </c>
      <c r="C1575" s="1" t="s">
        <v>2494</v>
      </c>
      <c r="D1575" s="1" t="s">
        <v>2425</v>
      </c>
      <c r="E1575" s="1" t="s">
        <v>2425</v>
      </c>
      <c r="G1575" s="1" t="s">
        <v>2495</v>
      </c>
      <c r="H1575" s="2" t="str">
        <f>Tabella1[[#This Row],[Denominazione]]&amp;" - "&amp;Tabella1[[#This Row],[Città]]</f>
        <v>B&amp;B LA MAGNOLIA - GRADARA</v>
      </c>
    </row>
    <row r="1576" spans="1:8" x14ac:dyDescent="0.25">
      <c r="A1576" s="1" t="s">
        <v>29</v>
      </c>
      <c r="B1576" s="1" t="s">
        <v>4067</v>
      </c>
      <c r="C1576" s="1" t="s">
        <v>4068</v>
      </c>
      <c r="D1576" s="1" t="s">
        <v>2386</v>
      </c>
      <c r="E1576" s="1" t="s">
        <v>2386</v>
      </c>
      <c r="G1576" s="1" t="s">
        <v>4069</v>
      </c>
      <c r="H1576" s="2" t="str">
        <f>Tabella1[[#This Row],[Denominazione]]&amp;" - "&amp;Tabella1[[#This Row],[Città]]</f>
        <v>B&amp;B LA MAISON DE NADINE - PESARO</v>
      </c>
    </row>
    <row r="1577" spans="1:8" x14ac:dyDescent="0.25">
      <c r="A1577" s="1" t="s">
        <v>29</v>
      </c>
      <c r="B1577" s="1" t="s">
        <v>12590</v>
      </c>
      <c r="C1577" s="1" t="s">
        <v>12591</v>
      </c>
      <c r="D1577" s="1" t="s">
        <v>12546</v>
      </c>
      <c r="E1577" s="1" t="s">
        <v>12546</v>
      </c>
      <c r="F1577" s="1" t="s">
        <v>12592</v>
      </c>
      <c r="G1577" s="1" t="s">
        <v>12593</v>
      </c>
      <c r="H1577" s="2" t="str">
        <f>Tabella1[[#This Row],[Denominazione]]&amp;" - "&amp;Tabella1[[#This Row],[Città]]</f>
        <v>B&amp;B LA MAISON JUJUBE - MORROVALLE</v>
      </c>
    </row>
    <row r="1578" spans="1:8" x14ac:dyDescent="0.25">
      <c r="A1578" s="1" t="s">
        <v>29</v>
      </c>
      <c r="B1578" s="1" t="s">
        <v>14288</v>
      </c>
      <c r="C1578" s="1" t="s">
        <v>14289</v>
      </c>
      <c r="D1578" s="1" t="s">
        <v>14276</v>
      </c>
      <c r="G1578" s="1" t="s">
        <v>14290</v>
      </c>
      <c r="H1578" s="2" t="str">
        <f>Tabella1[[#This Row],[Denominazione]]&amp;" - "&amp;Tabella1[[#This Row],[Città]]</f>
        <v>B&amp;B LA MANSARDINA - VISSO</v>
      </c>
    </row>
    <row r="1579" spans="1:8" x14ac:dyDescent="0.25">
      <c r="A1579" s="1" t="s">
        <v>29</v>
      </c>
      <c r="B1579" s="1" t="s">
        <v>10193</v>
      </c>
      <c r="C1579" s="1" t="s">
        <v>10194</v>
      </c>
      <c r="D1579" s="1" t="s">
        <v>10117</v>
      </c>
      <c r="E1579" s="1" t="s">
        <v>10117</v>
      </c>
      <c r="G1579" s="1" t="s">
        <v>10195</v>
      </c>
      <c r="H1579" s="2" t="str">
        <f>Tabella1[[#This Row],[Denominazione]]&amp;" - "&amp;Tabella1[[#This Row],[Città]]</f>
        <v>B&amp;B LA MANSUETA - SERRA SAN QUIRICO</v>
      </c>
    </row>
    <row r="1580" spans="1:8" x14ac:dyDescent="0.25">
      <c r="A1580" s="1" t="s">
        <v>29</v>
      </c>
      <c r="B1580" s="1" t="s">
        <v>16833</v>
      </c>
      <c r="C1580" s="1" t="s">
        <v>16834</v>
      </c>
      <c r="D1580" s="1" t="s">
        <v>15819</v>
      </c>
      <c r="G1580" s="1" t="s">
        <v>16835</v>
      </c>
      <c r="H1580" s="2" t="str">
        <f>Tabella1[[#This Row],[Denominazione]]&amp;" - "&amp;Tabella1[[#This Row],[Città]]</f>
        <v>B&amp;B LA MARINA - SAN BENEDETTO DEL TRONTO</v>
      </c>
    </row>
    <row r="1581" spans="1:8" x14ac:dyDescent="0.25">
      <c r="A1581" s="1" t="s">
        <v>29</v>
      </c>
      <c r="B1581" s="1" t="s">
        <v>10656</v>
      </c>
      <c r="C1581" s="1" t="s">
        <v>10657</v>
      </c>
      <c r="D1581" s="1" t="s">
        <v>10654</v>
      </c>
      <c r="E1581" s="1" t="s">
        <v>10654</v>
      </c>
      <c r="G1581" s="1" t="s">
        <v>10658</v>
      </c>
      <c r="H1581" s="2" t="str">
        <f>Tabella1[[#This Row],[Denominazione]]&amp;" - "&amp;Tabella1[[#This Row],[Città]]</f>
        <v>B&amp;B LA MIMOSA - BELFORTE DEL CHIENTI</v>
      </c>
    </row>
    <row r="1582" spans="1:8" x14ac:dyDescent="0.25">
      <c r="A1582" s="1" t="s">
        <v>29</v>
      </c>
      <c r="B1582" s="1" t="s">
        <v>7582</v>
      </c>
      <c r="C1582" s="1" t="s">
        <v>7583</v>
      </c>
      <c r="D1582" s="1" t="s">
        <v>7571</v>
      </c>
      <c r="G1582" s="1" t="s">
        <v>7584</v>
      </c>
      <c r="H1582" s="2" t="str">
        <f>Tabella1[[#This Row],[Denominazione]]&amp;" - "&amp;Tabella1[[#This Row],[Città]]</f>
        <v>B&amp;B LA MOJA - MAIOLATI SPONTINI</v>
      </c>
    </row>
    <row r="1583" spans="1:8" x14ac:dyDescent="0.25">
      <c r="A1583" s="1" t="s">
        <v>29</v>
      </c>
      <c r="B1583" s="1" t="s">
        <v>4930</v>
      </c>
      <c r="C1583" s="1" t="s">
        <v>4931</v>
      </c>
      <c r="D1583" s="1" t="s">
        <v>9</v>
      </c>
      <c r="E1583" s="1" t="s">
        <v>4932</v>
      </c>
      <c r="F1583" s="1" t="s">
        <v>4933</v>
      </c>
      <c r="G1583" s="1" t="s">
        <v>4934</v>
      </c>
      <c r="H1583" s="2" t="str">
        <f>Tabella1[[#This Row],[Denominazione]]&amp;" - "&amp;Tabella1[[#This Row],[Città]]</f>
        <v>B&amp;B LA NATURA - URBINO</v>
      </c>
    </row>
    <row r="1584" spans="1:8" x14ac:dyDescent="0.25">
      <c r="A1584" s="1" t="s">
        <v>29</v>
      </c>
      <c r="B1584" s="1" t="s">
        <v>16453</v>
      </c>
      <c r="C1584" s="1" t="s">
        <v>16454</v>
      </c>
      <c r="D1584" s="1" t="s">
        <v>16440</v>
      </c>
      <c r="E1584" s="1" t="s">
        <v>16440</v>
      </c>
      <c r="F1584" s="1" t="s">
        <v>16455</v>
      </c>
      <c r="G1584" s="1" t="s">
        <v>16456</v>
      </c>
      <c r="H1584" s="2" t="str">
        <f>Tabella1[[#This Row],[Denominazione]]&amp;" - "&amp;Tabella1[[#This Row],[Città]]</f>
        <v>B&amp;B LA NEVIERA NEL POZZO - OFFIDA</v>
      </c>
    </row>
    <row r="1585" spans="1:8" x14ac:dyDescent="0.25">
      <c r="A1585" s="1" t="s">
        <v>29</v>
      </c>
      <c r="B1585" s="1" t="s">
        <v>6705</v>
      </c>
      <c r="C1585" s="1" t="s">
        <v>6706</v>
      </c>
      <c r="D1585" s="1" t="s">
        <v>6652</v>
      </c>
      <c r="E1585" s="1" t="s">
        <v>6652</v>
      </c>
      <c r="G1585" s="1" t="s">
        <v>6707</v>
      </c>
      <c r="H1585" s="2" t="str">
        <f>Tabella1[[#This Row],[Denominazione]]&amp;" - "&amp;Tabella1[[#This Row],[Città]]</f>
        <v>B&amp;B LA NICCHIA - CUPRAMONTANA</v>
      </c>
    </row>
    <row r="1586" spans="1:8" x14ac:dyDescent="0.25">
      <c r="A1586" s="1" t="s">
        <v>29</v>
      </c>
      <c r="B1586" s="1" t="s">
        <v>7574</v>
      </c>
      <c r="C1586" s="1" t="s">
        <v>7575</v>
      </c>
      <c r="D1586" s="1" t="s">
        <v>7571</v>
      </c>
      <c r="F1586" s="1" t="s">
        <v>7576</v>
      </c>
      <c r="G1586" s="1" t="s">
        <v>7577</v>
      </c>
      <c r="H1586" s="2" t="str">
        <f>Tabella1[[#This Row],[Denominazione]]&amp;" - "&amp;Tabella1[[#This Row],[Città]]</f>
        <v>B&amp;B LA NICCHIA DI MERCATO - MAIOLATI SPONTINI</v>
      </c>
    </row>
    <row r="1587" spans="1:8" x14ac:dyDescent="0.25">
      <c r="A1587" s="1" t="s">
        <v>29</v>
      </c>
      <c r="B1587" s="1" t="s">
        <v>627</v>
      </c>
      <c r="C1587" s="1" t="s">
        <v>628</v>
      </c>
      <c r="D1587" s="1" t="s">
        <v>579</v>
      </c>
      <c r="E1587" s="1" t="s">
        <v>629</v>
      </c>
      <c r="F1587" s="1" t="s">
        <v>630</v>
      </c>
      <c r="G1587" s="1" t="s">
        <v>631</v>
      </c>
      <c r="H1587" s="2" t="str">
        <f>Tabella1[[#This Row],[Denominazione]]&amp;" - "&amp;Tabella1[[#This Row],[Città]]</f>
        <v>B&amp;B LA PACE - CARPEGNA</v>
      </c>
    </row>
    <row r="1588" spans="1:8" x14ac:dyDescent="0.25">
      <c r="A1588" s="1" t="s">
        <v>29</v>
      </c>
      <c r="B1588" s="1" t="s">
        <v>2694</v>
      </c>
      <c r="C1588" s="1" t="s">
        <v>2695</v>
      </c>
      <c r="D1588" s="1" t="s">
        <v>2678</v>
      </c>
      <c r="F1588" s="1" t="s">
        <v>2696</v>
      </c>
      <c r="G1588" s="1" t="s">
        <v>2697</v>
      </c>
      <c r="H1588" s="2" t="str">
        <f>Tabella1[[#This Row],[Denominazione]]&amp;" - "&amp;Tabella1[[#This Row],[Città]]</f>
        <v>B&amp;B LA PACE TRA GLI OLIVI - MOMBAROCCIO</v>
      </c>
    </row>
    <row r="1589" spans="1:8" x14ac:dyDescent="0.25">
      <c r="A1589" s="1" t="s">
        <v>29</v>
      </c>
      <c r="B1589" s="1" t="s">
        <v>9361</v>
      </c>
      <c r="C1589" s="1" t="s">
        <v>9362</v>
      </c>
      <c r="D1589" s="1" t="s">
        <v>8949</v>
      </c>
      <c r="F1589" s="1" t="s">
        <v>9363</v>
      </c>
      <c r="G1589" s="1" t="s">
        <v>9364</v>
      </c>
      <c r="H1589" s="2" t="str">
        <f>Tabella1[[#This Row],[Denominazione]]&amp;" - "&amp;Tabella1[[#This Row],[Città]]</f>
        <v>B&amp;B LA PARISIENNE - SENIGALLIA</v>
      </c>
    </row>
    <row r="1590" spans="1:8" x14ac:dyDescent="0.25">
      <c r="A1590" s="1" t="s">
        <v>29</v>
      </c>
      <c r="B1590" s="1" t="s">
        <v>9397</v>
      </c>
      <c r="C1590" s="1" t="s">
        <v>9398</v>
      </c>
      <c r="D1590" s="1" t="s">
        <v>8949</v>
      </c>
      <c r="G1590" s="1" t="s">
        <v>9399</v>
      </c>
      <c r="H1590" s="2" t="str">
        <f>Tabella1[[#This Row],[Denominazione]]&amp;" - "&amp;Tabella1[[#This Row],[Città]]</f>
        <v>B&amp;B LA PENNICA - SENIGALLIA</v>
      </c>
    </row>
    <row r="1591" spans="1:8" x14ac:dyDescent="0.25">
      <c r="A1591" s="1" t="s">
        <v>29</v>
      </c>
      <c r="B1591" s="1" t="s">
        <v>7973</v>
      </c>
      <c r="C1591" s="1" t="s">
        <v>7974</v>
      </c>
      <c r="D1591" s="1" t="s">
        <v>7889</v>
      </c>
      <c r="F1591" s="1" t="s">
        <v>7971</v>
      </c>
      <c r="G1591" s="1" t="s">
        <v>7972</v>
      </c>
      <c r="H1591" s="2" t="str">
        <f>Tabella1[[#This Row],[Denominazione]]&amp;" - "&amp;Tabella1[[#This Row],[Città]]</f>
        <v>B&amp;B LA PERLA DEL CONERO - NUMANA</v>
      </c>
    </row>
    <row r="1592" spans="1:8" x14ac:dyDescent="0.25">
      <c r="A1592" s="1" t="s">
        <v>29</v>
      </c>
      <c r="B1592" s="1" t="s">
        <v>5523</v>
      </c>
      <c r="C1592" s="1" t="s">
        <v>5524</v>
      </c>
      <c r="D1592" s="1" t="s">
        <v>1864</v>
      </c>
      <c r="E1592" s="1" t="s">
        <v>1864</v>
      </c>
      <c r="G1592" s="1" t="s">
        <v>5525</v>
      </c>
      <c r="H1592" s="2" t="str">
        <f>Tabella1[[#This Row],[Denominazione]]&amp;" - "&amp;Tabella1[[#This Row],[Città]]</f>
        <v>B&amp;B LA PERSIANA - ANCONA</v>
      </c>
    </row>
    <row r="1593" spans="1:8" x14ac:dyDescent="0.25">
      <c r="A1593" s="1" t="s">
        <v>29</v>
      </c>
      <c r="B1593" s="1" t="s">
        <v>14805</v>
      </c>
      <c r="C1593" s="1" t="s">
        <v>14806</v>
      </c>
      <c r="D1593" s="1" t="s">
        <v>14576</v>
      </c>
      <c r="E1593" s="1" t="s">
        <v>14807</v>
      </c>
      <c r="F1593" s="1" t="s">
        <v>14808</v>
      </c>
      <c r="G1593" s="1" t="s">
        <v>14809</v>
      </c>
      <c r="H1593" s="2" t="str">
        <f>Tabella1[[#This Row],[Denominazione]]&amp;" - "&amp;Tabella1[[#This Row],[Città]]</f>
        <v>B&amp;B LA PETRELLA DI LORENZO MARIA RITA - ASCOLI PICENO</v>
      </c>
    </row>
    <row r="1594" spans="1:8" x14ac:dyDescent="0.25">
      <c r="A1594" s="1" t="s">
        <v>29</v>
      </c>
      <c r="B1594" s="1" t="s">
        <v>5334</v>
      </c>
      <c r="C1594" s="1" t="s">
        <v>5335</v>
      </c>
      <c r="D1594" s="1" t="s">
        <v>9</v>
      </c>
      <c r="G1594" s="1" t="s">
        <v>853</v>
      </c>
      <c r="H1594" s="2" t="str">
        <f>Tabella1[[#This Row],[Denominazione]]&amp;" - "&amp;Tabella1[[#This Row],[Città]]</f>
        <v>B&amp;B LA PIANTATA - URBINO</v>
      </c>
    </row>
    <row r="1595" spans="1:8" x14ac:dyDescent="0.25">
      <c r="A1595" s="1" t="s">
        <v>29</v>
      </c>
      <c r="B1595" s="1" t="s">
        <v>4124</v>
      </c>
      <c r="C1595" s="1" t="s">
        <v>4125</v>
      </c>
      <c r="D1595" s="1" t="s">
        <v>4121</v>
      </c>
      <c r="F1595" s="1" t="s">
        <v>4126</v>
      </c>
      <c r="G1595" s="1" t="s">
        <v>4127</v>
      </c>
      <c r="H1595" s="2" t="str">
        <f>Tabella1[[#This Row],[Denominazione]]&amp;" - "&amp;Tabella1[[#This Row],[Città]]</f>
        <v>B&amp;B LA PIAZZA DELLA TORRE - PIAGGE</v>
      </c>
    </row>
    <row r="1596" spans="1:8" x14ac:dyDescent="0.25">
      <c r="A1596" s="1" t="s">
        <v>29</v>
      </c>
      <c r="B1596" s="1" t="s">
        <v>14384</v>
      </c>
      <c r="C1596" s="1" t="s">
        <v>14385</v>
      </c>
      <c r="D1596" s="1" t="s">
        <v>14334</v>
      </c>
      <c r="E1596" s="1" t="s">
        <v>14386</v>
      </c>
      <c r="F1596" s="1" t="s">
        <v>14387</v>
      </c>
      <c r="G1596" s="1" t="s">
        <v>14388</v>
      </c>
      <c r="H1596" s="2" t="str">
        <f>Tabella1[[#This Row],[Denominazione]]&amp;" - "&amp;Tabella1[[#This Row],[Città]]</f>
        <v>B&amp;B LA PIAZZETTA - ACQUASANTA TERME</v>
      </c>
    </row>
    <row r="1597" spans="1:8" x14ac:dyDescent="0.25">
      <c r="A1597" s="1" t="s">
        <v>29</v>
      </c>
      <c r="B1597" s="1" t="s">
        <v>14920</v>
      </c>
      <c r="C1597" s="1" t="s">
        <v>14921</v>
      </c>
      <c r="D1597" s="1" t="s">
        <v>14576</v>
      </c>
      <c r="E1597" s="1" t="s">
        <v>14576</v>
      </c>
      <c r="G1597" s="1" t="s">
        <v>14922</v>
      </c>
      <c r="H1597" s="2" t="str">
        <f>Tabella1[[#This Row],[Denominazione]]&amp;" - "&amp;Tabella1[[#This Row],[Città]]</f>
        <v>B&amp;B LA PIAZZETTA DI SISTI VITTORIA - ASCOLI PICENO</v>
      </c>
    </row>
    <row r="1598" spans="1:8" x14ac:dyDescent="0.25">
      <c r="A1598" s="1" t="s">
        <v>29</v>
      </c>
      <c r="B1598" s="1" t="s">
        <v>13702</v>
      </c>
      <c r="C1598" s="1" t="s">
        <v>13703</v>
      </c>
      <c r="D1598" s="1" t="s">
        <v>13548</v>
      </c>
      <c r="E1598" s="1" t="s">
        <v>13548</v>
      </c>
      <c r="H1598" s="2" t="str">
        <f>Tabella1[[#This Row],[Denominazione]]&amp;" - "&amp;Tabella1[[#This Row],[Città]]</f>
        <v>B&amp;B LA PIEVE - SAN SEVERINO MARCHE</v>
      </c>
    </row>
    <row r="1599" spans="1:8" x14ac:dyDescent="0.25">
      <c r="A1599" s="1" t="s">
        <v>29</v>
      </c>
      <c r="B1599" s="1" t="s">
        <v>5398</v>
      </c>
      <c r="C1599" s="1" t="s">
        <v>5399</v>
      </c>
      <c r="D1599" s="1" t="s">
        <v>5358</v>
      </c>
      <c r="E1599" s="1" t="s">
        <v>5400</v>
      </c>
      <c r="F1599" s="1" t="s">
        <v>5401</v>
      </c>
      <c r="G1599" s="1" t="s">
        <v>5402</v>
      </c>
      <c r="H1599" s="2" t="str">
        <f>Tabella1[[#This Row],[Denominazione]]&amp;" - "&amp;Tabella1[[#This Row],[Città]]</f>
        <v>B&amp;B LA PINETA - VALLEFOGLIA</v>
      </c>
    </row>
    <row r="1600" spans="1:8" x14ac:dyDescent="0.25">
      <c r="A1600" s="1" t="s">
        <v>29</v>
      </c>
      <c r="B1600" s="1" t="s">
        <v>16056</v>
      </c>
      <c r="C1600" s="1" t="s">
        <v>16057</v>
      </c>
      <c r="D1600" s="1" t="s">
        <v>16040</v>
      </c>
      <c r="E1600" s="1" t="s">
        <v>16040</v>
      </c>
      <c r="G1600" s="1" t="s">
        <v>16058</v>
      </c>
      <c r="H1600" s="2" t="str">
        <f>Tabella1[[#This Row],[Denominazione]]&amp;" - "&amp;Tabella1[[#This Row],[Città]]</f>
        <v>B&amp;B LA PINETA DI BINNI MARIA COLOMBA - MONSAMPOLO DEL TRONTO</v>
      </c>
    </row>
    <row r="1601" spans="1:8" x14ac:dyDescent="0.25">
      <c r="A1601" s="1" t="s">
        <v>29</v>
      </c>
      <c r="B1601" s="1" t="s">
        <v>19235</v>
      </c>
      <c r="C1601" s="1" t="s">
        <v>19236</v>
      </c>
      <c r="D1601" s="1" t="s">
        <v>18082</v>
      </c>
      <c r="G1601" s="1" t="s">
        <v>19237</v>
      </c>
      <c r="H1601" s="2" t="str">
        <f>Tabella1[[#This Row],[Denominazione]]&amp;" - "&amp;Tabella1[[#This Row],[Città]]</f>
        <v>B&amp;B LA PINETINA - PORTO SAN GIORGIO</v>
      </c>
    </row>
    <row r="1602" spans="1:8" x14ac:dyDescent="0.25">
      <c r="A1602" s="1" t="s">
        <v>29</v>
      </c>
      <c r="B1602" s="1" t="s">
        <v>10663</v>
      </c>
      <c r="C1602" s="1" t="s">
        <v>10664</v>
      </c>
      <c r="D1602" s="1" t="s">
        <v>10654</v>
      </c>
      <c r="F1602" s="1" t="s">
        <v>10665</v>
      </c>
      <c r="G1602" s="1" t="s">
        <v>10666</v>
      </c>
      <c r="H1602" s="2" t="str">
        <f>Tabella1[[#This Row],[Denominazione]]&amp;" - "&amp;Tabella1[[#This Row],[Città]]</f>
        <v>B&amp;B LA PINTURETTA - BELFORTE DEL CHIENTI</v>
      </c>
    </row>
    <row r="1603" spans="1:8" x14ac:dyDescent="0.25">
      <c r="A1603" s="1" t="s">
        <v>29</v>
      </c>
      <c r="B1603" s="1" t="s">
        <v>5489</v>
      </c>
      <c r="C1603" s="1" t="s">
        <v>5490</v>
      </c>
      <c r="D1603" s="1" t="s">
        <v>1864</v>
      </c>
      <c r="G1603" s="1" t="s">
        <v>5491</v>
      </c>
      <c r="H1603" s="2" t="str">
        <f>Tabella1[[#This Row],[Denominazione]]&amp;" - "&amp;Tabella1[[#This Row],[Città]]</f>
        <v>B&amp;B LA PIRACANTA - ANCONA</v>
      </c>
    </row>
    <row r="1604" spans="1:8" x14ac:dyDescent="0.25">
      <c r="A1604" s="1" t="s">
        <v>29</v>
      </c>
      <c r="B1604" s="1" t="s">
        <v>5320</v>
      </c>
      <c r="C1604" s="1" t="s">
        <v>5321</v>
      </c>
      <c r="D1604" s="1" t="s">
        <v>9</v>
      </c>
      <c r="E1604" s="1" t="s">
        <v>5322</v>
      </c>
      <c r="G1604" s="1" t="s">
        <v>5323</v>
      </c>
      <c r="H1604" s="2" t="str">
        <f>Tabella1[[#This Row],[Denominazione]]&amp;" - "&amp;Tabella1[[#This Row],[Città]]</f>
        <v>B&amp;B LA POIANA - URBINO</v>
      </c>
    </row>
    <row r="1605" spans="1:8" x14ac:dyDescent="0.25">
      <c r="A1605" s="1" t="s">
        <v>29</v>
      </c>
      <c r="B1605" s="1" t="s">
        <v>12684</v>
      </c>
      <c r="C1605" s="1" t="s">
        <v>12685</v>
      </c>
      <c r="D1605" s="1" t="s">
        <v>12675</v>
      </c>
      <c r="E1605" s="1" t="s">
        <v>12675</v>
      </c>
      <c r="F1605" s="1" t="s">
        <v>12686</v>
      </c>
      <c r="G1605" s="1" t="s">
        <v>12687</v>
      </c>
      <c r="H1605" s="2" t="str">
        <f>Tabella1[[#This Row],[Denominazione]]&amp;" - "&amp;Tabella1[[#This Row],[Città]]</f>
        <v>B&amp;B LA POJANA - PETRIOLO</v>
      </c>
    </row>
    <row r="1606" spans="1:8" x14ac:dyDescent="0.25">
      <c r="A1606" s="1" t="s">
        <v>29</v>
      </c>
      <c r="B1606" s="1" t="s">
        <v>18370</v>
      </c>
      <c r="C1606" s="1" t="s">
        <v>18371</v>
      </c>
      <c r="D1606" s="1" t="s">
        <v>18372</v>
      </c>
      <c r="E1606" s="1" t="s">
        <v>18372</v>
      </c>
      <c r="F1606" s="1" t="s">
        <v>18373</v>
      </c>
      <c r="G1606" s="1" t="s">
        <v>18374</v>
      </c>
      <c r="H1606" s="2" t="str">
        <f>Tabella1[[#This Row],[Denominazione]]&amp;" - "&amp;Tabella1[[#This Row],[Città]]</f>
        <v>B&amp;B LA POSTA - GROTTAZZOLINA</v>
      </c>
    </row>
    <row r="1607" spans="1:8" x14ac:dyDescent="0.25">
      <c r="A1607" s="1" t="s">
        <v>29</v>
      </c>
      <c r="B1607" s="1" t="s">
        <v>2491</v>
      </c>
      <c r="C1607" s="1" t="s">
        <v>2492</v>
      </c>
      <c r="D1607" s="1" t="s">
        <v>2425</v>
      </c>
      <c r="E1607" s="1" t="s">
        <v>2425</v>
      </c>
      <c r="G1607" s="1" t="s">
        <v>2493</v>
      </c>
      <c r="H1607" s="2" t="str">
        <f>Tabella1[[#This Row],[Denominazione]]&amp;" - "&amp;Tabella1[[#This Row],[Città]]</f>
        <v>B&amp;B LA PULCIA - GRADARA</v>
      </c>
    </row>
    <row r="1608" spans="1:8" x14ac:dyDescent="0.25">
      <c r="A1608" s="1" t="s">
        <v>29</v>
      </c>
      <c r="B1608" s="1" t="s">
        <v>12578</v>
      </c>
      <c r="C1608" s="1" t="s">
        <v>12579</v>
      </c>
      <c r="D1608" s="1" t="s">
        <v>12546</v>
      </c>
      <c r="F1608" s="1" t="s">
        <v>12580</v>
      </c>
      <c r="G1608" s="1" t="s">
        <v>12581</v>
      </c>
      <c r="H1608" s="2" t="str">
        <f>Tabella1[[#This Row],[Denominazione]]&amp;" - "&amp;Tabella1[[#This Row],[Città]]</f>
        <v>B&amp;B LA QUIETE DI ROS - MORROVALLE</v>
      </c>
    </row>
    <row r="1609" spans="1:8" x14ac:dyDescent="0.25">
      <c r="A1609" s="1" t="s">
        <v>29</v>
      </c>
      <c r="B1609" s="1" t="s">
        <v>8963</v>
      </c>
      <c r="C1609" s="1" t="s">
        <v>8964</v>
      </c>
      <c r="D1609" s="1" t="s">
        <v>8949</v>
      </c>
      <c r="G1609" s="1" t="s">
        <v>8965</v>
      </c>
      <c r="H1609" s="2" t="str">
        <f>Tabella1[[#This Row],[Denominazione]]&amp;" - "&amp;Tabella1[[#This Row],[Città]]</f>
        <v>B&amp;B LA RANA - SENIGALLIA</v>
      </c>
    </row>
    <row r="1610" spans="1:8" x14ac:dyDescent="0.25">
      <c r="A1610" s="1" t="s">
        <v>29</v>
      </c>
      <c r="B1610" s="1" t="s">
        <v>11284</v>
      </c>
      <c r="C1610" s="1" t="s">
        <v>11285</v>
      </c>
      <c r="D1610" s="1" t="s">
        <v>11244</v>
      </c>
      <c r="G1610" s="1" t="s">
        <v>11286</v>
      </c>
      <c r="H1610" s="2" t="str">
        <f>Tabella1[[#This Row],[Denominazione]]&amp;" - "&amp;Tabella1[[#This Row],[Città]]</f>
        <v>B&amp;B LA ROSA - CIVITANOVA MARCHE</v>
      </c>
    </row>
    <row r="1611" spans="1:8" x14ac:dyDescent="0.25">
      <c r="A1611" s="1" t="s">
        <v>29</v>
      </c>
      <c r="B1611" s="1" t="s">
        <v>2459</v>
      </c>
      <c r="C1611" s="1" t="s">
        <v>2460</v>
      </c>
      <c r="D1611" s="1" t="s">
        <v>2425</v>
      </c>
      <c r="F1611" s="1" t="s">
        <v>2461</v>
      </c>
      <c r="G1611" s="1" t="s">
        <v>2462</v>
      </c>
      <c r="H1611" s="2" t="str">
        <f>Tabella1[[#This Row],[Denominazione]]&amp;" - "&amp;Tabella1[[#This Row],[Città]]</f>
        <v>B&amp;B LA ROSA ANTICA - GRADARA</v>
      </c>
    </row>
    <row r="1612" spans="1:8" x14ac:dyDescent="0.25">
      <c r="A1612" s="1" t="s">
        <v>29</v>
      </c>
      <c r="B1612" s="1" t="s">
        <v>14699</v>
      </c>
      <c r="C1612" s="1" t="s">
        <v>14700</v>
      </c>
      <c r="D1612" s="1" t="s">
        <v>14576</v>
      </c>
      <c r="G1612" s="1" t="s">
        <v>14701</v>
      </c>
      <c r="H1612" s="2" t="str">
        <f>Tabella1[[#This Row],[Denominazione]]&amp;" - "&amp;Tabella1[[#This Row],[Città]]</f>
        <v>B&amp;B LA ROSA DI ANTONIO - ASCOLI PICENO</v>
      </c>
    </row>
    <row r="1613" spans="1:8" x14ac:dyDescent="0.25">
      <c r="A1613" s="1" t="s">
        <v>29</v>
      </c>
      <c r="B1613" s="1" t="s">
        <v>9368</v>
      </c>
      <c r="C1613" s="1" t="s">
        <v>9369</v>
      </c>
      <c r="D1613" s="1" t="s">
        <v>8949</v>
      </c>
      <c r="H1613" s="2" t="str">
        <f>Tabella1[[#This Row],[Denominazione]]&amp;" - "&amp;Tabella1[[#This Row],[Città]]</f>
        <v>B&amp;B LA ROSA DI SABBIA - SENIGALLIA</v>
      </c>
    </row>
    <row r="1614" spans="1:8" x14ac:dyDescent="0.25">
      <c r="A1614" s="1" t="s">
        <v>29</v>
      </c>
      <c r="B1614" s="1" t="s">
        <v>484</v>
      </c>
      <c r="C1614" s="1" t="s">
        <v>485</v>
      </c>
      <c r="D1614" s="1" t="s">
        <v>316</v>
      </c>
      <c r="E1614" s="1" t="s">
        <v>316</v>
      </c>
      <c r="G1614" s="1" t="s">
        <v>486</v>
      </c>
      <c r="H1614" s="2" t="str">
        <f>Tabella1[[#This Row],[Denominazione]]&amp;" - "&amp;Tabella1[[#This Row],[Città]]</f>
        <v>B&amp;B LA ROSA ROSSA - CAGLI</v>
      </c>
    </row>
    <row r="1615" spans="1:8" x14ac:dyDescent="0.25">
      <c r="A1615" s="1" t="s">
        <v>29</v>
      </c>
      <c r="B1615" s="1" t="s">
        <v>13600</v>
      </c>
      <c r="C1615" s="1" t="s">
        <v>13601</v>
      </c>
      <c r="D1615" s="1" t="s">
        <v>13548</v>
      </c>
      <c r="G1615" s="1" t="s">
        <v>13602</v>
      </c>
      <c r="H1615" s="2" t="str">
        <f>Tabella1[[#This Row],[Denominazione]]&amp;" - "&amp;Tabella1[[#This Row],[Città]]</f>
        <v>B&amp;B LA ROTONDA IN COLLINA - SAN SEVERINO MARCHE</v>
      </c>
    </row>
    <row r="1616" spans="1:8" x14ac:dyDescent="0.25">
      <c r="A1616" s="1" t="s">
        <v>29</v>
      </c>
      <c r="B1616" s="1" t="s">
        <v>3951</v>
      </c>
      <c r="C1616" s="1" t="s">
        <v>3952</v>
      </c>
      <c r="D1616" s="1" t="s">
        <v>2386</v>
      </c>
      <c r="G1616" s="1" t="s">
        <v>3953</v>
      </c>
      <c r="H1616" s="2" t="str">
        <f>Tabella1[[#This Row],[Denominazione]]&amp;" - "&amp;Tabella1[[#This Row],[Città]]</f>
        <v>B&amp;B LA SCALA DI SETA - PESARO</v>
      </c>
    </row>
    <row r="1617" spans="1:8" x14ac:dyDescent="0.25">
      <c r="A1617" s="1" t="s">
        <v>29</v>
      </c>
      <c r="B1617" s="1" t="s">
        <v>14860</v>
      </c>
      <c r="C1617" s="1" t="s">
        <v>14861</v>
      </c>
      <c r="D1617" s="1" t="s">
        <v>14576</v>
      </c>
      <c r="E1617" s="1" t="s">
        <v>14576</v>
      </c>
      <c r="H1617" s="2" t="str">
        <f>Tabella1[[#This Row],[Denominazione]]&amp;" - "&amp;Tabella1[[#This Row],[Città]]</f>
        <v>B&amp;B LA SCALETTA - ASCOLI PICENO</v>
      </c>
    </row>
    <row r="1618" spans="1:8" x14ac:dyDescent="0.25">
      <c r="A1618" s="1" t="s">
        <v>29</v>
      </c>
      <c r="B1618" s="1" t="s">
        <v>19008</v>
      </c>
      <c r="C1618" s="1" t="s">
        <v>19009</v>
      </c>
      <c r="D1618" s="1" t="s">
        <v>18971</v>
      </c>
      <c r="E1618" s="1" t="s">
        <v>18971</v>
      </c>
      <c r="F1618" s="1" t="s">
        <v>19010</v>
      </c>
      <c r="G1618" s="1" t="s">
        <v>19011</v>
      </c>
      <c r="H1618" s="2" t="str">
        <f>Tabella1[[#This Row],[Denominazione]]&amp;" - "&amp;Tabella1[[#This Row],[Città]]</f>
        <v>B&amp;B LA SCENTELLA - PETRITOLI</v>
      </c>
    </row>
    <row r="1619" spans="1:8" x14ac:dyDescent="0.25">
      <c r="A1619" s="1" t="s">
        <v>29</v>
      </c>
      <c r="B1619" s="1" t="s">
        <v>5023</v>
      </c>
      <c r="C1619" s="1" t="s">
        <v>5024</v>
      </c>
      <c r="D1619" s="1" t="s">
        <v>9</v>
      </c>
      <c r="E1619" s="1" t="s">
        <v>9</v>
      </c>
      <c r="F1619" s="1" t="s">
        <v>5025</v>
      </c>
      <c r="G1619" s="1" t="s">
        <v>1482</v>
      </c>
      <c r="H1619" s="2" t="str">
        <f>Tabella1[[#This Row],[Denominazione]]&amp;" - "&amp;Tabella1[[#This Row],[Città]]</f>
        <v>B&amp;B LA SCUOLA - URBINO</v>
      </c>
    </row>
    <row r="1620" spans="1:8" x14ac:dyDescent="0.25">
      <c r="A1620" s="1" t="s">
        <v>29</v>
      </c>
      <c r="B1620" s="1" t="s">
        <v>15492</v>
      </c>
      <c r="C1620" s="1" t="s">
        <v>15493</v>
      </c>
      <c r="D1620" s="1" t="s">
        <v>15349</v>
      </c>
      <c r="G1620" s="1" t="s">
        <v>15494</v>
      </c>
      <c r="H1620" s="2" t="str">
        <f>Tabella1[[#This Row],[Denominazione]]&amp;" - "&amp;Tabella1[[#This Row],[Città]]</f>
        <v>B&amp;B LA SELVA FESTEGGIANTE - CUPRA MARITTIMA</v>
      </c>
    </row>
    <row r="1621" spans="1:8" x14ac:dyDescent="0.25">
      <c r="A1621" s="1" t="s">
        <v>29</v>
      </c>
      <c r="B1621" s="1" t="s">
        <v>4539</v>
      </c>
      <c r="C1621" s="1" t="s">
        <v>4540</v>
      </c>
      <c r="D1621" s="1" t="s">
        <v>4527</v>
      </c>
      <c r="E1621" s="1" t="s">
        <v>4527</v>
      </c>
      <c r="F1621" s="1" t="s">
        <v>4541</v>
      </c>
      <c r="G1621" s="1" t="s">
        <v>4542</v>
      </c>
      <c r="H1621" s="2" t="str">
        <f>Tabella1[[#This Row],[Denominazione]]&amp;" - "&amp;Tabella1[[#This Row],[Città]]</f>
        <v>B&amp;B LA SERRA DEL SASSO - SASSOFELTRIO</v>
      </c>
    </row>
    <row r="1622" spans="1:8" x14ac:dyDescent="0.25">
      <c r="A1622" s="1" t="s">
        <v>29</v>
      </c>
      <c r="B1622" s="1" t="s">
        <v>15694</v>
      </c>
      <c r="C1622" s="1" t="s">
        <v>15695</v>
      </c>
      <c r="D1622" s="1" t="s">
        <v>15585</v>
      </c>
      <c r="E1622" s="1" t="s">
        <v>15585</v>
      </c>
      <c r="F1622" s="1" t="s">
        <v>15696</v>
      </c>
      <c r="G1622" s="1" t="s">
        <v>15697</v>
      </c>
      <c r="H1622" s="2" t="str">
        <f>Tabella1[[#This Row],[Denominazione]]&amp;" - "&amp;Tabella1[[#This Row],[Città]]</f>
        <v>B&amp;B LA SIGNORA CASA - GROTTAMMARE</v>
      </c>
    </row>
    <row r="1623" spans="1:8" x14ac:dyDescent="0.25">
      <c r="A1623" s="1" t="s">
        <v>29</v>
      </c>
      <c r="B1623" s="1" t="s">
        <v>17098</v>
      </c>
      <c r="C1623" s="1" t="s">
        <v>17099</v>
      </c>
      <c r="D1623" s="1" t="s">
        <v>15819</v>
      </c>
      <c r="E1623" s="1" t="s">
        <v>15819</v>
      </c>
      <c r="G1623" s="1" t="s">
        <v>17100</v>
      </c>
      <c r="H1623" s="2" t="str">
        <f>Tabella1[[#This Row],[Denominazione]]&amp;" - "&amp;Tabella1[[#This Row],[Città]]</f>
        <v>B&amp;B LA SOFFITTA - SAN BENEDETTO DEL TRONTO</v>
      </c>
    </row>
    <row r="1624" spans="1:8" x14ac:dyDescent="0.25">
      <c r="A1624" s="1" t="s">
        <v>29</v>
      </c>
      <c r="B1624" s="1" t="s">
        <v>14068</v>
      </c>
      <c r="C1624" s="1" t="s">
        <v>14069</v>
      </c>
      <c r="D1624" s="1" t="s">
        <v>14065</v>
      </c>
      <c r="G1624" s="1" t="s">
        <v>14070</v>
      </c>
      <c r="H1624" s="2" t="str">
        <f>Tabella1[[#This Row],[Denominazione]]&amp;" - "&amp;Tabella1[[#This Row],[Città]]</f>
        <v>B&amp;B LA SORGENTE DEI SALI - TREIA</v>
      </c>
    </row>
    <row r="1625" spans="1:8" x14ac:dyDescent="0.25">
      <c r="A1625" s="1" t="s">
        <v>29</v>
      </c>
      <c r="B1625" s="1" t="s">
        <v>16712</v>
      </c>
      <c r="C1625" s="1" t="s">
        <v>16713</v>
      </c>
      <c r="D1625" s="1" t="s">
        <v>16714</v>
      </c>
      <c r="E1625" s="1" t="s">
        <v>16715</v>
      </c>
      <c r="G1625" s="1" t="s">
        <v>16716</v>
      </c>
      <c r="H1625" s="2" t="str">
        <f>Tabella1[[#This Row],[Denominazione]]&amp;" - "&amp;Tabella1[[#This Row],[Città]]</f>
        <v>B&amp;B LA SPASELLA - ROCCAFLUVIONE</v>
      </c>
    </row>
    <row r="1626" spans="1:8" x14ac:dyDescent="0.25">
      <c r="A1626" s="1" t="s">
        <v>29</v>
      </c>
      <c r="B1626" s="1" t="s">
        <v>5789</v>
      </c>
      <c r="C1626" s="1" t="s">
        <v>5790</v>
      </c>
      <c r="D1626" s="1" t="s">
        <v>1864</v>
      </c>
      <c r="E1626" s="1" t="s">
        <v>1864</v>
      </c>
      <c r="G1626" s="1" t="s">
        <v>5791</v>
      </c>
      <c r="H1626" s="2" t="str">
        <f>Tabella1[[#This Row],[Denominazione]]&amp;" - "&amp;Tabella1[[#This Row],[Città]]</f>
        <v>B&amp;B LA SPIGHETTA - ANCONA</v>
      </c>
    </row>
    <row r="1627" spans="1:8" x14ac:dyDescent="0.25">
      <c r="A1627" s="1" t="s">
        <v>29</v>
      </c>
      <c r="B1627" s="1" t="s">
        <v>11003</v>
      </c>
      <c r="C1627" s="1" t="s">
        <v>11004</v>
      </c>
      <c r="D1627" s="1" t="s">
        <v>10990</v>
      </c>
      <c r="G1627" s="1" t="s">
        <v>11005</v>
      </c>
      <c r="H1627" s="2" t="str">
        <f>Tabella1[[#This Row],[Denominazione]]&amp;" - "&amp;Tabella1[[#This Row],[Città]]</f>
        <v>B&amp;B LA STANZA DELLE FATE - CASTELSANTANGELO SUL NERA</v>
      </c>
    </row>
    <row r="1628" spans="1:8" x14ac:dyDescent="0.25">
      <c r="A1628" s="1" t="s">
        <v>29</v>
      </c>
      <c r="B1628" s="1" t="s">
        <v>11489</v>
      </c>
      <c r="C1628" s="1" t="s">
        <v>11490</v>
      </c>
      <c r="D1628" s="1" t="s">
        <v>11244</v>
      </c>
      <c r="F1628" s="1" t="s">
        <v>11491</v>
      </c>
      <c r="G1628" s="1" t="s">
        <v>11492</v>
      </c>
      <c r="H1628" s="2" t="str">
        <f>Tabella1[[#This Row],[Denominazione]]&amp;" - "&amp;Tabella1[[#This Row],[Città]]</f>
        <v>B&amp;B LA STELLA D'ORO - CIVITANOVA MARCHE</v>
      </c>
    </row>
    <row r="1629" spans="1:8" x14ac:dyDescent="0.25">
      <c r="A1629" s="1" t="s">
        <v>29</v>
      </c>
      <c r="B1629" s="1" t="s">
        <v>11317</v>
      </c>
      <c r="C1629" s="1" t="s">
        <v>11318</v>
      </c>
      <c r="D1629" s="1" t="s">
        <v>11244</v>
      </c>
      <c r="E1629" s="1" t="s">
        <v>11244</v>
      </c>
      <c r="G1629" s="1" t="s">
        <v>11319</v>
      </c>
      <c r="H1629" s="2" t="str">
        <f>Tabella1[[#This Row],[Denominazione]]&amp;" - "&amp;Tabella1[[#This Row],[Città]]</f>
        <v>B&amp;B LA SUITE - CIVITANOVA MARCHE</v>
      </c>
    </row>
    <row r="1630" spans="1:8" x14ac:dyDescent="0.25">
      <c r="A1630" s="1" t="s">
        <v>29</v>
      </c>
      <c r="B1630" s="1" t="s">
        <v>11317</v>
      </c>
      <c r="C1630" s="1" t="s">
        <v>16420</v>
      </c>
      <c r="D1630" s="1" t="s">
        <v>16396</v>
      </c>
      <c r="E1630" s="1" t="s">
        <v>16421</v>
      </c>
      <c r="G1630" s="1" t="s">
        <v>16422</v>
      </c>
      <c r="H1630" s="2" t="str">
        <f>Tabella1[[#This Row],[Denominazione]]&amp;" - "&amp;Tabella1[[#This Row],[Città]]</f>
        <v>B&amp;B LA SUITE - MONTEPRANDONE</v>
      </c>
    </row>
    <row r="1631" spans="1:8" x14ac:dyDescent="0.25">
      <c r="A1631" s="1" t="s">
        <v>29</v>
      </c>
      <c r="B1631" s="1" t="s">
        <v>1859</v>
      </c>
      <c r="C1631" s="1" t="s">
        <v>1860</v>
      </c>
      <c r="D1631" s="1" t="s">
        <v>356</v>
      </c>
      <c r="E1631" s="1" t="s">
        <v>356</v>
      </c>
      <c r="G1631" s="1" t="s">
        <v>1861</v>
      </c>
      <c r="H1631" s="2" t="str">
        <f>Tabella1[[#This Row],[Denominazione]]&amp;" - "&amp;Tabella1[[#This Row],[Città]]</f>
        <v>B&amp;B LA TANA - FRONTONE</v>
      </c>
    </row>
    <row r="1632" spans="1:8" x14ac:dyDescent="0.25">
      <c r="A1632" s="1" t="s">
        <v>29</v>
      </c>
      <c r="B1632" s="1" t="s">
        <v>6845</v>
      </c>
      <c r="C1632" s="1" t="s">
        <v>6846</v>
      </c>
      <c r="D1632" s="1" t="s">
        <v>6790</v>
      </c>
      <c r="E1632" s="1" t="s">
        <v>6790</v>
      </c>
      <c r="F1632" s="1" t="s">
        <v>6847</v>
      </c>
      <c r="G1632" s="1" t="s">
        <v>6848</v>
      </c>
      <c r="H1632" s="2" t="str">
        <f>Tabella1[[#This Row],[Denominazione]]&amp;" - "&amp;Tabella1[[#This Row],[Città]]</f>
        <v>B&amp;B LA TANA DELLA TIGRE - FABRIANO</v>
      </c>
    </row>
    <row r="1633" spans="1:8" x14ac:dyDescent="0.25">
      <c r="A1633" s="1" t="s">
        <v>29</v>
      </c>
      <c r="B1633" s="1" t="s">
        <v>19042</v>
      </c>
      <c r="C1633" s="1" t="s">
        <v>19043</v>
      </c>
      <c r="D1633" s="1" t="s">
        <v>18082</v>
      </c>
      <c r="E1633" s="1" t="s">
        <v>18082</v>
      </c>
      <c r="G1633" s="1" t="s">
        <v>19044</v>
      </c>
      <c r="H1633" s="2" t="str">
        <f>Tabella1[[#This Row],[Denominazione]]&amp;" - "&amp;Tabella1[[#This Row],[Città]]</f>
        <v>B&amp;B LA TANA DI BAGHERA - PORTO SAN GIORGIO</v>
      </c>
    </row>
    <row r="1634" spans="1:8" x14ac:dyDescent="0.25">
      <c r="A1634" s="1" t="s">
        <v>29</v>
      </c>
      <c r="B1634" s="1" t="s">
        <v>11448</v>
      </c>
      <c r="C1634" s="1" t="s">
        <v>11449</v>
      </c>
      <c r="D1634" s="1" t="s">
        <v>11244</v>
      </c>
      <c r="E1634" s="1" t="s">
        <v>11244</v>
      </c>
      <c r="F1634" s="1" t="s">
        <v>11450</v>
      </c>
      <c r="G1634" s="1" t="s">
        <v>11451</v>
      </c>
      <c r="H1634" s="2" t="str">
        <f>Tabella1[[#This Row],[Denominazione]]&amp;" - "&amp;Tabella1[[#This Row],[Città]]</f>
        <v>B&amp;B LA TARTARUGA - CIVITANOVA MARCHE</v>
      </c>
    </row>
    <row r="1635" spans="1:8" x14ac:dyDescent="0.25">
      <c r="A1635" s="1" t="s">
        <v>29</v>
      </c>
      <c r="B1635" s="1" t="s">
        <v>3459</v>
      </c>
      <c r="C1635" s="1" t="s">
        <v>3460</v>
      </c>
      <c r="D1635" s="1" t="s">
        <v>2386</v>
      </c>
      <c r="G1635" s="1" t="s">
        <v>3461</v>
      </c>
      <c r="H1635" s="2" t="str">
        <f>Tabella1[[#This Row],[Denominazione]]&amp;" - "&amp;Tabella1[[#This Row],[Città]]</f>
        <v>B&amp;B LA TERRAZZA - PESARO</v>
      </c>
    </row>
    <row r="1636" spans="1:8" x14ac:dyDescent="0.25">
      <c r="A1636" s="1" t="s">
        <v>29</v>
      </c>
      <c r="B1636" s="1" t="s">
        <v>3459</v>
      </c>
      <c r="C1636" s="1" t="s">
        <v>1934</v>
      </c>
      <c r="D1636" s="1" t="s">
        <v>12801</v>
      </c>
      <c r="G1636" s="1" t="s">
        <v>12894</v>
      </c>
      <c r="H1636" s="2" t="str">
        <f>Tabella1[[#This Row],[Denominazione]]&amp;" - "&amp;Tabella1[[#This Row],[Città]]</f>
        <v>B&amp;B LA TERRAZZA - PORTO RECANATI</v>
      </c>
    </row>
    <row r="1637" spans="1:8" x14ac:dyDescent="0.25">
      <c r="A1637" s="1" t="s">
        <v>29</v>
      </c>
      <c r="B1637" s="1" t="s">
        <v>15923</v>
      </c>
      <c r="C1637" s="1" t="s">
        <v>15924</v>
      </c>
      <c r="D1637" s="1" t="s">
        <v>15585</v>
      </c>
      <c r="E1637" s="1" t="s">
        <v>15585</v>
      </c>
      <c r="F1637" s="1" t="s">
        <v>15925</v>
      </c>
      <c r="G1637" s="1" t="s">
        <v>15926</v>
      </c>
      <c r="H1637" s="2" t="str">
        <f>Tabella1[[#This Row],[Denominazione]]&amp;" - "&amp;Tabella1[[#This Row],[Città]]</f>
        <v>B&amp;B LA TERRAZZA SUL MARE - GROTTAMMARE</v>
      </c>
    </row>
    <row r="1638" spans="1:8" x14ac:dyDescent="0.25">
      <c r="A1638" s="1" t="s">
        <v>29</v>
      </c>
      <c r="B1638" s="1" t="s">
        <v>11253</v>
      </c>
      <c r="C1638" s="1" t="s">
        <v>11254</v>
      </c>
      <c r="D1638" s="1" t="s">
        <v>11244</v>
      </c>
      <c r="E1638" s="1" t="s">
        <v>11255</v>
      </c>
      <c r="F1638" s="1" t="s">
        <v>11256</v>
      </c>
      <c r="G1638" s="1" t="s">
        <v>11257</v>
      </c>
      <c r="H1638" s="2" t="str">
        <f>Tabella1[[#This Row],[Denominazione]]&amp;" - "&amp;Tabella1[[#This Row],[Città]]</f>
        <v>B&amp;B LA TORRE - CIVITANOVA MARCHE</v>
      </c>
    </row>
    <row r="1639" spans="1:8" x14ac:dyDescent="0.25">
      <c r="A1639" s="1" t="s">
        <v>29</v>
      </c>
      <c r="B1639" s="1" t="s">
        <v>5815</v>
      </c>
      <c r="C1639" s="1" t="s">
        <v>5816</v>
      </c>
      <c r="D1639" s="1" t="s">
        <v>1864</v>
      </c>
      <c r="E1639" s="1" t="s">
        <v>1864</v>
      </c>
      <c r="G1639" s="1" t="s">
        <v>5817</v>
      </c>
      <c r="H1639" s="2" t="str">
        <f>Tabella1[[#This Row],[Denominazione]]&amp;" - "&amp;Tabella1[[#This Row],[Città]]</f>
        <v>B&amp;B LA TORRE DEL POGGIO - ANCONA</v>
      </c>
    </row>
    <row r="1640" spans="1:8" x14ac:dyDescent="0.25">
      <c r="A1640" s="1" t="s">
        <v>29</v>
      </c>
      <c r="B1640" s="1" t="s">
        <v>5340</v>
      </c>
      <c r="C1640" s="1" t="s">
        <v>5341</v>
      </c>
      <c r="D1640" s="1" t="s">
        <v>9</v>
      </c>
      <c r="E1640" s="1" t="s">
        <v>9</v>
      </c>
      <c r="G1640" s="1" t="s">
        <v>5342</v>
      </c>
      <c r="H1640" s="2" t="str">
        <f>Tabella1[[#This Row],[Denominazione]]&amp;" - "&amp;Tabella1[[#This Row],[Città]]</f>
        <v>B&amp;B LA TORRETTA - URBINO</v>
      </c>
    </row>
    <row r="1641" spans="1:8" x14ac:dyDescent="0.25">
      <c r="A1641" s="1" t="s">
        <v>29</v>
      </c>
      <c r="B1641" s="1" t="s">
        <v>17088</v>
      </c>
      <c r="C1641" s="1" t="s">
        <v>17089</v>
      </c>
      <c r="D1641" s="1" t="s">
        <v>15819</v>
      </c>
      <c r="E1641" s="1" t="s">
        <v>15819</v>
      </c>
      <c r="F1641" s="1" t="s">
        <v>17090</v>
      </c>
      <c r="G1641" s="1" t="s">
        <v>17091</v>
      </c>
      <c r="H1641" s="2" t="str">
        <f>Tabella1[[#This Row],[Denominazione]]&amp;" - "&amp;Tabella1[[#This Row],[Città]]</f>
        <v>B&amp;B LA TORRETTA BIANCA - SAN BENEDETTO DEL TRONTO</v>
      </c>
    </row>
    <row r="1642" spans="1:8" x14ac:dyDescent="0.25">
      <c r="A1642" s="1" t="s">
        <v>29</v>
      </c>
      <c r="B1642" s="1" t="s">
        <v>6753</v>
      </c>
      <c r="C1642" s="1" t="s">
        <v>6754</v>
      </c>
      <c r="D1642" s="1" t="s">
        <v>6652</v>
      </c>
      <c r="F1642" s="1" t="s">
        <v>6755</v>
      </c>
      <c r="G1642" s="1" t="s">
        <v>6756</v>
      </c>
      <c r="H1642" s="2" t="str">
        <f>Tabella1[[#This Row],[Denominazione]]&amp;" - "&amp;Tabella1[[#This Row],[Città]]</f>
        <v>B&amp;B LA VALIGIA - CUPRAMONTANA</v>
      </c>
    </row>
    <row r="1643" spans="1:8" x14ac:dyDescent="0.25">
      <c r="A1643" s="1" t="s">
        <v>29</v>
      </c>
      <c r="B1643" s="1" t="s">
        <v>4978</v>
      </c>
      <c r="C1643" s="1" t="s">
        <v>4979</v>
      </c>
      <c r="D1643" s="1" t="s">
        <v>9</v>
      </c>
      <c r="E1643" s="1" t="s">
        <v>9</v>
      </c>
      <c r="F1643" s="1" t="s">
        <v>4980</v>
      </c>
      <c r="G1643" s="1" t="s">
        <v>4981</v>
      </c>
      <c r="H1643" s="2" t="str">
        <f>Tabella1[[#This Row],[Denominazione]]&amp;" - "&amp;Tabella1[[#This Row],[Città]]</f>
        <v>B&amp;B LA VALLE - URBINO</v>
      </c>
    </row>
    <row r="1644" spans="1:8" x14ac:dyDescent="0.25">
      <c r="A1644" s="1" t="s">
        <v>29</v>
      </c>
      <c r="B1644" s="1" t="s">
        <v>12725</v>
      </c>
      <c r="C1644" s="1" t="s">
        <v>12726</v>
      </c>
      <c r="D1644" s="1" t="s">
        <v>12694</v>
      </c>
      <c r="E1644" s="1" t="s">
        <v>12727</v>
      </c>
      <c r="F1644" s="1" t="s">
        <v>12706</v>
      </c>
      <c r="G1644" s="1" t="s">
        <v>12707</v>
      </c>
      <c r="H1644" s="2" t="str">
        <f>Tabella1[[#This Row],[Denominazione]]&amp;" - "&amp;Tabella1[[#This Row],[Città]]</f>
        <v>B&amp;B LA VECCHIA FONTE 2 - PIEVEBOVIGLIANA</v>
      </c>
    </row>
    <row r="1645" spans="1:8" x14ac:dyDescent="0.25">
      <c r="A1645" s="1" t="s">
        <v>29</v>
      </c>
      <c r="B1645" s="1" t="s">
        <v>7188</v>
      </c>
      <c r="C1645" s="1" t="s">
        <v>7189</v>
      </c>
      <c r="D1645" s="1" t="s">
        <v>7161</v>
      </c>
      <c r="E1645" s="1" t="s">
        <v>7161</v>
      </c>
      <c r="G1645" s="1" t="s">
        <v>7190</v>
      </c>
      <c r="H1645" s="2" t="str">
        <f>Tabella1[[#This Row],[Denominazione]]&amp;" - "&amp;Tabella1[[#This Row],[Città]]</f>
        <v>B&amp;B LA VECCHIA SCUOLA - FILOTTRANO</v>
      </c>
    </row>
    <row r="1646" spans="1:8" x14ac:dyDescent="0.25">
      <c r="A1646" s="1" t="s">
        <v>29</v>
      </c>
      <c r="B1646" s="1" t="s">
        <v>17804</v>
      </c>
      <c r="C1646" s="1" t="s">
        <v>17805</v>
      </c>
      <c r="D1646" s="1" t="s">
        <v>17745</v>
      </c>
      <c r="E1646" s="1" t="s">
        <v>17745</v>
      </c>
      <c r="G1646" s="1" t="s">
        <v>17806</v>
      </c>
      <c r="H1646" s="2" t="str">
        <f>Tabella1[[#This Row],[Denominazione]]&amp;" - "&amp;Tabella1[[#This Row],[Città]]</f>
        <v>B&amp;B LA VENA DI SACCUTI COSTANTINO - AMANDOLA</v>
      </c>
    </row>
    <row r="1647" spans="1:8" x14ac:dyDescent="0.25">
      <c r="A1647" s="1" t="s">
        <v>29</v>
      </c>
      <c r="B1647" s="1" t="s">
        <v>13645</v>
      </c>
      <c r="C1647" s="1" t="s">
        <v>13646</v>
      </c>
      <c r="D1647" s="1" t="s">
        <v>13548</v>
      </c>
      <c r="E1647" s="1" t="s">
        <v>13647</v>
      </c>
      <c r="F1647" s="1" t="s">
        <v>13648</v>
      </c>
      <c r="G1647" s="1" t="s">
        <v>13649</v>
      </c>
      <c r="H1647" s="2" t="str">
        <f>Tabella1[[#This Row],[Denominazione]]&amp;" - "&amp;Tabella1[[#This Row],[Città]]</f>
        <v>B&amp;B LA VILLA - SAN SEVERINO MARCHE</v>
      </c>
    </row>
    <row r="1648" spans="1:8" x14ac:dyDescent="0.25">
      <c r="A1648" s="1" t="s">
        <v>29</v>
      </c>
      <c r="B1648" s="1" t="s">
        <v>332</v>
      </c>
      <c r="C1648" s="1" t="s">
        <v>333</v>
      </c>
      <c r="D1648" s="1" t="s">
        <v>316</v>
      </c>
      <c r="G1648" s="1" t="s">
        <v>334</v>
      </c>
      <c r="H1648" s="2" t="str">
        <f>Tabella1[[#This Row],[Denominazione]]&amp;" - "&amp;Tabella1[[#This Row],[Città]]</f>
        <v>B&amp;B LA VILLA DEGLI ORTI - CAGLI</v>
      </c>
    </row>
    <row r="1649" spans="1:8" x14ac:dyDescent="0.25">
      <c r="A1649" s="1" t="s">
        <v>29</v>
      </c>
      <c r="B1649" s="1" t="s">
        <v>16932</v>
      </c>
      <c r="C1649" s="1" t="s">
        <v>16933</v>
      </c>
      <c r="D1649" s="1" t="s">
        <v>15819</v>
      </c>
      <c r="F1649" s="1" t="s">
        <v>16934</v>
      </c>
      <c r="G1649" s="1" t="s">
        <v>16935</v>
      </c>
      <c r="H1649" s="2" t="str">
        <f>Tabella1[[#This Row],[Denominazione]]&amp;" - "&amp;Tabella1[[#This Row],[Città]]</f>
        <v>B&amp;B LA VILLETTA - SAN BENEDETTO DEL TRONTO</v>
      </c>
    </row>
    <row r="1650" spans="1:8" x14ac:dyDescent="0.25">
      <c r="A1650" s="1" t="s">
        <v>29</v>
      </c>
      <c r="B1650" s="1" t="s">
        <v>15703</v>
      </c>
      <c r="C1650" s="1" t="s">
        <v>15704</v>
      </c>
      <c r="D1650" s="1" t="s">
        <v>15585</v>
      </c>
      <c r="E1650" s="1" t="s">
        <v>15585</v>
      </c>
      <c r="F1650" s="1" t="s">
        <v>15705</v>
      </c>
      <c r="G1650" s="1" t="s">
        <v>15706</v>
      </c>
      <c r="H1650" s="2" t="str">
        <f>Tabella1[[#This Row],[Denominazione]]&amp;" - "&amp;Tabella1[[#This Row],[Città]]</f>
        <v>B&amp;B LADY D - GROTTAMMARE</v>
      </c>
    </row>
    <row r="1651" spans="1:8" x14ac:dyDescent="0.25">
      <c r="A1651" s="1" t="s">
        <v>29</v>
      </c>
      <c r="B1651" s="1" t="s">
        <v>16657</v>
      </c>
      <c r="C1651" s="1" t="s">
        <v>16658</v>
      </c>
      <c r="D1651" s="1" t="s">
        <v>16585</v>
      </c>
      <c r="F1651" s="1" t="s">
        <v>16659</v>
      </c>
      <c r="G1651" s="1" t="s">
        <v>16660</v>
      </c>
      <c r="H1651" s="2" t="str">
        <f>Tabella1[[#This Row],[Denominazione]]&amp;" - "&amp;Tabella1[[#This Row],[Città]]</f>
        <v>B&amp;B LAETITIA - RIPATRANSONE</v>
      </c>
    </row>
    <row r="1652" spans="1:8" x14ac:dyDescent="0.25">
      <c r="A1652" s="1" t="s">
        <v>29</v>
      </c>
      <c r="B1652" s="1" t="s">
        <v>13970</v>
      </c>
      <c r="C1652" s="1" t="s">
        <v>13971</v>
      </c>
      <c r="D1652" s="1" t="s">
        <v>13946</v>
      </c>
      <c r="G1652" s="1" t="s">
        <v>13972</v>
      </c>
      <c r="H1652" s="2" t="str">
        <f>Tabella1[[#This Row],[Denominazione]]&amp;" - "&amp;Tabella1[[#This Row],[Città]]</f>
        <v>B&amp;B L'AGRIFOGLIO - TOLENTINO</v>
      </c>
    </row>
    <row r="1653" spans="1:8" x14ac:dyDescent="0.25">
      <c r="A1653" s="1" t="s">
        <v>29</v>
      </c>
      <c r="B1653" s="1" t="s">
        <v>13936</v>
      </c>
      <c r="C1653" s="1" t="s">
        <v>13937</v>
      </c>
      <c r="D1653" s="1" t="s">
        <v>13929</v>
      </c>
      <c r="E1653" s="1" t="s">
        <v>13929</v>
      </c>
      <c r="F1653" s="1" t="s">
        <v>13938</v>
      </c>
      <c r="G1653" s="1" t="s">
        <v>13939</v>
      </c>
      <c r="H1653" s="2" t="str">
        <f>Tabella1[[#This Row],[Denominazione]]&amp;" - "&amp;Tabella1[[#This Row],[Città]]</f>
        <v>B&amp;B L'ALBERGO DI IERI - SERRAVALLE DI CHIENTI</v>
      </c>
    </row>
    <row r="1654" spans="1:8" x14ac:dyDescent="0.25">
      <c r="A1654" s="1" t="s">
        <v>29</v>
      </c>
      <c r="B1654" s="1" t="s">
        <v>12468</v>
      </c>
      <c r="C1654" s="1" t="s">
        <v>12469</v>
      </c>
      <c r="D1654" s="1" t="s">
        <v>12459</v>
      </c>
      <c r="G1654" s="1" t="s">
        <v>12470</v>
      </c>
      <c r="H1654" s="2" t="str">
        <f>Tabella1[[#This Row],[Denominazione]]&amp;" - "&amp;Tabella1[[#This Row],[Città]]</f>
        <v>B&amp;B L'ALBERO VERDE - MONTELUPONE</v>
      </c>
    </row>
    <row r="1655" spans="1:8" x14ac:dyDescent="0.25">
      <c r="A1655" s="1" t="s">
        <v>29</v>
      </c>
      <c r="B1655" s="1" t="s">
        <v>17872</v>
      </c>
      <c r="C1655" s="1" t="s">
        <v>17873</v>
      </c>
      <c r="D1655" s="1" t="s">
        <v>17839</v>
      </c>
      <c r="E1655" s="1" t="s">
        <v>17874</v>
      </c>
      <c r="F1655" s="1" t="s">
        <v>17875</v>
      </c>
      <c r="G1655" s="1" t="s">
        <v>17876</v>
      </c>
      <c r="H1655" s="2" t="str">
        <f>Tabella1[[#This Row],[Denominazione]]&amp;" - "&amp;Tabella1[[#This Row],[Città]]</f>
        <v>B&amp;B LAND &amp; SEA - CAMPOFILONE</v>
      </c>
    </row>
    <row r="1656" spans="1:8" x14ac:dyDescent="0.25">
      <c r="A1656" s="1" t="s">
        <v>29</v>
      </c>
      <c r="B1656" s="1" t="s">
        <v>5072</v>
      </c>
      <c r="C1656" s="1" t="s">
        <v>5073</v>
      </c>
      <c r="D1656" s="1" t="s">
        <v>9</v>
      </c>
      <c r="E1656" s="1" t="s">
        <v>5074</v>
      </c>
      <c r="G1656" s="1" t="s">
        <v>5075</v>
      </c>
      <c r="H1656" s="2" t="str">
        <f>Tabella1[[#This Row],[Denominazione]]&amp;" - "&amp;Tabella1[[#This Row],[Città]]</f>
        <v>B&amp;B L'ANGOLO FIORITO - URBINO</v>
      </c>
    </row>
    <row r="1657" spans="1:8" x14ac:dyDescent="0.25">
      <c r="A1657" s="1" t="s">
        <v>29</v>
      </c>
      <c r="B1657" s="1" t="s">
        <v>14594</v>
      </c>
      <c r="C1657" s="1" t="s">
        <v>14595</v>
      </c>
      <c r="D1657" s="1" t="s">
        <v>14576</v>
      </c>
      <c r="E1657" s="1" t="s">
        <v>14576</v>
      </c>
      <c r="F1657" s="1" t="s">
        <v>14596</v>
      </c>
      <c r="G1657" s="1" t="s">
        <v>14597</v>
      </c>
      <c r="H1657" s="2" t="str">
        <f>Tabella1[[#This Row],[Denominazione]]&amp;" - "&amp;Tabella1[[#This Row],[Città]]</f>
        <v>B&amp;B LANGUAGE AND ART - ASCOLI PICENO</v>
      </c>
    </row>
    <row r="1658" spans="1:8" x14ac:dyDescent="0.25">
      <c r="A1658" s="1" t="s">
        <v>29</v>
      </c>
      <c r="B1658" s="1" t="s">
        <v>8803</v>
      </c>
      <c r="C1658" s="1" t="s">
        <v>8804</v>
      </c>
      <c r="D1658" s="1" t="s">
        <v>8801</v>
      </c>
      <c r="G1658" s="1" t="s">
        <v>8805</v>
      </c>
      <c r="H1658" s="2" t="str">
        <f>Tabella1[[#This Row],[Denominazione]]&amp;" - "&amp;Tabella1[[#This Row],[Città]]</f>
        <v>B&amp;B L'ANTICO - SAN MARCELLO</v>
      </c>
    </row>
    <row r="1659" spans="1:8" x14ac:dyDescent="0.25">
      <c r="A1659" s="1" t="s">
        <v>29</v>
      </c>
      <c r="B1659" s="1" t="s">
        <v>15965</v>
      </c>
      <c r="C1659" s="1" t="s">
        <v>15966</v>
      </c>
      <c r="D1659" s="1" t="s">
        <v>15963</v>
      </c>
      <c r="E1659" s="1" t="s">
        <v>15963</v>
      </c>
      <c r="F1659" s="1" t="s">
        <v>15967</v>
      </c>
      <c r="G1659" s="1" t="s">
        <v>15968</v>
      </c>
      <c r="H1659" s="2" t="str">
        <f>Tabella1[[#This Row],[Denominazione]]&amp;" - "&amp;Tabella1[[#This Row],[Città]]</f>
        <v>B&amp;B L'ANTICO E LA QUERCIA - MALTIGNANO</v>
      </c>
    </row>
    <row r="1660" spans="1:8" x14ac:dyDescent="0.25">
      <c r="A1660" s="1" t="s">
        <v>29</v>
      </c>
      <c r="B1660" s="1" t="s">
        <v>16652</v>
      </c>
      <c r="C1660" s="1" t="s">
        <v>16653</v>
      </c>
      <c r="D1660" s="1" t="s">
        <v>16585</v>
      </c>
      <c r="E1660" s="1" t="s">
        <v>16654</v>
      </c>
      <c r="F1660" s="1" t="s">
        <v>16655</v>
      </c>
      <c r="G1660" s="1" t="s">
        <v>16656</v>
      </c>
      <c r="H1660" s="2" t="str">
        <f>Tabella1[[#This Row],[Denominazione]]&amp;" - "&amp;Tabella1[[#This Row],[Città]]</f>
        <v>B&amp;B L'APE REGINA - RIPATRANSONE</v>
      </c>
    </row>
    <row r="1661" spans="1:8" x14ac:dyDescent="0.25">
      <c r="A1661" s="1" t="s">
        <v>29</v>
      </c>
      <c r="B1661" s="1" t="s">
        <v>12247</v>
      </c>
      <c r="C1661" s="1" t="s">
        <v>12248</v>
      </c>
      <c r="D1661" s="1" t="s">
        <v>12208</v>
      </c>
      <c r="F1661" s="1" t="s">
        <v>12249</v>
      </c>
      <c r="G1661" s="1" t="s">
        <v>12250</v>
      </c>
      <c r="H1661" s="2" t="str">
        <f>Tabella1[[#This Row],[Denominazione]]&amp;" - "&amp;Tabella1[[#This Row],[Città]]</f>
        <v>B&amp;B LARA GAGGINI - MATELICA</v>
      </c>
    </row>
    <row r="1662" spans="1:8" x14ac:dyDescent="0.25">
      <c r="A1662" s="1" t="s">
        <v>29</v>
      </c>
      <c r="B1662" s="1" t="s">
        <v>14605</v>
      </c>
      <c r="C1662" s="1" t="s">
        <v>14606</v>
      </c>
      <c r="D1662" s="1" t="s">
        <v>14576</v>
      </c>
      <c r="E1662" s="1" t="s">
        <v>14607</v>
      </c>
      <c r="F1662" s="1" t="s">
        <v>14608</v>
      </c>
      <c r="G1662" s="1" t="s">
        <v>14609</v>
      </c>
      <c r="H1662" s="2" t="str">
        <f>Tabella1[[#This Row],[Denominazione]]&amp;" - "&amp;Tabella1[[#This Row],[Città]]</f>
        <v>B&amp;B L'ARA VECCHIA - ASCOLI PICENO</v>
      </c>
    </row>
    <row r="1663" spans="1:8" x14ac:dyDescent="0.25">
      <c r="A1663" s="1" t="s">
        <v>29</v>
      </c>
      <c r="B1663" s="1" t="s">
        <v>6814</v>
      </c>
      <c r="C1663" s="1" t="s">
        <v>6815</v>
      </c>
      <c r="D1663" s="1" t="s">
        <v>6790</v>
      </c>
      <c r="G1663" s="1" t="s">
        <v>6816</v>
      </c>
      <c r="H1663" s="2" t="str">
        <f>Tabella1[[#This Row],[Denominazione]]&amp;" - "&amp;Tabella1[[#This Row],[Città]]</f>
        <v>B&amp;B L'ARMONIA - FABRIANO</v>
      </c>
    </row>
    <row r="1664" spans="1:8" x14ac:dyDescent="0.25">
      <c r="A1664" s="1" t="s">
        <v>29</v>
      </c>
      <c r="B1664" s="1" t="s">
        <v>16673</v>
      </c>
      <c r="C1664" s="1" t="s">
        <v>16674</v>
      </c>
      <c r="D1664" s="1" t="s">
        <v>16585</v>
      </c>
      <c r="E1664" s="1" t="s">
        <v>16585</v>
      </c>
      <c r="F1664" s="1" t="s">
        <v>16675</v>
      </c>
      <c r="G1664" s="1" t="s">
        <v>16676</v>
      </c>
      <c r="H1664" s="2" t="str">
        <f>Tabella1[[#This Row],[Denominazione]]&amp;" - "&amp;Tabella1[[#This Row],[Città]]</f>
        <v>B&amp;B L'ARTISTA di MOSCARDELLI PATRIZIO - RIPATRANSONE</v>
      </c>
    </row>
    <row r="1665" spans="1:8" x14ac:dyDescent="0.25">
      <c r="A1665" s="1" t="s">
        <v>29</v>
      </c>
      <c r="B1665" s="1" t="s">
        <v>6011</v>
      </c>
      <c r="C1665" s="1" t="s">
        <v>6012</v>
      </c>
      <c r="D1665" s="1" t="s">
        <v>1864</v>
      </c>
      <c r="G1665" s="1" t="s">
        <v>6013</v>
      </c>
      <c r="H1665" s="2" t="str">
        <f>Tabella1[[#This Row],[Denominazione]]&amp;" - "&amp;Tabella1[[#This Row],[Città]]</f>
        <v>B&amp;B L'ASSIOLO - ANCONA</v>
      </c>
    </row>
    <row r="1666" spans="1:8" x14ac:dyDescent="0.25">
      <c r="A1666" s="1" t="s">
        <v>29</v>
      </c>
      <c r="B1666" s="1" t="s">
        <v>18736</v>
      </c>
      <c r="C1666" s="1" t="s">
        <v>18737</v>
      </c>
      <c r="D1666" s="1" t="s">
        <v>18702</v>
      </c>
      <c r="E1666" s="1" t="s">
        <v>18738</v>
      </c>
      <c r="F1666" s="1" t="s">
        <v>18739</v>
      </c>
      <c r="G1666" s="1" t="s">
        <v>18740</v>
      </c>
      <c r="H1666" s="2" t="str">
        <f>Tabella1[[#This Row],[Denominazione]]&amp;" - "&amp;Tabella1[[#This Row],[Città]]</f>
        <v>B&amp;B L'AURORA - MONTELPARO</v>
      </c>
    </row>
    <row r="1667" spans="1:8" x14ac:dyDescent="0.25">
      <c r="A1667" s="1" t="s">
        <v>29</v>
      </c>
      <c r="B1667" s="1" t="s">
        <v>7401</v>
      </c>
      <c r="C1667" s="1" t="s">
        <v>7402</v>
      </c>
      <c r="D1667" s="1" t="s">
        <v>7385</v>
      </c>
      <c r="F1667" s="1" t="s">
        <v>7403</v>
      </c>
      <c r="G1667" s="1" t="s">
        <v>7404</v>
      </c>
      <c r="H1667" s="2" t="str">
        <f>Tabella1[[#This Row],[Denominazione]]&amp;" - "&amp;Tabella1[[#This Row],[Città]]</f>
        <v>B&amp;B LAVANDA - LORETO</v>
      </c>
    </row>
    <row r="1668" spans="1:8" x14ac:dyDescent="0.25">
      <c r="A1668" s="1" t="s">
        <v>29</v>
      </c>
      <c r="B1668" s="1" t="s">
        <v>8655</v>
      </c>
      <c r="C1668" s="1" t="s">
        <v>8656</v>
      </c>
      <c r="D1668" s="1" t="s">
        <v>8608</v>
      </c>
      <c r="G1668" s="1" t="s">
        <v>8657</v>
      </c>
      <c r="H1668" s="2" t="str">
        <f>Tabella1[[#This Row],[Denominazione]]&amp;" - "&amp;Tabella1[[#This Row],[Città]]</f>
        <v>B&amp;B LE 2 FARFALLE - OSTRA</v>
      </c>
    </row>
    <row r="1669" spans="1:8" x14ac:dyDescent="0.25">
      <c r="A1669" s="1" t="s">
        <v>29</v>
      </c>
      <c r="B1669" s="1" t="s">
        <v>14434</v>
      </c>
      <c r="C1669" s="1" t="s">
        <v>14435</v>
      </c>
      <c r="D1669" s="1" t="s">
        <v>14428</v>
      </c>
      <c r="F1669" s="1" t="s">
        <v>14436</v>
      </c>
      <c r="G1669" s="1" t="s">
        <v>14437</v>
      </c>
      <c r="H1669" s="2" t="str">
        <f>Tabella1[[#This Row],[Denominazione]]&amp;" - "&amp;Tabella1[[#This Row],[Città]]</f>
        <v>B&amp;B LE ANTICHE VOLTE - ACQUAVIVA PICENA</v>
      </c>
    </row>
    <row r="1670" spans="1:8" x14ac:dyDescent="0.25">
      <c r="A1670" s="1" t="s">
        <v>29</v>
      </c>
      <c r="B1670" s="1" t="s">
        <v>7950</v>
      </c>
      <c r="C1670" s="1" t="s">
        <v>7951</v>
      </c>
      <c r="D1670" s="1" t="s">
        <v>7889</v>
      </c>
      <c r="F1670" s="1" t="s">
        <v>7952</v>
      </c>
      <c r="G1670" s="1" t="s">
        <v>7953</v>
      </c>
      <c r="H1670" s="2" t="str">
        <f>Tabella1[[#This Row],[Denominazione]]&amp;" - "&amp;Tabella1[[#This Row],[Città]]</f>
        <v>B&amp;B LE AZALEE - NUMANA</v>
      </c>
    </row>
    <row r="1671" spans="1:8" x14ac:dyDescent="0.25">
      <c r="A1671" s="1" t="s">
        <v>29</v>
      </c>
      <c r="B1671" s="1" t="s">
        <v>14926</v>
      </c>
      <c r="C1671" s="1" t="s">
        <v>14927</v>
      </c>
      <c r="D1671" s="1" t="s">
        <v>14576</v>
      </c>
      <c r="E1671" s="1" t="s">
        <v>14928</v>
      </c>
      <c r="F1671" s="1" t="s">
        <v>14929</v>
      </c>
      <c r="G1671" s="1" t="s">
        <v>14930</v>
      </c>
      <c r="H1671" s="2" t="str">
        <f>Tabella1[[#This Row],[Denominazione]]&amp;" - "&amp;Tabella1[[#This Row],[Città]]</f>
        <v>B&amp;B LE BEGONIE - ASCOLI PICENO</v>
      </c>
    </row>
    <row r="1672" spans="1:8" x14ac:dyDescent="0.25">
      <c r="A1672" s="1" t="s">
        <v>82</v>
      </c>
      <c r="B1672" s="1" t="s">
        <v>13395</v>
      </c>
      <c r="C1672" s="1" t="s">
        <v>13396</v>
      </c>
      <c r="D1672" s="1" t="s">
        <v>13298</v>
      </c>
      <c r="G1672" s="1" t="s">
        <v>13397</v>
      </c>
      <c r="H1672" s="2" t="str">
        <f>Tabella1[[#This Row],[Denominazione]]&amp;" - "&amp;Tabella1[[#This Row],[Città]]</f>
        <v>B&amp;B LE BELLE MARCHE - RECANATI</v>
      </c>
    </row>
    <row r="1673" spans="1:8" x14ac:dyDescent="0.25">
      <c r="A1673" s="1" t="s">
        <v>29</v>
      </c>
      <c r="B1673" s="1" t="s">
        <v>4649</v>
      </c>
      <c r="C1673" s="1" t="s">
        <v>4650</v>
      </c>
      <c r="D1673" s="1" t="s">
        <v>4630</v>
      </c>
      <c r="F1673" s="1" t="s">
        <v>4651</v>
      </c>
      <c r="G1673" s="1" t="s">
        <v>4652</v>
      </c>
      <c r="H1673" s="2" t="str">
        <f>Tabella1[[#This Row],[Denominazione]]&amp;" - "&amp;Tabella1[[#This Row],[Città]]</f>
        <v>B&amp;B LE BUMBARELLE - TAVOLETO</v>
      </c>
    </row>
    <row r="1674" spans="1:8" x14ac:dyDescent="0.25">
      <c r="A1674" s="1" t="s">
        <v>29</v>
      </c>
      <c r="B1674" s="1" t="s">
        <v>5013</v>
      </c>
      <c r="C1674" s="1" t="s">
        <v>5014</v>
      </c>
      <c r="D1674" s="1" t="s">
        <v>9</v>
      </c>
      <c r="E1674" s="1" t="s">
        <v>5015</v>
      </c>
      <c r="F1674" s="1" t="s">
        <v>5016</v>
      </c>
      <c r="G1674" s="1" t="s">
        <v>5017</v>
      </c>
      <c r="H1674" s="2" t="str">
        <f>Tabella1[[#This Row],[Denominazione]]&amp;" - "&amp;Tabella1[[#This Row],[Città]]</f>
        <v>B&amp;B LE CALLE - URBINO</v>
      </c>
    </row>
    <row r="1675" spans="1:8" x14ac:dyDescent="0.25">
      <c r="A1675" s="1" t="s">
        <v>29</v>
      </c>
      <c r="B1675" s="1" t="s">
        <v>4077</v>
      </c>
      <c r="C1675" s="1" t="s">
        <v>4078</v>
      </c>
      <c r="D1675" s="1" t="s">
        <v>2386</v>
      </c>
      <c r="G1675" s="1" t="s">
        <v>4079</v>
      </c>
      <c r="H1675" s="2" t="str">
        <f>Tabella1[[#This Row],[Denominazione]]&amp;" - "&amp;Tabella1[[#This Row],[Città]]</f>
        <v>B&amp;B LE CUPOLE - PESARO</v>
      </c>
    </row>
    <row r="1676" spans="1:8" x14ac:dyDescent="0.25">
      <c r="A1676" s="1" t="s">
        <v>29</v>
      </c>
      <c r="B1676" s="1" t="s">
        <v>8624</v>
      </c>
      <c r="C1676" s="1" t="s">
        <v>8625</v>
      </c>
      <c r="D1676" s="1" t="s">
        <v>8608</v>
      </c>
      <c r="G1676" s="1" t="s">
        <v>8626</v>
      </c>
      <c r="H1676" s="2" t="str">
        <f>Tabella1[[#This Row],[Denominazione]]&amp;" - "&amp;Tabella1[[#This Row],[Città]]</f>
        <v>B&amp;B LE DIVE - OSTRA</v>
      </c>
    </row>
    <row r="1677" spans="1:8" x14ac:dyDescent="0.25">
      <c r="A1677" s="1" t="s">
        <v>29</v>
      </c>
      <c r="B1677" s="1" t="s">
        <v>3436</v>
      </c>
      <c r="C1677" s="1" t="s">
        <v>3437</v>
      </c>
      <c r="D1677" s="1" t="s">
        <v>2386</v>
      </c>
      <c r="G1677" s="1" t="s">
        <v>3438</v>
      </c>
      <c r="H1677" s="2" t="str">
        <f>Tabella1[[#This Row],[Denominazione]]&amp;" - "&amp;Tabella1[[#This Row],[Città]]</f>
        <v>B&amp;B LE DOLCI NOTE - PESARO</v>
      </c>
    </row>
    <row r="1678" spans="1:8" x14ac:dyDescent="0.25">
      <c r="A1678" s="1" t="s">
        <v>29</v>
      </c>
      <c r="B1678" s="1" t="s">
        <v>10469</v>
      </c>
      <c r="C1678" s="1" t="s">
        <v>10470</v>
      </c>
      <c r="D1678" s="1" t="s">
        <v>10206</v>
      </c>
      <c r="E1678" s="1" t="s">
        <v>10206</v>
      </c>
      <c r="F1678" s="1" t="s">
        <v>10471</v>
      </c>
      <c r="G1678" s="1" t="s">
        <v>10472</v>
      </c>
      <c r="H1678" s="2" t="str">
        <f>Tabella1[[#This Row],[Denominazione]]&amp;" - "&amp;Tabella1[[#This Row],[Città]]</f>
        <v>B&amp;B LE DUE PALME - SIROLO</v>
      </c>
    </row>
    <row r="1679" spans="1:8" x14ac:dyDescent="0.25">
      <c r="A1679" s="1" t="s">
        <v>29</v>
      </c>
      <c r="B1679" s="1" t="s">
        <v>5803</v>
      </c>
      <c r="C1679" s="1" t="s">
        <v>5804</v>
      </c>
      <c r="D1679" s="1" t="s">
        <v>1864</v>
      </c>
      <c r="E1679" s="1" t="s">
        <v>1864</v>
      </c>
      <c r="G1679" s="1" t="s">
        <v>5805</v>
      </c>
      <c r="H1679" s="2" t="str">
        <f>Tabella1[[#This Row],[Denominazione]]&amp;" - "&amp;Tabella1[[#This Row],[Città]]</f>
        <v>B&amp;B LE DUE TORRI di MORETTI ESTHER MARIANNA - ANCONA</v>
      </c>
    </row>
    <row r="1680" spans="1:8" x14ac:dyDescent="0.25">
      <c r="A1680" s="1" t="s">
        <v>29</v>
      </c>
      <c r="B1680" s="1" t="s">
        <v>14591</v>
      </c>
      <c r="C1680" s="1" t="s">
        <v>14592</v>
      </c>
      <c r="D1680" s="1" t="s">
        <v>14576</v>
      </c>
      <c r="E1680" s="1" t="s">
        <v>14576</v>
      </c>
      <c r="G1680" s="1" t="s">
        <v>14593</v>
      </c>
      <c r="H1680" s="2" t="str">
        <f>Tabella1[[#This Row],[Denominazione]]&amp;" - "&amp;Tabella1[[#This Row],[Città]]</f>
        <v>B&amp;B LE DUNE di ALESIANI ANDREA - ASCOLI PICENO</v>
      </c>
    </row>
    <row r="1681" spans="1:8" x14ac:dyDescent="0.25">
      <c r="A1681" s="1" t="s">
        <v>29</v>
      </c>
      <c r="B1681" s="1" t="s">
        <v>16774</v>
      </c>
      <c r="C1681" s="1" t="s">
        <v>16775</v>
      </c>
      <c r="D1681" s="1" t="s">
        <v>16767</v>
      </c>
      <c r="G1681" s="1" t="s">
        <v>16776</v>
      </c>
      <c r="H1681" s="2" t="str">
        <f>Tabella1[[#This Row],[Denominazione]]&amp;" - "&amp;Tabella1[[#This Row],[Città]]</f>
        <v>B&amp;B LE FATE - ROTELLA</v>
      </c>
    </row>
    <row r="1682" spans="1:8" x14ac:dyDescent="0.25">
      <c r="A1682" s="1" t="s">
        <v>29</v>
      </c>
      <c r="B1682" s="1" t="s">
        <v>14036</v>
      </c>
      <c r="C1682" s="1" t="s">
        <v>14037</v>
      </c>
      <c r="D1682" s="1" t="s">
        <v>13946</v>
      </c>
      <c r="G1682" s="1" t="s">
        <v>14038</v>
      </c>
      <c r="H1682" s="2" t="str">
        <f>Tabella1[[#This Row],[Denominazione]]&amp;" - "&amp;Tabella1[[#This Row],[Città]]</f>
        <v>B&amp;B LE FOGLIE RIDENTI - TOLENTINO</v>
      </c>
    </row>
    <row r="1683" spans="1:8" x14ac:dyDescent="0.25">
      <c r="A1683" s="1" t="s">
        <v>29</v>
      </c>
      <c r="B1683" s="1" t="s">
        <v>6369</v>
      </c>
      <c r="C1683" s="1" t="s">
        <v>6370</v>
      </c>
      <c r="D1683" s="1" t="s">
        <v>6371</v>
      </c>
      <c r="G1683" s="1" t="s">
        <v>6372</v>
      </c>
      <c r="H1683" s="2" t="str">
        <f>Tabella1[[#This Row],[Denominazione]]&amp;" - "&amp;Tabella1[[#This Row],[Città]]</f>
        <v>B&amp;B LE FORNACI - CASTELFIDARDO</v>
      </c>
    </row>
    <row r="1684" spans="1:8" x14ac:dyDescent="0.25">
      <c r="A1684" s="1" t="s">
        <v>29</v>
      </c>
      <c r="B1684" s="1" t="s">
        <v>18659</v>
      </c>
      <c r="C1684" s="1" t="s">
        <v>18660</v>
      </c>
      <c r="D1684" s="1" t="s">
        <v>18653</v>
      </c>
      <c r="F1684" s="1" t="s">
        <v>18661</v>
      </c>
      <c r="G1684" s="1" t="s">
        <v>18662</v>
      </c>
      <c r="H1684" s="2" t="str">
        <f>Tabella1[[#This Row],[Denominazione]]&amp;" - "&amp;Tabella1[[#This Row],[Città]]</f>
        <v>B&amp;B LE GISSELLE - MONTEGRANARO</v>
      </c>
    </row>
    <row r="1685" spans="1:8" x14ac:dyDescent="0.25">
      <c r="A1685" s="1" t="s">
        <v>29</v>
      </c>
      <c r="B1685" s="1" t="s">
        <v>9159</v>
      </c>
      <c r="C1685" s="1" t="s">
        <v>9160</v>
      </c>
      <c r="D1685" s="1" t="s">
        <v>8949</v>
      </c>
      <c r="E1685" s="1" t="s">
        <v>8949</v>
      </c>
      <c r="H1685" s="2" t="str">
        <f>Tabella1[[#This Row],[Denominazione]]&amp;" - "&amp;Tabella1[[#This Row],[Città]]</f>
        <v>B&amp;B LE GRAZIE - SENIGALLIA</v>
      </c>
    </row>
    <row r="1686" spans="1:8" x14ac:dyDescent="0.25">
      <c r="A1686" s="1" t="s">
        <v>29</v>
      </c>
      <c r="B1686" s="1" t="s">
        <v>16175</v>
      </c>
      <c r="C1686" s="1" t="s">
        <v>16176</v>
      </c>
      <c r="D1686" s="1" t="s">
        <v>16165</v>
      </c>
      <c r="E1686" s="1" t="s">
        <v>16165</v>
      </c>
      <c r="F1686" s="1" t="s">
        <v>16177</v>
      </c>
      <c r="G1686" s="1" t="s">
        <v>16178</v>
      </c>
      <c r="H1686" s="2" t="str">
        <f>Tabella1[[#This Row],[Denominazione]]&amp;" - "&amp;Tabella1[[#This Row],[Città]]</f>
        <v>B&amp;B LE GROTTE - MONTEDINOVE</v>
      </c>
    </row>
    <row r="1687" spans="1:8" x14ac:dyDescent="0.25">
      <c r="A1687" s="1" t="s">
        <v>29</v>
      </c>
      <c r="B1687" s="1" t="s">
        <v>2564</v>
      </c>
      <c r="C1687" s="1" t="s">
        <v>2565</v>
      </c>
      <c r="D1687" s="1" t="s">
        <v>2557</v>
      </c>
      <c r="G1687" s="1" t="s">
        <v>2566</v>
      </c>
      <c r="H1687" s="2" t="str">
        <f>Tabella1[[#This Row],[Denominazione]]&amp;" - "&amp;Tabella1[[#This Row],[Città]]</f>
        <v>B&amp;B LE LOGGE - MACERATA FELTRIA</v>
      </c>
    </row>
    <row r="1688" spans="1:8" x14ac:dyDescent="0.25">
      <c r="A1688" s="1" t="s">
        <v>29</v>
      </c>
      <c r="B1688" s="1" t="s">
        <v>6661</v>
      </c>
      <c r="C1688" s="1" t="s">
        <v>6662</v>
      </c>
      <c r="D1688" s="1" t="s">
        <v>6652</v>
      </c>
      <c r="G1688" s="1" t="s">
        <v>6663</v>
      </c>
      <c r="H1688" s="2" t="str">
        <f>Tabella1[[#This Row],[Denominazione]]&amp;" - "&amp;Tabella1[[#This Row],[Città]]</f>
        <v>B&amp;B LE MACINE DA PIERO' - CUPRAMONTANA</v>
      </c>
    </row>
    <row r="1689" spans="1:8" x14ac:dyDescent="0.25">
      <c r="A1689" s="1" t="s">
        <v>29</v>
      </c>
      <c r="B1689" s="1" t="s">
        <v>6503</v>
      </c>
      <c r="C1689" s="1" t="s">
        <v>6504</v>
      </c>
      <c r="D1689" s="1" t="s">
        <v>6497</v>
      </c>
      <c r="G1689" s="1" t="s">
        <v>6505</v>
      </c>
      <c r="H1689" s="2" t="str">
        <f>Tabella1[[#This Row],[Denominazione]]&amp;" - "&amp;Tabella1[[#This Row],[Città]]</f>
        <v>B&amp;B LE MAGNOLIE - CERRETO D'ESI</v>
      </c>
    </row>
    <row r="1690" spans="1:8" x14ac:dyDescent="0.25">
      <c r="A1690" s="1" t="s">
        <v>29</v>
      </c>
      <c r="B1690" s="1" t="s">
        <v>6503</v>
      </c>
      <c r="C1690" s="1" t="s">
        <v>11346</v>
      </c>
      <c r="D1690" s="1" t="s">
        <v>11244</v>
      </c>
      <c r="E1690" s="1" t="s">
        <v>11347</v>
      </c>
      <c r="F1690" s="1" t="s">
        <v>11348</v>
      </c>
      <c r="G1690" s="1" t="s">
        <v>11349</v>
      </c>
      <c r="H1690" s="2" t="str">
        <f>Tabella1[[#This Row],[Denominazione]]&amp;" - "&amp;Tabella1[[#This Row],[Città]]</f>
        <v>B&amp;B LE MAGNOLIE - CIVITANOVA MARCHE</v>
      </c>
    </row>
    <row r="1691" spans="1:8" x14ac:dyDescent="0.25">
      <c r="A1691" s="1" t="s">
        <v>29</v>
      </c>
      <c r="B1691" s="1" t="s">
        <v>8100</v>
      </c>
      <c r="C1691" s="1" t="s">
        <v>8101</v>
      </c>
      <c r="D1691" s="1" t="s">
        <v>7889</v>
      </c>
      <c r="E1691" s="1" t="s">
        <v>7889</v>
      </c>
      <c r="G1691" s="1" t="s">
        <v>8102</v>
      </c>
      <c r="H1691" s="2" t="str">
        <f>Tabella1[[#This Row],[Denominazione]]&amp;" - "&amp;Tabella1[[#This Row],[Città]]</f>
        <v>B&amp;B LE MARGHERITE di MARIELLA SVERGOLA - NUMANA</v>
      </c>
    </row>
    <row r="1692" spans="1:8" x14ac:dyDescent="0.25">
      <c r="A1692" s="1" t="s">
        <v>29</v>
      </c>
      <c r="B1692" s="1" t="s">
        <v>14893</v>
      </c>
      <c r="C1692" s="1" t="s">
        <v>14894</v>
      </c>
      <c r="D1692" s="1" t="s">
        <v>14576</v>
      </c>
      <c r="E1692" s="1" t="s">
        <v>14576</v>
      </c>
      <c r="F1692" s="1" t="s">
        <v>14895</v>
      </c>
      <c r="G1692" s="1" t="s">
        <v>14896</v>
      </c>
      <c r="H1692" s="2" t="str">
        <f>Tabella1[[#This Row],[Denominazione]]&amp;" - "&amp;Tabella1[[#This Row],[Città]]</f>
        <v>B&amp;B LE MONACHETTE di ROMAGNOLI CARLA - ASCOLI PICENO</v>
      </c>
    </row>
    <row r="1693" spans="1:8" x14ac:dyDescent="0.25">
      <c r="A1693" s="1" t="s">
        <v>29</v>
      </c>
      <c r="B1693" s="1" t="s">
        <v>10382</v>
      </c>
      <c r="C1693" s="1" t="s">
        <v>10383</v>
      </c>
      <c r="D1693" s="1" t="s">
        <v>10206</v>
      </c>
      <c r="E1693" s="1" t="s">
        <v>10384</v>
      </c>
      <c r="F1693" s="1" t="s">
        <v>10385</v>
      </c>
      <c r="G1693" s="1" t="s">
        <v>10386</v>
      </c>
      <c r="H1693" s="2" t="str">
        <f>Tabella1[[#This Row],[Denominazione]]&amp;" - "&amp;Tabella1[[#This Row],[Città]]</f>
        <v>B&amp;B LE NEREIDI - SIROLO</v>
      </c>
    </row>
    <row r="1694" spans="1:8" x14ac:dyDescent="0.25">
      <c r="A1694" s="1" t="s">
        <v>29</v>
      </c>
      <c r="B1694" s="1" t="s">
        <v>17920</v>
      </c>
      <c r="C1694" s="1" t="s">
        <v>17921</v>
      </c>
      <c r="D1694" s="1" t="s">
        <v>17909</v>
      </c>
      <c r="E1694" s="1" t="s">
        <v>17909</v>
      </c>
      <c r="H1694" s="2" t="str">
        <f>Tabella1[[#This Row],[Denominazione]]&amp;" - "&amp;Tabella1[[#This Row],[Città]]</f>
        <v>B&amp;B LE ORTENZIE DI GAUDENZI ANGELA MARIA - FALERONE</v>
      </c>
    </row>
    <row r="1695" spans="1:8" x14ac:dyDescent="0.25">
      <c r="A1695" s="1" t="s">
        <v>29</v>
      </c>
      <c r="B1695" s="1" t="s">
        <v>15626</v>
      </c>
      <c r="C1695" s="1" t="s">
        <v>15627</v>
      </c>
      <c r="D1695" s="1" t="s">
        <v>15585</v>
      </c>
      <c r="G1695" s="1" t="s">
        <v>15628</v>
      </c>
      <c r="H1695" s="2" t="str">
        <f>Tabella1[[#This Row],[Denominazione]]&amp;" - "&amp;Tabella1[[#This Row],[Città]]</f>
        <v>B&amp;B LE PALME - GROTTAMMARE</v>
      </c>
    </row>
    <row r="1696" spans="1:8" x14ac:dyDescent="0.25">
      <c r="A1696" s="1" t="s">
        <v>29</v>
      </c>
      <c r="B1696" s="1" t="s">
        <v>887</v>
      </c>
      <c r="C1696" s="1" t="s">
        <v>872</v>
      </c>
      <c r="D1696" s="1" t="s">
        <v>682</v>
      </c>
      <c r="G1696" s="1" t="s">
        <v>888</v>
      </c>
      <c r="H1696" s="2" t="str">
        <f>Tabella1[[#This Row],[Denominazione]]&amp;" - "&amp;Tabella1[[#This Row],[Città]]</f>
        <v>B&amp;B LE QUATTRO STAGIONI - FANO</v>
      </c>
    </row>
    <row r="1697" spans="1:8" x14ac:dyDescent="0.25">
      <c r="A1697" s="1" t="s">
        <v>29</v>
      </c>
      <c r="B1697" s="1" t="s">
        <v>3065</v>
      </c>
      <c r="C1697" s="1" t="s">
        <v>3066</v>
      </c>
      <c r="D1697" s="1" t="s">
        <v>3067</v>
      </c>
      <c r="E1697" s="1" t="s">
        <v>3068</v>
      </c>
      <c r="G1697" s="1" t="s">
        <v>3069</v>
      </c>
      <c r="H1697" s="2" t="str">
        <f>Tabella1[[#This Row],[Denominazione]]&amp;" - "&amp;Tabella1[[#This Row],[Città]]</f>
        <v>B&amp;B LE QUERCE - MONTECOPIOLO</v>
      </c>
    </row>
    <row r="1698" spans="1:8" x14ac:dyDescent="0.25">
      <c r="A1698" s="1" t="s">
        <v>29</v>
      </c>
      <c r="B1698" s="1" t="s">
        <v>3065</v>
      </c>
      <c r="C1698" s="1" t="s">
        <v>5996</v>
      </c>
      <c r="D1698" s="1" t="s">
        <v>1864</v>
      </c>
      <c r="G1698" s="1" t="s">
        <v>5997</v>
      </c>
      <c r="H1698" s="2" t="str">
        <f>Tabella1[[#This Row],[Denominazione]]&amp;" - "&amp;Tabella1[[#This Row],[Città]]</f>
        <v>B&amp;B LE QUERCE - ANCONA</v>
      </c>
    </row>
    <row r="1699" spans="1:8" x14ac:dyDescent="0.25">
      <c r="A1699" s="1" t="s">
        <v>29</v>
      </c>
      <c r="B1699" s="1" t="s">
        <v>3065</v>
      </c>
      <c r="C1699" s="1" t="s">
        <v>14496</v>
      </c>
      <c r="D1699" s="1" t="s">
        <v>14497</v>
      </c>
      <c r="F1699" s="1" t="s">
        <v>14498</v>
      </c>
      <c r="G1699" s="1" t="s">
        <v>14499</v>
      </c>
      <c r="H1699" s="2" t="str">
        <f>Tabella1[[#This Row],[Denominazione]]&amp;" - "&amp;Tabella1[[#This Row],[Città]]</f>
        <v>B&amp;B LE QUERCE - APPIGNANO DEL TRONTO</v>
      </c>
    </row>
    <row r="1700" spans="1:8" x14ac:dyDescent="0.25">
      <c r="A1700" s="1" t="s">
        <v>29</v>
      </c>
      <c r="B1700" s="1" t="s">
        <v>1345</v>
      </c>
      <c r="C1700" s="1" t="s">
        <v>1346</v>
      </c>
      <c r="D1700" s="1" t="s">
        <v>682</v>
      </c>
      <c r="E1700" s="1" t="s">
        <v>682</v>
      </c>
      <c r="G1700" s="1" t="s">
        <v>1347</v>
      </c>
      <c r="H1700" s="2" t="str">
        <f>Tabella1[[#This Row],[Denominazione]]&amp;" - "&amp;Tabella1[[#This Row],[Città]]</f>
        <v>B&amp;B LE RONDINI - FANO</v>
      </c>
    </row>
    <row r="1701" spans="1:8" x14ac:dyDescent="0.25">
      <c r="A1701" s="1" t="s">
        <v>29</v>
      </c>
      <c r="B1701" s="1" t="s">
        <v>1345</v>
      </c>
      <c r="C1701" s="1" t="s">
        <v>16921</v>
      </c>
      <c r="D1701" s="1" t="s">
        <v>15819</v>
      </c>
      <c r="F1701" s="1" t="s">
        <v>16922</v>
      </c>
      <c r="G1701" s="1" t="s">
        <v>16923</v>
      </c>
      <c r="H1701" s="2" t="str">
        <f>Tabella1[[#This Row],[Denominazione]]&amp;" - "&amp;Tabella1[[#This Row],[Città]]</f>
        <v>B&amp;B LE RONDINI - SAN BENEDETTO DEL TRONTO</v>
      </c>
    </row>
    <row r="1702" spans="1:8" x14ac:dyDescent="0.25">
      <c r="A1702" s="1" t="s">
        <v>29</v>
      </c>
      <c r="B1702" s="1" t="s">
        <v>12429</v>
      </c>
      <c r="C1702" s="1" t="s">
        <v>12430</v>
      </c>
      <c r="D1702" s="1" t="s">
        <v>12427</v>
      </c>
      <c r="G1702" s="1" t="s">
        <v>12431</v>
      </c>
      <c r="H1702" s="2" t="str">
        <f>Tabella1[[#This Row],[Denominazione]]&amp;" - "&amp;Tabella1[[#This Row],[Città]]</f>
        <v>B&amp;B LE ROSE - MONTEFANO</v>
      </c>
    </row>
    <row r="1703" spans="1:8" x14ac:dyDescent="0.25">
      <c r="A1703" s="1" t="s">
        <v>29</v>
      </c>
      <c r="B1703" s="1" t="s">
        <v>2641</v>
      </c>
      <c r="C1703" s="1" t="s">
        <v>2642</v>
      </c>
      <c r="D1703" s="1" t="s">
        <v>2594</v>
      </c>
      <c r="G1703" s="1" t="s">
        <v>2643</v>
      </c>
      <c r="H1703" s="2" t="str">
        <f>Tabella1[[#This Row],[Denominazione]]&amp;" - "&amp;Tabella1[[#This Row],[Città]]</f>
        <v>B&amp;B LE ROSE DI TERESINA - MERCATELLO SUL METAURO</v>
      </c>
    </row>
    <row r="1704" spans="1:8" x14ac:dyDescent="0.25">
      <c r="A1704" s="1" t="s">
        <v>29</v>
      </c>
      <c r="B1704" s="1" t="s">
        <v>12613</v>
      </c>
      <c r="D1704" s="1" t="s">
        <v>12612</v>
      </c>
      <c r="E1704" s="1" t="s">
        <v>12614</v>
      </c>
      <c r="H1704" s="2" t="str">
        <f>Tabella1[[#This Row],[Denominazione]]&amp;" - "&amp;Tabella1[[#This Row],[Città]]</f>
        <v>B&amp;B LE SEFORE - MUCCIA</v>
      </c>
    </row>
    <row r="1705" spans="1:8" x14ac:dyDescent="0.25">
      <c r="A1705" s="1" t="s">
        <v>29</v>
      </c>
      <c r="B1705" s="1" t="s">
        <v>10112</v>
      </c>
      <c r="C1705" s="1" t="s">
        <v>10113</v>
      </c>
      <c r="D1705" s="1" t="s">
        <v>10074</v>
      </c>
      <c r="G1705" s="1" t="s">
        <v>10114</v>
      </c>
      <c r="H1705" s="2" t="str">
        <f>Tabella1[[#This Row],[Denominazione]]&amp;" - "&amp;Tabella1[[#This Row],[Città]]</f>
        <v>B&amp;B LE STANZE DEL CHIOSTRO - SERRA DE' CONTI</v>
      </c>
    </row>
    <row r="1706" spans="1:8" x14ac:dyDescent="0.25">
      <c r="A1706" s="1" t="s">
        <v>29</v>
      </c>
      <c r="B1706" s="1" t="s">
        <v>8465</v>
      </c>
      <c r="C1706" s="1" t="s">
        <v>8466</v>
      </c>
      <c r="D1706" s="1" t="s">
        <v>8454</v>
      </c>
      <c r="F1706" s="1" t="s">
        <v>8467</v>
      </c>
      <c r="G1706" s="1" t="s">
        <v>8468</v>
      </c>
      <c r="H1706" s="2" t="str">
        <f>Tabella1[[#This Row],[Denominazione]]&amp;" - "&amp;Tabella1[[#This Row],[Città]]</f>
        <v>B&amp;B LE STANZE DI CARLOTTA - OSIMO</v>
      </c>
    </row>
    <row r="1707" spans="1:8" x14ac:dyDescent="0.25">
      <c r="A1707" s="1" t="s">
        <v>29</v>
      </c>
      <c r="B1707" s="1" t="s">
        <v>10399</v>
      </c>
      <c r="C1707" s="1" t="s">
        <v>10400</v>
      </c>
      <c r="D1707" s="1" t="s">
        <v>10206</v>
      </c>
      <c r="E1707" s="1" t="s">
        <v>10401</v>
      </c>
      <c r="G1707" s="1" t="s">
        <v>10402</v>
      </c>
      <c r="H1707" s="2" t="str">
        <f>Tabella1[[#This Row],[Denominazione]]&amp;" - "&amp;Tabella1[[#This Row],[Città]]</f>
        <v>B&amp;B LE STANZE DI GIO - SIROLO</v>
      </c>
    </row>
    <row r="1708" spans="1:8" x14ac:dyDescent="0.25">
      <c r="A1708" s="1" t="s">
        <v>29</v>
      </c>
      <c r="B1708" s="1" t="s">
        <v>4350</v>
      </c>
      <c r="C1708" s="1" t="s">
        <v>4351</v>
      </c>
      <c r="D1708" s="1" t="s">
        <v>4341</v>
      </c>
      <c r="E1708" s="1" t="s">
        <v>4341</v>
      </c>
      <c r="F1708" s="1" t="s">
        <v>4352</v>
      </c>
      <c r="G1708" s="1" t="s">
        <v>4353</v>
      </c>
      <c r="H1708" s="2" t="str">
        <f>Tabella1[[#This Row],[Denominazione]]&amp;" - "&amp;Tabella1[[#This Row],[Città]]</f>
        <v>B&amp;B LE TAMERICI - SAN GIORGIO DI PESARO</v>
      </c>
    </row>
    <row r="1709" spans="1:8" x14ac:dyDescent="0.25">
      <c r="A1709" s="1" t="s">
        <v>29</v>
      </c>
      <c r="B1709" s="1" t="s">
        <v>19207</v>
      </c>
      <c r="C1709" s="1" t="s">
        <v>19208</v>
      </c>
      <c r="D1709" s="1" t="s">
        <v>18082</v>
      </c>
      <c r="E1709" s="1" t="s">
        <v>18082</v>
      </c>
      <c r="F1709" s="1" t="s">
        <v>19209</v>
      </c>
      <c r="G1709" s="1" t="s">
        <v>19210</v>
      </c>
      <c r="H1709" s="2" t="str">
        <f>Tabella1[[#This Row],[Denominazione]]&amp;" - "&amp;Tabella1[[#This Row],[Città]]</f>
        <v>B&amp;B LE TERRAZZE DEI POETI - PORTO SAN GIORGIO</v>
      </c>
    </row>
    <row r="1710" spans="1:8" x14ac:dyDescent="0.25">
      <c r="A1710" s="1" t="s">
        <v>29</v>
      </c>
      <c r="B1710" s="1" t="s">
        <v>1614</v>
      </c>
      <c r="C1710" s="1" t="s">
        <v>1615</v>
      </c>
      <c r="D1710" s="1" t="s">
        <v>682</v>
      </c>
      <c r="E1710" s="1" t="s">
        <v>1290</v>
      </c>
      <c r="G1710" s="1" t="s">
        <v>1616</v>
      </c>
      <c r="H1710" s="2" t="str">
        <f>Tabella1[[#This Row],[Denominazione]]&amp;" - "&amp;Tabella1[[#This Row],[Città]]</f>
        <v>B&amp;B LE VIOLE - FANO</v>
      </c>
    </row>
    <row r="1711" spans="1:8" x14ac:dyDescent="0.25">
      <c r="A1711" s="1" t="s">
        <v>29</v>
      </c>
      <c r="B1711" s="1" t="s">
        <v>6765</v>
      </c>
      <c r="C1711" s="1" t="s">
        <v>6766</v>
      </c>
      <c r="D1711" s="1" t="s">
        <v>6652</v>
      </c>
      <c r="F1711" s="1" t="s">
        <v>6767</v>
      </c>
      <c r="G1711" s="1" t="s">
        <v>6768</v>
      </c>
      <c r="H1711" s="2" t="str">
        <f>Tabella1[[#This Row],[Denominazione]]&amp;" - "&amp;Tabella1[[#This Row],[Città]]</f>
        <v>B&amp;B LEC E LAC - CUPRAMONTANA</v>
      </c>
    </row>
    <row r="1712" spans="1:8" x14ac:dyDescent="0.25">
      <c r="A1712" s="1" t="s">
        <v>29</v>
      </c>
      <c r="B1712" s="1" t="s">
        <v>10798</v>
      </c>
      <c r="C1712" s="1" t="s">
        <v>10799</v>
      </c>
      <c r="D1712" s="1" t="s">
        <v>10737</v>
      </c>
      <c r="G1712" s="1" t="s">
        <v>10800</v>
      </c>
      <c r="H1712" s="2" t="str">
        <f>Tabella1[[#This Row],[Denominazione]]&amp;" - "&amp;Tabella1[[#This Row],[Città]]</f>
        <v>B&amp;B LEONE - CAMERINO</v>
      </c>
    </row>
    <row r="1713" spans="1:8" x14ac:dyDescent="0.25">
      <c r="A1713" s="1" t="s">
        <v>29</v>
      </c>
      <c r="B1713" s="1" t="s">
        <v>11493</v>
      </c>
      <c r="C1713" s="1" t="s">
        <v>11494</v>
      </c>
      <c r="D1713" s="1" t="s">
        <v>11244</v>
      </c>
      <c r="E1713" s="1" t="s">
        <v>11255</v>
      </c>
      <c r="G1713" s="1" t="s">
        <v>11495</v>
      </c>
      <c r="H1713" s="2" t="str">
        <f>Tabella1[[#This Row],[Denominazione]]&amp;" - "&amp;Tabella1[[#This Row],[Città]]</f>
        <v>B&amp;B L'ESSENZA DEI SOGNI - CIVITANOVA MARCHE</v>
      </c>
    </row>
    <row r="1714" spans="1:8" x14ac:dyDescent="0.25">
      <c r="A1714" s="1" t="s">
        <v>29</v>
      </c>
      <c r="B1714" s="1" t="s">
        <v>12093</v>
      </c>
      <c r="C1714" s="1" t="s">
        <v>12094</v>
      </c>
      <c r="D1714" s="1" t="s">
        <v>12050</v>
      </c>
      <c r="E1714" s="1" t="s">
        <v>12050</v>
      </c>
      <c r="F1714" s="1" t="s">
        <v>12095</v>
      </c>
      <c r="G1714" s="1" t="s">
        <v>12096</v>
      </c>
      <c r="H1714" s="2" t="str">
        <f>Tabella1[[#This Row],[Denominazione]]&amp;" - "&amp;Tabella1[[#This Row],[Città]]</f>
        <v>B&amp;B LI DOLCI COLLI - MACERATA</v>
      </c>
    </row>
    <row r="1715" spans="1:8" x14ac:dyDescent="0.25">
      <c r="A1715" s="1" t="s">
        <v>29</v>
      </c>
      <c r="B1715" s="1" t="s">
        <v>18679</v>
      </c>
      <c r="C1715" s="1" t="s">
        <v>18680</v>
      </c>
      <c r="D1715" s="1" t="s">
        <v>18653</v>
      </c>
      <c r="G1715" s="1" t="s">
        <v>18681</v>
      </c>
      <c r="H1715" s="2" t="str">
        <f>Tabella1[[#This Row],[Denominazione]]&amp;" - "&amp;Tabella1[[#This Row],[Città]]</f>
        <v>B&amp;B LICIOTTI GIANCARLO - MONTEGRANARO</v>
      </c>
    </row>
    <row r="1716" spans="1:8" x14ac:dyDescent="0.25">
      <c r="A1716" s="1" t="s">
        <v>29</v>
      </c>
      <c r="B1716" s="1" t="s">
        <v>13968</v>
      </c>
      <c r="C1716" s="1" t="s">
        <v>13969</v>
      </c>
      <c r="D1716" s="1" t="s">
        <v>13946</v>
      </c>
      <c r="E1716" s="1" t="s">
        <v>13946</v>
      </c>
      <c r="G1716" s="1" t="s">
        <v>13967</v>
      </c>
      <c r="H1716" s="2" t="str">
        <f>Tabella1[[#This Row],[Denominazione]]&amp;" - "&amp;Tabella1[[#This Row],[Città]]</f>
        <v>B&amp;B LINA BATTELLINI - TOLENTINO</v>
      </c>
    </row>
    <row r="1717" spans="1:8" x14ac:dyDescent="0.25">
      <c r="A1717" s="1" t="s">
        <v>29</v>
      </c>
      <c r="B1717" s="1" t="s">
        <v>10315</v>
      </c>
      <c r="C1717" s="1" t="s">
        <v>10316</v>
      </c>
      <c r="D1717" s="1" t="s">
        <v>10206</v>
      </c>
      <c r="E1717" s="1" t="s">
        <v>10206</v>
      </c>
      <c r="F1717" s="1" t="s">
        <v>10317</v>
      </c>
      <c r="G1717" s="1" t="s">
        <v>10318</v>
      </c>
      <c r="H1717" s="2" t="str">
        <f>Tabella1[[#This Row],[Denominazione]]&amp;" - "&amp;Tabella1[[#This Row],[Città]]</f>
        <v>B&amp;B L'INFINITO - SIROLO</v>
      </c>
    </row>
    <row r="1718" spans="1:8" x14ac:dyDescent="0.25">
      <c r="A1718" s="1" t="s">
        <v>29</v>
      </c>
      <c r="B1718" s="1" t="s">
        <v>10315</v>
      </c>
      <c r="C1718" s="1" t="s">
        <v>11356</v>
      </c>
      <c r="D1718" s="1" t="s">
        <v>11244</v>
      </c>
      <c r="E1718" s="1" t="s">
        <v>11244</v>
      </c>
      <c r="F1718" s="1" t="s">
        <v>11357</v>
      </c>
      <c r="G1718" s="1" t="s">
        <v>11358</v>
      </c>
      <c r="H1718" s="2" t="str">
        <f>Tabella1[[#This Row],[Denominazione]]&amp;" - "&amp;Tabella1[[#This Row],[Città]]</f>
        <v>B&amp;B L'INFINITO - CIVITANOVA MARCHE</v>
      </c>
    </row>
    <row r="1719" spans="1:8" x14ac:dyDescent="0.25">
      <c r="A1719" s="1" t="s">
        <v>29</v>
      </c>
      <c r="B1719" s="1" t="s">
        <v>8734</v>
      </c>
      <c r="C1719" s="1" t="s">
        <v>8735</v>
      </c>
      <c r="D1719" s="1" t="s">
        <v>8731</v>
      </c>
      <c r="F1719" s="1" t="s">
        <v>8736</v>
      </c>
      <c r="G1719" s="1" t="s">
        <v>8737</v>
      </c>
      <c r="H1719" s="2" t="str">
        <f>Tabella1[[#This Row],[Denominazione]]&amp;" - "&amp;Tabella1[[#This Row],[Città]]</f>
        <v>B&amp;B LIOLA' - POLVERIGI</v>
      </c>
    </row>
    <row r="1720" spans="1:8" x14ac:dyDescent="0.25">
      <c r="A1720" s="1" t="s">
        <v>29</v>
      </c>
      <c r="B1720" s="1" t="s">
        <v>9454</v>
      </c>
      <c r="C1720" s="1" t="s">
        <v>9455</v>
      </c>
      <c r="D1720" s="1" t="s">
        <v>8949</v>
      </c>
      <c r="E1720" s="1" t="s">
        <v>9348</v>
      </c>
      <c r="F1720" s="1" t="s">
        <v>9456</v>
      </c>
      <c r="G1720" s="1" t="s">
        <v>9457</v>
      </c>
      <c r="H1720" s="2" t="str">
        <f>Tabella1[[#This Row],[Denominazione]]&amp;" - "&amp;Tabella1[[#This Row],[Città]]</f>
        <v>B&amp;B LO SCORNABECCO - SENIGALLIA</v>
      </c>
    </row>
    <row r="1721" spans="1:8" x14ac:dyDescent="0.25">
      <c r="A1721" s="1" t="s">
        <v>29</v>
      </c>
      <c r="B1721" s="1" t="s">
        <v>6737</v>
      </c>
      <c r="C1721" s="1" t="s">
        <v>6738</v>
      </c>
      <c r="D1721" s="1" t="s">
        <v>6652</v>
      </c>
      <c r="E1721" s="1" t="s">
        <v>6652</v>
      </c>
      <c r="F1721" s="1" t="s">
        <v>6739</v>
      </c>
      <c r="G1721" s="1" t="s">
        <v>6740</v>
      </c>
      <c r="H1721" s="2" t="str">
        <f>Tabella1[[#This Row],[Denominazione]]&amp;" - "&amp;Tabella1[[#This Row],[Città]]</f>
        <v>B&amp;B LO SFIZIO - CUPRAMONTANA</v>
      </c>
    </row>
    <row r="1722" spans="1:8" x14ac:dyDescent="0.25">
      <c r="A1722" s="1" t="s">
        <v>29</v>
      </c>
      <c r="B1722" s="1" t="s">
        <v>15589</v>
      </c>
      <c r="C1722" s="1" t="s">
        <v>15590</v>
      </c>
      <c r="D1722" s="1" t="s">
        <v>15585</v>
      </c>
      <c r="G1722" s="1" t="s">
        <v>15591</v>
      </c>
      <c r="H1722" s="2" t="str">
        <f>Tabella1[[#This Row],[Denominazione]]&amp;" - "&amp;Tabella1[[#This Row],[Città]]</f>
        <v>B&amp;B LO SQUALO - GROTTAMMARE</v>
      </c>
    </row>
    <row r="1723" spans="1:8" x14ac:dyDescent="0.25">
      <c r="A1723" s="1" t="s">
        <v>29</v>
      </c>
      <c r="B1723" s="1" t="s">
        <v>348</v>
      </c>
      <c r="C1723" s="1" t="s">
        <v>349</v>
      </c>
      <c r="D1723" s="1" t="s">
        <v>316</v>
      </c>
      <c r="E1723" s="1" t="s">
        <v>350</v>
      </c>
      <c r="G1723" s="1" t="s">
        <v>351</v>
      </c>
      <c r="H1723" s="2" t="str">
        <f>Tabella1[[#This Row],[Denominazione]]&amp;" - "&amp;Tabella1[[#This Row],[Città]]</f>
        <v>B&amp;B LOCANDA DEGLI ANGELI - CAGLI</v>
      </c>
    </row>
    <row r="1724" spans="1:8" x14ac:dyDescent="0.25">
      <c r="A1724" s="1" t="s">
        <v>29</v>
      </c>
      <c r="B1724" s="1" t="s">
        <v>14223</v>
      </c>
      <c r="C1724" s="1" t="s">
        <v>14224</v>
      </c>
      <c r="D1724" s="1" t="s">
        <v>14213</v>
      </c>
      <c r="E1724" s="1" t="s">
        <v>14225</v>
      </c>
      <c r="G1724" s="1" t="s">
        <v>14226</v>
      </c>
      <c r="H1724" s="2" t="str">
        <f>Tabella1[[#This Row],[Denominazione]]&amp;" - "&amp;Tabella1[[#This Row],[Città]]</f>
        <v>B&amp;B L'OCCHIO DELLA MONTAGNA - USSITA</v>
      </c>
    </row>
    <row r="1725" spans="1:8" x14ac:dyDescent="0.25">
      <c r="A1725" s="1" t="s">
        <v>29</v>
      </c>
      <c r="B1725" s="1" t="s">
        <v>8550</v>
      </c>
      <c r="C1725" s="1" t="s">
        <v>8551</v>
      </c>
      <c r="D1725" s="1" t="s">
        <v>8454</v>
      </c>
      <c r="E1725" s="1" t="s">
        <v>8454</v>
      </c>
      <c r="F1725" s="1" t="s">
        <v>8552</v>
      </c>
      <c r="G1725" s="1" t="s">
        <v>8553</v>
      </c>
      <c r="H1725" s="2" t="str">
        <f>Tabella1[[#This Row],[Denominazione]]&amp;" - "&amp;Tabella1[[#This Row],[Città]]</f>
        <v>B&amp;B LOGGIA DEI MERCANTI - OSIMO</v>
      </c>
    </row>
    <row r="1726" spans="1:8" x14ac:dyDescent="0.25">
      <c r="A1726" s="1" t="s">
        <v>29</v>
      </c>
      <c r="B1726" s="1" t="s">
        <v>13673</v>
      </c>
      <c r="C1726" s="1" t="s">
        <v>13674</v>
      </c>
      <c r="D1726" s="1" t="s">
        <v>13548</v>
      </c>
      <c r="E1726" s="1" t="s">
        <v>13548</v>
      </c>
      <c r="F1726" s="1" t="s">
        <v>13675</v>
      </c>
      <c r="G1726" s="1" t="s">
        <v>13676</v>
      </c>
      <c r="H1726" s="2" t="str">
        <f>Tabella1[[#This Row],[Denominazione]]&amp;" - "&amp;Tabella1[[#This Row],[Città]]</f>
        <v>B&amp;B LOGGIA SERVANZI - SAN SEVERINO MARCHE</v>
      </c>
    </row>
    <row r="1727" spans="1:8" x14ac:dyDescent="0.25">
      <c r="A1727" s="1" t="s">
        <v>29</v>
      </c>
      <c r="B1727" s="1" t="s">
        <v>8424</v>
      </c>
      <c r="C1727" s="1" t="s">
        <v>8425</v>
      </c>
      <c r="D1727" s="1" t="s">
        <v>8411</v>
      </c>
      <c r="E1727" s="1" t="s">
        <v>8411</v>
      </c>
      <c r="G1727" s="1" t="s">
        <v>8426</v>
      </c>
      <c r="H1727" s="2" t="str">
        <f>Tabella1[[#This Row],[Denominazione]]&amp;" - "&amp;Tabella1[[#This Row],[Città]]</f>
        <v>B&amp;B LOLA - OFFAGNA</v>
      </c>
    </row>
    <row r="1728" spans="1:8" x14ac:dyDescent="0.25">
      <c r="A1728" s="1" t="s">
        <v>29</v>
      </c>
      <c r="B1728" s="1" t="s">
        <v>3452</v>
      </c>
      <c r="C1728" s="1" t="s">
        <v>3453</v>
      </c>
      <c r="D1728" s="1" t="s">
        <v>2386</v>
      </c>
      <c r="G1728" s="1" t="s">
        <v>3454</v>
      </c>
      <c r="H1728" s="2" t="str">
        <f>Tabella1[[#This Row],[Denominazione]]&amp;" - "&amp;Tabella1[[#This Row],[Città]]</f>
        <v>B&amp;B L'OLEANDRO BIANCO - PESARO</v>
      </c>
    </row>
    <row r="1729" spans="1:8" x14ac:dyDescent="0.25">
      <c r="A1729" s="1" t="s">
        <v>29</v>
      </c>
      <c r="B1729" s="1" t="s">
        <v>11534</v>
      </c>
      <c r="C1729" s="1" t="s">
        <v>11535</v>
      </c>
      <c r="D1729" s="1" t="s">
        <v>11244</v>
      </c>
      <c r="G1729" s="1" t="s">
        <v>11536</v>
      </c>
      <c r="H1729" s="2" t="str">
        <f>Tabella1[[#This Row],[Denominazione]]&amp;" - "&amp;Tabella1[[#This Row],[Città]]</f>
        <v>B&amp;B L'OLIVETO - CIVITANOVA MARCHE</v>
      </c>
    </row>
    <row r="1730" spans="1:8" x14ac:dyDescent="0.25">
      <c r="A1730" s="1" t="s">
        <v>29</v>
      </c>
      <c r="B1730" s="1" t="s">
        <v>15622</v>
      </c>
      <c r="C1730" s="1" t="s">
        <v>15623</v>
      </c>
      <c r="D1730" s="1" t="s">
        <v>15585</v>
      </c>
      <c r="G1730" s="1" t="s">
        <v>15624</v>
      </c>
      <c r="H1730" s="2" t="str">
        <f>Tabella1[[#This Row],[Denominazione]]&amp;" - "&amp;Tabella1[[#This Row],[Città]]</f>
        <v>B&amp;B LOLU - GROTTAMMARE</v>
      </c>
    </row>
    <row r="1731" spans="1:8" x14ac:dyDescent="0.25">
      <c r="A1731" s="1" t="s">
        <v>29</v>
      </c>
      <c r="B1731" s="1" t="s">
        <v>18232</v>
      </c>
      <c r="C1731" s="1" t="s">
        <v>18233</v>
      </c>
      <c r="D1731" s="1" t="s">
        <v>17932</v>
      </c>
      <c r="E1731" s="1" t="s">
        <v>17932</v>
      </c>
      <c r="G1731" s="1" t="s">
        <v>18234</v>
      </c>
      <c r="H1731" s="2" t="str">
        <f>Tabella1[[#This Row],[Denominazione]]&amp;" - "&amp;Tabella1[[#This Row],[Città]]</f>
        <v>B&amp;B L'OROLOGIO - FERMO</v>
      </c>
    </row>
    <row r="1732" spans="1:8" x14ac:dyDescent="0.25">
      <c r="A1732" s="1" t="s">
        <v>29</v>
      </c>
      <c r="B1732" s="1" t="s">
        <v>13194</v>
      </c>
      <c r="C1732" s="1" t="s">
        <v>13195</v>
      </c>
      <c r="D1732" s="1" t="s">
        <v>13026</v>
      </c>
      <c r="E1732" s="1" t="s">
        <v>13026</v>
      </c>
      <c r="F1732" s="1" t="s">
        <v>13196</v>
      </c>
      <c r="G1732" s="1" t="s">
        <v>13197</v>
      </c>
      <c r="H1732" s="2" t="str">
        <f>Tabella1[[#This Row],[Denominazione]]&amp;" - "&amp;Tabella1[[#This Row],[Città]]</f>
        <v>B&amp;B L'ORTO MARINO - POTENZA PICENA</v>
      </c>
    </row>
    <row r="1733" spans="1:8" x14ac:dyDescent="0.25">
      <c r="A1733" s="1" t="s">
        <v>29</v>
      </c>
      <c r="B1733" s="1" t="s">
        <v>4007</v>
      </c>
      <c r="C1733" s="1" t="s">
        <v>4008</v>
      </c>
      <c r="D1733" s="1" t="s">
        <v>2386</v>
      </c>
      <c r="E1733" s="1" t="s">
        <v>4009</v>
      </c>
      <c r="G1733" s="1" t="s">
        <v>4010</v>
      </c>
      <c r="H1733" s="2" t="str">
        <f>Tabella1[[#This Row],[Denominazione]]&amp;" - "&amp;Tabella1[[#This Row],[Città]]</f>
        <v>B&amp;B L'OSSERVATORIO - PESARO</v>
      </c>
    </row>
    <row r="1734" spans="1:8" x14ac:dyDescent="0.25">
      <c r="A1734" s="1" t="s">
        <v>29</v>
      </c>
      <c r="B1734" s="1" t="s">
        <v>19368</v>
      </c>
      <c r="C1734" s="1" t="s">
        <v>19369</v>
      </c>
      <c r="D1734" s="1" t="s">
        <v>19283</v>
      </c>
      <c r="E1734" s="1" t="s">
        <v>19370</v>
      </c>
      <c r="F1734" s="1" t="s">
        <v>19371</v>
      </c>
      <c r="G1734" s="1" t="s">
        <v>19372</v>
      </c>
      <c r="H1734" s="2" t="str">
        <f>Tabella1[[#This Row],[Denominazione]]&amp;" - "&amp;Tabella1[[#This Row],[Città]]</f>
        <v>B&amp;B LOUNGE - PORTO SANT'ELPIDIO</v>
      </c>
    </row>
    <row r="1735" spans="1:8" x14ac:dyDescent="0.25">
      <c r="A1735" s="1" t="s">
        <v>29</v>
      </c>
      <c r="B1735" s="1" t="s">
        <v>577</v>
      </c>
      <c r="C1735" s="1" t="s">
        <v>578</v>
      </c>
      <c r="D1735" s="1" t="s">
        <v>579</v>
      </c>
      <c r="F1735" s="1" t="s">
        <v>580</v>
      </c>
      <c r="G1735" s="1" t="s">
        <v>581</v>
      </c>
      <c r="H1735" s="2" t="str">
        <f>Tabella1[[#This Row],[Denominazione]]&amp;" - "&amp;Tabella1[[#This Row],[Città]]</f>
        <v>B&amp;B LOVE SUITE NIDO D'AMORE - CARPEGNA</v>
      </c>
    </row>
    <row r="1736" spans="1:8" x14ac:dyDescent="0.25">
      <c r="A1736" s="1" t="s">
        <v>29</v>
      </c>
      <c r="B1736" s="1" t="s">
        <v>11998</v>
      </c>
      <c r="C1736" s="1" t="s">
        <v>11999</v>
      </c>
      <c r="D1736" s="1" t="s">
        <v>11981</v>
      </c>
      <c r="E1736" s="1" t="s">
        <v>12000</v>
      </c>
      <c r="G1736" s="1" t="s">
        <v>12001</v>
      </c>
      <c r="H1736" s="2" t="str">
        <f>Tabella1[[#This Row],[Denominazione]]&amp;" - "&amp;Tabella1[[#This Row],[Città]]</f>
        <v>B&amp;B LUANA - LORO PICENO</v>
      </c>
    </row>
    <row r="1737" spans="1:8" x14ac:dyDescent="0.25">
      <c r="A1737" s="1" t="s">
        <v>29</v>
      </c>
      <c r="B1737" s="1" t="s">
        <v>568</v>
      </c>
      <c r="C1737" s="1" t="s">
        <v>569</v>
      </c>
      <c r="D1737" s="1" t="s">
        <v>535</v>
      </c>
      <c r="G1737" s="1" t="s">
        <v>570</v>
      </c>
      <c r="H1737" s="2" t="str">
        <f>Tabella1[[#This Row],[Denominazione]]&amp;" - "&amp;Tabella1[[#This Row],[Città]]</f>
        <v>B&amp;B LUCHETTI DANILA - CANTIANO</v>
      </c>
    </row>
    <row r="1738" spans="1:8" x14ac:dyDescent="0.25">
      <c r="A1738" s="1" t="s">
        <v>29</v>
      </c>
      <c r="B1738" s="1" t="s">
        <v>12288</v>
      </c>
      <c r="C1738" s="1" t="s">
        <v>12289</v>
      </c>
      <c r="D1738" s="1" t="s">
        <v>12290</v>
      </c>
      <c r="G1738" s="1" t="s">
        <v>12291</v>
      </c>
      <c r="H1738" s="2" t="str">
        <f>Tabella1[[#This Row],[Denominazione]]&amp;" - "&amp;Tabella1[[#This Row],[Città]]</f>
        <v>B&amp;B LUCHETTI GIAMPIERO - MOGLIANO</v>
      </c>
    </row>
    <row r="1739" spans="1:8" x14ac:dyDescent="0.25">
      <c r="A1739" s="1" t="s">
        <v>29</v>
      </c>
      <c r="B1739" s="1" t="s">
        <v>4084</v>
      </c>
      <c r="C1739" s="1" t="s">
        <v>4085</v>
      </c>
      <c r="D1739" s="1" t="s">
        <v>2386</v>
      </c>
      <c r="E1739" s="1" t="s">
        <v>3963</v>
      </c>
      <c r="F1739" s="1" t="s">
        <v>4086</v>
      </c>
      <c r="G1739" s="1" t="s">
        <v>4087</v>
      </c>
      <c r="H1739" s="2" t="str">
        <f>Tabella1[[#This Row],[Denominazione]]&amp;" - "&amp;Tabella1[[#This Row],[Città]]</f>
        <v>B&amp;B LUCILLA VILLA - PESARO</v>
      </c>
    </row>
    <row r="1740" spans="1:8" x14ac:dyDescent="0.25">
      <c r="A1740" s="1" t="s">
        <v>29</v>
      </c>
      <c r="B1740" s="1" t="s">
        <v>14955</v>
      </c>
      <c r="D1740" s="1" t="s">
        <v>14576</v>
      </c>
      <c r="E1740" s="1" t="s">
        <v>14956</v>
      </c>
      <c r="H1740" s="2" t="str">
        <f>Tabella1[[#This Row],[Denominazione]]&amp;" - "&amp;Tabella1[[#This Row],[Città]]</f>
        <v>B&amp;B LUCIO ACCIACCAFERRI - ASCOLI PICENO</v>
      </c>
    </row>
    <row r="1741" spans="1:8" x14ac:dyDescent="0.25">
      <c r="A1741" s="1" t="s">
        <v>29</v>
      </c>
      <c r="B1741" s="1" t="s">
        <v>3478</v>
      </c>
      <c r="C1741" s="1" t="s">
        <v>3479</v>
      </c>
      <c r="D1741" s="1" t="s">
        <v>2386</v>
      </c>
      <c r="G1741" s="1" t="s">
        <v>3480</v>
      </c>
      <c r="H1741" s="2" t="str">
        <f>Tabella1[[#This Row],[Denominazione]]&amp;" - "&amp;Tabella1[[#This Row],[Città]]</f>
        <v>B&amp;B LUCY - PESARO</v>
      </c>
    </row>
    <row r="1742" spans="1:8" x14ac:dyDescent="0.25">
      <c r="A1742" s="1" t="s">
        <v>29</v>
      </c>
      <c r="B1742" s="1" t="s">
        <v>10549</v>
      </c>
      <c r="C1742" s="1" t="s">
        <v>10550</v>
      </c>
      <c r="D1742" s="1" t="s">
        <v>10519</v>
      </c>
      <c r="E1742" s="1" t="s">
        <v>10551</v>
      </c>
      <c r="F1742" s="1" t="s">
        <v>10552</v>
      </c>
      <c r="G1742" s="1" t="s">
        <v>10553</v>
      </c>
      <c r="H1742" s="2" t="str">
        <f>Tabella1[[#This Row],[Denominazione]]&amp;" - "&amp;Tabella1[[#This Row],[Città]]</f>
        <v>B&amp;B LUNA BIANCA DI CIARLONI ROSSANA - TRECASTELLI</v>
      </c>
    </row>
    <row r="1743" spans="1:8" x14ac:dyDescent="0.25">
      <c r="A1743" s="1" t="s">
        <v>29</v>
      </c>
      <c r="B1743" s="1" t="s">
        <v>13140</v>
      </c>
      <c r="C1743" s="1" t="s">
        <v>13141</v>
      </c>
      <c r="D1743" s="1" t="s">
        <v>13026</v>
      </c>
      <c r="E1743" s="1" t="s">
        <v>13026</v>
      </c>
      <c r="G1743" s="1" t="s">
        <v>13142</v>
      </c>
      <c r="H1743" s="2" t="str">
        <f>Tabella1[[#This Row],[Denominazione]]&amp;" - "&amp;Tabella1[[#This Row],[Città]]</f>
        <v>B&amp;B LUNA ROSSA - POTENZA PICENA</v>
      </c>
    </row>
    <row r="1744" spans="1:8" x14ac:dyDescent="0.25">
      <c r="A1744" s="1" t="s">
        <v>29</v>
      </c>
      <c r="B1744" s="1" t="s">
        <v>10599</v>
      </c>
      <c r="C1744" s="1" t="s">
        <v>10600</v>
      </c>
      <c r="D1744" s="1" t="s">
        <v>10589</v>
      </c>
      <c r="E1744" s="1" t="s">
        <v>10601</v>
      </c>
      <c r="F1744" s="1" t="s">
        <v>10602</v>
      </c>
      <c r="G1744" s="1" t="s">
        <v>10603</v>
      </c>
      <c r="H1744" s="2" t="str">
        <f>Tabella1[[#This Row],[Denominazione]]&amp;" - "&amp;Tabella1[[#This Row],[Città]]</f>
        <v>B&amp;B LUPUS IN FABULA - APIRO</v>
      </c>
    </row>
    <row r="1745" spans="1:8" x14ac:dyDescent="0.25">
      <c r="A1745" s="1" t="s">
        <v>29</v>
      </c>
      <c r="B1745" s="1" t="s">
        <v>15024</v>
      </c>
      <c r="C1745" s="1" t="s">
        <v>15025</v>
      </c>
      <c r="D1745" s="1" t="s">
        <v>14576</v>
      </c>
      <c r="E1745" s="1" t="s">
        <v>15026</v>
      </c>
      <c r="G1745" s="1" t="s">
        <v>15027</v>
      </c>
      <c r="H1745" s="2" t="str">
        <f>Tabella1[[#This Row],[Denominazione]]&amp;" - "&amp;Tabella1[[#This Row],[Città]]</f>
        <v>B&amp;B L'USIGNOLO - ASCOLI PICENO</v>
      </c>
    </row>
    <row r="1746" spans="1:8" x14ac:dyDescent="0.25">
      <c r="A1746" s="1" t="s">
        <v>29</v>
      </c>
      <c r="B1746" s="1" t="s">
        <v>4827</v>
      </c>
      <c r="C1746" s="1" t="s">
        <v>4828</v>
      </c>
      <c r="D1746" s="1" t="s">
        <v>4735</v>
      </c>
      <c r="E1746" s="1" t="s">
        <v>4735</v>
      </c>
      <c r="H1746" s="2" t="str">
        <f>Tabella1[[#This Row],[Denominazione]]&amp;" - "&amp;Tabella1[[#This Row],[Città]]</f>
        <v>B&amp;B LUZI GRAZIELLA - URBANIA</v>
      </c>
    </row>
    <row r="1747" spans="1:8" x14ac:dyDescent="0.25">
      <c r="A1747" s="1" t="s">
        <v>29</v>
      </c>
      <c r="B1747" s="1" t="s">
        <v>16750</v>
      </c>
      <c r="C1747" s="1" t="s">
        <v>16751</v>
      </c>
      <c r="D1747" s="1" t="s">
        <v>16714</v>
      </c>
      <c r="E1747" s="1" t="s">
        <v>16714</v>
      </c>
      <c r="G1747" s="1" t="s">
        <v>16752</v>
      </c>
      <c r="H1747" s="2" t="str">
        <f>Tabella1[[#This Row],[Denominazione]]&amp;" - "&amp;Tabella1[[#This Row],[Città]]</f>
        <v>B&amp;B MA IDA - ROCCAFLUVIONE</v>
      </c>
    </row>
    <row r="1748" spans="1:8" x14ac:dyDescent="0.25">
      <c r="A1748" s="1" t="s">
        <v>29</v>
      </c>
      <c r="B1748" s="1" t="s">
        <v>12048</v>
      </c>
      <c r="C1748" s="1" t="s">
        <v>12049</v>
      </c>
      <c r="D1748" s="1" t="s">
        <v>12050</v>
      </c>
      <c r="E1748" s="1" t="s">
        <v>12050</v>
      </c>
      <c r="G1748" s="1" t="s">
        <v>12051</v>
      </c>
      <c r="H1748" s="2" t="str">
        <f>Tabella1[[#This Row],[Denominazione]]&amp;" - "&amp;Tabella1[[#This Row],[Città]]</f>
        <v>B&amp;B MACERATA - MACERATA</v>
      </c>
    </row>
    <row r="1749" spans="1:8" x14ac:dyDescent="0.25">
      <c r="A1749" s="1" t="s">
        <v>29</v>
      </c>
      <c r="B1749" s="1" t="s">
        <v>12116</v>
      </c>
      <c r="C1749" s="1" t="s">
        <v>12117</v>
      </c>
      <c r="D1749" s="1" t="s">
        <v>12050</v>
      </c>
      <c r="E1749" s="1" t="s">
        <v>12050</v>
      </c>
      <c r="G1749" s="1" t="s">
        <v>12118</v>
      </c>
      <c r="H1749" s="2" t="str">
        <f>Tabella1[[#This Row],[Denominazione]]&amp;" - "&amp;Tabella1[[#This Row],[Città]]</f>
        <v>B&amp;B MACERATASUBITO - MACERATA</v>
      </c>
    </row>
    <row r="1750" spans="1:8" x14ac:dyDescent="0.25">
      <c r="A1750" s="1" t="s">
        <v>29</v>
      </c>
      <c r="B1750" s="1" t="s">
        <v>1308</v>
      </c>
      <c r="C1750" s="1" t="s">
        <v>1309</v>
      </c>
      <c r="D1750" s="1" t="s">
        <v>682</v>
      </c>
      <c r="E1750" s="1" t="s">
        <v>1310</v>
      </c>
      <c r="F1750" s="1" t="s">
        <v>1311</v>
      </c>
      <c r="G1750" s="1" t="s">
        <v>1312</v>
      </c>
      <c r="H1750" s="2" t="str">
        <f>Tabella1[[#This Row],[Denominazione]]&amp;" - "&amp;Tabella1[[#This Row],[Città]]</f>
        <v>B&amp;B MADONNA DEGLI ANGELI - FANO</v>
      </c>
    </row>
    <row r="1751" spans="1:8" x14ac:dyDescent="0.25">
      <c r="A1751" s="1" t="s">
        <v>29</v>
      </c>
      <c r="B1751" s="1" t="s">
        <v>6896</v>
      </c>
      <c r="C1751" s="1" t="s">
        <v>6897</v>
      </c>
      <c r="D1751" s="1" t="s">
        <v>6790</v>
      </c>
      <c r="E1751" s="1" t="s">
        <v>6790</v>
      </c>
      <c r="F1751" s="1" t="s">
        <v>6898</v>
      </c>
      <c r="G1751" s="1" t="s">
        <v>6899</v>
      </c>
      <c r="H1751" s="2" t="str">
        <f>Tabella1[[#This Row],[Denominazione]]&amp;" - "&amp;Tabella1[[#This Row],[Città]]</f>
        <v>B&amp;B MAGGIOCIONDOLO - FABRIANO</v>
      </c>
    </row>
    <row r="1752" spans="1:8" x14ac:dyDescent="0.25">
      <c r="A1752" s="1" t="s">
        <v>29</v>
      </c>
      <c r="B1752" s="1" t="s">
        <v>3506</v>
      </c>
      <c r="C1752" s="1" t="s">
        <v>3507</v>
      </c>
      <c r="D1752" s="1" t="s">
        <v>2386</v>
      </c>
      <c r="E1752" s="1" t="s">
        <v>3508</v>
      </c>
      <c r="G1752" s="1" t="s">
        <v>3509</v>
      </c>
      <c r="H1752" s="2" t="str">
        <f>Tabella1[[#This Row],[Denominazione]]&amp;" - "&amp;Tabella1[[#This Row],[Città]]</f>
        <v>B&amp;B MAIANO - PESARO</v>
      </c>
    </row>
    <row r="1753" spans="1:8" x14ac:dyDescent="0.25">
      <c r="A1753" s="1" t="s">
        <v>29</v>
      </c>
      <c r="B1753" s="1" t="s">
        <v>18357</v>
      </c>
      <c r="C1753" s="1" t="s">
        <v>18358</v>
      </c>
      <c r="D1753" s="1" t="s">
        <v>17932</v>
      </c>
      <c r="G1753" s="1" t="s">
        <v>18359</v>
      </c>
      <c r="H1753" s="2" t="str">
        <f>Tabella1[[#This Row],[Denominazione]]&amp;" - "&amp;Tabella1[[#This Row],[Città]]</f>
        <v>B&amp;B MAISON DE CAMPAGNE - FERMO</v>
      </c>
    </row>
    <row r="1754" spans="1:8" x14ac:dyDescent="0.25">
      <c r="A1754" s="1" t="s">
        <v>29</v>
      </c>
      <c r="B1754" s="1" t="s">
        <v>1958</v>
      </c>
      <c r="C1754" s="1" t="s">
        <v>1959</v>
      </c>
      <c r="D1754" s="1" t="s">
        <v>1907</v>
      </c>
      <c r="E1754" s="1" t="s">
        <v>1907</v>
      </c>
      <c r="G1754" s="1" t="s">
        <v>1960</v>
      </c>
      <c r="H1754" s="2" t="str">
        <f>Tabella1[[#This Row],[Denominazione]]&amp;" - "&amp;Tabella1[[#This Row],[Città]]</f>
        <v>B&amp;B MAISON d'O - GABICCE MARE</v>
      </c>
    </row>
    <row r="1755" spans="1:8" x14ac:dyDescent="0.25">
      <c r="A1755" s="1" t="s">
        <v>29</v>
      </c>
      <c r="B1755" s="1" t="s">
        <v>14982</v>
      </c>
      <c r="C1755" s="1" t="s">
        <v>14983</v>
      </c>
      <c r="D1755" s="1" t="s">
        <v>14576</v>
      </c>
      <c r="G1755" s="1" t="s">
        <v>14984</v>
      </c>
      <c r="H1755" s="2" t="str">
        <f>Tabella1[[#This Row],[Denominazione]]&amp;" - "&amp;Tabella1[[#This Row],[Città]]</f>
        <v>B&amp;B MAISON RUA - ASCOLI PICENO</v>
      </c>
    </row>
    <row r="1756" spans="1:8" x14ac:dyDescent="0.25">
      <c r="A1756" s="1" t="s">
        <v>29</v>
      </c>
      <c r="B1756" s="1" t="s">
        <v>14480</v>
      </c>
      <c r="C1756" s="1" t="s">
        <v>14481</v>
      </c>
      <c r="D1756" s="1" t="s">
        <v>14428</v>
      </c>
      <c r="E1756" s="1" t="s">
        <v>14428</v>
      </c>
      <c r="F1756" s="1" t="s">
        <v>14482</v>
      </c>
      <c r="G1756" s="1" t="s">
        <v>14483</v>
      </c>
      <c r="H1756" s="2" t="str">
        <f>Tabella1[[#This Row],[Denominazione]]&amp;" - "&amp;Tabella1[[#This Row],[Città]]</f>
        <v>B&amp;B MAMMA GINA - ACQUAVIVA PICENA</v>
      </c>
    </row>
    <row r="1757" spans="1:8" x14ac:dyDescent="0.25">
      <c r="A1757" s="1" t="s">
        <v>29</v>
      </c>
      <c r="B1757" s="1" t="s">
        <v>8641</v>
      </c>
      <c r="C1757" s="1" t="s">
        <v>8642</v>
      </c>
      <c r="D1757" s="1" t="s">
        <v>8608</v>
      </c>
      <c r="E1757" s="1" t="s">
        <v>8608</v>
      </c>
      <c r="G1757" s="1" t="s">
        <v>8643</v>
      </c>
      <c r="H1757" s="2" t="str">
        <f>Tabella1[[#This Row],[Denominazione]]&amp;" - "&amp;Tabella1[[#This Row],[Città]]</f>
        <v>B&amp;B MAMMAMARIA - OSTRA</v>
      </c>
    </row>
    <row r="1758" spans="1:8" x14ac:dyDescent="0.25">
      <c r="A1758" s="1" t="s">
        <v>29</v>
      </c>
      <c r="B1758" s="1" t="s">
        <v>6527</v>
      </c>
      <c r="C1758" s="1" t="s">
        <v>6528</v>
      </c>
      <c r="D1758" s="1" t="s">
        <v>6520</v>
      </c>
      <c r="F1758" s="1" t="s">
        <v>6525</v>
      </c>
      <c r="G1758" s="1" t="s">
        <v>6526</v>
      </c>
      <c r="H1758" s="2" t="str">
        <f>Tabella1[[#This Row],[Denominazione]]&amp;" - "&amp;Tabella1[[#This Row],[Città]]</f>
        <v>B&amp;B MARCHE TOURISM - CHIARAVALLE</v>
      </c>
    </row>
    <row r="1759" spans="1:8" x14ac:dyDescent="0.25">
      <c r="A1759" s="1" t="s">
        <v>29</v>
      </c>
      <c r="B1759" s="1" t="s">
        <v>6527</v>
      </c>
      <c r="C1759" s="1" t="s">
        <v>19275</v>
      </c>
      <c r="D1759" s="1" t="s">
        <v>18082</v>
      </c>
      <c r="E1759" s="1" t="s">
        <v>18082</v>
      </c>
      <c r="F1759" s="1" t="s">
        <v>19276</v>
      </c>
      <c r="G1759" s="1" t="s">
        <v>19277</v>
      </c>
      <c r="H1759" s="2" t="str">
        <f>Tabella1[[#This Row],[Denominazione]]&amp;" - "&amp;Tabella1[[#This Row],[Città]]</f>
        <v>B&amp;B MARCHE TOURISM - PORTO SAN GIORGIO</v>
      </c>
    </row>
    <row r="1760" spans="1:8" x14ac:dyDescent="0.25">
      <c r="A1760" s="1" t="s">
        <v>29</v>
      </c>
      <c r="B1760" s="1" t="s">
        <v>15132</v>
      </c>
      <c r="C1760" s="1" t="s">
        <v>15131</v>
      </c>
      <c r="D1760" s="1" t="s">
        <v>15129</v>
      </c>
      <c r="E1760" s="1" t="s">
        <v>15129</v>
      </c>
      <c r="G1760" s="1" t="s">
        <v>15133</v>
      </c>
      <c r="H1760" s="2" t="str">
        <f>Tabella1[[#This Row],[Denominazione]]&amp;" - "&amp;Tabella1[[#This Row],[Città]]</f>
        <v>B&amp;B MARCONI MARISA - CASTEL DI LAMA</v>
      </c>
    </row>
    <row r="1761" spans="1:8" x14ac:dyDescent="0.25">
      <c r="A1761" s="1" t="s">
        <v>29</v>
      </c>
      <c r="B1761" s="1" t="s">
        <v>16468</v>
      </c>
      <c r="C1761" s="1" t="s">
        <v>16469</v>
      </c>
      <c r="D1761" s="1" t="s">
        <v>16440</v>
      </c>
      <c r="F1761" s="1" t="s">
        <v>16470</v>
      </c>
      <c r="G1761" s="1" t="s">
        <v>16471</v>
      </c>
      <c r="H1761" s="2" t="str">
        <f>Tabella1[[#This Row],[Denominazione]]&amp;" - "&amp;Tabella1[[#This Row],[Città]]</f>
        <v>B&amp;B MARE E MONTI - OFFIDA</v>
      </c>
    </row>
    <row r="1762" spans="1:8" x14ac:dyDescent="0.25">
      <c r="A1762" s="1" t="s">
        <v>29</v>
      </c>
      <c r="B1762" s="1" t="s">
        <v>16468</v>
      </c>
      <c r="C1762" s="1" t="s">
        <v>18974</v>
      </c>
      <c r="D1762" s="1" t="s">
        <v>18971</v>
      </c>
      <c r="E1762" s="1" t="s">
        <v>18971</v>
      </c>
      <c r="F1762" s="1" t="s">
        <v>18975</v>
      </c>
      <c r="G1762" s="1" t="s">
        <v>18976</v>
      </c>
      <c r="H1762" s="2" t="str">
        <f>Tabella1[[#This Row],[Denominazione]]&amp;" - "&amp;Tabella1[[#This Row],[Città]]</f>
        <v>B&amp;B MARE E MONTI - PETRITOLI</v>
      </c>
    </row>
    <row r="1763" spans="1:8" x14ac:dyDescent="0.25">
      <c r="A1763" s="1" t="s">
        <v>29</v>
      </c>
      <c r="B1763" s="1" t="s">
        <v>16729</v>
      </c>
      <c r="C1763" s="1" t="s">
        <v>16730</v>
      </c>
      <c r="D1763" s="1" t="s">
        <v>16714</v>
      </c>
      <c r="E1763" s="1" t="s">
        <v>16714</v>
      </c>
      <c r="F1763" s="1" t="s">
        <v>16731</v>
      </c>
      <c r="G1763" s="1" t="s">
        <v>16732</v>
      </c>
      <c r="H1763" s="2" t="str">
        <f>Tabella1[[#This Row],[Denominazione]]&amp;" - "&amp;Tabella1[[#This Row],[Città]]</f>
        <v>B&amp;B MAREMONTI - ROCCAFLUVIONE</v>
      </c>
    </row>
    <row r="1764" spans="1:8" x14ac:dyDescent="0.25">
      <c r="A1764" s="1" t="s">
        <v>29</v>
      </c>
      <c r="B1764" s="1" t="s">
        <v>17841</v>
      </c>
      <c r="C1764" s="1" t="s">
        <v>17842</v>
      </c>
      <c r="D1764" s="1" t="s">
        <v>17839</v>
      </c>
      <c r="E1764" s="1" t="s">
        <v>17839</v>
      </c>
      <c r="F1764" s="1" t="s">
        <v>17843</v>
      </c>
      <c r="G1764" s="1" t="s">
        <v>17844</v>
      </c>
      <c r="H1764" s="2" t="str">
        <f>Tabella1[[#This Row],[Denominazione]]&amp;" - "&amp;Tabella1[[#This Row],[Città]]</f>
        <v>B&amp;B MAREMURO' - CAMPOFILONE</v>
      </c>
    </row>
    <row r="1765" spans="1:8" x14ac:dyDescent="0.25">
      <c r="A1765" s="1" t="s">
        <v>29</v>
      </c>
      <c r="B1765" s="1" t="s">
        <v>1281</v>
      </c>
      <c r="C1765" s="1" t="s">
        <v>1282</v>
      </c>
      <c r="D1765" s="1" t="s">
        <v>682</v>
      </c>
      <c r="E1765" s="1" t="s">
        <v>682</v>
      </c>
      <c r="F1765" s="1" t="s">
        <v>1283</v>
      </c>
      <c r="G1765" s="1" t="s">
        <v>1284</v>
      </c>
      <c r="H1765" s="2" t="str">
        <f>Tabella1[[#This Row],[Denominazione]]&amp;" - "&amp;Tabella1[[#This Row],[Città]]</f>
        <v>B&amp;B MAREVISTA - FANO</v>
      </c>
    </row>
    <row r="1766" spans="1:8" x14ac:dyDescent="0.25">
      <c r="A1766" s="1" t="s">
        <v>29</v>
      </c>
      <c r="B1766" s="1" t="s">
        <v>4684</v>
      </c>
      <c r="C1766" s="1" t="s">
        <v>4685</v>
      </c>
      <c r="D1766" s="1" t="s">
        <v>4657</v>
      </c>
      <c r="E1766" s="1" t="s">
        <v>4657</v>
      </c>
      <c r="F1766" s="1" t="s">
        <v>4686</v>
      </c>
      <c r="G1766" s="1" t="s">
        <v>4687</v>
      </c>
      <c r="H1766" s="2" t="str">
        <f>Tabella1[[#This Row],[Denominazione]]&amp;" - "&amp;Tabella1[[#This Row],[Città]]</f>
        <v>B&amp;B MARGHERITA - TAVULLIA</v>
      </c>
    </row>
    <row r="1767" spans="1:8" x14ac:dyDescent="0.25">
      <c r="A1767" s="1" t="s">
        <v>29</v>
      </c>
      <c r="B1767" s="1" t="s">
        <v>19305</v>
      </c>
      <c r="C1767" s="1" t="s">
        <v>19306</v>
      </c>
      <c r="D1767" s="1" t="s">
        <v>19283</v>
      </c>
      <c r="G1767" s="1" t="s">
        <v>19307</v>
      </c>
      <c r="H1767" s="2" t="str">
        <f>Tabella1[[#This Row],[Denominazione]]&amp;" - "&amp;Tabella1[[#This Row],[Città]]</f>
        <v>B&amp;B MARGUE' - PORTO SANT'ELPIDIO</v>
      </c>
    </row>
    <row r="1768" spans="1:8" x14ac:dyDescent="0.25">
      <c r="A1768" s="1" t="s">
        <v>29</v>
      </c>
      <c r="B1768" s="1" t="s">
        <v>4939</v>
      </c>
      <c r="C1768" s="1" t="s">
        <v>4940</v>
      </c>
      <c r="D1768" s="1" t="s">
        <v>9</v>
      </c>
      <c r="G1768" s="1" t="s">
        <v>4941</v>
      </c>
      <c r="H1768" s="2" t="str">
        <f>Tabella1[[#This Row],[Denominazione]]&amp;" - "&amp;Tabella1[[#This Row],[Città]]</f>
        <v>B&amp;B MARIA GIUSEPPINA MASTORE - URBINO</v>
      </c>
    </row>
    <row r="1769" spans="1:8" x14ac:dyDescent="0.25">
      <c r="A1769" s="1" t="s">
        <v>29</v>
      </c>
      <c r="B1769" s="1" t="s">
        <v>14552</v>
      </c>
      <c r="C1769" s="1" t="s">
        <v>14547</v>
      </c>
      <c r="D1769" s="1" t="s">
        <v>14510</v>
      </c>
      <c r="E1769" s="1" t="s">
        <v>14510</v>
      </c>
      <c r="F1769" s="1" t="s">
        <v>14548</v>
      </c>
      <c r="G1769" s="1" t="s">
        <v>14549</v>
      </c>
      <c r="H1769" s="2" t="str">
        <f>Tabella1[[#This Row],[Denominazione]]&amp;" - "&amp;Tabella1[[#This Row],[Città]]</f>
        <v>B&amp;B MARIA POLISIA CIABATTONI - ARQUATA DEL TRONTO</v>
      </c>
    </row>
    <row r="1770" spans="1:8" x14ac:dyDescent="0.25">
      <c r="A1770" s="1" t="s">
        <v>29</v>
      </c>
      <c r="B1770" s="1" t="s">
        <v>14474</v>
      </c>
      <c r="C1770" s="1" t="s">
        <v>14475</v>
      </c>
      <c r="D1770" s="1" t="s">
        <v>14428</v>
      </c>
      <c r="E1770" s="1" t="s">
        <v>14428</v>
      </c>
      <c r="F1770" s="1" t="s">
        <v>14476</v>
      </c>
      <c r="G1770" s="1" t="s">
        <v>14477</v>
      </c>
      <c r="H1770" s="2" t="str">
        <f>Tabella1[[#This Row],[Denominazione]]&amp;" - "&amp;Tabella1[[#This Row],[Città]]</f>
        <v>B&amp;B MARIA ROSA SCICOLONE - ACQUAVIVA PICENA</v>
      </c>
    </row>
    <row r="1771" spans="1:8" x14ac:dyDescent="0.25">
      <c r="A1771" s="1" t="s">
        <v>29</v>
      </c>
      <c r="B1771" s="1" t="s">
        <v>7524</v>
      </c>
      <c r="C1771" s="1" t="s">
        <v>7525</v>
      </c>
      <c r="D1771" s="1" t="s">
        <v>7385</v>
      </c>
      <c r="E1771" s="1" t="s">
        <v>7526</v>
      </c>
      <c r="F1771" s="1" t="s">
        <v>7527</v>
      </c>
      <c r="G1771" s="1" t="s">
        <v>7528</v>
      </c>
      <c r="H1771" s="2" t="str">
        <f>Tabella1[[#This Row],[Denominazione]]&amp;" - "&amp;Tabella1[[#This Row],[Città]]</f>
        <v>B&amp;B MARIABELLA DI CATRARO FRANCESCO - LORETO</v>
      </c>
    </row>
    <row r="1772" spans="1:8" x14ac:dyDescent="0.25">
      <c r="A1772" s="1" t="s">
        <v>29</v>
      </c>
      <c r="B1772" s="1" t="s">
        <v>3141</v>
      </c>
      <c r="C1772" s="1" t="s">
        <v>3142</v>
      </c>
      <c r="D1772" s="1" t="s">
        <v>3131</v>
      </c>
      <c r="F1772" s="1" t="s">
        <v>3143</v>
      </c>
      <c r="G1772" s="1" t="s">
        <v>3144</v>
      </c>
      <c r="H1772" s="2" t="str">
        <f>Tabella1[[#This Row],[Denominazione]]&amp;" - "&amp;Tabella1[[#This Row],[Città]]</f>
        <v>B&amp;B MARINA SPADINI - MONTE GRIMANO TERME</v>
      </c>
    </row>
    <row r="1773" spans="1:8" x14ac:dyDescent="0.25">
      <c r="A1773" s="1" t="s">
        <v>29</v>
      </c>
      <c r="B1773" s="1" t="s">
        <v>48</v>
      </c>
      <c r="C1773" s="1" t="s">
        <v>49</v>
      </c>
      <c r="D1773" s="1" t="s">
        <v>15</v>
      </c>
      <c r="E1773" s="1" t="s">
        <v>15</v>
      </c>
      <c r="F1773" s="1" t="s">
        <v>50</v>
      </c>
      <c r="G1773" s="1" t="s">
        <v>51</v>
      </c>
      <c r="H1773" s="2" t="str">
        <f>Tabella1[[#This Row],[Denominazione]]&amp;" - "&amp;Tabella1[[#This Row],[Città]]</f>
        <v>B&amp;B MARTELLONI CESARE - ACQUALAGNA</v>
      </c>
    </row>
    <row r="1774" spans="1:8" x14ac:dyDescent="0.25">
      <c r="A1774" s="1" t="s">
        <v>29</v>
      </c>
      <c r="B1774" s="1" t="s">
        <v>1341</v>
      </c>
      <c r="C1774" s="1" t="s">
        <v>1342</v>
      </c>
      <c r="D1774" s="1" t="s">
        <v>682</v>
      </c>
      <c r="E1774" s="1" t="s">
        <v>1343</v>
      </c>
      <c r="G1774" s="1" t="s">
        <v>1344</v>
      </c>
      <c r="H1774" s="2" t="str">
        <f>Tabella1[[#This Row],[Denominazione]]&amp;" - "&amp;Tabella1[[#This Row],[Città]]</f>
        <v>B&amp;B MATRIOSKA - FANO</v>
      </c>
    </row>
    <row r="1775" spans="1:8" x14ac:dyDescent="0.25">
      <c r="A1775" s="1" t="s">
        <v>29</v>
      </c>
      <c r="B1775" s="1" t="s">
        <v>11275</v>
      </c>
      <c r="C1775" s="1" t="s">
        <v>11276</v>
      </c>
      <c r="D1775" s="1" t="s">
        <v>11244</v>
      </c>
      <c r="G1775" s="1" t="s">
        <v>11277</v>
      </c>
      <c r="H1775" s="2" t="str">
        <f>Tabella1[[#This Row],[Denominazione]]&amp;" - "&amp;Tabella1[[#This Row],[Città]]</f>
        <v>B&amp;B MATTIA MERCURI - CIVITANOVA MARCHE</v>
      </c>
    </row>
    <row r="1776" spans="1:8" x14ac:dyDescent="0.25">
      <c r="A1776" s="1" t="s">
        <v>29</v>
      </c>
      <c r="B1776" s="1" t="s">
        <v>2646</v>
      </c>
      <c r="C1776" s="1" t="s">
        <v>2647</v>
      </c>
      <c r="D1776" s="1" t="s">
        <v>2594</v>
      </c>
      <c r="G1776" s="1" t="s">
        <v>2648</v>
      </c>
      <c r="H1776" s="2" t="str">
        <f>Tabella1[[#This Row],[Denominazione]]&amp;" - "&amp;Tabella1[[#This Row],[Città]]</f>
        <v>B&amp;B MAURIZIO BALDUCCI - MERCATELLO SUL METAURO</v>
      </c>
    </row>
    <row r="1777" spans="1:8" x14ac:dyDescent="0.25">
      <c r="A1777" s="1" t="s">
        <v>29</v>
      </c>
      <c r="B1777" s="1" t="s">
        <v>15237</v>
      </c>
      <c r="C1777" s="1" t="s">
        <v>15238</v>
      </c>
      <c r="D1777" s="1" t="s">
        <v>15226</v>
      </c>
      <c r="E1777" s="1" t="s">
        <v>15239</v>
      </c>
      <c r="F1777" s="1" t="s">
        <v>15240</v>
      </c>
      <c r="G1777" s="1" t="s">
        <v>15241</v>
      </c>
      <c r="H1777" s="2" t="str">
        <f>Tabella1[[#This Row],[Denominazione]]&amp;" - "&amp;Tabella1[[#This Row],[Città]]</f>
        <v>B&amp;B MELLON - COLLI DEL TRONTO</v>
      </c>
    </row>
    <row r="1778" spans="1:8" x14ac:dyDescent="0.25">
      <c r="A1778" s="1" t="s">
        <v>29</v>
      </c>
      <c r="B1778" s="1" t="s">
        <v>14989</v>
      </c>
      <c r="C1778" s="1" t="s">
        <v>14990</v>
      </c>
      <c r="D1778" s="1" t="s">
        <v>14576</v>
      </c>
      <c r="G1778" s="1" t="s">
        <v>14991</v>
      </c>
      <c r="H1778" s="2" t="str">
        <f>Tabella1[[#This Row],[Denominazione]]&amp;" - "&amp;Tabella1[[#This Row],[Città]]</f>
        <v>B&amp;B MERCURI SILVIA - ASCOLI PICENO</v>
      </c>
    </row>
    <row r="1779" spans="1:8" x14ac:dyDescent="0.25">
      <c r="A1779" s="1" t="s">
        <v>29</v>
      </c>
      <c r="B1779" s="1" t="s">
        <v>1091</v>
      </c>
      <c r="C1779" s="1" t="s">
        <v>1092</v>
      </c>
      <c r="D1779" s="1" t="s">
        <v>682</v>
      </c>
      <c r="E1779" s="1" t="s">
        <v>682</v>
      </c>
      <c r="G1779" s="1" t="s">
        <v>1093</v>
      </c>
      <c r="H1779" s="2" t="str">
        <f>Tabella1[[#This Row],[Denominazione]]&amp;" - "&amp;Tabella1[[#This Row],[Città]]</f>
        <v>B&amp;B MERISTELLA - FANO</v>
      </c>
    </row>
    <row r="1780" spans="1:8" x14ac:dyDescent="0.25">
      <c r="A1780" s="1" t="s">
        <v>29</v>
      </c>
      <c r="B1780" s="1" t="s">
        <v>867</v>
      </c>
      <c r="C1780" s="1" t="s">
        <v>868</v>
      </c>
      <c r="D1780" s="1" t="s">
        <v>682</v>
      </c>
      <c r="F1780" s="1" t="s">
        <v>869</v>
      </c>
      <c r="G1780" s="1" t="s">
        <v>870</v>
      </c>
      <c r="H1780" s="2" t="str">
        <f>Tabella1[[#This Row],[Denominazione]]&amp;" - "&amp;Tabella1[[#This Row],[Città]]</f>
        <v>B&amp;B MERY'S HOUSE - FANO</v>
      </c>
    </row>
    <row r="1781" spans="1:8" x14ac:dyDescent="0.25">
      <c r="A1781" s="1" t="s">
        <v>29</v>
      </c>
      <c r="B1781" s="1" t="s">
        <v>13566</v>
      </c>
      <c r="C1781" s="1" t="s">
        <v>13567</v>
      </c>
      <c r="D1781" s="1" t="s">
        <v>13548</v>
      </c>
      <c r="E1781" s="1" t="s">
        <v>13548</v>
      </c>
      <c r="G1781" s="1" t="s">
        <v>13561</v>
      </c>
      <c r="H1781" s="2" t="str">
        <f>Tabella1[[#This Row],[Denominazione]]&amp;" - "&amp;Tabella1[[#This Row],[Città]]</f>
        <v>B&amp;B MEZZOBAIOCCO - SAN SEVERINO MARCHE</v>
      </c>
    </row>
    <row r="1782" spans="1:8" x14ac:dyDescent="0.25">
      <c r="A1782" s="1" t="s">
        <v>29</v>
      </c>
      <c r="B1782" s="1" t="s">
        <v>18595</v>
      </c>
      <c r="C1782" s="1" t="s">
        <v>18596</v>
      </c>
      <c r="D1782" s="1" t="s">
        <v>18589</v>
      </c>
      <c r="E1782" s="1" t="s">
        <v>18589</v>
      </c>
      <c r="G1782" s="1" t="s">
        <v>18597</v>
      </c>
      <c r="H1782" s="2" t="str">
        <f>Tabella1[[#This Row],[Denominazione]]&amp;" - "&amp;Tabella1[[#This Row],[Città]]</f>
        <v>B&amp;B MILLE UNA NOTTE - MONTE GIBERTO</v>
      </c>
    </row>
    <row r="1783" spans="1:8" x14ac:dyDescent="0.25">
      <c r="A1783" s="1" t="s">
        <v>29</v>
      </c>
      <c r="B1783" s="1" t="s">
        <v>13373</v>
      </c>
      <c r="C1783" s="1" t="s">
        <v>13374</v>
      </c>
      <c r="D1783" s="1" t="s">
        <v>13298</v>
      </c>
      <c r="E1783" s="1" t="s">
        <v>13298</v>
      </c>
      <c r="F1783" s="1" t="s">
        <v>13375</v>
      </c>
      <c r="G1783" s="1" t="s">
        <v>13376</v>
      </c>
      <c r="H1783" s="2" t="str">
        <f>Tabella1[[#This Row],[Denominazione]]&amp;" - "&amp;Tabella1[[#This Row],[Città]]</f>
        <v>B&amp;B MILLEFIORI - RECANATI</v>
      </c>
    </row>
    <row r="1784" spans="1:8" x14ac:dyDescent="0.25">
      <c r="A1784" s="1" t="s">
        <v>29</v>
      </c>
      <c r="B1784" s="1" t="s">
        <v>11388</v>
      </c>
      <c r="C1784" s="1" t="s">
        <v>11389</v>
      </c>
      <c r="D1784" s="1" t="s">
        <v>11244</v>
      </c>
      <c r="E1784" s="1" t="s">
        <v>11244</v>
      </c>
      <c r="F1784" s="1" t="s">
        <v>11390</v>
      </c>
      <c r="G1784" s="1" t="s">
        <v>11391</v>
      </c>
      <c r="H1784" s="2" t="str">
        <f>Tabella1[[#This Row],[Denominazione]]&amp;" - "&amp;Tabella1[[#This Row],[Città]]</f>
        <v>B&amp;B MILU' - CIVITANOVA MARCHE</v>
      </c>
    </row>
    <row r="1785" spans="1:8" x14ac:dyDescent="0.25">
      <c r="A1785" s="1" t="s">
        <v>29</v>
      </c>
      <c r="B1785" s="1" t="s">
        <v>14747</v>
      </c>
      <c r="C1785" s="1" t="s">
        <v>14748</v>
      </c>
      <c r="D1785" s="1" t="s">
        <v>14576</v>
      </c>
      <c r="E1785" s="1" t="s">
        <v>14749</v>
      </c>
      <c r="F1785" s="1" t="s">
        <v>14750</v>
      </c>
      <c r="G1785" s="1" t="s">
        <v>14751</v>
      </c>
      <c r="H1785" s="2" t="str">
        <f>Tabella1[[#This Row],[Denominazione]]&amp;" - "&amp;Tabella1[[#This Row],[Città]]</f>
        <v>B&amp;B MIMI' E COCO' - ASCOLI PICENO</v>
      </c>
    </row>
    <row r="1786" spans="1:8" x14ac:dyDescent="0.25">
      <c r="A1786" s="1" t="s">
        <v>29</v>
      </c>
      <c r="B1786" s="1" t="s">
        <v>5248</v>
      </c>
      <c r="C1786" s="1" t="s">
        <v>5142</v>
      </c>
      <c r="D1786" s="1" t="s">
        <v>9</v>
      </c>
      <c r="E1786" s="1" t="s">
        <v>9</v>
      </c>
      <c r="G1786" s="1" t="s">
        <v>5249</v>
      </c>
      <c r="H1786" s="2" t="str">
        <f>Tabella1[[#This Row],[Denominazione]]&amp;" - "&amp;Tabella1[[#This Row],[Città]]</f>
        <v>B&amp;B MINIERA - CASA ROSSA - URBINO</v>
      </c>
    </row>
    <row r="1787" spans="1:8" x14ac:dyDescent="0.25">
      <c r="A1787" s="1" t="s">
        <v>29</v>
      </c>
      <c r="B1787" s="1" t="s">
        <v>9476</v>
      </c>
      <c r="C1787" s="1" t="s">
        <v>9477</v>
      </c>
      <c r="D1787" s="1" t="s">
        <v>8949</v>
      </c>
      <c r="E1787" s="1" t="s">
        <v>8949</v>
      </c>
      <c r="G1787" s="1" t="s">
        <v>9478</v>
      </c>
      <c r="H1787" s="2" t="str">
        <f>Tabella1[[#This Row],[Denominazione]]&amp;" - "&amp;Tabella1[[#This Row],[Città]]</f>
        <v>B&amp;B MISTRETTA ROSSANA - SENIGALLIA</v>
      </c>
    </row>
    <row r="1788" spans="1:8" x14ac:dyDescent="0.25">
      <c r="A1788" s="1" t="s">
        <v>29</v>
      </c>
      <c r="B1788" s="1" t="s">
        <v>134</v>
      </c>
      <c r="C1788" s="1" t="s">
        <v>135</v>
      </c>
      <c r="D1788" s="1" t="s">
        <v>102</v>
      </c>
      <c r="E1788" s="1" t="s">
        <v>102</v>
      </c>
      <c r="G1788" s="1" t="s">
        <v>136</v>
      </c>
      <c r="H1788" s="2" t="str">
        <f>Tabella1[[#This Row],[Denominazione]]&amp;" - "&amp;Tabella1[[#This Row],[Città]]</f>
        <v>B&amp;B MOCHI EDMONDO ADOLFO FEDERICO - APECCHIO</v>
      </c>
    </row>
    <row r="1789" spans="1:8" x14ac:dyDescent="0.25">
      <c r="A1789" s="1" t="s">
        <v>29</v>
      </c>
      <c r="B1789" s="1" t="s">
        <v>453</v>
      </c>
      <c r="C1789" s="1" t="s">
        <v>454</v>
      </c>
      <c r="D1789" s="1" t="s">
        <v>316</v>
      </c>
      <c r="G1789" s="1" t="s">
        <v>455</v>
      </c>
      <c r="H1789" s="2" t="str">
        <f>Tabella1[[#This Row],[Denominazione]]&amp;" - "&amp;Tabella1[[#This Row],[Città]]</f>
        <v>B&amp;B MONSERCHIO - CAGLI</v>
      </c>
    </row>
    <row r="1790" spans="1:8" x14ac:dyDescent="0.25">
      <c r="A1790" s="1" t="s">
        <v>29</v>
      </c>
      <c r="B1790" s="1" t="s">
        <v>4386</v>
      </c>
      <c r="C1790" s="1" t="s">
        <v>4387</v>
      </c>
      <c r="D1790" s="1" t="s">
        <v>4359</v>
      </c>
      <c r="E1790" s="1" t="s">
        <v>4388</v>
      </c>
      <c r="G1790" s="1" t="s">
        <v>4389</v>
      </c>
      <c r="H1790" s="2" t="str">
        <f>Tabella1[[#This Row],[Denominazione]]&amp;" - "&amp;Tabella1[[#This Row],[Città]]</f>
        <v>B&amp;B MONTANARI MARINA - SAN LORENZO IN CAMPO</v>
      </c>
    </row>
    <row r="1791" spans="1:8" x14ac:dyDescent="0.25">
      <c r="A1791" s="1" t="s">
        <v>29</v>
      </c>
      <c r="B1791" s="1" t="s">
        <v>17986</v>
      </c>
      <c r="C1791" s="1" t="s">
        <v>17987</v>
      </c>
      <c r="D1791" s="1" t="s">
        <v>17932</v>
      </c>
      <c r="E1791" s="1" t="s">
        <v>17932</v>
      </c>
      <c r="H1791" s="2" t="str">
        <f>Tabella1[[#This Row],[Denominazione]]&amp;" - "&amp;Tabella1[[#This Row],[Città]]</f>
        <v>B&amp;B MONTANINI ROBERTO - FERMO</v>
      </c>
    </row>
    <row r="1792" spans="1:8" x14ac:dyDescent="0.25">
      <c r="A1792" s="1" t="s">
        <v>29</v>
      </c>
      <c r="B1792" s="1" t="s">
        <v>5327</v>
      </c>
      <c r="C1792" s="1" t="s">
        <v>5328</v>
      </c>
      <c r="D1792" s="1" t="s">
        <v>9</v>
      </c>
      <c r="G1792" s="1" t="s">
        <v>5329</v>
      </c>
      <c r="H1792" s="2" t="str">
        <f>Tabella1[[#This Row],[Denominazione]]&amp;" - "&amp;Tabella1[[#This Row],[Città]]</f>
        <v>B&amp;B MONTE DELLE ALLODOLE - URBINO</v>
      </c>
    </row>
    <row r="1793" spans="1:8" x14ac:dyDescent="0.25">
      <c r="A1793" s="1" t="s">
        <v>29</v>
      </c>
      <c r="B1793" s="1" t="s">
        <v>16597</v>
      </c>
      <c r="D1793" s="1" t="s">
        <v>16585</v>
      </c>
      <c r="E1793" s="1" t="s">
        <v>16585</v>
      </c>
      <c r="G1793" s="1" t="s">
        <v>16598</v>
      </c>
      <c r="H1793" s="2" t="str">
        <f>Tabella1[[#This Row],[Denominazione]]&amp;" - "&amp;Tabella1[[#This Row],[Città]]</f>
        <v>B&amp;B MONTE GUSCIO - RIPATRANSONE</v>
      </c>
    </row>
    <row r="1794" spans="1:8" x14ac:dyDescent="0.25">
      <c r="A1794" s="1" t="s">
        <v>29</v>
      </c>
      <c r="B1794" s="1" t="s">
        <v>5782</v>
      </c>
      <c r="C1794" s="1" t="s">
        <v>5783</v>
      </c>
      <c r="D1794" s="1" t="s">
        <v>1864</v>
      </c>
      <c r="E1794" s="1" t="s">
        <v>1864</v>
      </c>
      <c r="G1794" s="1" t="s">
        <v>5784</v>
      </c>
      <c r="H1794" s="2" t="str">
        <f>Tabella1[[#This Row],[Denominazione]]&amp;" - "&amp;Tabella1[[#This Row],[Città]]</f>
        <v>B&amp;B MONTE MARE di SAURO CORINALDESI - ANCONA</v>
      </c>
    </row>
    <row r="1795" spans="1:8" x14ac:dyDescent="0.25">
      <c r="A1795" s="1" t="s">
        <v>29</v>
      </c>
      <c r="B1795" s="1" t="s">
        <v>4737</v>
      </c>
      <c r="D1795" s="1" t="s">
        <v>4735</v>
      </c>
      <c r="E1795" s="1" t="s">
        <v>4738</v>
      </c>
      <c r="F1795" s="1" t="s">
        <v>4739</v>
      </c>
      <c r="G1795" s="1" t="s">
        <v>4740</v>
      </c>
      <c r="H1795" s="2" t="str">
        <f>Tabella1[[#This Row],[Denominazione]]&amp;" - "&amp;Tabella1[[#This Row],[Città]]</f>
        <v>B&amp;B MONTE SAN PIETRO - URBANIA</v>
      </c>
    </row>
    <row r="1796" spans="1:8" x14ac:dyDescent="0.25">
      <c r="A1796" s="1" t="s">
        <v>29</v>
      </c>
      <c r="B1796" s="1" t="s">
        <v>12318</v>
      </c>
      <c r="C1796" s="1" t="s">
        <v>12319</v>
      </c>
      <c r="D1796" s="1" t="s">
        <v>12290</v>
      </c>
      <c r="F1796" s="1" t="s">
        <v>12320</v>
      </c>
      <c r="G1796" s="1" t="s">
        <v>12321</v>
      </c>
      <c r="H1796" s="2" t="str">
        <f>Tabella1[[#This Row],[Denominazione]]&amp;" - "&amp;Tabella1[[#This Row],[Città]]</f>
        <v>B&amp;B MONTECHIARO DI LENTI RITA - MOGLIANO</v>
      </c>
    </row>
    <row r="1797" spans="1:8" x14ac:dyDescent="0.25">
      <c r="A1797" s="1" t="s">
        <v>29</v>
      </c>
      <c r="B1797" s="1" t="s">
        <v>12420</v>
      </c>
      <c r="C1797" s="1" t="s">
        <v>12421</v>
      </c>
      <c r="D1797" s="1" t="s">
        <v>12382</v>
      </c>
      <c r="E1797" s="1" t="s">
        <v>12422</v>
      </c>
      <c r="F1797" s="1" t="s">
        <v>12423</v>
      </c>
      <c r="G1797" s="1" t="s">
        <v>12424</v>
      </c>
      <c r="H1797" s="2" t="str">
        <f>Tabella1[[#This Row],[Denominazione]]&amp;" - "&amp;Tabella1[[#This Row],[Città]]</f>
        <v>B&amp;B MONTECOSARO - MONTECOSARO</v>
      </c>
    </row>
    <row r="1798" spans="1:8" x14ac:dyDescent="0.25">
      <c r="A1798" s="1" t="s">
        <v>29</v>
      </c>
      <c r="B1798" s="1" t="s">
        <v>4339</v>
      </c>
      <c r="C1798" s="1" t="s">
        <v>4340</v>
      </c>
      <c r="D1798" s="1" t="s">
        <v>4341</v>
      </c>
      <c r="G1798" s="1" t="s">
        <v>4342</v>
      </c>
      <c r="H1798" s="2" t="str">
        <f>Tabella1[[#This Row],[Denominazione]]&amp;" - "&amp;Tabella1[[#This Row],[Città]]</f>
        <v>B&amp;B MONTECUCCO - SAN GIORGIO DI PESARO</v>
      </c>
    </row>
    <row r="1799" spans="1:8" x14ac:dyDescent="0.25">
      <c r="A1799" s="1" t="s">
        <v>29</v>
      </c>
      <c r="B1799" s="1" t="s">
        <v>8577</v>
      </c>
      <c r="C1799" s="1" t="s">
        <v>8578</v>
      </c>
      <c r="D1799" s="1" t="s">
        <v>8454</v>
      </c>
      <c r="E1799" s="1" t="s">
        <v>809</v>
      </c>
      <c r="F1799" s="1" t="s">
        <v>8579</v>
      </c>
      <c r="G1799" s="1" t="s">
        <v>8580</v>
      </c>
      <c r="H1799" s="2" t="str">
        <f>Tabella1[[#This Row],[Denominazione]]&amp;" - "&amp;Tabella1[[#This Row],[Città]]</f>
        <v>B&amp;B MONTEGALLO - OSIMO</v>
      </c>
    </row>
    <row r="1800" spans="1:8" x14ac:dyDescent="0.25">
      <c r="A1800" s="1" t="s">
        <v>29</v>
      </c>
      <c r="B1800" s="1" t="s">
        <v>12489</v>
      </c>
      <c r="C1800" s="1" t="s">
        <v>12490</v>
      </c>
      <c r="D1800" s="1" t="s">
        <v>12459</v>
      </c>
      <c r="E1800" s="1" t="s">
        <v>12459</v>
      </c>
      <c r="F1800" s="1" t="s">
        <v>12491</v>
      </c>
      <c r="G1800" s="1" t="s">
        <v>12492</v>
      </c>
      <c r="H1800" s="2" t="str">
        <f>Tabella1[[#This Row],[Denominazione]]&amp;" - "&amp;Tabella1[[#This Row],[Città]]</f>
        <v>B&amp;B MONTELUPONE di ANTONIO BEDINI - MONTELUPONE</v>
      </c>
    </row>
    <row r="1801" spans="1:8" x14ac:dyDescent="0.25">
      <c r="A1801" s="1" t="s">
        <v>29</v>
      </c>
      <c r="B1801" s="1" t="s">
        <v>14818</v>
      </c>
      <c r="C1801" s="1" t="s">
        <v>14819</v>
      </c>
      <c r="D1801" s="1" t="s">
        <v>14576</v>
      </c>
      <c r="E1801" s="1" t="s">
        <v>14576</v>
      </c>
      <c r="F1801" s="1" t="s">
        <v>14820</v>
      </c>
      <c r="G1801" s="1" t="s">
        <v>14821</v>
      </c>
      <c r="H1801" s="2" t="str">
        <f>Tabella1[[#This Row],[Denominazione]]&amp;" - "&amp;Tabella1[[#This Row],[Città]]</f>
        <v>B&amp;B MONTEROCCO - ASCOLI PICENO</v>
      </c>
    </row>
    <row r="1802" spans="1:8" x14ac:dyDescent="0.25">
      <c r="A1802" s="1" t="s">
        <v>29</v>
      </c>
      <c r="B1802" s="1" t="s">
        <v>6373</v>
      </c>
      <c r="C1802" s="1" t="s">
        <v>6374</v>
      </c>
      <c r="D1802" s="1" t="s">
        <v>6371</v>
      </c>
      <c r="G1802" s="1" t="s">
        <v>6375</v>
      </c>
      <c r="H1802" s="2" t="str">
        <f>Tabella1[[#This Row],[Denominazione]]&amp;" - "&amp;Tabella1[[#This Row],[Città]]</f>
        <v>B&amp;B MONTESSORI - CASTELFIDARDO</v>
      </c>
    </row>
    <row r="1803" spans="1:8" x14ac:dyDescent="0.25">
      <c r="A1803" s="1" t="s">
        <v>29</v>
      </c>
      <c r="B1803" s="1" t="s">
        <v>345</v>
      </c>
      <c r="C1803" s="1" t="s">
        <v>346</v>
      </c>
      <c r="D1803" s="1" t="s">
        <v>316</v>
      </c>
      <c r="G1803" s="1" t="s">
        <v>347</v>
      </c>
      <c r="H1803" s="2" t="str">
        <f>Tabella1[[#This Row],[Denominazione]]&amp;" - "&amp;Tabella1[[#This Row],[Città]]</f>
        <v>B&amp;B MORETTI GIUSEPPE - CAGLI</v>
      </c>
    </row>
    <row r="1804" spans="1:8" x14ac:dyDescent="0.25">
      <c r="A1804" s="1" t="s">
        <v>29</v>
      </c>
      <c r="B1804" s="1" t="s">
        <v>14757</v>
      </c>
      <c r="C1804" s="1" t="s">
        <v>14758</v>
      </c>
      <c r="D1804" s="1" t="s">
        <v>14576</v>
      </c>
      <c r="G1804" s="1" t="s">
        <v>14759</v>
      </c>
      <c r="H1804" s="2" t="str">
        <f>Tabella1[[#This Row],[Denominazione]]&amp;" - "&amp;Tabella1[[#This Row],[Città]]</f>
        <v>B&amp;B MOSCA BIANCA - ASCOLI PICENO</v>
      </c>
    </row>
    <row r="1805" spans="1:8" x14ac:dyDescent="0.25">
      <c r="A1805" s="1" t="s">
        <v>29</v>
      </c>
      <c r="B1805" s="1" t="s">
        <v>18288</v>
      </c>
      <c r="C1805" s="1" t="s">
        <v>18289</v>
      </c>
      <c r="D1805" s="1" t="s">
        <v>17932</v>
      </c>
      <c r="G1805" s="1" t="s">
        <v>18290</v>
      </c>
      <c r="H1805" s="2" t="str">
        <f>Tabella1[[#This Row],[Denominazione]]&amp;" - "&amp;Tabella1[[#This Row],[Città]]</f>
        <v>B&amp;B MOZZORECCHIA MARINO - FERMO</v>
      </c>
    </row>
    <row r="1806" spans="1:8" x14ac:dyDescent="0.25">
      <c r="A1806" s="1" t="s">
        <v>29</v>
      </c>
      <c r="B1806" s="1" t="s">
        <v>18291</v>
      </c>
      <c r="C1806" s="1" t="s">
        <v>18289</v>
      </c>
      <c r="D1806" s="1" t="s">
        <v>17932</v>
      </c>
      <c r="G1806" s="1" t="s">
        <v>18290</v>
      </c>
      <c r="H1806" s="2" t="str">
        <f>Tabella1[[#This Row],[Denominazione]]&amp;" - "&amp;Tabella1[[#This Row],[Città]]</f>
        <v>B&amp;B MOZZORECCHIA MARIO - FERMO</v>
      </c>
    </row>
    <row r="1807" spans="1:8" x14ac:dyDescent="0.25">
      <c r="A1807" s="1" t="s">
        <v>29</v>
      </c>
      <c r="B1807" s="1" t="s">
        <v>6700</v>
      </c>
      <c r="C1807" s="1" t="s">
        <v>6697</v>
      </c>
      <c r="D1807" s="1" t="s">
        <v>6652</v>
      </c>
      <c r="E1807" s="1" t="s">
        <v>6652</v>
      </c>
      <c r="F1807" s="1" t="s">
        <v>6698</v>
      </c>
      <c r="G1807" s="1" t="s">
        <v>6699</v>
      </c>
      <c r="H1807" s="2" t="str">
        <f>Tabella1[[#This Row],[Denominazione]]&amp;" - "&amp;Tabella1[[#This Row],[Città]]</f>
        <v>B&amp;B MULINO BARCHIO di ENZO FAZIO - CUPRAMONTANA</v>
      </c>
    </row>
    <row r="1808" spans="1:8" x14ac:dyDescent="0.25">
      <c r="A1808" s="1" t="s">
        <v>29</v>
      </c>
      <c r="B1808" s="1" t="s">
        <v>6696</v>
      </c>
      <c r="C1808" s="1" t="s">
        <v>6697</v>
      </c>
      <c r="D1808" s="1" t="s">
        <v>6652</v>
      </c>
      <c r="E1808" s="1" t="s">
        <v>6652</v>
      </c>
      <c r="F1808" s="1" t="s">
        <v>6698</v>
      </c>
      <c r="G1808" s="1" t="s">
        <v>6699</v>
      </c>
      <c r="H1808" s="2" t="str">
        <f>Tabella1[[#This Row],[Denominazione]]&amp;" - "&amp;Tabella1[[#This Row],[Città]]</f>
        <v>B&amp;B MULINO BARCHIO di PATRICK HOULIHAN - CUPRAMONTANA</v>
      </c>
    </row>
    <row r="1809" spans="1:8" x14ac:dyDescent="0.25">
      <c r="A1809" s="1" t="s">
        <v>29</v>
      </c>
      <c r="B1809" s="1" t="s">
        <v>12764</v>
      </c>
      <c r="C1809" s="1" t="s">
        <v>12765</v>
      </c>
      <c r="D1809" s="1" t="s">
        <v>12766</v>
      </c>
      <c r="E1809" s="1" t="s">
        <v>12767</v>
      </c>
      <c r="F1809" s="1" t="s">
        <v>12768</v>
      </c>
      <c r="G1809" s="1" t="s">
        <v>12769</v>
      </c>
      <c r="H1809" s="2" t="str">
        <f>Tabella1[[#This Row],[Denominazione]]&amp;" - "&amp;Tabella1[[#This Row],[Città]]</f>
        <v>B&amp;B MULINO BIANCO - POGGIO SAN VICINO</v>
      </c>
    </row>
    <row r="1810" spans="1:8" x14ac:dyDescent="0.25">
      <c r="A1810" s="1" t="s">
        <v>29</v>
      </c>
      <c r="B1810" s="1" t="s">
        <v>4759</v>
      </c>
      <c r="C1810" s="1" t="s">
        <v>4760</v>
      </c>
      <c r="D1810" s="1" t="s">
        <v>4735</v>
      </c>
      <c r="E1810" s="1" t="s">
        <v>4761</v>
      </c>
      <c r="F1810" s="1" t="s">
        <v>4762</v>
      </c>
      <c r="G1810" s="1" t="s">
        <v>4763</v>
      </c>
      <c r="H1810" s="2" t="str">
        <f>Tabella1[[#This Row],[Denominazione]]&amp;" - "&amp;Tabella1[[#This Row],[Città]]</f>
        <v>B&amp;B MULINO DELLA RICAVATA - URBANIA</v>
      </c>
    </row>
    <row r="1811" spans="1:8" x14ac:dyDescent="0.25">
      <c r="A1811" s="1" t="s">
        <v>29</v>
      </c>
      <c r="B1811" s="1" t="s">
        <v>17671</v>
      </c>
      <c r="C1811" s="1" t="s">
        <v>17672</v>
      </c>
      <c r="D1811" s="1" t="s">
        <v>17659</v>
      </c>
      <c r="F1811" s="1" t="s">
        <v>17673</v>
      </c>
      <c r="G1811" s="1" t="s">
        <v>17674</v>
      </c>
      <c r="H1811" s="2" t="str">
        <f>Tabella1[[#This Row],[Denominazione]]&amp;" - "&amp;Tabella1[[#This Row],[Città]]</f>
        <v>B&amp;B NARDONI - SPINETOLI</v>
      </c>
    </row>
    <row r="1812" spans="1:8" x14ac:dyDescent="0.25">
      <c r="A1812" s="1" t="s">
        <v>29</v>
      </c>
      <c r="B1812" s="1" t="s">
        <v>11395</v>
      </c>
      <c r="C1812" s="1" t="s">
        <v>11396</v>
      </c>
      <c r="D1812" s="1" t="s">
        <v>11244</v>
      </c>
      <c r="E1812" s="1" t="s">
        <v>11347</v>
      </c>
      <c r="F1812" s="1" t="s">
        <v>11397</v>
      </c>
      <c r="G1812" s="1" t="s">
        <v>11398</v>
      </c>
      <c r="H1812" s="2" t="str">
        <f>Tabella1[[#This Row],[Denominazione]]&amp;" - "&amp;Tabella1[[#This Row],[Città]]</f>
        <v>B&amp;B NATURE COLORS - CIVITANOVA MARCHE</v>
      </c>
    </row>
    <row r="1813" spans="1:8" x14ac:dyDescent="0.25">
      <c r="A1813" s="1" t="s">
        <v>29</v>
      </c>
      <c r="B1813" s="1" t="s">
        <v>14370</v>
      </c>
      <c r="C1813" s="1" t="s">
        <v>14371</v>
      </c>
      <c r="D1813" s="1" t="s">
        <v>14334</v>
      </c>
      <c r="E1813" s="1" t="s">
        <v>14334</v>
      </c>
      <c r="G1813" s="1" t="s">
        <v>14372</v>
      </c>
      <c r="H1813" s="2" t="str">
        <f>Tabella1[[#This Row],[Denominazione]]&amp;" - "&amp;Tabella1[[#This Row],[Città]]</f>
        <v>B&amp;B NEPI MARIA ASSUNTA - ACQUASANTA TERME</v>
      </c>
    </row>
    <row r="1814" spans="1:8" x14ac:dyDescent="0.25">
      <c r="A1814" s="1" t="s">
        <v>29</v>
      </c>
      <c r="B1814" s="1" t="s">
        <v>11198</v>
      </c>
      <c r="C1814" s="1" t="s">
        <v>11199</v>
      </c>
      <c r="D1814" s="1" t="s">
        <v>11058</v>
      </c>
      <c r="E1814" s="1" t="s">
        <v>11058</v>
      </c>
      <c r="G1814" s="1" t="s">
        <v>11200</v>
      </c>
      <c r="H1814" s="2" t="str">
        <f>Tabella1[[#This Row],[Denominazione]]&amp;" - "&amp;Tabella1[[#This Row],[Città]]</f>
        <v>B&amp;B NIDO DELLE RONDINI - CINGOLI</v>
      </c>
    </row>
    <row r="1815" spans="1:8" x14ac:dyDescent="0.25">
      <c r="A1815" s="1" t="s">
        <v>29</v>
      </c>
      <c r="B1815" s="1" t="s">
        <v>10574</v>
      </c>
      <c r="C1815" s="1" t="s">
        <v>10341</v>
      </c>
      <c r="D1815" s="1" t="s">
        <v>10519</v>
      </c>
      <c r="G1815" s="1" t="s">
        <v>10575</v>
      </c>
      <c r="H1815" s="2" t="str">
        <f>Tabella1[[#This Row],[Denominazione]]&amp;" - "&amp;Tabella1[[#This Row],[Città]]</f>
        <v>B&amp;B NIDO SULLE COLLINE - TRECASTELLI</v>
      </c>
    </row>
    <row r="1816" spans="1:8" x14ac:dyDescent="0.25">
      <c r="A1816" s="1" t="s">
        <v>29</v>
      </c>
      <c r="B1816" s="1" t="s">
        <v>3034</v>
      </c>
      <c r="C1816" s="1" t="s">
        <v>3035</v>
      </c>
      <c r="D1816" s="1" t="s">
        <v>3022</v>
      </c>
      <c r="E1816" s="1" t="s">
        <v>3022</v>
      </c>
      <c r="H1816" s="2" t="str">
        <f>Tabella1[[#This Row],[Denominazione]]&amp;" - "&amp;Tabella1[[#This Row],[Città]]</f>
        <v>B&amp;B NONNA LINDA - MONTE CERIGNONE</v>
      </c>
    </row>
    <row r="1817" spans="1:8" x14ac:dyDescent="0.25">
      <c r="A1817" s="1" t="s">
        <v>29</v>
      </c>
      <c r="B1817" s="1" t="s">
        <v>18517</v>
      </c>
      <c r="C1817" s="1" t="s">
        <v>12467</v>
      </c>
      <c r="D1817" s="1" t="s">
        <v>18499</v>
      </c>
      <c r="F1817" s="1" t="s">
        <v>18518</v>
      </c>
      <c r="G1817" s="1" t="s">
        <v>18519</v>
      </c>
      <c r="H1817" s="2" t="str">
        <f>Tabella1[[#This Row],[Denominazione]]&amp;" - "&amp;Tabella1[[#This Row],[Città]]</f>
        <v>B&amp;B NONNA LUISA - MONTEFALCONE APPENNINO</v>
      </c>
    </row>
    <row r="1818" spans="1:8" x14ac:dyDescent="0.25">
      <c r="A1818" s="1" t="s">
        <v>29</v>
      </c>
      <c r="B1818" s="1" t="s">
        <v>14414</v>
      </c>
      <c r="C1818" s="1" t="s">
        <v>14415</v>
      </c>
      <c r="D1818" s="1" t="s">
        <v>14334</v>
      </c>
      <c r="E1818" s="1" t="s">
        <v>14334</v>
      </c>
      <c r="F1818" s="1" t="s">
        <v>14416</v>
      </c>
      <c r="G1818" s="1" t="s">
        <v>14417</v>
      </c>
      <c r="H1818" s="2" t="str">
        <f>Tabella1[[#This Row],[Denominazione]]&amp;" - "&amp;Tabella1[[#This Row],[Città]]</f>
        <v>B&amp;B NONNA PIA - ACQUASANTA TERME</v>
      </c>
    </row>
    <row r="1819" spans="1:8" x14ac:dyDescent="0.25">
      <c r="A1819" s="1" t="s">
        <v>29</v>
      </c>
      <c r="B1819" s="1" t="s">
        <v>4855</v>
      </c>
      <c r="C1819" s="1" t="s">
        <v>4856</v>
      </c>
      <c r="D1819" s="1" t="s">
        <v>4735</v>
      </c>
      <c r="G1819" s="1" t="s">
        <v>4857</v>
      </c>
      <c r="H1819" s="2" t="str">
        <f>Tabella1[[#This Row],[Denominazione]]&amp;" - "&amp;Tabella1[[#This Row],[Città]]</f>
        <v>B&amp;B NONNA RINA - URBANIA</v>
      </c>
    </row>
    <row r="1820" spans="1:8" x14ac:dyDescent="0.25">
      <c r="A1820" s="1" t="s">
        <v>29</v>
      </c>
      <c r="B1820" s="1" t="s">
        <v>4855</v>
      </c>
      <c r="C1820" s="1" t="s">
        <v>9384</v>
      </c>
      <c r="D1820" s="1" t="s">
        <v>8949</v>
      </c>
      <c r="E1820" s="1" t="s">
        <v>9385</v>
      </c>
      <c r="F1820" s="1" t="s">
        <v>9386</v>
      </c>
      <c r="G1820" s="1" t="s">
        <v>9387</v>
      </c>
      <c r="H1820" s="2" t="str">
        <f>Tabella1[[#This Row],[Denominazione]]&amp;" - "&amp;Tabella1[[#This Row],[Città]]</f>
        <v>B&amp;B NONNA RINA - SENIGALLIA</v>
      </c>
    </row>
    <row r="1821" spans="1:8" x14ac:dyDescent="0.25">
      <c r="A1821" s="1" t="s">
        <v>29</v>
      </c>
      <c r="B1821" s="1" t="s">
        <v>4160</v>
      </c>
      <c r="C1821" s="1" t="s">
        <v>4161</v>
      </c>
      <c r="D1821" s="1" t="s">
        <v>4151</v>
      </c>
      <c r="E1821" s="1" t="s">
        <v>4151</v>
      </c>
      <c r="H1821" s="2" t="str">
        <f>Tabella1[[#This Row],[Denominazione]]&amp;" - "&amp;Tabella1[[#This Row],[Città]]</f>
        <v>B&amp;B NONNA VELINA - PIETRARUBBIA</v>
      </c>
    </row>
    <row r="1822" spans="1:8" x14ac:dyDescent="0.25">
      <c r="A1822" s="1" t="s">
        <v>29</v>
      </c>
      <c r="B1822" s="1" t="s">
        <v>4667</v>
      </c>
      <c r="C1822" s="1" t="s">
        <v>4668</v>
      </c>
      <c r="D1822" s="1" t="s">
        <v>4657</v>
      </c>
      <c r="E1822" s="1" t="s">
        <v>4669</v>
      </c>
      <c r="G1822" s="1" t="s">
        <v>4670</v>
      </c>
      <c r="H1822" s="2" t="str">
        <f>Tabella1[[#This Row],[Denominazione]]&amp;" - "&amp;Tabella1[[#This Row],[Città]]</f>
        <v>B&amp;B NONNA VERA - TAVULLIA</v>
      </c>
    </row>
    <row r="1823" spans="1:8" x14ac:dyDescent="0.25">
      <c r="A1823" s="1" t="s">
        <v>29</v>
      </c>
      <c r="B1823" s="1" t="s">
        <v>14923</v>
      </c>
      <c r="C1823" s="1" t="s">
        <v>14924</v>
      </c>
      <c r="D1823" s="1" t="s">
        <v>14576</v>
      </c>
      <c r="E1823" s="1" t="s">
        <v>14576</v>
      </c>
      <c r="G1823" s="1" t="s">
        <v>14925</v>
      </c>
      <c r="H1823" s="2" t="str">
        <f>Tabella1[[#This Row],[Denominazione]]&amp;" - "&amp;Tabella1[[#This Row],[Città]]</f>
        <v>B&amp;B NONNO DINO - ASCOLI PICENO</v>
      </c>
    </row>
    <row r="1824" spans="1:8" x14ac:dyDescent="0.25">
      <c r="A1824" s="1" t="s">
        <v>29</v>
      </c>
      <c r="B1824" s="1" t="s">
        <v>15977</v>
      </c>
      <c r="C1824" s="1" t="s">
        <v>15978</v>
      </c>
      <c r="D1824" s="1" t="s">
        <v>5692</v>
      </c>
      <c r="E1824" s="1" t="s">
        <v>5692</v>
      </c>
      <c r="G1824" s="1" t="s">
        <v>15979</v>
      </c>
      <c r="H1824" s="2" t="str">
        <f>Tabella1[[#This Row],[Denominazione]]&amp;" - "&amp;Tabella1[[#This Row],[Città]]</f>
        <v>B&amp;B NORMA - MASSIGNANO</v>
      </c>
    </row>
    <row r="1825" spans="1:8" x14ac:dyDescent="0.25">
      <c r="A1825" s="1" t="s">
        <v>29</v>
      </c>
      <c r="B1825" s="1" t="s">
        <v>15977</v>
      </c>
      <c r="C1825" s="1" t="s">
        <v>16218</v>
      </c>
      <c r="D1825" s="1" t="s">
        <v>16202</v>
      </c>
      <c r="E1825" s="1" t="s">
        <v>16203</v>
      </c>
      <c r="G1825" s="1" t="s">
        <v>15979</v>
      </c>
      <c r="H1825" s="2" t="str">
        <f>Tabella1[[#This Row],[Denominazione]]&amp;" - "&amp;Tabella1[[#This Row],[Città]]</f>
        <v>B&amp;B NORMA - MONTEFIORE DELL'ASO</v>
      </c>
    </row>
    <row r="1826" spans="1:8" x14ac:dyDescent="0.25">
      <c r="A1826" s="1" t="s">
        <v>29</v>
      </c>
      <c r="B1826" s="1" t="s">
        <v>8497</v>
      </c>
      <c r="C1826" s="1" t="s">
        <v>8498</v>
      </c>
      <c r="D1826" s="1" t="s">
        <v>8454</v>
      </c>
      <c r="E1826" s="1" t="s">
        <v>8454</v>
      </c>
      <c r="F1826" s="1" t="s">
        <v>8499</v>
      </c>
      <c r="G1826" s="1" t="s">
        <v>8500</v>
      </c>
      <c r="H1826" s="2" t="str">
        <f>Tabella1[[#This Row],[Denominazione]]&amp;" - "&amp;Tabella1[[#This Row],[Città]]</f>
        <v>B&amp;B NOTTEDI di FRANCESCO PIRANI - OSIMO</v>
      </c>
    </row>
    <row r="1827" spans="1:8" x14ac:dyDescent="0.25">
      <c r="A1827" s="1" t="s">
        <v>29</v>
      </c>
      <c r="B1827" s="1" t="s">
        <v>3948</v>
      </c>
      <c r="C1827" s="1" t="s">
        <v>3949</v>
      </c>
      <c r="D1827" s="1" t="s">
        <v>2386</v>
      </c>
      <c r="E1827" s="1" t="s">
        <v>2386</v>
      </c>
      <c r="G1827" s="1" t="s">
        <v>3950</v>
      </c>
      <c r="H1827" s="2" t="str">
        <f>Tabella1[[#This Row],[Denominazione]]&amp;" - "&amp;Tabella1[[#This Row],[Città]]</f>
        <v>B&amp;B NOTTI A PESARO - PESARO</v>
      </c>
    </row>
    <row r="1828" spans="1:8" x14ac:dyDescent="0.25">
      <c r="A1828" s="1" t="s">
        <v>29</v>
      </c>
      <c r="B1828" s="1" t="s">
        <v>8286</v>
      </c>
      <c r="C1828" s="1" t="s">
        <v>8287</v>
      </c>
      <c r="D1828" s="1" t="s">
        <v>7889</v>
      </c>
      <c r="E1828" s="1" t="s">
        <v>7889</v>
      </c>
      <c r="G1828" s="1" t="s">
        <v>8288</v>
      </c>
      <c r="H1828" s="2" t="str">
        <f>Tabella1[[#This Row],[Denominazione]]&amp;" - "&amp;Tabella1[[#This Row],[Città]]</f>
        <v>B&amp;B NUBICUCULIA - NUMANA</v>
      </c>
    </row>
    <row r="1829" spans="1:8" x14ac:dyDescent="0.25">
      <c r="A1829" s="1" t="s">
        <v>29</v>
      </c>
      <c r="B1829" s="1" t="s">
        <v>6839</v>
      </c>
      <c r="C1829" s="1" t="s">
        <v>6840</v>
      </c>
      <c r="D1829" s="1" t="s">
        <v>6790</v>
      </c>
      <c r="E1829" s="1" t="s">
        <v>6790</v>
      </c>
      <c r="F1829" s="1" t="s">
        <v>6841</v>
      </c>
      <c r="G1829" s="1" t="s">
        <v>6842</v>
      </c>
      <c r="H1829" s="2" t="str">
        <f>Tabella1[[#This Row],[Denominazione]]&amp;" - "&amp;Tabella1[[#This Row],[Città]]</f>
        <v>B&amp;B NUOVA LOGGIA - FABRIANO</v>
      </c>
    </row>
    <row r="1830" spans="1:8" x14ac:dyDescent="0.25">
      <c r="A1830" s="1" t="s">
        <v>29</v>
      </c>
      <c r="B1830" s="1" t="s">
        <v>19579</v>
      </c>
      <c r="C1830" s="1" t="s">
        <v>19580</v>
      </c>
      <c r="D1830" s="1" t="s">
        <v>19541</v>
      </c>
      <c r="E1830" s="1" t="s">
        <v>19581</v>
      </c>
      <c r="F1830" s="1" t="s">
        <v>19582</v>
      </c>
      <c r="G1830" s="1" t="s">
        <v>19583</v>
      </c>
      <c r="H1830" s="2" t="str">
        <f>Tabella1[[#This Row],[Denominazione]]&amp;" - "&amp;Tabella1[[#This Row],[Città]]</f>
        <v>B&amp;B OASI - SANT'ELPIDIO A MARE</v>
      </c>
    </row>
    <row r="1831" spans="1:8" x14ac:dyDescent="0.25">
      <c r="A1831" s="1" t="s">
        <v>29</v>
      </c>
      <c r="B1831" s="1" t="s">
        <v>16822</v>
      </c>
      <c r="C1831" s="1" t="s">
        <v>16823</v>
      </c>
      <c r="D1831" s="1" t="s">
        <v>15819</v>
      </c>
      <c r="F1831" s="1" t="s">
        <v>16824</v>
      </c>
      <c r="G1831" s="1" t="s">
        <v>16825</v>
      </c>
      <c r="H1831" s="2" t="str">
        <f>Tabella1[[#This Row],[Denominazione]]&amp;" - "&amp;Tabella1[[#This Row],[Città]]</f>
        <v>B&amp;B OASI 83 - SAN BENEDETTO DEL TRONTO</v>
      </c>
    </row>
    <row r="1832" spans="1:8" x14ac:dyDescent="0.25">
      <c r="A1832" s="1" t="s">
        <v>29</v>
      </c>
      <c r="B1832" s="1" t="s">
        <v>16948</v>
      </c>
      <c r="C1832" s="1" t="s">
        <v>16949</v>
      </c>
      <c r="D1832" s="1" t="s">
        <v>15819</v>
      </c>
      <c r="E1832" s="1" t="s">
        <v>16950</v>
      </c>
      <c r="G1832" s="1" t="s">
        <v>16951</v>
      </c>
      <c r="H1832" s="2" t="str">
        <f>Tabella1[[#This Row],[Denominazione]]&amp;" - "&amp;Tabella1[[#This Row],[Città]]</f>
        <v>B&amp;B OCCHI DI MARE - SAN BENEDETTO DEL TRONTO</v>
      </c>
    </row>
    <row r="1833" spans="1:8" x14ac:dyDescent="0.25">
      <c r="A1833" s="1" t="s">
        <v>29</v>
      </c>
      <c r="B1833" s="1" t="s">
        <v>14760</v>
      </c>
      <c r="C1833" s="1" t="s">
        <v>14761</v>
      </c>
      <c r="D1833" s="1" t="s">
        <v>14576</v>
      </c>
      <c r="E1833" s="1" t="s">
        <v>14656</v>
      </c>
      <c r="H1833" s="2" t="str">
        <f>Tabella1[[#This Row],[Denominazione]]&amp;" - "&amp;Tabella1[[#This Row],[Città]]</f>
        <v>B&amp;B OEHL GLORIA WILHELMINE - ASCOLI PICENO</v>
      </c>
    </row>
    <row r="1834" spans="1:8" x14ac:dyDescent="0.25">
      <c r="A1834" s="1" t="s">
        <v>29</v>
      </c>
      <c r="B1834" s="1" t="s">
        <v>17054</v>
      </c>
      <c r="C1834" s="1" t="s">
        <v>17055</v>
      </c>
      <c r="D1834" s="1" t="s">
        <v>15819</v>
      </c>
      <c r="E1834" s="1" t="s">
        <v>17056</v>
      </c>
      <c r="G1834" s="1" t="s">
        <v>17057</v>
      </c>
      <c r="H1834" s="2" t="str">
        <f>Tabella1[[#This Row],[Denominazione]]&amp;" - "&amp;Tabella1[[#This Row],[Città]]</f>
        <v>B&amp;B ON THE BEACH - SAN BENEDETTO DEL TRONTO</v>
      </c>
    </row>
    <row r="1835" spans="1:8" x14ac:dyDescent="0.25">
      <c r="A1835" s="1" t="s">
        <v>29</v>
      </c>
      <c r="B1835" s="1" t="s">
        <v>19395</v>
      </c>
      <c r="C1835" s="1" t="s">
        <v>19396</v>
      </c>
      <c r="D1835" s="1" t="s">
        <v>19283</v>
      </c>
      <c r="E1835" s="1" t="s">
        <v>19363</v>
      </c>
      <c r="F1835" s="1" t="s">
        <v>19397</v>
      </c>
      <c r="G1835" s="1" t="s">
        <v>19398</v>
      </c>
      <c r="H1835" s="2" t="str">
        <f>Tabella1[[#This Row],[Denominazione]]&amp;" - "&amp;Tabella1[[#This Row],[Città]]</f>
        <v>B&amp;B ONDA BLU - PORTO SANT'ELPIDIO</v>
      </c>
    </row>
    <row r="1836" spans="1:8" x14ac:dyDescent="0.25">
      <c r="A1836" s="1" t="s">
        <v>29</v>
      </c>
      <c r="B1836" s="1" t="s">
        <v>11462</v>
      </c>
      <c r="C1836" s="1" t="s">
        <v>11463</v>
      </c>
      <c r="D1836" s="1" t="s">
        <v>11244</v>
      </c>
      <c r="E1836" s="1" t="s">
        <v>6004</v>
      </c>
      <c r="F1836" s="1" t="s">
        <v>11464</v>
      </c>
      <c r="G1836" s="1" t="s">
        <v>11465</v>
      </c>
      <c r="H1836" s="2" t="str">
        <f>Tabella1[[#This Row],[Denominazione]]&amp;" - "&amp;Tabella1[[#This Row],[Città]]</f>
        <v>B&amp;B ORCHIDEA - CIVITANOVA MARCHE</v>
      </c>
    </row>
    <row r="1837" spans="1:8" x14ac:dyDescent="0.25">
      <c r="A1837" s="1" t="s">
        <v>29</v>
      </c>
      <c r="B1837" s="1" t="s">
        <v>11295</v>
      </c>
      <c r="C1837" s="1" t="s">
        <v>11296</v>
      </c>
      <c r="D1837" s="1" t="s">
        <v>11244</v>
      </c>
      <c r="F1837" s="1" t="s">
        <v>11297</v>
      </c>
      <c r="G1837" s="1" t="s">
        <v>11298</v>
      </c>
      <c r="H1837" s="2" t="str">
        <f>Tabella1[[#This Row],[Denominazione]]&amp;" - "&amp;Tabella1[[#This Row],[Città]]</f>
        <v>B&amp;B ORCHIDEA HOUSE - CIVITANOVA MARCHE</v>
      </c>
    </row>
    <row r="1838" spans="1:8" x14ac:dyDescent="0.25">
      <c r="A1838" s="1" t="s">
        <v>29</v>
      </c>
      <c r="B1838" s="1" t="s">
        <v>11215</v>
      </c>
      <c r="C1838" s="1" t="s">
        <v>11216</v>
      </c>
      <c r="D1838" s="1" t="s">
        <v>11058</v>
      </c>
      <c r="E1838" s="1" t="s">
        <v>11213</v>
      </c>
      <c r="F1838" s="1" t="s">
        <v>11214</v>
      </c>
      <c r="H1838" s="2" t="str">
        <f>Tabella1[[#This Row],[Denominazione]]&amp;" - "&amp;Tabella1[[#This Row],[Città]]</f>
        <v>B&amp;B ORMEROD JACQUELINE - CINGOLI</v>
      </c>
    </row>
    <row r="1839" spans="1:8" x14ac:dyDescent="0.25">
      <c r="A1839" s="1" t="s">
        <v>29</v>
      </c>
      <c r="B1839" s="1" t="s">
        <v>11211</v>
      </c>
      <c r="C1839" s="1" t="s">
        <v>11212</v>
      </c>
      <c r="D1839" s="1" t="s">
        <v>11058</v>
      </c>
      <c r="E1839" s="1" t="s">
        <v>11213</v>
      </c>
      <c r="G1839" s="1" t="s">
        <v>11214</v>
      </c>
      <c r="H1839" s="2" t="str">
        <f>Tabella1[[#This Row],[Denominazione]]&amp;" - "&amp;Tabella1[[#This Row],[Città]]</f>
        <v>B&amp;B ORMEROD THOMAS JEREMY - CINGOLI</v>
      </c>
    </row>
    <row r="1840" spans="1:8" x14ac:dyDescent="0.25">
      <c r="A1840" s="1" t="s">
        <v>29</v>
      </c>
      <c r="B1840" s="1" t="s">
        <v>14527</v>
      </c>
      <c r="C1840" s="1" t="s">
        <v>14528</v>
      </c>
      <c r="D1840" s="1" t="s">
        <v>14510</v>
      </c>
      <c r="E1840" s="1" t="s">
        <v>14529</v>
      </c>
      <c r="F1840" s="1" t="s">
        <v>14530</v>
      </c>
      <c r="G1840" s="1" t="s">
        <v>14531</v>
      </c>
      <c r="H1840" s="2" t="str">
        <f>Tabella1[[#This Row],[Denominazione]]&amp;" - "&amp;Tabella1[[#This Row],[Città]]</f>
        <v>B&amp;B ORSINI ELISABETTA - ARQUATA DEL TRONTO</v>
      </c>
    </row>
    <row r="1841" spans="1:8" x14ac:dyDescent="0.25">
      <c r="A1841" s="1" t="s">
        <v>29</v>
      </c>
      <c r="B1841" s="1" t="s">
        <v>13808</v>
      </c>
      <c r="C1841" s="1" t="s">
        <v>13809</v>
      </c>
      <c r="D1841" s="1" t="s">
        <v>13756</v>
      </c>
      <c r="H1841" s="2" t="str">
        <f>Tabella1[[#This Row],[Denominazione]]&amp;" - "&amp;Tabella1[[#This Row],[Città]]</f>
        <v>B&amp;B OSPITI - SARNANO</v>
      </c>
    </row>
    <row r="1842" spans="1:8" x14ac:dyDescent="0.25">
      <c r="A1842" s="1" t="s">
        <v>29</v>
      </c>
      <c r="B1842" s="1" t="s">
        <v>8677</v>
      </c>
      <c r="C1842" s="1" t="s">
        <v>8678</v>
      </c>
      <c r="D1842" s="1" t="s">
        <v>8608</v>
      </c>
      <c r="F1842" s="1" t="s">
        <v>8679</v>
      </c>
      <c r="G1842" s="1" t="s">
        <v>8680</v>
      </c>
      <c r="H1842" s="2" t="str">
        <f>Tabella1[[#This Row],[Denominazione]]&amp;" - "&amp;Tabella1[[#This Row],[Città]]</f>
        <v>B&amp;B OSTRA CHE BELLO - OSTRA</v>
      </c>
    </row>
    <row r="1843" spans="1:8" x14ac:dyDescent="0.25">
      <c r="A1843" s="1" t="s">
        <v>29</v>
      </c>
      <c r="B1843" s="1" t="s">
        <v>12805</v>
      </c>
      <c r="C1843" s="1" t="s">
        <v>12806</v>
      </c>
      <c r="D1843" s="1" t="s">
        <v>12801</v>
      </c>
      <c r="H1843" s="2" t="str">
        <f>Tabella1[[#This Row],[Denominazione]]&amp;" - "&amp;Tabella1[[#This Row],[Città]]</f>
        <v>B&amp;B OTTAVIANELLI CARMEN - PORTO RECANATI</v>
      </c>
    </row>
    <row r="1844" spans="1:8" x14ac:dyDescent="0.25">
      <c r="A1844" s="1" t="s">
        <v>29</v>
      </c>
      <c r="B1844" s="1" t="s">
        <v>6304</v>
      </c>
      <c r="C1844" s="1" t="s">
        <v>6305</v>
      </c>
      <c r="D1844" s="1" t="s">
        <v>6290</v>
      </c>
      <c r="E1844" s="1" t="s">
        <v>6290</v>
      </c>
      <c r="G1844" s="1" t="s">
        <v>6306</v>
      </c>
      <c r="H1844" s="2" t="str">
        <f>Tabella1[[#This Row],[Denominazione]]&amp;" - "&amp;Tabella1[[#This Row],[Città]]</f>
        <v>B&amp;B PACI SANDRO - CAMERANO</v>
      </c>
    </row>
    <row r="1845" spans="1:8" x14ac:dyDescent="0.25">
      <c r="A1845" s="1" t="s">
        <v>29</v>
      </c>
      <c r="B1845" s="1" t="s">
        <v>12673</v>
      </c>
      <c r="C1845" s="1" t="s">
        <v>12674</v>
      </c>
      <c r="D1845" s="1" t="s">
        <v>12675</v>
      </c>
      <c r="E1845" s="1" t="s">
        <v>12676</v>
      </c>
      <c r="G1845" s="1" t="s">
        <v>12677</v>
      </c>
      <c r="H1845" s="2" t="str">
        <f>Tabella1[[#This Row],[Denominazione]]&amp;" - "&amp;Tabella1[[#This Row],[Città]]</f>
        <v>B&amp;B PAGLIA E FIENO - PETRIOLO</v>
      </c>
    </row>
    <row r="1846" spans="1:8" x14ac:dyDescent="0.25">
      <c r="A1846" s="1" t="s">
        <v>29</v>
      </c>
      <c r="B1846" s="1" t="s">
        <v>434</v>
      </c>
      <c r="C1846" s="1" t="s">
        <v>435</v>
      </c>
      <c r="D1846" s="1" t="s">
        <v>316</v>
      </c>
      <c r="E1846" s="1" t="s">
        <v>316</v>
      </c>
      <c r="G1846" s="1" t="s">
        <v>436</v>
      </c>
      <c r="H1846" s="2" t="str">
        <f>Tabella1[[#This Row],[Denominazione]]&amp;" - "&amp;Tabella1[[#This Row],[Città]]</f>
        <v>B&amp;B PALADINI ROBERTO - CAGLI</v>
      </c>
    </row>
    <row r="1847" spans="1:8" x14ac:dyDescent="0.25">
      <c r="A1847" s="1" t="s">
        <v>29</v>
      </c>
      <c r="B1847" s="1" t="s">
        <v>6546</v>
      </c>
      <c r="C1847" s="1" t="s">
        <v>6547</v>
      </c>
      <c r="D1847" s="1" t="s">
        <v>6536</v>
      </c>
      <c r="E1847" s="1" t="s">
        <v>6536</v>
      </c>
      <c r="F1847" s="1" t="s">
        <v>6548</v>
      </c>
      <c r="G1847" s="1" t="s">
        <v>6549</v>
      </c>
      <c r="H1847" s="2" t="str">
        <f>Tabella1[[#This Row],[Denominazione]]&amp;" - "&amp;Tabella1[[#This Row],[Città]]</f>
        <v>B&amp;B PALAZZO BOSCARETO - CORINALDO</v>
      </c>
    </row>
    <row r="1848" spans="1:8" x14ac:dyDescent="0.25">
      <c r="A1848" s="1" t="s">
        <v>29</v>
      </c>
      <c r="B1848" s="1" t="s">
        <v>13331</v>
      </c>
      <c r="C1848" s="1" t="s">
        <v>13332</v>
      </c>
      <c r="D1848" s="1" t="s">
        <v>13298</v>
      </c>
      <c r="E1848" s="1" t="s">
        <v>13298</v>
      </c>
      <c r="F1848" s="1" t="s">
        <v>13333</v>
      </c>
      <c r="G1848" s="1" t="s">
        <v>13334</v>
      </c>
      <c r="H1848" s="2" t="str">
        <f>Tabella1[[#This Row],[Denominazione]]&amp;" - "&amp;Tabella1[[#This Row],[Città]]</f>
        <v>B&amp;B PALAZZO DALLA CASAPICCOLA - RECANATI</v>
      </c>
    </row>
    <row r="1849" spans="1:8" x14ac:dyDescent="0.25">
      <c r="A1849" s="1" t="s">
        <v>29</v>
      </c>
      <c r="B1849" s="1" t="s">
        <v>10086</v>
      </c>
      <c r="C1849" s="1" t="s">
        <v>10087</v>
      </c>
      <c r="D1849" s="1" t="s">
        <v>10074</v>
      </c>
      <c r="F1849" s="1" t="s">
        <v>10088</v>
      </c>
      <c r="G1849" s="1" t="s">
        <v>10089</v>
      </c>
      <c r="H1849" s="2" t="str">
        <f>Tabella1[[#This Row],[Denominazione]]&amp;" - "&amp;Tabella1[[#This Row],[Città]]</f>
        <v>B&amp;B PALAZZO DEL PODESTA' - SERRA DE' CONTI</v>
      </c>
    </row>
    <row r="1850" spans="1:8" x14ac:dyDescent="0.25">
      <c r="A1850" s="1" t="s">
        <v>29</v>
      </c>
      <c r="B1850" s="1" t="s">
        <v>15309</v>
      </c>
      <c r="C1850" s="1" t="s">
        <v>15310</v>
      </c>
      <c r="D1850" s="1" t="s">
        <v>15282</v>
      </c>
      <c r="E1850" s="1" t="s">
        <v>15282</v>
      </c>
      <c r="F1850" s="1" t="s">
        <v>15311</v>
      </c>
      <c r="G1850" s="1" t="s">
        <v>15312</v>
      </c>
      <c r="H1850" s="2" t="str">
        <f>Tabella1[[#This Row],[Denominazione]]&amp;" - "&amp;Tabella1[[#This Row],[Città]]</f>
        <v>B&amp;B PALAZZO FASSITELLI - COSSIGNANO</v>
      </c>
    </row>
    <row r="1851" spans="1:8" x14ac:dyDescent="0.25">
      <c r="A1851" s="1" t="s">
        <v>29</v>
      </c>
      <c r="B1851" s="1" t="s">
        <v>14799</v>
      </c>
      <c r="C1851" s="1" t="s">
        <v>14800</v>
      </c>
      <c r="D1851" s="1" t="s">
        <v>14576</v>
      </c>
      <c r="E1851" s="1" t="s">
        <v>14582</v>
      </c>
      <c r="F1851" s="1" t="s">
        <v>14801</v>
      </c>
      <c r="G1851" s="1" t="s">
        <v>14802</v>
      </c>
      <c r="H1851" s="2" t="str">
        <f>Tabella1[[#This Row],[Denominazione]]&amp;" - "&amp;Tabella1[[#This Row],[Città]]</f>
        <v>B&amp;B PALAZZO MIGLIANI - ASCOLI PICENO</v>
      </c>
    </row>
    <row r="1852" spans="1:8" x14ac:dyDescent="0.25">
      <c r="A1852" s="1" t="s">
        <v>29</v>
      </c>
      <c r="B1852" s="1" t="s">
        <v>3335</v>
      </c>
      <c r="C1852" s="1" t="s">
        <v>3336</v>
      </c>
      <c r="D1852" s="1" t="s">
        <v>3305</v>
      </c>
      <c r="F1852" s="1" t="s">
        <v>3337</v>
      </c>
      <c r="G1852" s="1" t="s">
        <v>3338</v>
      </c>
      <c r="H1852" s="2" t="str">
        <f>Tabella1[[#This Row],[Denominazione]]&amp;" - "&amp;Tabella1[[#This Row],[Città]]</f>
        <v>B&amp;B PALAZZO MUTI - PERGOLA</v>
      </c>
    </row>
    <row r="1853" spans="1:8" x14ac:dyDescent="0.25">
      <c r="A1853" s="1" t="s">
        <v>29</v>
      </c>
      <c r="B1853" s="1" t="s">
        <v>16460</v>
      </c>
      <c r="C1853" s="1" t="s">
        <v>16461</v>
      </c>
      <c r="D1853" s="1" t="s">
        <v>16440</v>
      </c>
      <c r="E1853" s="1" t="s">
        <v>16440</v>
      </c>
      <c r="F1853" s="1" t="s">
        <v>16462</v>
      </c>
      <c r="G1853" s="1" t="s">
        <v>16463</v>
      </c>
      <c r="H1853" s="2" t="str">
        <f>Tabella1[[#This Row],[Denominazione]]&amp;" - "&amp;Tabella1[[#This Row],[Città]]</f>
        <v>B&amp;B PALAZZO NICOLETTI BALLATI BONAFFINI - OFFIDA</v>
      </c>
    </row>
    <row r="1854" spans="1:8" x14ac:dyDescent="0.25">
      <c r="A1854" s="1" t="s">
        <v>29</v>
      </c>
      <c r="B1854" s="1" t="s">
        <v>18014</v>
      </c>
      <c r="C1854" s="1" t="s">
        <v>18015</v>
      </c>
      <c r="D1854" s="1" t="s">
        <v>17932</v>
      </c>
      <c r="E1854" s="1" t="s">
        <v>17932</v>
      </c>
      <c r="F1854" s="1" t="s">
        <v>18016</v>
      </c>
      <c r="G1854" s="1" t="s">
        <v>18017</v>
      </c>
      <c r="H1854" s="2" t="str">
        <f>Tabella1[[#This Row],[Denominazione]]&amp;" - "&amp;Tabella1[[#This Row],[Città]]</f>
        <v>B&amp;B PALAZZO ROMANI ADAMI - FERMO</v>
      </c>
    </row>
    <row r="1855" spans="1:8" x14ac:dyDescent="0.25">
      <c r="A1855" s="1" t="s">
        <v>29</v>
      </c>
      <c r="B1855" s="1" t="s">
        <v>14090</v>
      </c>
      <c r="C1855" s="1" t="s">
        <v>14091</v>
      </c>
      <c r="D1855" s="1" t="s">
        <v>14065</v>
      </c>
      <c r="E1855" s="1" t="s">
        <v>14065</v>
      </c>
      <c r="H1855" s="2" t="str">
        <f>Tabella1[[#This Row],[Denominazione]]&amp;" - "&amp;Tabella1[[#This Row],[Città]]</f>
        <v>B&amp;B PALAZZO RUFFINI - TREIA</v>
      </c>
    </row>
    <row r="1856" spans="1:8" x14ac:dyDescent="0.25">
      <c r="A1856" s="1" t="s">
        <v>29</v>
      </c>
      <c r="B1856" s="1" t="s">
        <v>16988</v>
      </c>
      <c r="C1856" s="1" t="s">
        <v>16989</v>
      </c>
      <c r="D1856" s="1" t="s">
        <v>15819</v>
      </c>
      <c r="E1856" s="1" t="s">
        <v>15819</v>
      </c>
      <c r="F1856" s="1" t="s">
        <v>14649</v>
      </c>
      <c r="G1856" s="1" t="s">
        <v>14650</v>
      </c>
      <c r="H1856" s="2" t="str">
        <f>Tabella1[[#This Row],[Denominazione]]&amp;" - "&amp;Tabella1[[#This Row],[Città]]</f>
        <v>B&amp;B PALME IN RIVIERA - SAN BENEDETTO DEL TRONTO</v>
      </c>
    </row>
    <row r="1857" spans="1:8" x14ac:dyDescent="0.25">
      <c r="A1857" s="1" t="s">
        <v>29</v>
      </c>
      <c r="B1857" s="1" t="s">
        <v>10831</v>
      </c>
      <c r="C1857" s="1" t="s">
        <v>10832</v>
      </c>
      <c r="D1857" s="1" t="s">
        <v>10737</v>
      </c>
      <c r="E1857" s="1" t="s">
        <v>10833</v>
      </c>
      <c r="F1857" s="1" t="s">
        <v>10834</v>
      </c>
      <c r="G1857" s="1" t="s">
        <v>10835</v>
      </c>
      <c r="H1857" s="2" t="str">
        <f>Tabella1[[#This Row],[Denominazione]]&amp;" - "&amp;Tabella1[[#This Row],[Città]]</f>
        <v>B&amp;B PALOMBA - CAMERINO</v>
      </c>
    </row>
    <row r="1858" spans="1:8" x14ac:dyDescent="0.25">
      <c r="A1858" s="1" t="s">
        <v>29</v>
      </c>
      <c r="B1858" s="1" t="s">
        <v>17006</v>
      </c>
      <c r="C1858" s="1" t="s">
        <v>17007</v>
      </c>
      <c r="D1858" s="1" t="s">
        <v>15819</v>
      </c>
      <c r="E1858" s="1" t="s">
        <v>15819</v>
      </c>
      <c r="G1858" s="1" t="s">
        <v>17008</v>
      </c>
      <c r="H1858" s="2" t="str">
        <f>Tabella1[[#This Row],[Denominazione]]&amp;" - "&amp;Tabella1[[#This Row],[Città]]</f>
        <v>B&amp;B PANORAMA - SAN BENEDETTO DEL TRONTO</v>
      </c>
    </row>
    <row r="1859" spans="1:8" x14ac:dyDescent="0.25">
      <c r="A1859" s="1" t="s">
        <v>29</v>
      </c>
      <c r="B1859" s="1" t="s">
        <v>4073</v>
      </c>
      <c r="C1859" s="1" t="s">
        <v>4074</v>
      </c>
      <c r="D1859" s="1" t="s">
        <v>2386</v>
      </c>
      <c r="E1859" s="1" t="s">
        <v>2386</v>
      </c>
      <c r="F1859" s="1" t="s">
        <v>4075</v>
      </c>
      <c r="G1859" s="1" t="s">
        <v>4076</v>
      </c>
      <c r="H1859" s="2" t="str">
        <f>Tabella1[[#This Row],[Denominazione]]&amp;" - "&amp;Tabella1[[#This Row],[Città]]</f>
        <v>B&amp;B PANORAMIC - PESARO</v>
      </c>
    </row>
    <row r="1860" spans="1:8" x14ac:dyDescent="0.25">
      <c r="A1860" s="1" t="s">
        <v>29</v>
      </c>
      <c r="B1860" s="1" t="s">
        <v>17683</v>
      </c>
      <c r="C1860" s="1" t="s">
        <v>17684</v>
      </c>
      <c r="D1860" s="1" t="s">
        <v>17659</v>
      </c>
      <c r="G1860" s="1" t="s">
        <v>17685</v>
      </c>
      <c r="H1860" s="2" t="str">
        <f>Tabella1[[#This Row],[Denominazione]]&amp;" - "&amp;Tabella1[[#This Row],[Città]]</f>
        <v>B&amp;B PANTORANO - SPINETOLI</v>
      </c>
    </row>
    <row r="1861" spans="1:8" x14ac:dyDescent="0.25">
      <c r="A1861" s="1" t="s">
        <v>29</v>
      </c>
      <c r="B1861" s="1" t="s">
        <v>19323</v>
      </c>
      <c r="C1861" s="1" t="s">
        <v>19324</v>
      </c>
      <c r="D1861" s="1" t="s">
        <v>19283</v>
      </c>
      <c r="F1861" s="1" t="s">
        <v>19325</v>
      </c>
      <c r="G1861" s="1" t="s">
        <v>19326</v>
      </c>
      <c r="H1861" s="2" t="str">
        <f>Tabella1[[#This Row],[Denominazione]]&amp;" - "&amp;Tabella1[[#This Row],[Città]]</f>
        <v>B&amp;B PAOETTA - PORTO SANT'ELPIDIO</v>
      </c>
    </row>
    <row r="1862" spans="1:8" x14ac:dyDescent="0.25">
      <c r="A1862" s="1" t="s">
        <v>29</v>
      </c>
      <c r="B1862" s="1" t="s">
        <v>4837</v>
      </c>
      <c r="C1862" s="1" t="s">
        <v>4838</v>
      </c>
      <c r="D1862" s="1" t="s">
        <v>4735</v>
      </c>
      <c r="E1862" s="1" t="s">
        <v>4735</v>
      </c>
      <c r="H1862" s="2" t="str">
        <f>Tabella1[[#This Row],[Denominazione]]&amp;" - "&amp;Tabella1[[#This Row],[Città]]</f>
        <v>B&amp;B PAOLI ADAMO - URBANIA</v>
      </c>
    </row>
    <row r="1863" spans="1:8" x14ac:dyDescent="0.25">
      <c r="A1863" s="1" t="s">
        <v>29</v>
      </c>
      <c r="B1863" s="1" t="s">
        <v>8458</v>
      </c>
      <c r="C1863" s="1" t="s">
        <v>8459</v>
      </c>
      <c r="D1863" s="1" t="s">
        <v>8454</v>
      </c>
      <c r="G1863" s="1" t="s">
        <v>8460</v>
      </c>
      <c r="H1863" s="2" t="str">
        <f>Tabella1[[#This Row],[Denominazione]]&amp;" - "&amp;Tabella1[[#This Row],[Città]]</f>
        <v>B&amp;B PAOLO VITALI DE BONDA - OSIMO</v>
      </c>
    </row>
    <row r="1864" spans="1:8" x14ac:dyDescent="0.25">
      <c r="A1864" s="1" t="s">
        <v>29</v>
      </c>
      <c r="B1864" s="1" t="s">
        <v>13445</v>
      </c>
      <c r="C1864" s="1" t="s">
        <v>13446</v>
      </c>
      <c r="D1864" s="1" t="s">
        <v>6072</v>
      </c>
      <c r="E1864" s="1" t="s">
        <v>6072</v>
      </c>
      <c r="G1864" s="1" t="s">
        <v>13447</v>
      </c>
      <c r="H1864" s="2" t="str">
        <f>Tabella1[[#This Row],[Denominazione]]&amp;" - "&amp;Tabella1[[#This Row],[Città]]</f>
        <v>B&amp;B PAPI - SAN GINESIO</v>
      </c>
    </row>
    <row r="1865" spans="1:8" x14ac:dyDescent="0.25">
      <c r="A1865" s="1" t="s">
        <v>29</v>
      </c>
      <c r="B1865" s="1" t="s">
        <v>18988</v>
      </c>
      <c r="C1865" s="1" t="s">
        <v>18989</v>
      </c>
      <c r="D1865" s="1" t="s">
        <v>18971</v>
      </c>
      <c r="E1865" s="1" t="s">
        <v>18990</v>
      </c>
      <c r="G1865" s="1" t="s">
        <v>18991</v>
      </c>
      <c r="H1865" s="2" t="str">
        <f>Tabella1[[#This Row],[Denominazione]]&amp;" - "&amp;Tabella1[[#This Row],[Città]]</f>
        <v>B&amp;B PARISI ROSARIA - PETRITOLI</v>
      </c>
    </row>
    <row r="1866" spans="1:8" x14ac:dyDescent="0.25">
      <c r="A1866" s="1" t="s">
        <v>29</v>
      </c>
      <c r="B1866" s="1" t="s">
        <v>7710</v>
      </c>
      <c r="C1866" s="1" t="s">
        <v>7711</v>
      </c>
      <c r="D1866" s="1" t="s">
        <v>7678</v>
      </c>
      <c r="E1866" s="1" t="s">
        <v>7678</v>
      </c>
      <c r="F1866" s="1" t="s">
        <v>7689</v>
      </c>
      <c r="G1866" s="1" t="s">
        <v>7690</v>
      </c>
      <c r="H1866" s="2" t="str">
        <f>Tabella1[[#This Row],[Denominazione]]&amp;" - "&amp;Tabella1[[#This Row],[Città]]</f>
        <v>B&amp;B PARVA DOMUS - MONTECAROTTO</v>
      </c>
    </row>
    <row r="1867" spans="1:8" x14ac:dyDescent="0.25">
      <c r="A1867" s="1" t="s">
        <v>29</v>
      </c>
      <c r="B1867" s="1" t="s">
        <v>3961</v>
      </c>
      <c r="C1867" s="1" t="s">
        <v>3962</v>
      </c>
      <c r="D1867" s="1" t="s">
        <v>2386</v>
      </c>
      <c r="E1867" s="1" t="s">
        <v>3963</v>
      </c>
      <c r="G1867" s="1" t="s">
        <v>3964</v>
      </c>
      <c r="H1867" s="2" t="str">
        <f>Tabella1[[#This Row],[Denominazione]]&amp;" - "&amp;Tabella1[[#This Row],[Città]]</f>
        <v>B&amp;B PASQUALON - PESARO</v>
      </c>
    </row>
    <row r="1868" spans="1:8" x14ac:dyDescent="0.25">
      <c r="A1868" s="1" t="s">
        <v>29</v>
      </c>
      <c r="B1868" s="1" t="s">
        <v>16994</v>
      </c>
      <c r="C1868" s="1" t="s">
        <v>16995</v>
      </c>
      <c r="D1868" s="1" t="s">
        <v>15819</v>
      </c>
      <c r="E1868" s="1" t="s">
        <v>15819</v>
      </c>
      <c r="F1868" s="1" t="s">
        <v>16996</v>
      </c>
      <c r="G1868" s="1" t="s">
        <v>16997</v>
      </c>
      <c r="H1868" s="2" t="str">
        <f>Tabella1[[#This Row],[Denominazione]]&amp;" - "&amp;Tabella1[[#This Row],[Città]]</f>
        <v>B&amp;B PATRIZIO - SAN BENEDETTO DEL TRONTO</v>
      </c>
    </row>
    <row r="1869" spans="1:8" x14ac:dyDescent="0.25">
      <c r="A1869" s="1" t="s">
        <v>29</v>
      </c>
      <c r="B1869" s="1" t="s">
        <v>18415</v>
      </c>
      <c r="C1869" s="1" t="s">
        <v>18416</v>
      </c>
      <c r="D1869" s="1" t="s">
        <v>18389</v>
      </c>
      <c r="E1869" s="1" t="s">
        <v>18389</v>
      </c>
      <c r="H1869" s="2" t="str">
        <f>Tabella1[[#This Row],[Denominazione]]&amp;" - "&amp;Tabella1[[#This Row],[Città]]</f>
        <v>B&amp;B PENNESI GIUSEPPE - LAPEDONA</v>
      </c>
    </row>
    <row r="1870" spans="1:8" x14ac:dyDescent="0.25">
      <c r="A1870" s="1" t="s">
        <v>29</v>
      </c>
      <c r="B1870" s="1" t="s">
        <v>15220</v>
      </c>
      <c r="C1870" s="1" t="s">
        <v>15221</v>
      </c>
      <c r="D1870" s="1" t="s">
        <v>15197</v>
      </c>
      <c r="F1870" s="1" t="s">
        <v>15222</v>
      </c>
      <c r="G1870" s="1" t="s">
        <v>15223</v>
      </c>
      <c r="H1870" s="2" t="str">
        <f>Tabella1[[#This Row],[Denominazione]]&amp;" - "&amp;Tabella1[[#This Row],[Città]]</f>
        <v>B&amp;B PEOPLE - CASTORANO</v>
      </c>
    </row>
    <row r="1871" spans="1:8" x14ac:dyDescent="0.25">
      <c r="A1871" s="1" t="s">
        <v>29</v>
      </c>
      <c r="B1871" s="1" t="s">
        <v>18203</v>
      </c>
      <c r="C1871" s="1" t="s">
        <v>18204</v>
      </c>
      <c r="D1871" s="1" t="s">
        <v>17932</v>
      </c>
      <c r="E1871" s="1" t="s">
        <v>17932</v>
      </c>
      <c r="G1871" s="1" t="s">
        <v>18205</v>
      </c>
      <c r="H1871" s="2" t="str">
        <f>Tabella1[[#This Row],[Denominazione]]&amp;" - "&amp;Tabella1[[#This Row],[Città]]</f>
        <v>B&amp;B PEPEROSA - FERMO</v>
      </c>
    </row>
    <row r="1872" spans="1:8" x14ac:dyDescent="0.25">
      <c r="A1872" s="1" t="s">
        <v>29</v>
      </c>
      <c r="B1872" s="1" t="s">
        <v>12665</v>
      </c>
      <c r="C1872" s="1" t="s">
        <v>12666</v>
      </c>
      <c r="D1872" s="1" t="s">
        <v>12635</v>
      </c>
      <c r="E1872" s="1" t="s">
        <v>12635</v>
      </c>
      <c r="F1872" s="1" t="s">
        <v>12667</v>
      </c>
      <c r="G1872" s="1" t="s">
        <v>12668</v>
      </c>
      <c r="H1872" s="2" t="str">
        <f>Tabella1[[#This Row],[Denominazione]]&amp;" - "&amp;Tabella1[[#This Row],[Città]]</f>
        <v>B&amp;B PERFETTI SERGIO - PENNA SAN GIOVANNI</v>
      </c>
    </row>
    <row r="1873" spans="1:8" x14ac:dyDescent="0.25">
      <c r="A1873" s="1" t="s">
        <v>29</v>
      </c>
      <c r="B1873" s="1" t="s">
        <v>19197</v>
      </c>
      <c r="C1873" s="1" t="s">
        <v>19198</v>
      </c>
      <c r="D1873" s="1" t="s">
        <v>18082</v>
      </c>
      <c r="G1873" s="1" t="s">
        <v>19199</v>
      </c>
      <c r="H1873" s="2" t="str">
        <f>Tabella1[[#This Row],[Denominazione]]&amp;" - "&amp;Tabella1[[#This Row],[Città]]</f>
        <v>B&amp;B PERFUME DO MAR - PORTO SAN GIORGIO</v>
      </c>
    </row>
    <row r="1874" spans="1:8" x14ac:dyDescent="0.25">
      <c r="A1874" s="1" t="s">
        <v>29</v>
      </c>
      <c r="B1874" s="1" t="s">
        <v>15199</v>
      </c>
      <c r="C1874" s="1" t="s">
        <v>15200</v>
      </c>
      <c r="D1874" s="1" t="s">
        <v>15197</v>
      </c>
      <c r="E1874" s="1" t="s">
        <v>15197</v>
      </c>
      <c r="H1874" s="2" t="str">
        <f>Tabella1[[#This Row],[Denominazione]]&amp;" - "&amp;Tabella1[[#This Row],[Città]]</f>
        <v>B&amp;B PERONI ALESSANDRA - CASTORANO</v>
      </c>
    </row>
    <row r="1875" spans="1:8" x14ac:dyDescent="0.25">
      <c r="A1875" s="1" t="s">
        <v>29</v>
      </c>
      <c r="B1875" s="1" t="s">
        <v>4011</v>
      </c>
      <c r="C1875" s="1" t="s">
        <v>4012</v>
      </c>
      <c r="D1875" s="1" t="s">
        <v>2386</v>
      </c>
      <c r="G1875" s="1" t="s">
        <v>4013</v>
      </c>
      <c r="H1875" s="2" t="str">
        <f>Tabella1[[#This Row],[Denominazione]]&amp;" - "&amp;Tabella1[[#This Row],[Città]]</f>
        <v>B&amp;B PESARO-MARE - PESARO</v>
      </c>
    </row>
    <row r="1876" spans="1:8" x14ac:dyDescent="0.25">
      <c r="A1876" s="1" t="s">
        <v>29</v>
      </c>
      <c r="B1876" s="1" t="s">
        <v>11015</v>
      </c>
      <c r="C1876" s="1" t="s">
        <v>11016</v>
      </c>
      <c r="D1876" s="1" t="s">
        <v>10990</v>
      </c>
      <c r="E1876" s="1" t="s">
        <v>10990</v>
      </c>
      <c r="H1876" s="2" t="str">
        <f>Tabella1[[#This Row],[Denominazione]]&amp;" - "&amp;Tabella1[[#This Row],[Città]]</f>
        <v>B&amp;B PETRUCCI EMANUELA N° 12 - CASTELSANTANGELO SUL NERA</v>
      </c>
    </row>
    <row r="1877" spans="1:8" x14ac:dyDescent="0.25">
      <c r="A1877" s="1" t="s">
        <v>29</v>
      </c>
      <c r="B1877" s="1" t="s">
        <v>11017</v>
      </c>
      <c r="C1877" s="1" t="s">
        <v>11016</v>
      </c>
      <c r="D1877" s="1" t="s">
        <v>10990</v>
      </c>
      <c r="E1877" s="1" t="s">
        <v>10990</v>
      </c>
      <c r="F1877" s="1" t="s">
        <v>11018</v>
      </c>
      <c r="G1877" s="1" t="s">
        <v>11019</v>
      </c>
      <c r="H1877" s="2" t="str">
        <f>Tabella1[[#This Row],[Denominazione]]&amp;" - "&amp;Tabella1[[#This Row],[Città]]</f>
        <v>B&amp;B PETRUCCI EMANUELA N° 14 - CASTELSANTANGELO SUL NERA</v>
      </c>
    </row>
    <row r="1878" spans="1:8" x14ac:dyDescent="0.25">
      <c r="A1878" s="1" t="s">
        <v>29</v>
      </c>
      <c r="B1878" s="1" t="s">
        <v>13516</v>
      </c>
      <c r="C1878" s="1" t="s">
        <v>13517</v>
      </c>
      <c r="D1878" s="1" t="s">
        <v>6072</v>
      </c>
      <c r="G1878" s="1" t="s">
        <v>13518</v>
      </c>
      <c r="H1878" s="2" t="str">
        <f>Tabella1[[#This Row],[Denominazione]]&amp;" - "&amp;Tabella1[[#This Row],[Città]]</f>
        <v>B&amp;B PHOENIX HOUSE - SAN GINESIO</v>
      </c>
    </row>
    <row r="1879" spans="1:8" x14ac:dyDescent="0.25">
      <c r="A1879" s="1" t="s">
        <v>29</v>
      </c>
      <c r="B1879" s="1" t="s">
        <v>15149</v>
      </c>
      <c r="C1879" s="1" t="s">
        <v>15150</v>
      </c>
      <c r="D1879" s="1" t="s">
        <v>15151</v>
      </c>
      <c r="E1879" s="1" t="s">
        <v>15152</v>
      </c>
      <c r="G1879" s="1" t="s">
        <v>15153</v>
      </c>
      <c r="H1879" s="2" t="str">
        <f>Tabella1[[#This Row],[Denominazione]]&amp;" - "&amp;Tabella1[[#This Row],[Città]]</f>
        <v>B&amp;B PIANE DI ENEA - CASTIGNANO</v>
      </c>
    </row>
    <row r="1880" spans="1:8" x14ac:dyDescent="0.25">
      <c r="A1880" s="1" t="s">
        <v>29</v>
      </c>
      <c r="B1880" s="1" t="s">
        <v>16818</v>
      </c>
      <c r="C1880" s="1" t="s">
        <v>16819</v>
      </c>
      <c r="D1880" s="1" t="s">
        <v>15819</v>
      </c>
      <c r="F1880" s="1" t="s">
        <v>16820</v>
      </c>
      <c r="G1880" s="1" t="s">
        <v>16821</v>
      </c>
      <c r="H1880" s="2" t="str">
        <f>Tabella1[[#This Row],[Denominazione]]&amp;" - "&amp;Tabella1[[#This Row],[Città]]</f>
        <v>B&amp;B PIANOZERO di ROSATI NICOLETTA - SAN BENEDETTO DEL TRONTO</v>
      </c>
    </row>
    <row r="1881" spans="1:8" x14ac:dyDescent="0.25">
      <c r="A1881" s="1" t="s">
        <v>29</v>
      </c>
      <c r="B1881" s="1" t="s">
        <v>4459</v>
      </c>
      <c r="C1881" s="1" t="s">
        <v>4460</v>
      </c>
      <c r="D1881" s="1" t="s">
        <v>4397</v>
      </c>
      <c r="F1881" s="1" t="s">
        <v>4461</v>
      </c>
      <c r="G1881" s="1" t="s">
        <v>4462</v>
      </c>
      <c r="H1881" s="2" t="str">
        <f>Tabella1[[#This Row],[Denominazione]]&amp;" - "&amp;Tabella1[[#This Row],[Città]]</f>
        <v>B&amp;B PIAZZA DEL PAPA - SANT'ANGELO IN VADO</v>
      </c>
    </row>
    <row r="1882" spans="1:8" x14ac:dyDescent="0.25">
      <c r="A1882" s="1" t="s">
        <v>29</v>
      </c>
      <c r="B1882" s="1" t="s">
        <v>14902</v>
      </c>
      <c r="C1882" s="1" t="s">
        <v>14903</v>
      </c>
      <c r="D1882" s="1" t="s">
        <v>14576</v>
      </c>
      <c r="E1882" s="1" t="s">
        <v>14576</v>
      </c>
      <c r="F1882" s="1" t="s">
        <v>14904</v>
      </c>
      <c r="G1882" s="1" t="s">
        <v>14905</v>
      </c>
      <c r="H1882" s="2" t="str">
        <f>Tabella1[[#This Row],[Denominazione]]&amp;" - "&amp;Tabella1[[#This Row],[Città]]</f>
        <v>B&amp;B PIAZZA DEL POPOLO - ASCOLI PICENO</v>
      </c>
    </row>
    <row r="1883" spans="1:8" x14ac:dyDescent="0.25">
      <c r="A1883" s="1" t="s">
        <v>29</v>
      </c>
      <c r="B1883" s="1" t="s">
        <v>13270</v>
      </c>
      <c r="C1883" s="1" t="s">
        <v>13271</v>
      </c>
      <c r="D1883" s="1" t="s">
        <v>13026</v>
      </c>
      <c r="H1883" s="2" t="str">
        <f>Tabella1[[#This Row],[Denominazione]]&amp;" - "&amp;Tabella1[[#This Row],[Città]]</f>
        <v>B&amp;B PIAZZA VERDE - POTENZA PICENA</v>
      </c>
    </row>
    <row r="1884" spans="1:8" x14ac:dyDescent="0.25">
      <c r="A1884" s="1" t="s">
        <v>29</v>
      </c>
      <c r="B1884" s="1" t="s">
        <v>17956</v>
      </c>
      <c r="C1884" s="1" t="s">
        <v>17957</v>
      </c>
      <c r="D1884" s="1" t="s">
        <v>17932</v>
      </c>
      <c r="G1884" s="1" t="s">
        <v>17958</v>
      </c>
      <c r="H1884" s="2" t="str">
        <f>Tabella1[[#This Row],[Denominazione]]&amp;" - "&amp;Tabella1[[#This Row],[Città]]</f>
        <v>B&amp;B PIAZZETTA - FERMO</v>
      </c>
    </row>
    <row r="1885" spans="1:8" x14ac:dyDescent="0.25">
      <c r="A1885" s="1" t="s">
        <v>29</v>
      </c>
      <c r="B1885" s="1" t="s">
        <v>14910</v>
      </c>
      <c r="C1885" s="1" t="s">
        <v>14911</v>
      </c>
      <c r="D1885" s="1" t="s">
        <v>14576</v>
      </c>
      <c r="G1885" s="1" t="s">
        <v>14597</v>
      </c>
      <c r="H1885" s="2" t="str">
        <f>Tabella1[[#This Row],[Denominazione]]&amp;" - "&amp;Tabella1[[#This Row],[Città]]</f>
        <v>B&amp;B PICCIONI GIUSEPPINA - ASCOLI PICENO</v>
      </c>
    </row>
    <row r="1886" spans="1:8" x14ac:dyDescent="0.25">
      <c r="A1886" s="1" t="s">
        <v>29</v>
      </c>
      <c r="B1886" s="1" t="s">
        <v>7806</v>
      </c>
      <c r="C1886" s="1" t="s">
        <v>7807</v>
      </c>
      <c r="D1886" s="1" t="s">
        <v>7718</v>
      </c>
      <c r="G1886" s="1" t="s">
        <v>7808</v>
      </c>
      <c r="H1886" s="2" t="str">
        <f>Tabella1[[#This Row],[Denominazione]]&amp;" - "&amp;Tabella1[[#This Row],[Città]]</f>
        <v>B&amp;B PICCOLO BORGO - MONTEMARCIANO</v>
      </c>
    </row>
    <row r="1887" spans="1:8" x14ac:dyDescent="0.25">
      <c r="A1887" s="1" t="s">
        <v>29</v>
      </c>
      <c r="B1887" s="1" t="s">
        <v>4753</v>
      </c>
      <c r="C1887" s="1" t="s">
        <v>4754</v>
      </c>
      <c r="D1887" s="1" t="s">
        <v>4735</v>
      </c>
      <c r="G1887" s="1" t="s">
        <v>4755</v>
      </c>
      <c r="H1887" s="2" t="str">
        <f>Tabella1[[#This Row],[Denominazione]]&amp;" - "&amp;Tabella1[[#This Row],[Città]]</f>
        <v>B&amp;B PICCOLO EDEN - URBANIA</v>
      </c>
    </row>
    <row r="1888" spans="1:8" x14ac:dyDescent="0.25">
      <c r="A1888" s="1" t="s">
        <v>29</v>
      </c>
      <c r="B1888" s="1" t="s">
        <v>15134</v>
      </c>
      <c r="C1888" s="1" t="s">
        <v>15135</v>
      </c>
      <c r="D1888" s="1" t="s">
        <v>15129</v>
      </c>
      <c r="G1888" s="1" t="s">
        <v>15136</v>
      </c>
      <c r="H1888" s="2" t="str">
        <f>Tabella1[[#This Row],[Denominazione]]&amp;" - "&amp;Tabella1[[#This Row],[Città]]</f>
        <v>B&amp;B PICENO - CASTEL DI LAMA</v>
      </c>
    </row>
    <row r="1889" spans="1:8" x14ac:dyDescent="0.25">
      <c r="A1889" s="1" t="s">
        <v>29</v>
      </c>
      <c r="B1889" s="1" t="s">
        <v>19298</v>
      </c>
      <c r="C1889" s="1" t="s">
        <v>19299</v>
      </c>
      <c r="D1889" s="1" t="s">
        <v>19283</v>
      </c>
      <c r="G1889" s="1" t="s">
        <v>19300</v>
      </c>
      <c r="H1889" s="2" t="str">
        <f>Tabella1[[#This Row],[Denominazione]]&amp;" - "&amp;Tabella1[[#This Row],[Città]]</f>
        <v>B&amp;B PIERMARTIRI ALBERTO - PORTO SANT'ELPIDIO</v>
      </c>
    </row>
    <row r="1890" spans="1:8" x14ac:dyDescent="0.25">
      <c r="A1890" s="1" t="s">
        <v>29</v>
      </c>
      <c r="B1890" s="1" t="s">
        <v>4042</v>
      </c>
      <c r="C1890" s="1" t="s">
        <v>4043</v>
      </c>
      <c r="D1890" s="1" t="s">
        <v>2386</v>
      </c>
      <c r="E1890" s="1" t="s">
        <v>4044</v>
      </c>
      <c r="F1890" s="1" t="s">
        <v>4045</v>
      </c>
      <c r="G1890" s="1" t="s">
        <v>4046</v>
      </c>
      <c r="H1890" s="2" t="str">
        <f>Tabella1[[#This Row],[Denominazione]]&amp;" - "&amp;Tabella1[[#This Row],[Città]]</f>
        <v>B&amp;B PIGIOTTO - PESARO</v>
      </c>
    </row>
    <row r="1891" spans="1:8" x14ac:dyDescent="0.25">
      <c r="A1891" s="1" t="s">
        <v>29</v>
      </c>
      <c r="B1891" s="1" t="s">
        <v>4149</v>
      </c>
      <c r="C1891" s="1" t="s">
        <v>4150</v>
      </c>
      <c r="D1891" s="1" t="s">
        <v>4151</v>
      </c>
      <c r="E1891" s="1" t="s">
        <v>4151</v>
      </c>
      <c r="G1891" s="1" t="s">
        <v>4152</v>
      </c>
      <c r="H1891" s="2" t="str">
        <f>Tabella1[[#This Row],[Denominazione]]&amp;" - "&amp;Tabella1[[#This Row],[Città]]</f>
        <v>B&amp;B PINETA di CILIBERTO VITTORIA - PIETRARUBBIA</v>
      </c>
    </row>
    <row r="1892" spans="1:8" x14ac:dyDescent="0.25">
      <c r="A1892" s="1" t="s">
        <v>29</v>
      </c>
      <c r="B1892" s="1" t="s">
        <v>11480</v>
      </c>
      <c r="C1892" s="1" t="s">
        <v>11481</v>
      </c>
      <c r="D1892" s="1" t="s">
        <v>11244</v>
      </c>
      <c r="F1892" s="1" t="s">
        <v>11482</v>
      </c>
      <c r="G1892" s="1" t="s">
        <v>11483</v>
      </c>
      <c r="H1892" s="2" t="str">
        <f>Tabella1[[#This Row],[Denominazione]]&amp;" - "&amp;Tabella1[[#This Row],[Città]]</f>
        <v>B&amp;B PINO MARITTIMO - CIVITANOVA MARCHE</v>
      </c>
    </row>
    <row r="1893" spans="1:8" x14ac:dyDescent="0.25">
      <c r="A1893" s="1" t="s">
        <v>29</v>
      </c>
      <c r="B1893" s="1" t="s">
        <v>4858</v>
      </c>
      <c r="C1893" s="1" t="s">
        <v>4859</v>
      </c>
      <c r="D1893" s="1" t="s">
        <v>4735</v>
      </c>
      <c r="G1893" s="1" t="s">
        <v>4860</v>
      </c>
      <c r="H1893" s="2" t="str">
        <f>Tabella1[[#This Row],[Denominazione]]&amp;" - "&amp;Tabella1[[#This Row],[Città]]</f>
        <v>B&amp;B PIPPINELLA - URBANIA</v>
      </c>
    </row>
    <row r="1894" spans="1:8" x14ac:dyDescent="0.25">
      <c r="A1894" s="1" t="s">
        <v>29</v>
      </c>
      <c r="B1894" s="1" t="s">
        <v>11531</v>
      </c>
      <c r="C1894" s="1" t="s">
        <v>11532</v>
      </c>
      <c r="D1894" s="1" t="s">
        <v>11244</v>
      </c>
      <c r="G1894" s="1" t="s">
        <v>11533</v>
      </c>
      <c r="H1894" s="2" t="str">
        <f>Tabella1[[#This Row],[Denominazione]]&amp;" - "&amp;Tabella1[[#This Row],[Città]]</f>
        <v>B&amp;B PIPPO - CIVITANOVA MARCHE</v>
      </c>
    </row>
    <row r="1895" spans="1:8" x14ac:dyDescent="0.25">
      <c r="A1895" s="1" t="s">
        <v>29</v>
      </c>
      <c r="B1895" s="1" t="s">
        <v>3078</v>
      </c>
      <c r="C1895" s="1" t="s">
        <v>3079</v>
      </c>
      <c r="D1895" s="1" t="s">
        <v>3067</v>
      </c>
      <c r="G1895" s="1" t="s">
        <v>3080</v>
      </c>
      <c r="H1895" s="2" t="str">
        <f>Tabella1[[#This Row],[Denominazione]]&amp;" - "&amp;Tabella1[[#This Row],[Città]]</f>
        <v>B&amp;B PISANI RENZO - MONTECOPIOLO</v>
      </c>
    </row>
    <row r="1896" spans="1:8" x14ac:dyDescent="0.25">
      <c r="A1896" s="1" t="s">
        <v>29</v>
      </c>
      <c r="B1896" s="1" t="s">
        <v>19353</v>
      </c>
      <c r="C1896" s="1" t="s">
        <v>19354</v>
      </c>
      <c r="D1896" s="1" t="s">
        <v>19283</v>
      </c>
      <c r="G1896" s="1" t="s">
        <v>19355</v>
      </c>
      <c r="H1896" s="2" t="str">
        <f>Tabella1[[#This Row],[Denominazione]]&amp;" - "&amp;Tabella1[[#This Row],[Città]]</f>
        <v>B&amp;B PISTOLESI RONNY - PORTO SANT'ELPIDIO</v>
      </c>
    </row>
    <row r="1897" spans="1:8" x14ac:dyDescent="0.25">
      <c r="A1897" s="1" t="s">
        <v>29</v>
      </c>
      <c r="B1897" s="1" t="s">
        <v>14847</v>
      </c>
      <c r="C1897" s="1" t="s">
        <v>14848</v>
      </c>
      <c r="D1897" s="1" t="s">
        <v>14576</v>
      </c>
      <c r="E1897" s="1" t="s">
        <v>14576</v>
      </c>
      <c r="H1897" s="2" t="str">
        <f>Tabella1[[#This Row],[Denominazione]]&amp;" - "&amp;Tabella1[[#This Row],[Città]]</f>
        <v>B&amp;B PLATEOLA DI DE ANGELIS ROSA - ASCOLI PICENO</v>
      </c>
    </row>
    <row r="1898" spans="1:8" x14ac:dyDescent="0.25">
      <c r="A1898" s="1" t="s">
        <v>29</v>
      </c>
      <c r="B1898" s="1" t="s">
        <v>14016</v>
      </c>
      <c r="C1898" s="1" t="s">
        <v>14017</v>
      </c>
      <c r="D1898" s="1" t="s">
        <v>13946</v>
      </c>
      <c r="E1898" s="1" t="s">
        <v>13946</v>
      </c>
      <c r="F1898" s="1" t="s">
        <v>14018</v>
      </c>
      <c r="G1898" s="1" t="s">
        <v>14019</v>
      </c>
      <c r="H1898" s="2" t="str">
        <f>Tabella1[[#This Row],[Denominazione]]&amp;" - "&amp;Tabella1[[#This Row],[Città]]</f>
        <v>B&amp;B PODERE DEL FAGIANO - TOLENTINO</v>
      </c>
    </row>
    <row r="1899" spans="1:8" x14ac:dyDescent="0.25">
      <c r="A1899" s="1" t="s">
        <v>29</v>
      </c>
      <c r="B1899" s="1" t="s">
        <v>6719</v>
      </c>
      <c r="C1899" s="1" t="s">
        <v>6720</v>
      </c>
      <c r="D1899" s="1" t="s">
        <v>6652</v>
      </c>
      <c r="E1899" s="1" t="s">
        <v>6652</v>
      </c>
      <c r="F1899" s="1" t="s">
        <v>6721</v>
      </c>
      <c r="G1899" s="1" t="s">
        <v>6722</v>
      </c>
      <c r="H1899" s="2" t="str">
        <f>Tabella1[[#This Row],[Denominazione]]&amp;" - "&amp;Tabella1[[#This Row],[Città]]</f>
        <v>B&amp;B PODERE IL LECCIO - CUPRAMONTANA</v>
      </c>
    </row>
    <row r="1900" spans="1:8" x14ac:dyDescent="0.25">
      <c r="A1900" s="1" t="s">
        <v>29</v>
      </c>
      <c r="B1900" s="1" t="s">
        <v>8097</v>
      </c>
      <c r="C1900" s="1" t="s">
        <v>8098</v>
      </c>
      <c r="D1900" s="1" t="s">
        <v>7889</v>
      </c>
      <c r="G1900" s="1" t="s">
        <v>8099</v>
      </c>
      <c r="H1900" s="2" t="str">
        <f>Tabella1[[#This Row],[Denominazione]]&amp;" - "&amp;Tabella1[[#This Row],[Città]]</f>
        <v>B&amp;B POGGIO DEL SOLE - NUMANA</v>
      </c>
    </row>
    <row r="1901" spans="1:8" x14ac:dyDescent="0.25">
      <c r="A1901" s="1" t="s">
        <v>29</v>
      </c>
      <c r="B1901" s="1" t="s">
        <v>16783</v>
      </c>
      <c r="C1901" s="1" t="s">
        <v>16784</v>
      </c>
      <c r="D1901" s="1" t="s">
        <v>16767</v>
      </c>
      <c r="G1901" s="1" t="s">
        <v>16785</v>
      </c>
      <c r="H1901" s="2" t="str">
        <f>Tabella1[[#This Row],[Denominazione]]&amp;" - "&amp;Tabella1[[#This Row],[Città]]</f>
        <v>B&amp;B POGGIO VERDE - ROTELLA</v>
      </c>
    </row>
    <row r="1902" spans="1:8" x14ac:dyDescent="0.25">
      <c r="A1902" s="1" t="s">
        <v>29</v>
      </c>
      <c r="B1902" s="1" t="s">
        <v>5556</v>
      </c>
      <c r="C1902" s="1" t="s">
        <v>5557</v>
      </c>
      <c r="D1902" s="1" t="s">
        <v>1864</v>
      </c>
      <c r="E1902" s="1" t="s">
        <v>5558</v>
      </c>
      <c r="G1902" s="1" t="s">
        <v>5559</v>
      </c>
      <c r="H1902" s="2" t="str">
        <f>Tabella1[[#This Row],[Denominazione]]&amp;" - "&amp;Tabella1[[#This Row],[Città]]</f>
        <v>B&amp;B PONTEMARE - ANCONA</v>
      </c>
    </row>
    <row r="1903" spans="1:8" x14ac:dyDescent="0.25">
      <c r="A1903" s="1" t="s">
        <v>29</v>
      </c>
      <c r="B1903" s="1" t="s">
        <v>18930</v>
      </c>
      <c r="C1903" s="1" t="s">
        <v>18931</v>
      </c>
      <c r="D1903" s="1" t="s">
        <v>18909</v>
      </c>
      <c r="G1903" s="1" t="s">
        <v>18932</v>
      </c>
      <c r="H1903" s="2" t="str">
        <f>Tabella1[[#This Row],[Denominazione]]&amp;" - "&amp;Tabella1[[#This Row],[Città]]</f>
        <v>B&amp;B PORTA DA SOLE - ORTEZZANO</v>
      </c>
    </row>
    <row r="1904" spans="1:8" x14ac:dyDescent="0.25">
      <c r="A1904" s="1" t="s">
        <v>29</v>
      </c>
      <c r="B1904" s="1" t="s">
        <v>6810</v>
      </c>
      <c r="C1904" s="1" t="s">
        <v>6811</v>
      </c>
      <c r="D1904" s="1" t="s">
        <v>6790</v>
      </c>
      <c r="F1904" s="1" t="s">
        <v>6812</v>
      </c>
      <c r="G1904" s="1" t="s">
        <v>6813</v>
      </c>
      <c r="H1904" s="2" t="str">
        <f>Tabella1[[#This Row],[Denominazione]]&amp;" - "&amp;Tabella1[[#This Row],[Città]]</f>
        <v>B&amp;B PORTA DEL PIANO - FABRIANO</v>
      </c>
    </row>
    <row r="1905" spans="1:8" x14ac:dyDescent="0.25">
      <c r="A1905" s="1" t="s">
        <v>29</v>
      </c>
      <c r="B1905" s="1" t="s">
        <v>11302</v>
      </c>
      <c r="C1905" s="1" t="s">
        <v>11303</v>
      </c>
      <c r="D1905" s="1" t="s">
        <v>11244</v>
      </c>
      <c r="G1905" s="1" t="s">
        <v>11304</v>
      </c>
      <c r="H1905" s="2" t="str">
        <f>Tabella1[[#This Row],[Denominazione]]&amp;" - "&amp;Tabella1[[#This Row],[Città]]</f>
        <v>B&amp;B PORTOCIVITANOVA - CIVITANOVA MARCHE</v>
      </c>
    </row>
    <row r="1906" spans="1:8" x14ac:dyDescent="0.25">
      <c r="A1906" s="1" t="s">
        <v>29</v>
      </c>
      <c r="B1906" s="1" t="s">
        <v>3965</v>
      </c>
      <c r="C1906" s="1" t="s">
        <v>3966</v>
      </c>
      <c r="D1906" s="1" t="s">
        <v>2386</v>
      </c>
      <c r="E1906" s="1" t="s">
        <v>3967</v>
      </c>
      <c r="F1906" s="1" t="s">
        <v>3968</v>
      </c>
      <c r="G1906" s="1" t="s">
        <v>3969</v>
      </c>
      <c r="H1906" s="2" t="str">
        <f>Tabella1[[#This Row],[Denominazione]]&amp;" - "&amp;Tabella1[[#This Row],[Città]]</f>
        <v>B&amp;B PREMA DHAM - PESARO</v>
      </c>
    </row>
    <row r="1907" spans="1:8" x14ac:dyDescent="0.25">
      <c r="A1907" s="1" t="s">
        <v>29</v>
      </c>
      <c r="B1907" s="1" t="s">
        <v>14852</v>
      </c>
      <c r="C1907" s="1" t="s">
        <v>14853</v>
      </c>
      <c r="D1907" s="1" t="s">
        <v>14576</v>
      </c>
      <c r="E1907" s="1" t="s">
        <v>14576</v>
      </c>
      <c r="G1907" s="1" t="s">
        <v>14854</v>
      </c>
      <c r="H1907" s="2" t="str">
        <f>Tabella1[[#This Row],[Denominazione]]&amp;" - "&amp;Tabella1[[#This Row],[Città]]</f>
        <v>B&amp;B PREVIGNANO LUIGI - ASCOLI PICENO</v>
      </c>
    </row>
    <row r="1908" spans="1:8" x14ac:dyDescent="0.25">
      <c r="A1908" s="1" t="s">
        <v>29</v>
      </c>
      <c r="B1908" s="1" t="s">
        <v>10783</v>
      </c>
      <c r="C1908" s="1" t="s">
        <v>10784</v>
      </c>
      <c r="D1908" s="1" t="s">
        <v>10737</v>
      </c>
      <c r="E1908" s="1" t="s">
        <v>10785</v>
      </c>
      <c r="G1908" s="1" t="s">
        <v>10786</v>
      </c>
      <c r="H1908" s="2" t="str">
        <f>Tabella1[[#This Row],[Denominazione]]&amp;" - "&amp;Tabella1[[#This Row],[Città]]</f>
        <v>B&amp;B PRIMA O POI - CAMERINO</v>
      </c>
    </row>
    <row r="1909" spans="1:8" x14ac:dyDescent="0.25">
      <c r="A1909" s="1" t="s">
        <v>29</v>
      </c>
      <c r="B1909" s="1" t="s">
        <v>7164</v>
      </c>
      <c r="C1909" s="1" t="s">
        <v>7165</v>
      </c>
      <c r="D1909" s="1" t="s">
        <v>7161</v>
      </c>
      <c r="G1909" s="1" t="s">
        <v>7166</v>
      </c>
      <c r="H1909" s="2" t="str">
        <f>Tabella1[[#This Row],[Denominazione]]&amp;" - "&amp;Tabella1[[#This Row],[Città]]</f>
        <v>B&amp;B PRINCIPERTO - FILOTTRANO</v>
      </c>
    </row>
    <row r="1910" spans="1:8" x14ac:dyDescent="0.25">
      <c r="A1910" s="1" t="s">
        <v>29</v>
      </c>
      <c r="B1910" s="1" t="s">
        <v>15177</v>
      </c>
      <c r="C1910" s="1" t="s">
        <v>15178</v>
      </c>
      <c r="D1910" s="1" t="s">
        <v>15151</v>
      </c>
      <c r="E1910" s="1" t="s">
        <v>15151</v>
      </c>
      <c r="H1910" s="2" t="str">
        <f>Tabella1[[#This Row],[Denominazione]]&amp;" - "&amp;Tabella1[[#This Row],[Città]]</f>
        <v>B&amp;B PRINCIVALLI MARIA STELLA - CASTIGNANO</v>
      </c>
    </row>
    <row r="1911" spans="1:8" x14ac:dyDescent="0.25">
      <c r="A1911" s="1" t="s">
        <v>29</v>
      </c>
      <c r="B1911" s="1" t="s">
        <v>11402</v>
      </c>
      <c r="C1911" s="1" t="s">
        <v>11403</v>
      </c>
      <c r="D1911" s="1" t="s">
        <v>11244</v>
      </c>
      <c r="E1911" s="1" t="s">
        <v>11244</v>
      </c>
      <c r="G1911" s="1" t="s">
        <v>11404</v>
      </c>
      <c r="H1911" s="2" t="str">
        <f>Tabella1[[#This Row],[Denominazione]]&amp;" - "&amp;Tabella1[[#This Row],[Città]]</f>
        <v>B&amp;B PROFUMO DI  MAGNOLIA - CIVITANOVA MARCHE</v>
      </c>
    </row>
    <row r="1912" spans="1:8" x14ac:dyDescent="0.25">
      <c r="A1912" s="1" t="s">
        <v>29</v>
      </c>
      <c r="B1912" s="1" t="s">
        <v>15690</v>
      </c>
      <c r="C1912" s="1" t="s">
        <v>15691</v>
      </c>
      <c r="D1912" s="1" t="s">
        <v>15585</v>
      </c>
      <c r="E1912" s="1" t="s">
        <v>15585</v>
      </c>
      <c r="F1912" s="1" t="s">
        <v>15692</v>
      </c>
      <c r="G1912" s="1" t="s">
        <v>15693</v>
      </c>
      <c r="H1912" s="2" t="str">
        <f>Tabella1[[#This Row],[Denominazione]]&amp;" - "&amp;Tabella1[[#This Row],[Città]]</f>
        <v>B&amp;B PROFUMO DI NARDO - GROTTAMMARE</v>
      </c>
    </row>
    <row r="1913" spans="1:8" x14ac:dyDescent="0.25">
      <c r="A1913" s="1" t="s">
        <v>29</v>
      </c>
      <c r="B1913" s="1" t="s">
        <v>7511</v>
      </c>
      <c r="C1913" s="1" t="s">
        <v>7512</v>
      </c>
      <c r="D1913" s="1" t="s">
        <v>7385</v>
      </c>
      <c r="E1913" s="1" t="s">
        <v>7385</v>
      </c>
      <c r="G1913" s="1" t="s">
        <v>7513</v>
      </c>
      <c r="H1913" s="2" t="str">
        <f>Tabella1[[#This Row],[Denominazione]]&amp;" - "&amp;Tabella1[[#This Row],[Città]]</f>
        <v>B&amp;B PROFUMODIPANE - LORETO</v>
      </c>
    </row>
    <row r="1914" spans="1:8" x14ac:dyDescent="0.25">
      <c r="A1914" s="1" t="s">
        <v>29</v>
      </c>
      <c r="B1914" s="1" t="s">
        <v>5470</v>
      </c>
      <c r="C1914" s="1" t="s">
        <v>5471</v>
      </c>
      <c r="D1914" s="1" t="s">
        <v>1864</v>
      </c>
      <c r="G1914" s="1" t="s">
        <v>5472</v>
      </c>
      <c r="H1914" s="2" t="str">
        <f>Tabella1[[#This Row],[Denominazione]]&amp;" - "&amp;Tabella1[[#This Row],[Città]]</f>
        <v>B&amp;B PUNTO E A CAPO - ANCONA</v>
      </c>
    </row>
    <row r="1915" spans="1:8" x14ac:dyDescent="0.25">
      <c r="A1915" s="1" t="s">
        <v>29</v>
      </c>
      <c r="B1915" s="1" t="s">
        <v>9819</v>
      </c>
      <c r="C1915" s="1" t="s">
        <v>9820</v>
      </c>
      <c r="D1915" s="1" t="s">
        <v>8949</v>
      </c>
      <c r="E1915" s="1" t="s">
        <v>8949</v>
      </c>
      <c r="F1915" s="1" t="s">
        <v>9821</v>
      </c>
      <c r="G1915" s="1" t="s">
        <v>9822</v>
      </c>
      <c r="H1915" s="2" t="str">
        <f>Tabella1[[#This Row],[Denominazione]]&amp;" - "&amp;Tabella1[[#This Row],[Città]]</f>
        <v>B&amp;B QUERCIABELLA - SENIGALLIA</v>
      </c>
    </row>
    <row r="1916" spans="1:8" x14ac:dyDescent="0.25">
      <c r="A1916" s="1" t="s">
        <v>29</v>
      </c>
      <c r="B1916" s="1" t="s">
        <v>268</v>
      </c>
      <c r="C1916" s="1" t="s">
        <v>269</v>
      </c>
      <c r="D1916" s="1" t="s">
        <v>266</v>
      </c>
      <c r="F1916" s="1" t="s">
        <v>270</v>
      </c>
      <c r="G1916" s="1" t="s">
        <v>271</v>
      </c>
      <c r="H1916" s="2" t="str">
        <f>Tabella1[[#This Row],[Denominazione]]&amp;" - "&amp;Tabella1[[#This Row],[Città]]</f>
        <v>B&amp;B QUIETE SUL META - BORGO PACE</v>
      </c>
    </row>
    <row r="1917" spans="1:8" x14ac:dyDescent="0.25">
      <c r="A1917" s="1" t="s">
        <v>29</v>
      </c>
      <c r="B1917" s="1" t="s">
        <v>5381</v>
      </c>
      <c r="C1917" s="1" t="s">
        <v>5382</v>
      </c>
      <c r="D1917" s="1" t="s">
        <v>5358</v>
      </c>
      <c r="E1917" s="1" t="s">
        <v>5383</v>
      </c>
      <c r="G1917" s="1" t="s">
        <v>5384</v>
      </c>
      <c r="H1917" s="2" t="str">
        <f>Tabella1[[#This Row],[Denominazione]]&amp;" - "&amp;Tabella1[[#This Row],[Città]]</f>
        <v>B&amp;B RAFFAELLO - VALLEFOGLIA</v>
      </c>
    </row>
    <row r="1918" spans="1:8" x14ac:dyDescent="0.25">
      <c r="A1918" s="1" t="s">
        <v>29</v>
      </c>
      <c r="B1918" s="1" t="s">
        <v>9472</v>
      </c>
      <c r="C1918" s="1" t="s">
        <v>9473</v>
      </c>
      <c r="D1918" s="1" t="s">
        <v>8949</v>
      </c>
      <c r="E1918" s="1" t="s">
        <v>8949</v>
      </c>
      <c r="F1918" s="1" t="s">
        <v>9474</v>
      </c>
      <c r="G1918" s="1" t="s">
        <v>9475</v>
      </c>
      <c r="H1918" s="2" t="str">
        <f>Tabella1[[#This Row],[Denominazione]]&amp;" - "&amp;Tabella1[[#This Row],[Città]]</f>
        <v>B&amp;B RAGGIO DI LUNA - SENIGALLIA</v>
      </c>
    </row>
    <row r="1919" spans="1:8" x14ac:dyDescent="0.25">
      <c r="A1919" s="1" t="s">
        <v>29</v>
      </c>
      <c r="B1919" s="1" t="s">
        <v>14959</v>
      </c>
      <c r="C1919" s="1" t="s">
        <v>14960</v>
      </c>
      <c r="D1919" s="1" t="s">
        <v>14576</v>
      </c>
      <c r="E1919" s="1" t="s">
        <v>14576</v>
      </c>
      <c r="H1919" s="2" t="str">
        <f>Tabella1[[#This Row],[Denominazione]]&amp;" - "&amp;Tabella1[[#This Row],[Città]]</f>
        <v>B&amp;B RASPINO MASSIMILANO - ASCOLI PICENO</v>
      </c>
    </row>
    <row r="1920" spans="1:8" x14ac:dyDescent="0.25">
      <c r="A1920" s="1" t="s">
        <v>29</v>
      </c>
      <c r="B1920" s="1" t="s">
        <v>14931</v>
      </c>
      <c r="C1920" s="1" t="s">
        <v>14932</v>
      </c>
      <c r="D1920" s="1" t="s">
        <v>14576</v>
      </c>
      <c r="E1920" s="1" t="s">
        <v>14576</v>
      </c>
      <c r="F1920" s="1" t="s">
        <v>14933</v>
      </c>
      <c r="G1920" s="1" t="s">
        <v>14934</v>
      </c>
      <c r="H1920" s="2" t="str">
        <f>Tabella1[[#This Row],[Denominazione]]&amp;" - "&amp;Tabella1[[#This Row],[Città]]</f>
        <v>B&amp;B REGGIMENTO - ASCOLI PICENO</v>
      </c>
    </row>
    <row r="1921" spans="1:8" x14ac:dyDescent="0.25">
      <c r="A1921" s="1" t="s">
        <v>29</v>
      </c>
      <c r="B1921" s="1" t="s">
        <v>19023</v>
      </c>
      <c r="C1921" s="1" t="s">
        <v>19024</v>
      </c>
      <c r="D1921" s="1" t="s">
        <v>18971</v>
      </c>
      <c r="G1921" s="1" t="s">
        <v>19025</v>
      </c>
      <c r="H1921" s="2" t="str">
        <f>Tabella1[[#This Row],[Denominazione]]&amp;" - "&amp;Tabella1[[#This Row],[Città]]</f>
        <v>B&amp;B REGINA MARGHERITA - PETRITOLI</v>
      </c>
    </row>
    <row r="1922" spans="1:8" x14ac:dyDescent="0.25">
      <c r="A1922" s="1" t="s">
        <v>29</v>
      </c>
      <c r="B1922" s="1" t="s">
        <v>18316</v>
      </c>
      <c r="C1922" s="1" t="s">
        <v>18317</v>
      </c>
      <c r="D1922" s="1" t="s">
        <v>17932</v>
      </c>
      <c r="H1922" s="2" t="str">
        <f>Tabella1[[#This Row],[Denominazione]]&amp;" - "&amp;Tabella1[[#This Row],[Città]]</f>
        <v>B&amp;B REMO CUTRINA - FERMO</v>
      </c>
    </row>
    <row r="1923" spans="1:8" x14ac:dyDescent="0.25">
      <c r="A1923" s="1" t="s">
        <v>29</v>
      </c>
      <c r="B1923" s="1" t="s">
        <v>16984</v>
      </c>
      <c r="C1923" s="1" t="s">
        <v>16985</v>
      </c>
      <c r="D1923" s="1" t="s">
        <v>15819</v>
      </c>
      <c r="E1923" s="1" t="s">
        <v>15819</v>
      </c>
      <c r="F1923" s="1" t="s">
        <v>16986</v>
      </c>
      <c r="G1923" s="1" t="s">
        <v>16987</v>
      </c>
      <c r="H1923" s="2" t="str">
        <f>Tabella1[[#This Row],[Denominazione]]&amp;" - "&amp;Tabella1[[#This Row],[Città]]</f>
        <v>B&amp;B RENALBA - SAN BENEDETTO DEL TRONTO</v>
      </c>
    </row>
    <row r="1924" spans="1:8" x14ac:dyDescent="0.25">
      <c r="A1924" s="1" t="s">
        <v>29</v>
      </c>
      <c r="B1924" s="1" t="s">
        <v>4105</v>
      </c>
      <c r="C1924" s="1" t="s">
        <v>4008</v>
      </c>
      <c r="D1924" s="1" t="s">
        <v>2386</v>
      </c>
      <c r="E1924" s="1" t="s">
        <v>2386</v>
      </c>
      <c r="F1924" s="1" t="s">
        <v>4106</v>
      </c>
      <c r="G1924" s="1" t="s">
        <v>4010</v>
      </c>
      <c r="H1924" s="2" t="str">
        <f>Tabella1[[#This Row],[Denominazione]]&amp;" - "&amp;Tabella1[[#This Row],[Città]]</f>
        <v>B&amp;B RESIDENZA LA CANONICA - PESARO</v>
      </c>
    </row>
    <row r="1925" spans="1:8" x14ac:dyDescent="0.25">
      <c r="A1925" s="1" t="s">
        <v>29</v>
      </c>
      <c r="B1925" s="1" t="s">
        <v>7067</v>
      </c>
      <c r="C1925" s="1" t="s">
        <v>7038</v>
      </c>
      <c r="D1925" s="1" t="s">
        <v>5735</v>
      </c>
      <c r="E1925" s="1" t="s">
        <v>5735</v>
      </c>
      <c r="F1925" s="1" t="s">
        <v>7068</v>
      </c>
      <c r="G1925" s="1" t="s">
        <v>7039</v>
      </c>
      <c r="H1925" s="2" t="str">
        <f>Tabella1[[#This Row],[Denominazione]]&amp;" - "&amp;Tabella1[[#This Row],[Città]]</f>
        <v>B&amp;B RESIDENZA LEONARDO - FALCONARA MARITTIMA</v>
      </c>
    </row>
    <row r="1926" spans="1:8" x14ac:dyDescent="0.25">
      <c r="A1926" s="1" t="s">
        <v>29</v>
      </c>
      <c r="B1926" s="1" t="s">
        <v>10885</v>
      </c>
      <c r="C1926" s="1" t="s">
        <v>10886</v>
      </c>
      <c r="D1926" s="1" t="s">
        <v>10737</v>
      </c>
      <c r="G1926" s="1" t="s">
        <v>10887</v>
      </c>
      <c r="H1926" s="2" t="str">
        <f>Tabella1[[#This Row],[Denominazione]]&amp;" - "&amp;Tabella1[[#This Row],[Città]]</f>
        <v>B&amp;B RESTOQUI - CAMERINO</v>
      </c>
    </row>
    <row r="1927" spans="1:8" x14ac:dyDescent="0.25">
      <c r="A1927" s="1" t="s">
        <v>29</v>
      </c>
      <c r="B1927" s="1" t="s">
        <v>15612</v>
      </c>
      <c r="C1927" s="1" t="s">
        <v>15613</v>
      </c>
      <c r="D1927" s="1" t="s">
        <v>15585</v>
      </c>
      <c r="G1927" s="1" t="s">
        <v>15614</v>
      </c>
      <c r="H1927" s="2" t="str">
        <f>Tabella1[[#This Row],[Denominazione]]&amp;" - "&amp;Tabella1[[#This Row],[Città]]</f>
        <v>B&amp;B RIBECA'S - GROTTAMMARE</v>
      </c>
    </row>
    <row r="1928" spans="1:8" x14ac:dyDescent="0.25">
      <c r="A1928" s="1" t="s">
        <v>29</v>
      </c>
      <c r="B1928" s="1" t="s">
        <v>18640</v>
      </c>
      <c r="C1928" s="1" t="s">
        <v>18641</v>
      </c>
      <c r="D1928" s="1" t="s">
        <v>18618</v>
      </c>
      <c r="E1928" s="1" t="s">
        <v>18618</v>
      </c>
      <c r="G1928" s="1" t="s">
        <v>18642</v>
      </c>
      <c r="H1928" s="2" t="str">
        <f>Tabella1[[#This Row],[Denominazione]]&amp;" - "&amp;Tabella1[[#This Row],[Città]]</f>
        <v>B&amp;B RICCI LIDIA - MONTEGIORGIO</v>
      </c>
    </row>
    <row r="1929" spans="1:8" x14ac:dyDescent="0.25">
      <c r="A1929" s="1" t="s">
        <v>29</v>
      </c>
      <c r="B1929" s="1" t="s">
        <v>659</v>
      </c>
      <c r="C1929" s="1" t="s">
        <v>660</v>
      </c>
      <c r="D1929" s="1" t="s">
        <v>634</v>
      </c>
      <c r="G1929" s="1" t="s">
        <v>661</v>
      </c>
      <c r="H1929" s="2" t="str">
        <f>Tabella1[[#This Row],[Denominazione]]&amp;" - "&amp;Tabella1[[#This Row],[Città]]</f>
        <v>B&amp;B RIVA DEGLI OLIVI - CARTOCETO</v>
      </c>
    </row>
    <row r="1930" spans="1:8" x14ac:dyDescent="0.25">
      <c r="A1930" s="1" t="s">
        <v>29</v>
      </c>
      <c r="B1930" s="1" t="s">
        <v>15071</v>
      </c>
      <c r="C1930" s="1" t="s">
        <v>15072</v>
      </c>
      <c r="D1930" s="1" t="s">
        <v>14576</v>
      </c>
      <c r="E1930" s="1" t="s">
        <v>15073</v>
      </c>
      <c r="G1930" s="1" t="s">
        <v>15074</v>
      </c>
      <c r="H1930" s="2" t="str">
        <f>Tabella1[[#This Row],[Denominazione]]&amp;" - "&amp;Tabella1[[#This Row],[Città]]</f>
        <v>B&amp;B RIVER - ASCOLI PICENO</v>
      </c>
    </row>
    <row r="1931" spans="1:8" x14ac:dyDescent="0.25">
      <c r="A1931" s="1" t="s">
        <v>29</v>
      </c>
      <c r="B1931" s="1" t="s">
        <v>17298</v>
      </c>
      <c r="C1931" s="1" t="s">
        <v>17299</v>
      </c>
      <c r="D1931" s="1" t="s">
        <v>15819</v>
      </c>
      <c r="E1931" s="1" t="s">
        <v>15819</v>
      </c>
      <c r="F1931" s="1" t="s">
        <v>15320</v>
      </c>
      <c r="G1931" s="1" t="s">
        <v>17300</v>
      </c>
      <c r="H1931" s="2" t="str">
        <f>Tabella1[[#This Row],[Denominazione]]&amp;" - "&amp;Tabella1[[#This Row],[Città]]</f>
        <v>B&amp;B RIVER - EMIDIO SANTRONI - SAN BENEDETTO DEL TRONTO</v>
      </c>
    </row>
    <row r="1932" spans="1:8" x14ac:dyDescent="0.25">
      <c r="A1932" s="1" t="s">
        <v>29</v>
      </c>
      <c r="B1932" s="1" t="s">
        <v>8089</v>
      </c>
      <c r="C1932" s="1" t="s">
        <v>8090</v>
      </c>
      <c r="D1932" s="1" t="s">
        <v>7889</v>
      </c>
      <c r="F1932" s="1" t="s">
        <v>8091</v>
      </c>
      <c r="G1932" s="1" t="s">
        <v>8092</v>
      </c>
      <c r="H1932" s="2" t="str">
        <f>Tabella1[[#This Row],[Denominazione]]&amp;" - "&amp;Tabella1[[#This Row],[Città]]</f>
        <v>B&amp;B ROBERTA - NUMANA</v>
      </c>
    </row>
    <row r="1933" spans="1:8" x14ac:dyDescent="0.25">
      <c r="A1933" s="1" t="s">
        <v>29</v>
      </c>
      <c r="B1933" s="1" t="s">
        <v>7299</v>
      </c>
      <c r="C1933" s="1" t="s">
        <v>7300</v>
      </c>
      <c r="D1933" s="1" t="s">
        <v>7254</v>
      </c>
      <c r="E1933" s="1" t="s">
        <v>7254</v>
      </c>
      <c r="F1933" s="1" t="s">
        <v>7301</v>
      </c>
      <c r="G1933" s="1" t="s">
        <v>7302</v>
      </c>
      <c r="H1933" s="2" t="str">
        <f>Tabella1[[#This Row],[Denominazione]]&amp;" - "&amp;Tabella1[[#This Row],[Città]]</f>
        <v>B&amp;B ROCCA BELLA - JESI</v>
      </c>
    </row>
    <row r="1934" spans="1:8" x14ac:dyDescent="0.25">
      <c r="A1934" s="1" t="s">
        <v>29</v>
      </c>
      <c r="B1934" s="1" t="s">
        <v>17650</v>
      </c>
      <c r="C1934" s="1" t="s">
        <v>17651</v>
      </c>
      <c r="D1934" s="1" t="s">
        <v>15819</v>
      </c>
      <c r="E1934" s="1" t="s">
        <v>15819</v>
      </c>
      <c r="F1934" s="1" t="s">
        <v>17652</v>
      </c>
      <c r="G1934" s="1" t="s">
        <v>17646</v>
      </c>
      <c r="H1934" s="2" t="str">
        <f>Tabella1[[#This Row],[Denominazione]]&amp;" - "&amp;Tabella1[[#This Row],[Città]]</f>
        <v>B&amp;B ROMA - SAN BENEDETTO DEL TRONTO</v>
      </c>
    </row>
    <row r="1935" spans="1:8" x14ac:dyDescent="0.25">
      <c r="A1935" s="1" t="s">
        <v>29</v>
      </c>
      <c r="B1935" s="1" t="s">
        <v>1782</v>
      </c>
      <c r="C1935" s="1" t="s">
        <v>1783</v>
      </c>
      <c r="D1935" s="1" t="s">
        <v>1724</v>
      </c>
      <c r="E1935" s="1" t="s">
        <v>1724</v>
      </c>
      <c r="G1935" s="1" t="s">
        <v>1784</v>
      </c>
      <c r="H1935" s="2" t="str">
        <f>Tabella1[[#This Row],[Denominazione]]&amp;" - "&amp;Tabella1[[#This Row],[Città]]</f>
        <v>B&amp;B ROMAGNOLI EDMEO - FOSSOMBRONE</v>
      </c>
    </row>
    <row r="1936" spans="1:8" x14ac:dyDescent="0.25">
      <c r="A1936" s="1" t="s">
        <v>29</v>
      </c>
      <c r="B1936" s="1" t="s">
        <v>19390</v>
      </c>
      <c r="C1936" s="1" t="s">
        <v>19391</v>
      </c>
      <c r="D1936" s="1" t="s">
        <v>19283</v>
      </c>
      <c r="E1936" s="1" t="s">
        <v>19363</v>
      </c>
      <c r="F1936" s="1" t="s">
        <v>19392</v>
      </c>
      <c r="G1936" s="1" t="s">
        <v>19393</v>
      </c>
      <c r="H1936" s="2" t="str">
        <f>Tabella1[[#This Row],[Denominazione]]&amp;" - "&amp;Tabella1[[#This Row],[Città]]</f>
        <v>B&amp;B ROSA PRISCILLA - PORTO SANT'ELPIDIO</v>
      </c>
    </row>
    <row r="1937" spans="1:8" x14ac:dyDescent="0.25">
      <c r="A1937" s="1" t="s">
        <v>29</v>
      </c>
      <c r="B1937" s="1" t="s">
        <v>14682</v>
      </c>
      <c r="C1937" s="1" t="s">
        <v>14683</v>
      </c>
      <c r="D1937" s="1" t="s">
        <v>14576</v>
      </c>
      <c r="E1937" s="1" t="s">
        <v>14684</v>
      </c>
      <c r="F1937" s="1" t="s">
        <v>14685</v>
      </c>
      <c r="G1937" s="1" t="s">
        <v>14686</v>
      </c>
      <c r="H1937" s="2" t="str">
        <f>Tabella1[[#This Row],[Denominazione]]&amp;" - "&amp;Tabella1[[#This Row],[Città]]</f>
        <v>B&amp;B ROSA SPINA - ASCOLI PICENO</v>
      </c>
    </row>
    <row r="1938" spans="1:8" x14ac:dyDescent="0.25">
      <c r="A1938" s="1" t="s">
        <v>29</v>
      </c>
      <c r="B1938" s="1" t="s">
        <v>6031</v>
      </c>
      <c r="C1938" s="1" t="s">
        <v>6032</v>
      </c>
      <c r="D1938" s="1" t="s">
        <v>1864</v>
      </c>
      <c r="F1938" s="1" t="s">
        <v>6033</v>
      </c>
      <c r="G1938" s="1" t="s">
        <v>6034</v>
      </c>
      <c r="H1938" s="2" t="str">
        <f>Tabella1[[#This Row],[Denominazione]]&amp;" - "&amp;Tabella1[[#This Row],[Città]]</f>
        <v>B&amp;B ROSE DI PANE - ANCONA CENTRO - ANCONA</v>
      </c>
    </row>
    <row r="1939" spans="1:8" x14ac:dyDescent="0.25">
      <c r="A1939" s="1" t="s">
        <v>29</v>
      </c>
      <c r="B1939" s="1" t="s">
        <v>4531</v>
      </c>
      <c r="C1939" s="1" t="s">
        <v>4532</v>
      </c>
      <c r="D1939" s="1" t="s">
        <v>4527</v>
      </c>
      <c r="G1939" s="1" t="s">
        <v>4533</v>
      </c>
      <c r="H1939" s="2" t="str">
        <f>Tabella1[[#This Row],[Denominazione]]&amp;" - "&amp;Tabella1[[#This Row],[Città]]</f>
        <v>B&amp;B ROSE E MERLETTI - SASSOFELTRIO</v>
      </c>
    </row>
    <row r="1940" spans="1:8" x14ac:dyDescent="0.25">
      <c r="A1940" s="1" t="s">
        <v>29</v>
      </c>
      <c r="B1940" s="1" t="s">
        <v>8970</v>
      </c>
      <c r="C1940" s="1" t="s">
        <v>8971</v>
      </c>
      <c r="D1940" s="1" t="s">
        <v>8949</v>
      </c>
      <c r="G1940" s="1" t="s">
        <v>8972</v>
      </c>
      <c r="H1940" s="2" t="str">
        <f>Tabella1[[#This Row],[Denominazione]]&amp;" - "&amp;Tabella1[[#This Row],[Città]]</f>
        <v>B&amp;B ROSELLA - SENIGALLIA</v>
      </c>
    </row>
    <row r="1941" spans="1:8" x14ac:dyDescent="0.25">
      <c r="A1941" s="1" t="s">
        <v>29</v>
      </c>
      <c r="B1941" s="1" t="s">
        <v>18305</v>
      </c>
      <c r="C1941" s="1" t="s">
        <v>18306</v>
      </c>
      <c r="D1941" s="1" t="s">
        <v>17932</v>
      </c>
      <c r="G1941" s="1" t="s">
        <v>18307</v>
      </c>
      <c r="H1941" s="2" t="str">
        <f>Tabella1[[#This Row],[Denominazione]]&amp;" - "&amp;Tabella1[[#This Row],[Città]]</f>
        <v>B&amp;B ROSS HOUSE - FERMO</v>
      </c>
    </row>
    <row r="1942" spans="1:8" x14ac:dyDescent="0.25">
      <c r="A1942" s="1" t="s">
        <v>29</v>
      </c>
      <c r="B1942" s="1" t="s">
        <v>13957</v>
      </c>
      <c r="C1942" s="1" t="s">
        <v>13958</v>
      </c>
      <c r="D1942" s="1" t="s">
        <v>13946</v>
      </c>
      <c r="E1942" s="1" t="s">
        <v>12050</v>
      </c>
      <c r="H1942" s="2" t="str">
        <f>Tabella1[[#This Row],[Denominazione]]&amp;" - "&amp;Tabella1[[#This Row],[Città]]</f>
        <v>B&amp;B RUSTICO di TOLA PERLA CRISTINA - TOLENTINO</v>
      </c>
    </row>
    <row r="1943" spans="1:8" x14ac:dyDescent="0.25">
      <c r="A1943" s="1" t="s">
        <v>29</v>
      </c>
      <c r="B1943" s="1" t="s">
        <v>14211</v>
      </c>
      <c r="C1943" s="1" t="s">
        <v>14212</v>
      </c>
      <c r="D1943" s="1" t="s">
        <v>14213</v>
      </c>
      <c r="E1943" s="1" t="s">
        <v>14214</v>
      </c>
      <c r="G1943" s="1" t="s">
        <v>14215</v>
      </c>
      <c r="H1943" s="2" t="str">
        <f>Tabella1[[#This Row],[Denominazione]]&amp;" - "&amp;Tabella1[[#This Row],[Città]]</f>
        <v>B&amp;B S. ERCOLANO COUNTRY - USSITA</v>
      </c>
    </row>
    <row r="1944" spans="1:8" x14ac:dyDescent="0.25">
      <c r="A1944" s="1" t="s">
        <v>29</v>
      </c>
      <c r="B1944" s="1" t="s">
        <v>7893</v>
      </c>
      <c r="C1944" s="1" t="s">
        <v>7894</v>
      </c>
      <c r="D1944" s="1" t="s">
        <v>7889</v>
      </c>
      <c r="E1944" s="1" t="s">
        <v>7895</v>
      </c>
      <c r="G1944" s="1" t="s">
        <v>7896</v>
      </c>
      <c r="H1944" s="2" t="str">
        <f>Tabella1[[#This Row],[Denominazione]]&amp;" - "&amp;Tabella1[[#This Row],[Città]]</f>
        <v>B&amp;B SABBATINI ISOLINA - NUMANA</v>
      </c>
    </row>
    <row r="1945" spans="1:8" x14ac:dyDescent="0.25">
      <c r="A1945" s="1" t="s">
        <v>29</v>
      </c>
      <c r="B1945" s="1" t="s">
        <v>18430</v>
      </c>
      <c r="C1945" s="1" t="s">
        <v>18431</v>
      </c>
      <c r="D1945" s="1" t="s">
        <v>18389</v>
      </c>
      <c r="G1945" s="1" t="s">
        <v>18432</v>
      </c>
      <c r="H1945" s="2" t="str">
        <f>Tabella1[[#This Row],[Denominazione]]&amp;" - "&amp;Tabella1[[#This Row],[Città]]</f>
        <v>B&amp;B SALTARECCIO - LAPEDONA</v>
      </c>
    </row>
    <row r="1946" spans="1:8" x14ac:dyDescent="0.25">
      <c r="A1946" s="1" t="s">
        <v>29</v>
      </c>
      <c r="B1946" s="1" t="s">
        <v>12513</v>
      </c>
      <c r="C1946" s="1" t="s">
        <v>12514</v>
      </c>
      <c r="D1946" s="1" t="s">
        <v>12502</v>
      </c>
      <c r="E1946" s="1" t="s">
        <v>12502</v>
      </c>
      <c r="F1946" s="1" t="s">
        <v>12515</v>
      </c>
      <c r="G1946" s="1" t="s">
        <v>12516</v>
      </c>
      <c r="H1946" s="2" t="str">
        <f>Tabella1[[#This Row],[Denominazione]]&amp;" - "&amp;Tabella1[[#This Row],[Città]]</f>
        <v>B&amp;B SALTARI SIMONE - MONTE SAN GIUSTO</v>
      </c>
    </row>
    <row r="1947" spans="1:8" x14ac:dyDescent="0.25">
      <c r="A1947" s="1" t="s">
        <v>29</v>
      </c>
      <c r="B1947" s="1" t="s">
        <v>3024</v>
      </c>
      <c r="C1947" s="1" t="s">
        <v>3025</v>
      </c>
      <c r="D1947" s="1" t="s">
        <v>3022</v>
      </c>
      <c r="E1947" s="1" t="s">
        <v>3022</v>
      </c>
      <c r="H1947" s="2" t="str">
        <f>Tabella1[[#This Row],[Denominazione]]&amp;" - "&amp;Tabella1[[#This Row],[Città]]</f>
        <v>B&amp;B SALTO NEL CUORE DI PENSERINI MANUEL - MONTE CERIGNONE</v>
      </c>
    </row>
    <row r="1948" spans="1:8" x14ac:dyDescent="0.25">
      <c r="A1948" s="1" t="s">
        <v>29</v>
      </c>
      <c r="B1948" s="1" t="s">
        <v>12797</v>
      </c>
      <c r="C1948" s="1" t="s">
        <v>12798</v>
      </c>
      <c r="D1948" s="1" t="s">
        <v>12772</v>
      </c>
      <c r="E1948" s="1" t="s">
        <v>12772</v>
      </c>
      <c r="G1948" s="1" t="s">
        <v>12799</v>
      </c>
      <c r="H1948" s="2" t="str">
        <f>Tabella1[[#This Row],[Denominazione]]&amp;" - "&amp;Tabella1[[#This Row],[Città]]</f>
        <v>B&amp;B SALVUCCI GABRIELLA - POLLENZA</v>
      </c>
    </row>
    <row r="1949" spans="1:8" x14ac:dyDescent="0.25">
      <c r="A1949" s="1" t="s">
        <v>29</v>
      </c>
      <c r="B1949" s="1" t="s">
        <v>16492</v>
      </c>
      <c r="C1949" s="1" t="s">
        <v>16493</v>
      </c>
      <c r="D1949" s="1" t="s">
        <v>16440</v>
      </c>
      <c r="E1949" s="1" t="s">
        <v>16494</v>
      </c>
      <c r="F1949" s="1" t="s">
        <v>16495</v>
      </c>
      <c r="G1949" s="1" t="s">
        <v>16496</v>
      </c>
      <c r="H1949" s="2" t="str">
        <f>Tabella1[[#This Row],[Denominazione]]&amp;" - "&amp;Tabella1[[#This Row],[Città]]</f>
        <v>B&amp;B SAN BARNABA - OFFIDA</v>
      </c>
    </row>
    <row r="1950" spans="1:8" x14ac:dyDescent="0.25">
      <c r="A1950" s="1" t="s">
        <v>29</v>
      </c>
      <c r="B1950" s="1" t="s">
        <v>3484</v>
      </c>
      <c r="C1950" s="1" t="s">
        <v>3485</v>
      </c>
      <c r="D1950" s="1" t="s">
        <v>2386</v>
      </c>
      <c r="G1950" s="1" t="s">
        <v>3486</v>
      </c>
      <c r="H1950" s="2" t="str">
        <f>Tabella1[[#This Row],[Denominazione]]&amp;" - "&amp;Tabella1[[#This Row],[Città]]</f>
        <v>B&amp;B SAN BARTOLO - PESARO</v>
      </c>
    </row>
    <row r="1951" spans="1:8" x14ac:dyDescent="0.25">
      <c r="A1951" s="1" t="s">
        <v>29</v>
      </c>
      <c r="B1951" s="1" t="s">
        <v>16839</v>
      </c>
      <c r="C1951" s="1" t="s">
        <v>15138</v>
      </c>
      <c r="D1951" s="1" t="s">
        <v>15819</v>
      </c>
      <c r="G1951" s="1" t="s">
        <v>16840</v>
      </c>
      <c r="H1951" s="2" t="str">
        <f>Tabella1[[#This Row],[Denominazione]]&amp;" - "&amp;Tabella1[[#This Row],[Città]]</f>
        <v>B&amp;B SAN BENEDETTO - SAN BENEDETTO DEL TRONTO</v>
      </c>
    </row>
    <row r="1952" spans="1:8" x14ac:dyDescent="0.25">
      <c r="A1952" s="1" t="s">
        <v>29</v>
      </c>
      <c r="B1952" s="1" t="s">
        <v>3052</v>
      </c>
      <c r="C1952" s="1" t="s">
        <v>3053</v>
      </c>
      <c r="D1952" s="1" t="s">
        <v>3038</v>
      </c>
      <c r="E1952" s="1" t="s">
        <v>3054</v>
      </c>
      <c r="G1952" s="1" t="s">
        <v>3055</v>
      </c>
      <c r="H1952" s="2" t="str">
        <f>Tabella1[[#This Row],[Denominazione]]&amp;" - "&amp;Tabella1[[#This Row],[Città]]</f>
        <v>B&amp;B SAN DANIELE - MONTECICCARDO</v>
      </c>
    </row>
    <row r="1953" spans="1:8" x14ac:dyDescent="0.25">
      <c r="A1953" s="1" t="s">
        <v>29</v>
      </c>
      <c r="B1953" s="1" t="s">
        <v>3027</v>
      </c>
      <c r="C1953" s="1" t="s">
        <v>3028</v>
      </c>
      <c r="D1953" s="1" t="s">
        <v>3022</v>
      </c>
      <c r="G1953" s="1" t="s">
        <v>3029</v>
      </c>
      <c r="H1953" s="2" t="str">
        <f>Tabella1[[#This Row],[Denominazione]]&amp;" - "&amp;Tabella1[[#This Row],[Città]]</f>
        <v>B&amp;B SAN DONATO - MONTE CERIGNONE</v>
      </c>
    </row>
    <row r="1954" spans="1:8" x14ac:dyDescent="0.25">
      <c r="A1954" s="1" t="s">
        <v>29</v>
      </c>
      <c r="B1954" s="1" t="s">
        <v>7880</v>
      </c>
      <c r="C1954" s="1" t="s">
        <v>7881</v>
      </c>
      <c r="D1954" s="1" t="s">
        <v>7849</v>
      </c>
      <c r="G1954" s="1" t="s">
        <v>7882</v>
      </c>
      <c r="H1954" s="2" t="str">
        <f>Tabella1[[#This Row],[Denominazione]]&amp;" - "&amp;Tabella1[[#This Row],[Città]]</f>
        <v>B&amp;B SAN FELICE - MORRO D'ALBA</v>
      </c>
    </row>
    <row r="1955" spans="1:8" x14ac:dyDescent="0.25">
      <c r="A1955" s="1" t="s">
        <v>29</v>
      </c>
      <c r="B1955" s="1" t="s">
        <v>5000</v>
      </c>
      <c r="C1955" s="1" t="s">
        <v>5001</v>
      </c>
      <c r="D1955" s="1" t="s">
        <v>9</v>
      </c>
      <c r="E1955" s="1" t="s">
        <v>9</v>
      </c>
      <c r="F1955" s="1" t="s">
        <v>5002</v>
      </c>
      <c r="G1955" s="1" t="s">
        <v>5003</v>
      </c>
      <c r="H1955" s="2" t="str">
        <f>Tabella1[[#This Row],[Denominazione]]&amp;" - "&amp;Tabella1[[#This Row],[Città]]</f>
        <v>B&amp;B SAN FRANCESCO - URBINO</v>
      </c>
    </row>
    <row r="1956" spans="1:8" x14ac:dyDescent="0.25">
      <c r="A1956" s="1" t="s">
        <v>29</v>
      </c>
      <c r="B1956" s="1" t="s">
        <v>5000</v>
      </c>
      <c r="C1956" s="1" t="s">
        <v>16135</v>
      </c>
      <c r="D1956" s="1" t="s">
        <v>16083</v>
      </c>
      <c r="E1956" s="1" t="s">
        <v>16136</v>
      </c>
      <c r="F1956" s="1" t="s">
        <v>16137</v>
      </c>
      <c r="G1956" s="1" t="s">
        <v>16138</v>
      </c>
      <c r="H1956" s="2" t="str">
        <f>Tabella1[[#This Row],[Denominazione]]&amp;" - "&amp;Tabella1[[#This Row],[Città]]</f>
        <v>B&amp;B SAN FRANCESCO - MONTALTO DELLE MARCHE</v>
      </c>
    </row>
    <row r="1957" spans="1:8" x14ac:dyDescent="0.25">
      <c r="A1957" s="1" t="s">
        <v>29</v>
      </c>
      <c r="B1957" s="1" t="s">
        <v>6495</v>
      </c>
      <c r="C1957" s="1" t="s">
        <v>6496</v>
      </c>
      <c r="D1957" s="1" t="s">
        <v>6497</v>
      </c>
      <c r="F1957" s="1" t="s">
        <v>6498</v>
      </c>
      <c r="G1957" s="1" t="s">
        <v>6499</v>
      </c>
      <c r="H1957" s="2" t="str">
        <f>Tabella1[[#This Row],[Denominazione]]&amp;" - "&amp;Tabella1[[#This Row],[Città]]</f>
        <v>B&amp;B SAN LORENZO - CERRETO D'ESI</v>
      </c>
    </row>
    <row r="1958" spans="1:8" x14ac:dyDescent="0.25">
      <c r="A1958" s="1" t="s">
        <v>29</v>
      </c>
      <c r="B1958" s="1" t="s">
        <v>10321</v>
      </c>
      <c r="C1958" s="1" t="s">
        <v>10322</v>
      </c>
      <c r="D1958" s="1" t="s">
        <v>10206</v>
      </c>
      <c r="E1958" s="1" t="s">
        <v>10206</v>
      </c>
      <c r="G1958" s="1" t="s">
        <v>10323</v>
      </c>
      <c r="H1958" s="2" t="str">
        <f>Tabella1[[#This Row],[Denominazione]]&amp;" - "&amp;Tabella1[[#This Row],[Città]]</f>
        <v>B&amp;B SAN LORENZO COUNTRY HOUSE - SIROLO</v>
      </c>
    </row>
    <row r="1959" spans="1:8" x14ac:dyDescent="0.25">
      <c r="A1959" s="1" t="s">
        <v>29</v>
      </c>
      <c r="B1959" s="1" t="s">
        <v>15168</v>
      </c>
      <c r="C1959" s="1" t="s">
        <v>15169</v>
      </c>
      <c r="D1959" s="1" t="s">
        <v>15151</v>
      </c>
      <c r="G1959" s="1" t="s">
        <v>15170</v>
      </c>
      <c r="H1959" s="2" t="str">
        <f>Tabella1[[#This Row],[Denominazione]]&amp;" - "&amp;Tabella1[[#This Row],[Città]]</f>
        <v>B&amp;B SAN MARTINO - CASTIGNANO</v>
      </c>
    </row>
    <row r="1960" spans="1:8" x14ac:dyDescent="0.25">
      <c r="A1960" s="1" t="s">
        <v>29</v>
      </c>
      <c r="B1960" s="1" t="s">
        <v>14039</v>
      </c>
      <c r="C1960" s="1" t="s">
        <v>14040</v>
      </c>
      <c r="D1960" s="1" t="s">
        <v>13946</v>
      </c>
      <c r="E1960" s="1" t="s">
        <v>14041</v>
      </c>
      <c r="F1960" s="1" t="s">
        <v>14042</v>
      </c>
      <c r="G1960" s="1" t="s">
        <v>14043</v>
      </c>
      <c r="H1960" s="2" t="str">
        <f>Tabella1[[#This Row],[Denominazione]]&amp;" - "&amp;Tabella1[[#This Row],[Città]]</f>
        <v>B&amp;B SAN NICOLA - TOLENTINO</v>
      </c>
    </row>
    <row r="1961" spans="1:8" x14ac:dyDescent="0.25">
      <c r="A1961" s="1" t="s">
        <v>29</v>
      </c>
      <c r="B1961" s="1" t="s">
        <v>11172</v>
      </c>
      <c r="C1961" s="1" t="s">
        <v>11173</v>
      </c>
      <c r="D1961" s="1" t="s">
        <v>11058</v>
      </c>
      <c r="E1961" s="1" t="s">
        <v>11058</v>
      </c>
      <c r="F1961" s="1" t="s">
        <v>11174</v>
      </c>
      <c r="G1961" s="1" t="s">
        <v>11175</v>
      </c>
      <c r="H1961" s="2" t="str">
        <f>Tabella1[[#This Row],[Denominazione]]&amp;" - "&amp;Tabella1[[#This Row],[Città]]</f>
        <v>B&amp;B SAN PATERNIANO - CINGOLI</v>
      </c>
    </row>
    <row r="1962" spans="1:8" x14ac:dyDescent="0.25">
      <c r="A1962" s="1" t="s">
        <v>29</v>
      </c>
      <c r="B1962" s="1" t="s">
        <v>442</v>
      </c>
      <c r="C1962" s="1" t="s">
        <v>443</v>
      </c>
      <c r="D1962" s="1" t="s">
        <v>316</v>
      </c>
      <c r="E1962" s="1" t="s">
        <v>316</v>
      </c>
      <c r="G1962" s="1" t="s">
        <v>444</v>
      </c>
      <c r="H1962" s="2" t="str">
        <f>Tabella1[[#This Row],[Denominazione]]&amp;" - "&amp;Tabella1[[#This Row],[Città]]</f>
        <v>B&amp;B SAN PIETRO FUORI LE MURA - CAGLI</v>
      </c>
    </row>
    <row r="1963" spans="1:8" x14ac:dyDescent="0.25">
      <c r="A1963" s="1" t="s">
        <v>29</v>
      </c>
      <c r="B1963" s="1" t="s">
        <v>13589</v>
      </c>
      <c r="C1963" s="1" t="s">
        <v>13590</v>
      </c>
      <c r="D1963" s="1" t="s">
        <v>13548</v>
      </c>
      <c r="G1963" s="1" t="s">
        <v>13588</v>
      </c>
      <c r="H1963" s="2" t="str">
        <f>Tabella1[[#This Row],[Denominazione]]&amp;" - "&amp;Tabella1[[#This Row],[Città]]</f>
        <v>B&amp;B SAN ROCCO - SAN SEVERINO MARCHE</v>
      </c>
    </row>
    <row r="1964" spans="1:8" x14ac:dyDescent="0.25">
      <c r="A1964" s="1" t="s">
        <v>29</v>
      </c>
      <c r="B1964" s="1" t="s">
        <v>8490</v>
      </c>
      <c r="C1964" s="1" t="s">
        <v>8491</v>
      </c>
      <c r="D1964" s="1" t="s">
        <v>8454</v>
      </c>
      <c r="E1964" s="1" t="s">
        <v>8454</v>
      </c>
      <c r="F1964" s="1" t="s">
        <v>8492</v>
      </c>
      <c r="G1964" s="1" t="s">
        <v>8493</v>
      </c>
      <c r="H1964" s="2" t="str">
        <f>Tabella1[[#This Row],[Denominazione]]&amp;" - "&amp;Tabella1[[#This Row],[Città]]</f>
        <v>B&amp;B SAN VALENTINO - OSIMO</v>
      </c>
    </row>
    <row r="1965" spans="1:8" x14ac:dyDescent="0.25">
      <c r="A1965" s="1" t="s">
        <v>29</v>
      </c>
      <c r="B1965" s="1" t="s">
        <v>4390</v>
      </c>
      <c r="C1965" s="1" t="s">
        <v>4391</v>
      </c>
      <c r="D1965" s="1" t="s">
        <v>4359</v>
      </c>
      <c r="H1965" s="2" t="str">
        <f>Tabella1[[#This Row],[Denominazione]]&amp;" - "&amp;Tabella1[[#This Row],[Città]]</f>
        <v>B&amp;B SAN VITO - SAN LORENZO IN CAMPO</v>
      </c>
    </row>
    <row r="1966" spans="1:8" x14ac:dyDescent="0.25">
      <c r="A1966" s="1" t="s">
        <v>29</v>
      </c>
      <c r="B1966" s="1" t="s">
        <v>4951</v>
      </c>
      <c r="C1966" s="1" t="s">
        <v>4952</v>
      </c>
      <c r="D1966" s="1" t="s">
        <v>9</v>
      </c>
      <c r="F1966" s="1" t="s">
        <v>4953</v>
      </c>
      <c r="G1966" s="1" t="s">
        <v>4954</v>
      </c>
      <c r="H1966" s="2" t="str">
        <f>Tabella1[[#This Row],[Denominazione]]&amp;" - "&amp;Tabella1[[#This Row],[Città]]</f>
        <v>B&amp;B SANPOLO 1544 - URBINO</v>
      </c>
    </row>
    <row r="1967" spans="1:8" x14ac:dyDescent="0.25">
      <c r="A1967" s="1" t="s">
        <v>29</v>
      </c>
      <c r="B1967" s="1" t="s">
        <v>14470</v>
      </c>
      <c r="C1967" s="1" t="s">
        <v>14471</v>
      </c>
      <c r="D1967" s="1" t="s">
        <v>14428</v>
      </c>
      <c r="E1967" s="1" t="s">
        <v>14428</v>
      </c>
      <c r="F1967" s="1" t="s">
        <v>14472</v>
      </c>
      <c r="G1967" s="1" t="s">
        <v>14473</v>
      </c>
      <c r="H1967" s="2" t="str">
        <f>Tabella1[[#This Row],[Denominazione]]&amp;" - "&amp;Tabella1[[#This Row],[Città]]</f>
        <v>B&amp;B SANTA CATERINA - ACQUAVIVA PICENA</v>
      </c>
    </row>
    <row r="1968" spans="1:8" x14ac:dyDescent="0.25">
      <c r="A1968" s="1" t="s">
        <v>29</v>
      </c>
      <c r="B1968" s="1" t="s">
        <v>16786</v>
      </c>
      <c r="C1968" s="1" t="s">
        <v>16787</v>
      </c>
      <c r="D1968" s="1" t="s">
        <v>15819</v>
      </c>
      <c r="F1968" s="1" t="s">
        <v>16788</v>
      </c>
      <c r="G1968" s="1" t="s">
        <v>16789</v>
      </c>
      <c r="H1968" s="2" t="str">
        <f>Tabella1[[#This Row],[Denominazione]]&amp;" - "&amp;Tabella1[[#This Row],[Città]]</f>
        <v>B&amp;B SANTA LUCIA - SAN BENEDETTO DEL TRONTO</v>
      </c>
    </row>
    <row r="1969" spans="1:8" x14ac:dyDescent="0.25">
      <c r="A1969" s="1" t="s">
        <v>29</v>
      </c>
      <c r="B1969" s="1" t="s">
        <v>7650</v>
      </c>
      <c r="C1969" s="1" t="s">
        <v>7651</v>
      </c>
      <c r="D1969" s="1" t="s">
        <v>7611</v>
      </c>
      <c r="H1969" s="2" t="str">
        <f>Tabella1[[#This Row],[Denominazione]]&amp;" - "&amp;Tabella1[[#This Row],[Città]]</f>
        <v>B&amp;B SANTA MARCIANA - MERGO</v>
      </c>
    </row>
    <row r="1970" spans="1:8" x14ac:dyDescent="0.25">
      <c r="A1970" s="1" t="s">
        <v>29</v>
      </c>
      <c r="B1970" s="1" t="s">
        <v>5021</v>
      </c>
      <c r="C1970" s="1" t="s">
        <v>5022</v>
      </c>
      <c r="D1970" s="1" t="s">
        <v>9</v>
      </c>
      <c r="E1970" s="1" t="s">
        <v>9</v>
      </c>
      <c r="H1970" s="2" t="str">
        <f>Tabella1[[#This Row],[Denominazione]]&amp;" - "&amp;Tabella1[[#This Row],[Città]]</f>
        <v>B&amp;B SANTA MARGHERITA - URBINO</v>
      </c>
    </row>
    <row r="1971" spans="1:8" x14ac:dyDescent="0.25">
      <c r="A1971" s="1" t="s">
        <v>29</v>
      </c>
      <c r="B1971" s="1" t="s">
        <v>897</v>
      </c>
      <c r="C1971" s="1" t="s">
        <v>898</v>
      </c>
      <c r="D1971" s="1" t="s">
        <v>682</v>
      </c>
      <c r="E1971" s="1" t="s">
        <v>899</v>
      </c>
      <c r="F1971" s="1" t="s">
        <v>900</v>
      </c>
      <c r="G1971" s="1" t="s">
        <v>901</v>
      </c>
      <c r="H1971" s="2" t="str">
        <f>Tabella1[[#This Row],[Denominazione]]&amp;" - "&amp;Tabella1[[#This Row],[Città]]</f>
        <v>B&amp;B SANT'ANDREA - FANO</v>
      </c>
    </row>
    <row r="1972" spans="1:8" x14ac:dyDescent="0.25">
      <c r="A1972" s="1" t="s">
        <v>29</v>
      </c>
      <c r="B1972" s="1" t="s">
        <v>3243</v>
      </c>
      <c r="C1972" s="1" t="s">
        <v>3244</v>
      </c>
      <c r="D1972" s="1" t="s">
        <v>3222</v>
      </c>
      <c r="E1972" s="1" t="s">
        <v>3245</v>
      </c>
      <c r="G1972" s="1" t="s">
        <v>2772</v>
      </c>
      <c r="H1972" s="2" t="str">
        <f>Tabella1[[#This Row],[Denominazione]]&amp;" - "&amp;Tabella1[[#This Row],[Città]]</f>
        <v>B&amp;B SANTINELLI LUCA - MONTE PORZIO</v>
      </c>
    </row>
    <row r="1973" spans="1:8" x14ac:dyDescent="0.25">
      <c r="A1973" s="1" t="s">
        <v>29</v>
      </c>
      <c r="B1973" s="1" t="s">
        <v>11405</v>
      </c>
      <c r="C1973" s="1" t="s">
        <v>11406</v>
      </c>
      <c r="D1973" s="1" t="s">
        <v>11244</v>
      </c>
      <c r="F1973" s="1" t="s">
        <v>11407</v>
      </c>
      <c r="G1973" s="1" t="s">
        <v>11408</v>
      </c>
      <c r="H1973" s="2" t="str">
        <f>Tabella1[[#This Row],[Denominazione]]&amp;" - "&amp;Tabella1[[#This Row],[Città]]</f>
        <v>B&amp;B SANTOMARO SEA LOFT - CIVITANOVA MARCHE</v>
      </c>
    </row>
    <row r="1974" spans="1:8" x14ac:dyDescent="0.25">
      <c r="A1974" s="1" t="s">
        <v>29</v>
      </c>
      <c r="B1974" s="1" t="s">
        <v>18346</v>
      </c>
      <c r="C1974" s="1" t="s">
        <v>18347</v>
      </c>
      <c r="D1974" s="1" t="s">
        <v>17932</v>
      </c>
      <c r="F1974" s="1" t="s">
        <v>18348</v>
      </c>
      <c r="G1974" s="1" t="s">
        <v>18349</v>
      </c>
      <c r="H1974" s="2" t="str">
        <f>Tabella1[[#This Row],[Denominazione]]&amp;" - "&amp;Tabella1[[#This Row],[Città]]</f>
        <v>B&amp;B SAPIENZA - FERMO</v>
      </c>
    </row>
    <row r="1975" spans="1:8" x14ac:dyDescent="0.25">
      <c r="A1975" s="1" t="s">
        <v>29</v>
      </c>
      <c r="B1975" s="1" t="s">
        <v>15707</v>
      </c>
      <c r="C1975" s="1" t="s">
        <v>15708</v>
      </c>
      <c r="D1975" s="1" t="s">
        <v>15585</v>
      </c>
      <c r="G1975" s="1" t="s">
        <v>15709</v>
      </c>
      <c r="H1975" s="2" t="str">
        <f>Tabella1[[#This Row],[Denominazione]]&amp;" - "&amp;Tabella1[[#This Row],[Città]]</f>
        <v>B&amp;B SAPORE DI MARE - GROTTAMMARE</v>
      </c>
    </row>
    <row r="1976" spans="1:8" x14ac:dyDescent="0.25">
      <c r="A1976" s="1" t="s">
        <v>29</v>
      </c>
      <c r="B1976" s="1" t="s">
        <v>8342</v>
      </c>
      <c r="C1976" s="1" t="s">
        <v>8343</v>
      </c>
      <c r="D1976" s="1" t="s">
        <v>7889</v>
      </c>
      <c r="G1976" s="1" t="s">
        <v>8344</v>
      </c>
      <c r="H1976" s="2" t="str">
        <f>Tabella1[[#This Row],[Denominazione]]&amp;" - "&amp;Tabella1[[#This Row],[Città]]</f>
        <v>B&amp;B SAPORE DI SALE - NUMANA</v>
      </c>
    </row>
    <row r="1977" spans="1:8" x14ac:dyDescent="0.25">
      <c r="A1977" s="1" t="s">
        <v>29</v>
      </c>
      <c r="B1977" s="1" t="s">
        <v>8383</v>
      </c>
      <c r="C1977" s="1" t="s">
        <v>8384</v>
      </c>
      <c r="D1977" s="1" t="s">
        <v>7889</v>
      </c>
      <c r="E1977" s="1" t="s">
        <v>7889</v>
      </c>
      <c r="G1977" s="1" t="s">
        <v>8385</v>
      </c>
      <c r="H1977" s="2" t="str">
        <f>Tabella1[[#This Row],[Denominazione]]&amp;" - "&amp;Tabella1[[#This Row],[Città]]</f>
        <v>B&amp;B SARAMARE - NUMANA</v>
      </c>
    </row>
    <row r="1978" spans="1:8" x14ac:dyDescent="0.25">
      <c r="A1978" s="1" t="s">
        <v>29</v>
      </c>
      <c r="B1978" s="1" t="s">
        <v>4894</v>
      </c>
      <c r="C1978" s="1" t="s">
        <v>4895</v>
      </c>
      <c r="D1978" s="1" t="s">
        <v>9</v>
      </c>
      <c r="E1978" s="1" t="s">
        <v>4896</v>
      </c>
      <c r="G1978" s="1" t="s">
        <v>4897</v>
      </c>
      <c r="H1978" s="2" t="str">
        <f>Tabella1[[#This Row],[Denominazione]]&amp;" - "&amp;Tabella1[[#This Row],[Città]]</f>
        <v>B&amp;B SASSO FIORITO - URBINO</v>
      </c>
    </row>
    <row r="1979" spans="1:8" x14ac:dyDescent="0.25">
      <c r="A1979" s="1" t="s">
        <v>29</v>
      </c>
      <c r="B1979" s="1" t="s">
        <v>945</v>
      </c>
      <c r="C1979" s="1" t="s">
        <v>946</v>
      </c>
      <c r="D1979" s="1" t="s">
        <v>682</v>
      </c>
      <c r="E1979" s="1" t="s">
        <v>682</v>
      </c>
      <c r="G1979" s="1" t="s">
        <v>947</v>
      </c>
      <c r="H1979" s="2" t="str">
        <f>Tabella1[[#This Row],[Denominazione]]&amp;" - "&amp;Tabella1[[#This Row],[Città]]</f>
        <v>B&amp;B SASSONIA - FANO</v>
      </c>
    </row>
    <row r="1980" spans="1:8" x14ac:dyDescent="0.25">
      <c r="A1980" s="1" t="s">
        <v>29</v>
      </c>
      <c r="B1980" s="1" t="s">
        <v>11744</v>
      </c>
      <c r="C1980" s="1" t="s">
        <v>11745</v>
      </c>
      <c r="D1980" s="1" t="s">
        <v>11728</v>
      </c>
      <c r="E1980" s="1" t="s">
        <v>11746</v>
      </c>
      <c r="F1980" s="1" t="s">
        <v>11747</v>
      </c>
      <c r="G1980" s="1" t="s">
        <v>11748</v>
      </c>
      <c r="H1980" s="2" t="str">
        <f>Tabella1[[#This Row],[Denominazione]]&amp;" - "&amp;Tabella1[[#This Row],[Città]]</f>
        <v>B&amp;B SBERGAMI PAOLA - CORRIDONIA</v>
      </c>
    </row>
    <row r="1981" spans="1:8" x14ac:dyDescent="0.25">
      <c r="A1981" s="1" t="s">
        <v>29</v>
      </c>
      <c r="B1981" s="1" t="s">
        <v>15032</v>
      </c>
      <c r="C1981" s="1" t="s">
        <v>15033</v>
      </c>
      <c r="D1981" s="1" t="s">
        <v>14576</v>
      </c>
      <c r="E1981" s="1" t="s">
        <v>14576</v>
      </c>
      <c r="G1981" s="1" t="s">
        <v>15034</v>
      </c>
      <c r="H1981" s="2" t="str">
        <f>Tabella1[[#This Row],[Denominazione]]&amp;" - "&amp;Tabella1[[#This Row],[Città]]</f>
        <v>B&amp;B SCALINATA LEOPARDI - ASCOLI PICENO</v>
      </c>
    </row>
    <row r="1982" spans="1:8" x14ac:dyDescent="0.25">
      <c r="A1982" s="1" t="s">
        <v>29</v>
      </c>
      <c r="B1982" s="1" t="s">
        <v>15137</v>
      </c>
      <c r="C1982" s="1" t="s">
        <v>15138</v>
      </c>
      <c r="D1982" s="1" t="s">
        <v>15129</v>
      </c>
      <c r="E1982" s="1" t="s">
        <v>15129</v>
      </c>
      <c r="F1982" s="1" t="s">
        <v>15139</v>
      </c>
      <c r="G1982" s="1" t="s">
        <v>15140</v>
      </c>
      <c r="H1982" s="2" t="str">
        <f>Tabella1[[#This Row],[Denominazione]]&amp;" - "&amp;Tabella1[[#This Row],[Città]]</f>
        <v>B&amp;B SCARAMUCCI - CASTEL DI LAMA</v>
      </c>
    </row>
    <row r="1983" spans="1:8" x14ac:dyDescent="0.25">
      <c r="A1983" s="1" t="s">
        <v>29</v>
      </c>
      <c r="B1983" s="1" t="s">
        <v>5940</v>
      </c>
      <c r="C1983" s="1" t="s">
        <v>5941</v>
      </c>
      <c r="D1983" s="1" t="s">
        <v>1864</v>
      </c>
      <c r="F1983" s="1" t="s">
        <v>5942</v>
      </c>
      <c r="G1983" s="1" t="s">
        <v>5943</v>
      </c>
      <c r="H1983" s="2" t="str">
        <f>Tabella1[[#This Row],[Denominazione]]&amp;" - "&amp;Tabella1[[#This Row],[Città]]</f>
        <v>B&amp;B SCATTOMATTO - ANCONA</v>
      </c>
    </row>
    <row r="1984" spans="1:8" x14ac:dyDescent="0.25">
      <c r="A1984" s="1" t="s">
        <v>29</v>
      </c>
      <c r="B1984" s="1" t="s">
        <v>17830</v>
      </c>
      <c r="C1984" s="1" t="s">
        <v>17831</v>
      </c>
      <c r="D1984" s="1" t="s">
        <v>17823</v>
      </c>
      <c r="E1984" s="1" t="s">
        <v>17823</v>
      </c>
      <c r="H1984" s="2" t="str">
        <f>Tabella1[[#This Row],[Denominazione]]&amp;" - "&amp;Tabella1[[#This Row],[Città]]</f>
        <v>B&amp;B SCHWEMMER REINHOLD - BELMONTE PICENO</v>
      </c>
    </row>
    <row r="1985" spans="1:8" x14ac:dyDescent="0.25">
      <c r="A1985" s="1" t="s">
        <v>29</v>
      </c>
      <c r="B1985" s="1" t="s">
        <v>10324</v>
      </c>
      <c r="C1985" s="1" t="s">
        <v>10325</v>
      </c>
      <c r="D1985" s="1" t="s">
        <v>10206</v>
      </c>
      <c r="E1985" s="1" t="s">
        <v>10206</v>
      </c>
      <c r="F1985" s="1" t="s">
        <v>10326</v>
      </c>
      <c r="G1985" s="1" t="s">
        <v>10327</v>
      </c>
      <c r="H1985" s="2" t="str">
        <f>Tabella1[[#This Row],[Denominazione]]&amp;" - "&amp;Tabella1[[#This Row],[Città]]</f>
        <v>B&amp;B SEA VIEW - SIROLO</v>
      </c>
    </row>
    <row r="1986" spans="1:8" x14ac:dyDescent="0.25">
      <c r="A1986" s="1" t="s">
        <v>29</v>
      </c>
      <c r="B1986" s="1" t="s">
        <v>17669</v>
      </c>
      <c r="C1986" s="1" t="s">
        <v>17670</v>
      </c>
      <c r="D1986" s="1" t="s">
        <v>17659</v>
      </c>
      <c r="H1986" s="2" t="str">
        <f>Tabella1[[#This Row],[Denominazione]]&amp;" - "&amp;Tabella1[[#This Row],[Città]]</f>
        <v>B&amp;B SEA WEIV - SPINETOLI</v>
      </c>
    </row>
    <row r="1987" spans="1:8" x14ac:dyDescent="0.25">
      <c r="A1987" s="1" t="s">
        <v>29</v>
      </c>
      <c r="B1987" s="1" t="s">
        <v>14430</v>
      </c>
      <c r="C1987" s="1" t="s">
        <v>14431</v>
      </c>
      <c r="D1987" s="1" t="s">
        <v>14428</v>
      </c>
      <c r="F1987" s="1" t="s">
        <v>14432</v>
      </c>
      <c r="G1987" s="1" t="s">
        <v>14433</v>
      </c>
      <c r="H1987" s="2" t="str">
        <f>Tabella1[[#This Row],[Denominazione]]&amp;" - "&amp;Tabella1[[#This Row],[Città]]</f>
        <v>B&amp;B SEIGNEUR HILL - ACQUAVIVA PICENA</v>
      </c>
    </row>
    <row r="1988" spans="1:8" x14ac:dyDescent="0.25">
      <c r="A1988" s="1" t="s">
        <v>29</v>
      </c>
      <c r="B1988" s="1" t="s">
        <v>13562</v>
      </c>
      <c r="C1988" s="1" t="s">
        <v>13563</v>
      </c>
      <c r="D1988" s="1" t="s">
        <v>13548</v>
      </c>
      <c r="F1988" s="1" t="s">
        <v>13564</v>
      </c>
      <c r="G1988" s="1" t="s">
        <v>13565</v>
      </c>
      <c r="H1988" s="2" t="str">
        <f>Tabella1[[#This Row],[Denominazione]]&amp;" - "&amp;Tabella1[[#This Row],[Città]]</f>
        <v>B&amp;B SEME DI MELA - SAN SEVERINO MARCHE</v>
      </c>
    </row>
    <row r="1989" spans="1:8" x14ac:dyDescent="0.25">
      <c r="A1989" s="1" t="s">
        <v>29</v>
      </c>
      <c r="B1989" s="1" t="s">
        <v>10527</v>
      </c>
      <c r="C1989" s="1" t="s">
        <v>10528</v>
      </c>
      <c r="D1989" s="1" t="s">
        <v>10519</v>
      </c>
      <c r="E1989" s="1" t="s">
        <v>10529</v>
      </c>
      <c r="F1989" s="1" t="s">
        <v>10530</v>
      </c>
      <c r="G1989" s="1" t="s">
        <v>10531</v>
      </c>
      <c r="H1989" s="2" t="str">
        <f>Tabella1[[#This Row],[Denominazione]]&amp;" - "&amp;Tabella1[[#This Row],[Città]]</f>
        <v>B&amp;B SENIGALLIA DI ANDREANI MARINA - TRECASTELLI</v>
      </c>
    </row>
    <row r="1990" spans="1:8" x14ac:dyDescent="0.25">
      <c r="A1990" s="1" t="s">
        <v>29</v>
      </c>
      <c r="B1990" s="1" t="s">
        <v>11006</v>
      </c>
      <c r="C1990" s="1" t="s">
        <v>11007</v>
      </c>
      <c r="D1990" s="1" t="s">
        <v>10990</v>
      </c>
      <c r="E1990" s="1" t="s">
        <v>11008</v>
      </c>
      <c r="G1990" s="1" t="s">
        <v>11009</v>
      </c>
      <c r="H1990" s="2" t="str">
        <f>Tabella1[[#This Row],[Denominazione]]&amp;" - "&amp;Tabella1[[#This Row],[Città]]</f>
        <v>B&amp;B SENTIERI SIBILLINI - CASTELSANTANGELO SUL NERA</v>
      </c>
    </row>
    <row r="1991" spans="1:8" x14ac:dyDescent="0.25">
      <c r="A1991" s="1" t="s">
        <v>29</v>
      </c>
      <c r="B1991" s="1" t="s">
        <v>3788</v>
      </c>
      <c r="C1991" s="1" t="s">
        <v>3789</v>
      </c>
      <c r="D1991" s="1" t="s">
        <v>2386</v>
      </c>
      <c r="E1991" s="1" t="s">
        <v>2386</v>
      </c>
      <c r="G1991" s="1" t="s">
        <v>3790</v>
      </c>
      <c r="H1991" s="2" t="str">
        <f>Tabella1[[#This Row],[Denominazione]]&amp;" - "&amp;Tabella1[[#This Row],[Città]]</f>
        <v>B&amp;B SERAFINI - PESARO</v>
      </c>
    </row>
    <row r="1992" spans="1:8" x14ac:dyDescent="0.25">
      <c r="A1992" s="1" t="s">
        <v>29</v>
      </c>
      <c r="B1992" s="1" t="s">
        <v>13180</v>
      </c>
      <c r="C1992" s="1" t="s">
        <v>13181</v>
      </c>
      <c r="D1992" s="1" t="s">
        <v>13026</v>
      </c>
      <c r="G1992" s="1" t="s">
        <v>13182</v>
      </c>
      <c r="H1992" s="2" t="str">
        <f>Tabella1[[#This Row],[Denominazione]]&amp;" - "&amp;Tabella1[[#This Row],[Città]]</f>
        <v>B&amp;B SERENA CAPECCI - POTENZA PICENA</v>
      </c>
    </row>
    <row r="1993" spans="1:8" x14ac:dyDescent="0.25">
      <c r="A1993" s="1" t="s">
        <v>29</v>
      </c>
      <c r="B1993" s="1" t="s">
        <v>3013</v>
      </c>
      <c r="C1993" s="1" t="s">
        <v>3014</v>
      </c>
      <c r="D1993" s="1" t="s">
        <v>2994</v>
      </c>
      <c r="G1993" s="1" t="s">
        <v>3015</v>
      </c>
      <c r="H1993" s="2" t="str">
        <f>Tabella1[[#This Row],[Denominazione]]&amp;" - "&amp;Tabella1[[#This Row],[Città]]</f>
        <v>B&amp;B SEVERINI ELISA - MONTECALVO IN FOGLIA</v>
      </c>
    </row>
    <row r="1994" spans="1:8" x14ac:dyDescent="0.25">
      <c r="A1994" s="1" t="s">
        <v>29</v>
      </c>
      <c r="B1994" s="1" t="s">
        <v>5480</v>
      </c>
      <c r="C1994" s="1" t="s">
        <v>5481</v>
      </c>
      <c r="D1994" s="1" t="s">
        <v>1864</v>
      </c>
      <c r="G1994" s="1" t="s">
        <v>5482</v>
      </c>
      <c r="H1994" s="2" t="str">
        <f>Tabella1[[#This Row],[Denominazione]]&amp;" - "&amp;Tabella1[[#This Row],[Città]]</f>
        <v>B&amp;B SHABBY CHIC - ANCONA</v>
      </c>
    </row>
    <row r="1995" spans="1:8" x14ac:dyDescent="0.25">
      <c r="A1995" s="1" t="s">
        <v>29</v>
      </c>
      <c r="B1995" s="1" t="s">
        <v>16737</v>
      </c>
      <c r="C1995" s="1" t="s">
        <v>16738</v>
      </c>
      <c r="D1995" s="1" t="s">
        <v>16714</v>
      </c>
      <c r="E1995" s="1" t="s">
        <v>16714</v>
      </c>
      <c r="H1995" s="2" t="str">
        <f>Tabella1[[#This Row],[Denominazione]]&amp;" - "&amp;Tabella1[[#This Row],[Città]]</f>
        <v>B&amp;B SILVI STEFANO - ROCCAFLUVIONE</v>
      </c>
    </row>
    <row r="1996" spans="1:8" x14ac:dyDescent="0.25">
      <c r="A1996" s="1" t="s">
        <v>29</v>
      </c>
      <c r="B1996" s="1" t="s">
        <v>1370</v>
      </c>
      <c r="C1996" s="1" t="s">
        <v>1371</v>
      </c>
      <c r="D1996" s="1" t="s">
        <v>682</v>
      </c>
      <c r="E1996" s="1" t="s">
        <v>682</v>
      </c>
      <c r="G1996" s="1" t="s">
        <v>1372</v>
      </c>
      <c r="H1996" s="2" t="str">
        <f>Tabella1[[#This Row],[Denominazione]]&amp;" - "&amp;Tabella1[[#This Row],[Città]]</f>
        <v>B&amp;B SIVIERO FEDERICA - FANO</v>
      </c>
    </row>
    <row r="1997" spans="1:8" x14ac:dyDescent="0.25">
      <c r="A1997" s="1" t="s">
        <v>29</v>
      </c>
      <c r="B1997" s="1" t="s">
        <v>17002</v>
      </c>
      <c r="C1997" s="1" t="s">
        <v>17003</v>
      </c>
      <c r="D1997" s="1" t="s">
        <v>15819</v>
      </c>
      <c r="E1997" s="1" t="s">
        <v>15819</v>
      </c>
      <c r="F1997" s="1" t="s">
        <v>17004</v>
      </c>
      <c r="G1997" s="1" t="s">
        <v>17005</v>
      </c>
      <c r="H1997" s="2" t="str">
        <f>Tabella1[[#This Row],[Denominazione]]&amp;" - "&amp;Tabella1[[#This Row],[Città]]</f>
        <v>B&amp;B SKIPPER di PAGLIARINI MICHELE - SAN BENEDETTO DEL TRONTO</v>
      </c>
    </row>
    <row r="1998" spans="1:8" x14ac:dyDescent="0.25">
      <c r="A1998" s="1" t="s">
        <v>29</v>
      </c>
      <c r="B1998" s="1" t="s">
        <v>11512</v>
      </c>
      <c r="C1998" s="1" t="s">
        <v>11513</v>
      </c>
      <c r="D1998" s="1" t="s">
        <v>11244</v>
      </c>
      <c r="F1998" s="1" t="s">
        <v>11514</v>
      </c>
      <c r="G1998" s="1" t="s">
        <v>11515</v>
      </c>
      <c r="H1998" s="2" t="str">
        <f>Tabella1[[#This Row],[Denominazione]]&amp;" - "&amp;Tabella1[[#This Row],[Città]]</f>
        <v>B&amp;B SOGNI D'ORO - CIVITANOVA MARCHE</v>
      </c>
    </row>
    <row r="1999" spans="1:8" x14ac:dyDescent="0.25">
      <c r="A1999" s="1" t="s">
        <v>29</v>
      </c>
      <c r="B1999" s="1" t="s">
        <v>5431</v>
      </c>
      <c r="C1999" s="1" t="s">
        <v>5432</v>
      </c>
      <c r="D1999" s="1" t="s">
        <v>5423</v>
      </c>
      <c r="F1999" s="1" t="s">
        <v>5433</v>
      </c>
      <c r="G1999" s="1" t="s">
        <v>5434</v>
      </c>
      <c r="H1999" s="2" t="str">
        <f>Tabella1[[#This Row],[Denominazione]]&amp;" - "&amp;Tabella1[[#This Row],[Città]]</f>
        <v>B&amp;B SOLE E LUNA - AGUGLIANO</v>
      </c>
    </row>
    <row r="2000" spans="1:8" x14ac:dyDescent="0.25">
      <c r="A2000" s="1" t="s">
        <v>29</v>
      </c>
      <c r="B2000" s="1" t="s">
        <v>5431</v>
      </c>
      <c r="C2000" s="1" t="s">
        <v>13897</v>
      </c>
      <c r="D2000" s="1" t="s">
        <v>13894</v>
      </c>
      <c r="E2000" s="1" t="s">
        <v>13898</v>
      </c>
      <c r="F2000" s="1" t="s">
        <v>13899</v>
      </c>
      <c r="G2000" s="1" t="s">
        <v>13900</v>
      </c>
      <c r="H2000" s="2" t="str">
        <f>Tabella1[[#This Row],[Denominazione]]&amp;" - "&amp;Tabella1[[#This Row],[Città]]</f>
        <v>B&amp;B SOLE E LUNA - SERRAPETRONA</v>
      </c>
    </row>
    <row r="2001" spans="1:8" x14ac:dyDescent="0.25">
      <c r="A2001" s="1" t="s">
        <v>29</v>
      </c>
      <c r="B2001" s="1" t="s">
        <v>12951</v>
      </c>
      <c r="C2001" s="1" t="s">
        <v>12952</v>
      </c>
      <c r="D2001" s="1" t="s">
        <v>12801</v>
      </c>
      <c r="E2001" s="1" t="s">
        <v>12801</v>
      </c>
      <c r="F2001" s="1" t="s">
        <v>12953</v>
      </c>
      <c r="H2001" s="2" t="str">
        <f>Tabella1[[#This Row],[Denominazione]]&amp;" - "&amp;Tabella1[[#This Row],[Città]]</f>
        <v>B&amp;B SOLELUNA - PORTO RECANATI</v>
      </c>
    </row>
    <row r="2002" spans="1:8" x14ac:dyDescent="0.25">
      <c r="A2002" s="1" t="s">
        <v>29</v>
      </c>
      <c r="B2002" s="1" t="s">
        <v>14762</v>
      </c>
      <c r="C2002" s="1" t="s">
        <v>14763</v>
      </c>
      <c r="D2002" s="1" t="s">
        <v>14576</v>
      </c>
      <c r="G2002" s="1" t="s">
        <v>14764</v>
      </c>
      <c r="H2002" s="2" t="str">
        <f>Tabella1[[#This Row],[Denominazione]]&amp;" - "&amp;Tabella1[[#This Row],[Città]]</f>
        <v>B&amp;B SOLESTA' - ASCOLI PICENO</v>
      </c>
    </row>
    <row r="2003" spans="1:8" x14ac:dyDescent="0.25">
      <c r="A2003" s="1" t="s">
        <v>29</v>
      </c>
      <c r="B2003" s="1" t="s">
        <v>14020</v>
      </c>
      <c r="C2003" s="1" t="s">
        <v>14021</v>
      </c>
      <c r="D2003" s="1" t="s">
        <v>13946</v>
      </c>
      <c r="E2003" s="1" t="s">
        <v>13946</v>
      </c>
      <c r="F2003" s="1" t="s">
        <v>14022</v>
      </c>
      <c r="G2003" s="1" t="s">
        <v>14023</v>
      </c>
      <c r="H2003" s="2" t="str">
        <f>Tabella1[[#This Row],[Denominazione]]&amp;" - "&amp;Tabella1[[#This Row],[Città]]</f>
        <v>B&amp;B SONIA MINNICI - TOLENTINO</v>
      </c>
    </row>
    <row r="2004" spans="1:8" x14ac:dyDescent="0.25">
      <c r="A2004" s="1" t="s">
        <v>29</v>
      </c>
      <c r="B2004" s="1" t="s">
        <v>15596</v>
      </c>
      <c r="C2004" s="1" t="s">
        <v>15597</v>
      </c>
      <c r="D2004" s="1" t="s">
        <v>15585</v>
      </c>
      <c r="G2004" s="1" t="s">
        <v>15598</v>
      </c>
      <c r="H2004" s="2" t="str">
        <f>Tabella1[[#This Row],[Denominazione]]&amp;" - "&amp;Tabella1[[#This Row],[Città]]</f>
        <v>B&amp;B SOTTO GLI ULIVI - GROTTAMMARE</v>
      </c>
    </row>
    <row r="2005" spans="1:8" x14ac:dyDescent="0.25">
      <c r="A2005" s="1" t="s">
        <v>29</v>
      </c>
      <c r="B2005" s="1" t="s">
        <v>17888</v>
      </c>
      <c r="C2005" s="1" t="s">
        <v>17889</v>
      </c>
      <c r="D2005" s="1" t="s">
        <v>17839</v>
      </c>
      <c r="E2005" s="1" t="s">
        <v>17839</v>
      </c>
      <c r="G2005" s="1" t="s">
        <v>17890</v>
      </c>
      <c r="H2005" s="2" t="str">
        <f>Tabella1[[#This Row],[Denominazione]]&amp;" - "&amp;Tabella1[[#This Row],[Città]]</f>
        <v>B&amp;B SOTTO LA ROCCA - CAMPOFILONE</v>
      </c>
    </row>
    <row r="2006" spans="1:8" x14ac:dyDescent="0.25">
      <c r="A2006" s="1" t="s">
        <v>29</v>
      </c>
      <c r="B2006" s="1" t="s">
        <v>8990</v>
      </c>
      <c r="C2006" s="1" t="s">
        <v>8991</v>
      </c>
      <c r="D2006" s="1" t="s">
        <v>8949</v>
      </c>
      <c r="G2006" s="1" t="s">
        <v>8992</v>
      </c>
      <c r="H2006" s="2" t="str">
        <f>Tabella1[[#This Row],[Denominazione]]&amp;" - "&amp;Tabella1[[#This Row],[Città]]</f>
        <v>B&amp;B SOTTO LE LOGGE - SENIGALLIA</v>
      </c>
    </row>
    <row r="2007" spans="1:8" x14ac:dyDescent="0.25">
      <c r="A2007" s="1" t="s">
        <v>29</v>
      </c>
      <c r="B2007" s="1" t="s">
        <v>5507</v>
      </c>
      <c r="C2007" s="1" t="s">
        <v>5508</v>
      </c>
      <c r="D2007" s="1" t="s">
        <v>1864</v>
      </c>
      <c r="G2007" s="1" t="s">
        <v>5509</v>
      </c>
      <c r="H2007" s="2" t="str">
        <f>Tabella1[[#This Row],[Denominazione]]&amp;" - "&amp;Tabella1[[#This Row],[Città]]</f>
        <v>B&amp;B SPECIAL MARCHE HOLIDAYS - ANCONA</v>
      </c>
    </row>
    <row r="2008" spans="1:8" x14ac:dyDescent="0.25">
      <c r="A2008" s="1" t="s">
        <v>29</v>
      </c>
      <c r="B2008" s="1" t="s">
        <v>6579</v>
      </c>
      <c r="C2008" s="1" t="s">
        <v>6580</v>
      </c>
      <c r="D2008" s="1" t="s">
        <v>6536</v>
      </c>
      <c r="E2008" s="1" t="s">
        <v>6536</v>
      </c>
      <c r="G2008" s="1" t="s">
        <v>6581</v>
      </c>
      <c r="H2008" s="2" t="str">
        <f>Tabella1[[#This Row],[Denominazione]]&amp;" - "&amp;Tabella1[[#This Row],[Città]]</f>
        <v>B&amp;B SPENSIERANDO - CORINALDO</v>
      </c>
    </row>
    <row r="2009" spans="1:8" x14ac:dyDescent="0.25">
      <c r="A2009" s="1" t="s">
        <v>29</v>
      </c>
      <c r="B2009" s="1" t="s">
        <v>4343</v>
      </c>
      <c r="C2009" s="1" t="s">
        <v>4344</v>
      </c>
      <c r="D2009" s="1" t="s">
        <v>4341</v>
      </c>
      <c r="E2009" s="1" t="s">
        <v>4341</v>
      </c>
      <c r="F2009" s="1" t="s">
        <v>4345</v>
      </c>
      <c r="G2009" s="1" t="s">
        <v>4346</v>
      </c>
      <c r="H2009" s="2" t="str">
        <f>Tabella1[[#This Row],[Denominazione]]&amp;" - "&amp;Tabella1[[#This Row],[Città]]</f>
        <v>B&amp;B SPICELLO di CINGOLANI SANDRO - SAN GIORGIO DI PESARO</v>
      </c>
    </row>
    <row r="2010" spans="1:8" x14ac:dyDescent="0.25">
      <c r="A2010" s="1" t="s">
        <v>29</v>
      </c>
      <c r="B2010" s="1" t="s">
        <v>17686</v>
      </c>
      <c r="C2010" s="1" t="s">
        <v>17687</v>
      </c>
      <c r="D2010" s="1" t="s">
        <v>17659</v>
      </c>
      <c r="E2010" s="1" t="s">
        <v>17659</v>
      </c>
      <c r="G2010" s="1" t="s">
        <v>17688</v>
      </c>
      <c r="H2010" s="2" t="str">
        <f>Tabella1[[#This Row],[Denominazione]]&amp;" - "&amp;Tabella1[[#This Row],[Città]]</f>
        <v>B&amp;B SPINE'OLA - SPINETOLI</v>
      </c>
    </row>
    <row r="2011" spans="1:8" x14ac:dyDescent="0.25">
      <c r="A2011" s="1" t="s">
        <v>29</v>
      </c>
      <c r="B2011" s="1" t="s">
        <v>11477</v>
      </c>
      <c r="C2011" s="1" t="s">
        <v>11478</v>
      </c>
      <c r="D2011" s="1" t="s">
        <v>11244</v>
      </c>
      <c r="G2011" s="1" t="s">
        <v>11479</v>
      </c>
      <c r="H2011" s="2" t="str">
        <f>Tabella1[[#This Row],[Denominazione]]&amp;" - "&amp;Tabella1[[#This Row],[Città]]</f>
        <v>B&amp;B STANDARD - CIVITANOVA MARCHE</v>
      </c>
    </row>
    <row r="2012" spans="1:8" x14ac:dyDescent="0.25">
      <c r="A2012" s="1" t="s">
        <v>29</v>
      </c>
      <c r="B2012" s="1" t="s">
        <v>14047</v>
      </c>
      <c r="C2012" s="1" t="s">
        <v>14048</v>
      </c>
      <c r="D2012" s="1" t="s">
        <v>13946</v>
      </c>
      <c r="G2012" s="1" t="s">
        <v>14049</v>
      </c>
      <c r="H2012" s="2" t="str">
        <f>Tabella1[[#This Row],[Denominazione]]&amp;" - "&amp;Tabella1[[#This Row],[Città]]</f>
        <v>B&amp;B STANZA DEL COMMEDIANTE - TOLENTINO</v>
      </c>
    </row>
    <row r="2013" spans="1:8" x14ac:dyDescent="0.25">
      <c r="A2013" s="1" t="s">
        <v>29</v>
      </c>
      <c r="B2013" s="1" t="s">
        <v>5775</v>
      </c>
      <c r="C2013" s="1" t="s">
        <v>5776</v>
      </c>
      <c r="D2013" s="1" t="s">
        <v>1864</v>
      </c>
      <c r="E2013" s="1" t="s">
        <v>1864</v>
      </c>
      <c r="F2013" s="1" t="s">
        <v>5777</v>
      </c>
      <c r="G2013" s="1" t="s">
        <v>5778</v>
      </c>
      <c r="H2013" s="2" t="str">
        <f>Tabella1[[#This Row],[Denominazione]]&amp;" - "&amp;Tabella1[[#This Row],[Città]]</f>
        <v>B&amp;B STELLE DEL CONERO - ANCONA</v>
      </c>
    </row>
    <row r="2014" spans="1:8" x14ac:dyDescent="0.25">
      <c r="A2014" s="1" t="s">
        <v>29</v>
      </c>
      <c r="B2014" s="1" t="s">
        <v>15649</v>
      </c>
      <c r="C2014" s="1" t="s">
        <v>15650</v>
      </c>
      <c r="D2014" s="1" t="s">
        <v>15585</v>
      </c>
      <c r="E2014" s="1" t="s">
        <v>15585</v>
      </c>
      <c r="F2014" s="1" t="s">
        <v>15651</v>
      </c>
      <c r="G2014" s="1" t="s">
        <v>15652</v>
      </c>
      <c r="H2014" s="2" t="str">
        <f>Tabella1[[#This Row],[Denominazione]]&amp;" - "&amp;Tabella1[[#This Row],[Città]]</f>
        <v>B&amp;B STRAMENGA VINCENZO - GROTTAMMARE</v>
      </c>
    </row>
    <row r="2015" spans="1:8" x14ac:dyDescent="0.25">
      <c r="A2015" s="1" t="s">
        <v>29</v>
      </c>
      <c r="B2015" s="1" t="s">
        <v>17962</v>
      </c>
      <c r="C2015" s="1" t="s">
        <v>17963</v>
      </c>
      <c r="D2015" s="1" t="s">
        <v>17932</v>
      </c>
      <c r="G2015" s="1" t="s">
        <v>17964</v>
      </c>
      <c r="H2015" s="2" t="str">
        <f>Tabella1[[#This Row],[Denominazione]]&amp;" - "&amp;Tabella1[[#This Row],[Città]]</f>
        <v>B&amp;B SUITE SPA - FERMO</v>
      </c>
    </row>
    <row r="2016" spans="1:8" x14ac:dyDescent="0.25">
      <c r="A2016" s="1" t="s">
        <v>29</v>
      </c>
      <c r="B2016" s="1" t="s">
        <v>18943</v>
      </c>
      <c r="D2016" s="1" t="s">
        <v>18944</v>
      </c>
      <c r="F2016" s="1" t="s">
        <v>18945</v>
      </c>
      <c r="G2016" s="1" t="s">
        <v>18946</v>
      </c>
      <c r="H2016" s="2" t="str">
        <f>Tabella1[[#This Row],[Denominazione]]&amp;" - "&amp;Tabella1[[#This Row],[Città]]</f>
        <v>B&amp;B SUMMER - PEDASO</v>
      </c>
    </row>
    <row r="2017" spans="1:8" x14ac:dyDescent="0.25">
      <c r="A2017" s="1" t="s">
        <v>29</v>
      </c>
      <c r="B2017" s="1" t="s">
        <v>13160</v>
      </c>
      <c r="C2017" s="1" t="s">
        <v>13161</v>
      </c>
      <c r="D2017" s="1" t="s">
        <v>13026</v>
      </c>
      <c r="F2017" s="1" t="s">
        <v>13162</v>
      </c>
      <c r="G2017" s="1" t="s">
        <v>13163</v>
      </c>
      <c r="H2017" s="2" t="str">
        <f>Tabella1[[#This Row],[Denominazione]]&amp;" - "&amp;Tabella1[[#This Row],[Città]]</f>
        <v>B&amp;B SUN SHINE - POTENZA PICENA</v>
      </c>
    </row>
    <row r="2018" spans="1:8" x14ac:dyDescent="0.25">
      <c r="A2018" s="1" t="s">
        <v>29</v>
      </c>
      <c r="B2018" s="1" t="s">
        <v>16966</v>
      </c>
      <c r="C2018" s="1" t="s">
        <v>16967</v>
      </c>
      <c r="D2018" s="1" t="s">
        <v>15819</v>
      </c>
      <c r="F2018" s="1" t="s">
        <v>16968</v>
      </c>
      <c r="G2018" s="1" t="s">
        <v>16969</v>
      </c>
      <c r="H2018" s="2" t="str">
        <f>Tabella1[[#This Row],[Denominazione]]&amp;" - "&amp;Tabella1[[#This Row],[Città]]</f>
        <v>B&amp;B SUNBEACH - SAN BENEDETTO DEL TRONTO</v>
      </c>
    </row>
    <row r="2019" spans="1:8" x14ac:dyDescent="0.25">
      <c r="A2019" s="1" t="s">
        <v>29</v>
      </c>
      <c r="B2019" s="1" t="s">
        <v>6376</v>
      </c>
      <c r="C2019" s="1" t="s">
        <v>6377</v>
      </c>
      <c r="D2019" s="1" t="s">
        <v>6371</v>
      </c>
      <c r="H2019" s="2" t="str">
        <f>Tabella1[[#This Row],[Denominazione]]&amp;" - "&amp;Tabella1[[#This Row],[Città]]</f>
        <v>B&amp;B SUNFLOWER - CASTELFIDARDO</v>
      </c>
    </row>
    <row r="2020" spans="1:8" x14ac:dyDescent="0.25">
      <c r="A2020" s="1" t="s">
        <v>29</v>
      </c>
      <c r="B2020" s="1" t="s">
        <v>18568</v>
      </c>
      <c r="C2020" s="1" t="s">
        <v>18569</v>
      </c>
      <c r="D2020" s="1" t="s">
        <v>18522</v>
      </c>
      <c r="E2020" s="1" t="s">
        <v>18522</v>
      </c>
      <c r="F2020" s="1" t="s">
        <v>18570</v>
      </c>
      <c r="G2020" s="1" t="s">
        <v>18571</v>
      </c>
      <c r="H2020" s="2" t="str">
        <f>Tabella1[[#This Row],[Denominazione]]&amp;" - "&amp;Tabella1[[#This Row],[Città]]</f>
        <v>B&amp;B TABART INN - MONTEFORTINO</v>
      </c>
    </row>
    <row r="2021" spans="1:8" x14ac:dyDescent="0.25">
      <c r="A2021" s="1" t="s">
        <v>29</v>
      </c>
      <c r="B2021" s="1" t="s">
        <v>8473</v>
      </c>
      <c r="C2021" s="1" t="s">
        <v>8474</v>
      </c>
      <c r="D2021" s="1" t="s">
        <v>8454</v>
      </c>
      <c r="G2021" s="1" t="s">
        <v>8475</v>
      </c>
      <c r="H2021" s="2" t="str">
        <f>Tabella1[[#This Row],[Denominazione]]&amp;" - "&amp;Tabella1[[#This Row],[Città]]</f>
        <v>B&amp;B TACHE - OSIMO</v>
      </c>
    </row>
    <row r="2022" spans="1:8" x14ac:dyDescent="0.25">
      <c r="A2022" s="1" t="s">
        <v>29</v>
      </c>
      <c r="B2022" s="1" t="s">
        <v>11674</v>
      </c>
      <c r="C2022" s="1" t="s">
        <v>11675</v>
      </c>
      <c r="D2022" s="1" t="s">
        <v>11244</v>
      </c>
      <c r="E2022" s="1" t="s">
        <v>11244</v>
      </c>
      <c r="F2022" s="1" t="s">
        <v>11676</v>
      </c>
      <c r="G2022" s="1" t="s">
        <v>11677</v>
      </c>
      <c r="H2022" s="2" t="str">
        <f>Tabella1[[#This Row],[Denominazione]]&amp;" - "&amp;Tabella1[[#This Row],[Città]]</f>
        <v>B&amp;B TARCHI LEONARDO - CIVITANOVA MARCHE</v>
      </c>
    </row>
    <row r="2023" spans="1:8" x14ac:dyDescent="0.25">
      <c r="A2023" s="1" t="s">
        <v>29</v>
      </c>
      <c r="B2023" s="1" t="s">
        <v>220</v>
      </c>
      <c r="C2023" s="1" t="s">
        <v>221</v>
      </c>
      <c r="D2023" s="1" t="s">
        <v>199</v>
      </c>
      <c r="E2023" s="1" t="s">
        <v>222</v>
      </c>
      <c r="F2023" s="1" t="s">
        <v>223</v>
      </c>
      <c r="G2023" s="1" t="s">
        <v>224</v>
      </c>
      <c r="H2023" s="2" t="str">
        <f>Tabella1[[#This Row],[Denominazione]]&amp;" - "&amp;Tabella1[[#This Row],[Città]]</f>
        <v>B&amp;B TELE GIANNA - AUDITORE</v>
      </c>
    </row>
    <row r="2024" spans="1:8" x14ac:dyDescent="0.25">
      <c r="A2024" s="1" t="s">
        <v>29</v>
      </c>
      <c r="B2024" s="1" t="s">
        <v>8452</v>
      </c>
      <c r="C2024" s="1" t="s">
        <v>8453</v>
      </c>
      <c r="D2024" s="1" t="s">
        <v>8454</v>
      </c>
      <c r="E2024" s="1" t="s">
        <v>8455</v>
      </c>
      <c r="F2024" s="1" t="s">
        <v>8456</v>
      </c>
      <c r="G2024" s="1" t="s">
        <v>8457</v>
      </c>
      <c r="H2024" s="2" t="str">
        <f>Tabella1[[#This Row],[Denominazione]]&amp;" - "&amp;Tabella1[[#This Row],[Città]]</f>
        <v>B&amp;B TEMPLARI NELLE MARCHE - OSIMO</v>
      </c>
    </row>
    <row r="2025" spans="1:8" x14ac:dyDescent="0.25">
      <c r="A2025" s="1" t="s">
        <v>29</v>
      </c>
      <c r="B2025" s="1" t="s">
        <v>10804</v>
      </c>
      <c r="C2025" s="1" t="s">
        <v>10805</v>
      </c>
      <c r="D2025" s="1" t="s">
        <v>10737</v>
      </c>
      <c r="E2025" s="1" t="s">
        <v>10806</v>
      </c>
      <c r="G2025" s="1" t="s">
        <v>10807</v>
      </c>
      <c r="H2025" s="2" t="str">
        <f>Tabella1[[#This Row],[Denominazione]]&amp;" - "&amp;Tabella1[[#This Row],[Città]]</f>
        <v>B&amp;B TENUTA GORGIANO - CAMERINO</v>
      </c>
    </row>
    <row r="2026" spans="1:8" x14ac:dyDescent="0.25">
      <c r="A2026" s="1" t="s">
        <v>29</v>
      </c>
      <c r="B2026" s="1" t="s">
        <v>14855</v>
      </c>
      <c r="C2026" s="1" t="s">
        <v>14856</v>
      </c>
      <c r="D2026" s="1" t="s">
        <v>14576</v>
      </c>
      <c r="E2026" s="1" t="s">
        <v>14857</v>
      </c>
      <c r="F2026" s="1" t="s">
        <v>14858</v>
      </c>
      <c r="G2026" s="1" t="s">
        <v>14859</v>
      </c>
      <c r="H2026" s="2" t="str">
        <f>Tabella1[[#This Row],[Denominazione]]&amp;" - "&amp;Tabella1[[#This Row],[Città]]</f>
        <v>B&amp;B TERRA DI MEZZO - ASCOLI PICENO</v>
      </c>
    </row>
    <row r="2027" spans="1:8" x14ac:dyDescent="0.25">
      <c r="A2027" s="1" t="s">
        <v>29</v>
      </c>
      <c r="B2027" s="1" t="s">
        <v>4444</v>
      </c>
      <c r="C2027" s="1" t="s">
        <v>4445</v>
      </c>
      <c r="D2027" s="1" t="s">
        <v>4397</v>
      </c>
      <c r="E2027" s="1" t="s">
        <v>4406</v>
      </c>
      <c r="F2027" s="1" t="s">
        <v>4446</v>
      </c>
      <c r="G2027" s="1" t="s">
        <v>4443</v>
      </c>
      <c r="H2027" s="2" t="str">
        <f>Tabella1[[#This Row],[Denominazione]]&amp;" - "&amp;Tabella1[[#This Row],[Città]]</f>
        <v>B&amp;B TERRA E CIELO - SANT'ANGELO IN VADO</v>
      </c>
    </row>
    <row r="2028" spans="1:8" x14ac:dyDescent="0.25">
      <c r="A2028" s="1" t="s">
        <v>29</v>
      </c>
      <c r="B2028" s="1" t="s">
        <v>8725</v>
      </c>
      <c r="C2028" s="1" t="s">
        <v>8726</v>
      </c>
      <c r="D2028" s="1" t="s">
        <v>8719</v>
      </c>
      <c r="F2028" s="1" t="s">
        <v>8727</v>
      </c>
      <c r="G2028" s="1" t="s">
        <v>8728</v>
      </c>
      <c r="H2028" s="2" t="str">
        <f>Tabella1[[#This Row],[Denominazione]]&amp;" - "&amp;Tabella1[[#This Row],[Città]]</f>
        <v>B&amp;B TERRA MOSSA - POGGIO SAN MARCELLO</v>
      </c>
    </row>
    <row r="2029" spans="1:8" x14ac:dyDescent="0.25">
      <c r="A2029" s="1" t="s">
        <v>29</v>
      </c>
      <c r="B2029" s="1" t="s">
        <v>15215</v>
      </c>
      <c r="C2029" s="1" t="s">
        <v>15216</v>
      </c>
      <c r="D2029" s="1" t="s">
        <v>15197</v>
      </c>
      <c r="E2029" s="1" t="s">
        <v>15217</v>
      </c>
      <c r="F2029" s="1" t="s">
        <v>15218</v>
      </c>
      <c r="G2029" s="1" t="s">
        <v>15219</v>
      </c>
      <c r="H2029" s="2" t="str">
        <f>Tabella1[[#This Row],[Denominazione]]&amp;" - "&amp;Tabella1[[#This Row],[Città]]</f>
        <v>B&amp;B TERRAMARE - CASTORANO</v>
      </c>
    </row>
    <row r="2030" spans="1:8" x14ac:dyDescent="0.25">
      <c r="A2030" s="1" t="s">
        <v>29</v>
      </c>
      <c r="B2030" s="1" t="s">
        <v>1620</v>
      </c>
      <c r="C2030" s="1" t="s">
        <v>1621</v>
      </c>
      <c r="D2030" s="1" t="s">
        <v>682</v>
      </c>
      <c r="G2030" s="1" t="s">
        <v>1622</v>
      </c>
      <c r="H2030" s="2" t="str">
        <f>Tabella1[[#This Row],[Denominazione]]&amp;" - "&amp;Tabella1[[#This Row],[Città]]</f>
        <v>B&amp;B TERRAZZA IN COLLINA - FANO</v>
      </c>
    </row>
    <row r="2031" spans="1:8" x14ac:dyDescent="0.25">
      <c r="A2031" s="1" t="s">
        <v>29</v>
      </c>
      <c r="B2031" s="1" t="s">
        <v>848</v>
      </c>
      <c r="C2031" s="1" t="s">
        <v>849</v>
      </c>
      <c r="D2031" s="1" t="s">
        <v>682</v>
      </c>
      <c r="G2031" s="1" t="s">
        <v>850</v>
      </c>
      <c r="H2031" s="2" t="str">
        <f>Tabella1[[#This Row],[Denominazione]]&amp;" - "&amp;Tabella1[[#This Row],[Città]]</f>
        <v>B&amp;B TERRAZZA SUL MARE - FANO</v>
      </c>
    </row>
    <row r="2032" spans="1:8" x14ac:dyDescent="0.25">
      <c r="A2032" s="1" t="s">
        <v>29</v>
      </c>
      <c r="B2032" s="1" t="s">
        <v>848</v>
      </c>
      <c r="C2032" s="1" t="s">
        <v>19296</v>
      </c>
      <c r="D2032" s="1" t="s">
        <v>19283</v>
      </c>
      <c r="G2032" s="1" t="s">
        <v>19297</v>
      </c>
      <c r="H2032" s="2" t="str">
        <f>Tabella1[[#This Row],[Denominazione]]&amp;" - "&amp;Tabella1[[#This Row],[Città]]</f>
        <v>B&amp;B TERRAZZA SUL MARE - PORTO SANT'ELPIDIO</v>
      </c>
    </row>
    <row r="2033" spans="1:8" x14ac:dyDescent="0.25">
      <c r="A2033" s="1" t="s">
        <v>29</v>
      </c>
      <c r="B2033" s="1" t="s">
        <v>3439</v>
      </c>
      <c r="C2033" s="1" t="s">
        <v>3440</v>
      </c>
      <c r="D2033" s="1" t="s">
        <v>2386</v>
      </c>
      <c r="G2033" s="1" t="s">
        <v>3441</v>
      </c>
      <c r="H2033" s="2" t="str">
        <f>Tabella1[[#This Row],[Denominazione]]&amp;" - "&amp;Tabella1[[#This Row],[Città]]</f>
        <v>B&amp;B TERRE DI MARE - PESARO</v>
      </c>
    </row>
    <row r="2034" spans="1:8" x14ac:dyDescent="0.25">
      <c r="A2034" s="1" t="s">
        <v>29</v>
      </c>
      <c r="B2034" s="1" t="s">
        <v>15573</v>
      </c>
      <c r="C2034" s="1" t="s">
        <v>15574</v>
      </c>
      <c r="D2034" s="1" t="s">
        <v>15560</v>
      </c>
      <c r="F2034" s="1" t="s">
        <v>15575</v>
      </c>
      <c r="G2034" s="1" t="s">
        <v>15576</v>
      </c>
      <c r="H2034" s="2" t="str">
        <f>Tabella1[[#This Row],[Denominazione]]&amp;" - "&amp;Tabella1[[#This Row],[Città]]</f>
        <v>B&amp;B THE RETREAT - FORCE</v>
      </c>
    </row>
    <row r="2035" spans="1:8" x14ac:dyDescent="0.25">
      <c r="A2035" s="1" t="s">
        <v>29</v>
      </c>
      <c r="B2035" s="1" t="s">
        <v>11681</v>
      </c>
      <c r="C2035" s="1" t="s">
        <v>11682</v>
      </c>
      <c r="D2035" s="1" t="s">
        <v>11244</v>
      </c>
      <c r="E2035" s="1" t="s">
        <v>11244</v>
      </c>
      <c r="G2035" s="1" t="s">
        <v>11683</v>
      </c>
      <c r="H2035" s="2" t="str">
        <f>Tabella1[[#This Row],[Denominazione]]&amp;" - "&amp;Tabella1[[#This Row],[Città]]</f>
        <v>B&amp;B TIERRA CRISTIANA - CIVITANOVA MARCHE</v>
      </c>
    </row>
    <row r="2036" spans="1:8" x14ac:dyDescent="0.25">
      <c r="A2036" s="1" t="s">
        <v>29</v>
      </c>
      <c r="B2036" s="1" t="s">
        <v>8729</v>
      </c>
      <c r="C2036" s="1" t="s">
        <v>8730</v>
      </c>
      <c r="D2036" s="1" t="s">
        <v>8731</v>
      </c>
      <c r="F2036" s="1" t="s">
        <v>8732</v>
      </c>
      <c r="G2036" s="1" t="s">
        <v>8733</v>
      </c>
      <c r="H2036" s="2" t="str">
        <f>Tabella1[[#This Row],[Denominazione]]&amp;" - "&amp;Tabella1[[#This Row],[Città]]</f>
        <v>B&amp;B TIMEOUT - POLVERIGI</v>
      </c>
    </row>
    <row r="2037" spans="1:8" x14ac:dyDescent="0.25">
      <c r="A2037" s="1" t="s">
        <v>29</v>
      </c>
      <c r="B2037" s="1" t="s">
        <v>14884</v>
      </c>
      <c r="C2037" s="1" t="s">
        <v>14885</v>
      </c>
      <c r="D2037" s="1" t="s">
        <v>14576</v>
      </c>
      <c r="E2037" s="1" t="s">
        <v>14576</v>
      </c>
      <c r="H2037" s="2" t="str">
        <f>Tabella1[[#This Row],[Denominazione]]&amp;" - "&amp;Tabella1[[#This Row],[Città]]</f>
        <v>B&amp;B TISI MARIO - ASCOLI PICENO</v>
      </c>
    </row>
    <row r="2038" spans="1:8" x14ac:dyDescent="0.25">
      <c r="A2038" s="1" t="s">
        <v>29</v>
      </c>
      <c r="B2038" s="1" t="s">
        <v>1711</v>
      </c>
      <c r="C2038" s="1" t="s">
        <v>1712</v>
      </c>
      <c r="D2038" s="1" t="s">
        <v>1653</v>
      </c>
      <c r="E2038" s="1" t="s">
        <v>1653</v>
      </c>
      <c r="H2038" s="2" t="str">
        <f>Tabella1[[#This Row],[Denominazione]]&amp;" - "&amp;Tabella1[[#This Row],[Città]]</f>
        <v>B&amp;B TOC TOC - FERMIGNANO</v>
      </c>
    </row>
    <row r="2039" spans="1:8" x14ac:dyDescent="0.25">
      <c r="A2039" s="1" t="s">
        <v>29</v>
      </c>
      <c r="B2039" s="1" t="s">
        <v>14418</v>
      </c>
      <c r="C2039" s="1" t="s">
        <v>14419</v>
      </c>
      <c r="D2039" s="1" t="s">
        <v>14334</v>
      </c>
      <c r="E2039" s="1" t="s">
        <v>14412</v>
      </c>
      <c r="G2039" s="1" t="s">
        <v>14420</v>
      </c>
      <c r="H2039" s="2" t="str">
        <f>Tabella1[[#This Row],[Denominazione]]&amp;" - "&amp;Tabella1[[#This Row],[Città]]</f>
        <v>B&amp;B TOCCHI SESTILIA - ACQUASANTA TERME</v>
      </c>
    </row>
    <row r="2040" spans="1:8" x14ac:dyDescent="0.25">
      <c r="A2040" s="1" t="s">
        <v>29</v>
      </c>
      <c r="B2040" s="1" t="s">
        <v>4845</v>
      </c>
      <c r="D2040" s="1" t="s">
        <v>4735</v>
      </c>
      <c r="E2040" s="1" t="s">
        <v>4846</v>
      </c>
      <c r="G2040" s="1" t="s">
        <v>4847</v>
      </c>
      <c r="H2040" s="2" t="str">
        <f>Tabella1[[#This Row],[Denominazione]]&amp;" - "&amp;Tabella1[[#This Row],[Città]]</f>
        <v>B&amp;B TOPI ANTONIO - URBANIA</v>
      </c>
    </row>
    <row r="2041" spans="1:8" x14ac:dyDescent="0.25">
      <c r="A2041" s="1" t="s">
        <v>29</v>
      </c>
      <c r="B2041" s="1" t="s">
        <v>14365</v>
      </c>
      <c r="C2041" s="1" t="s">
        <v>14366</v>
      </c>
      <c r="D2041" s="1" t="s">
        <v>14334</v>
      </c>
      <c r="G2041" s="1" t="s">
        <v>14367</v>
      </c>
      <c r="H2041" s="2" t="str">
        <f>Tabella1[[#This Row],[Denominazione]]&amp;" - "&amp;Tabella1[[#This Row],[Città]]</f>
        <v>B&amp;B TORRE COLOMBAIA - ACQUASANTA TERME</v>
      </c>
    </row>
    <row r="2042" spans="1:8" x14ac:dyDescent="0.25">
      <c r="A2042" s="1" t="s">
        <v>29</v>
      </c>
      <c r="B2042" s="1" t="s">
        <v>445</v>
      </c>
      <c r="C2042" s="1" t="s">
        <v>446</v>
      </c>
      <c r="D2042" s="1" t="s">
        <v>316</v>
      </c>
      <c r="F2042" s="1" t="s">
        <v>447</v>
      </c>
      <c r="G2042" s="1" t="s">
        <v>448</v>
      </c>
      <c r="H2042" s="2" t="str">
        <f>Tabella1[[#This Row],[Denominazione]]&amp;" - "&amp;Tabella1[[#This Row],[Città]]</f>
        <v>B&amp;B TORRE D'ACQUAVIVA - CAGLI</v>
      </c>
    </row>
    <row r="2043" spans="1:8" x14ac:dyDescent="0.25">
      <c r="A2043" s="1" t="s">
        <v>29</v>
      </c>
      <c r="B2043" s="1" t="s">
        <v>18072</v>
      </c>
      <c r="C2043" s="1" t="s">
        <v>18073</v>
      </c>
      <c r="D2043" s="1" t="s">
        <v>17932</v>
      </c>
      <c r="E2043" s="1" t="s">
        <v>17932</v>
      </c>
      <c r="F2043" s="1" t="s">
        <v>18074</v>
      </c>
      <c r="G2043" s="1" t="s">
        <v>18075</v>
      </c>
      <c r="H2043" s="2" t="str">
        <f>Tabella1[[#This Row],[Denominazione]]&amp;" - "&amp;Tabella1[[#This Row],[Città]]</f>
        <v>B&amp;B TORRE DI PALME - FERMO</v>
      </c>
    </row>
    <row r="2044" spans="1:8" x14ac:dyDescent="0.25">
      <c r="A2044" s="1" t="s">
        <v>29</v>
      </c>
      <c r="B2044" s="1" t="s">
        <v>5980</v>
      </c>
      <c r="D2044" s="1" t="s">
        <v>1864</v>
      </c>
      <c r="G2044" s="1" t="s">
        <v>5981</v>
      </c>
      <c r="H2044" s="2" t="str">
        <f>Tabella1[[#This Row],[Denominazione]]&amp;" - "&amp;Tabella1[[#This Row],[Città]]</f>
        <v>B&amp;B TORRE DI PORTONOVO - ANCONA</v>
      </c>
    </row>
    <row r="2045" spans="1:8" x14ac:dyDescent="0.25">
      <c r="A2045" s="1" t="s">
        <v>29</v>
      </c>
      <c r="B2045" s="1" t="s">
        <v>6597</v>
      </c>
      <c r="C2045" s="1" t="s">
        <v>6598</v>
      </c>
      <c r="D2045" s="1" t="s">
        <v>6536</v>
      </c>
      <c r="E2045" s="1" t="s">
        <v>6536</v>
      </c>
      <c r="G2045" s="1" t="s">
        <v>6599</v>
      </c>
      <c r="H2045" s="2" t="str">
        <f>Tabella1[[#This Row],[Denominazione]]&amp;" - "&amp;Tabella1[[#This Row],[Città]]</f>
        <v>B&amp;B TORRE SAN LORENZETTO - CORINALDO</v>
      </c>
    </row>
    <row r="2046" spans="1:8" x14ac:dyDescent="0.25">
      <c r="A2046" s="1" t="s">
        <v>29</v>
      </c>
      <c r="B2046" s="1" t="s">
        <v>13198</v>
      </c>
      <c r="C2046" s="1" t="s">
        <v>13199</v>
      </c>
      <c r="D2046" s="1" t="s">
        <v>13026</v>
      </c>
      <c r="E2046" s="1" t="s">
        <v>13026</v>
      </c>
      <c r="F2046" s="1" t="s">
        <v>13200</v>
      </c>
      <c r="G2046" s="1" t="s">
        <v>13201</v>
      </c>
      <c r="H2046" s="2" t="str">
        <f>Tabella1[[#This Row],[Denominazione]]&amp;" - "&amp;Tabella1[[#This Row],[Città]]</f>
        <v>B&amp;B TORRETTA BONAPARTE - POTENZA PICENA</v>
      </c>
    </row>
    <row r="2047" spans="1:8" x14ac:dyDescent="0.25">
      <c r="A2047" s="1" t="s">
        <v>29</v>
      </c>
      <c r="B2047" s="1" t="s">
        <v>12212</v>
      </c>
      <c r="C2047" s="1" t="s">
        <v>12213</v>
      </c>
      <c r="D2047" s="1" t="s">
        <v>12208</v>
      </c>
      <c r="E2047" s="1" t="s">
        <v>12208</v>
      </c>
      <c r="G2047" s="1" t="s">
        <v>12214</v>
      </c>
      <c r="H2047" s="2" t="str">
        <f>Tabella1[[#This Row],[Denominazione]]&amp;" - "&amp;Tabella1[[#This Row],[Città]]</f>
        <v>B&amp;B TOSCANO RINALDO ANTONIO - MATELICA</v>
      </c>
    </row>
    <row r="2048" spans="1:8" x14ac:dyDescent="0.25">
      <c r="A2048" s="1" t="s">
        <v>29</v>
      </c>
      <c r="B2048" s="1" t="s">
        <v>9326</v>
      </c>
      <c r="C2048" s="1" t="s">
        <v>9327</v>
      </c>
      <c r="D2048" s="1" t="s">
        <v>8949</v>
      </c>
      <c r="G2048" s="1" t="s">
        <v>9328</v>
      </c>
      <c r="H2048" s="2" t="str">
        <f>Tabella1[[#This Row],[Denominazione]]&amp;" - "&amp;Tabella1[[#This Row],[Città]]</f>
        <v>B&amp;B TRA LA ROCCA E IL MARE - SENIGALLIA</v>
      </c>
    </row>
    <row r="2049" spans="1:8" x14ac:dyDescent="0.25">
      <c r="A2049" s="1" t="s">
        <v>29</v>
      </c>
      <c r="B2049" s="1" t="s">
        <v>14663</v>
      </c>
      <c r="C2049" s="1" t="s">
        <v>14664</v>
      </c>
      <c r="D2049" s="1" t="s">
        <v>14576</v>
      </c>
      <c r="E2049" s="1" t="s">
        <v>14576</v>
      </c>
      <c r="F2049" s="1" t="s">
        <v>14665</v>
      </c>
      <c r="G2049" s="1" t="s">
        <v>14666</v>
      </c>
      <c r="H2049" s="2" t="str">
        <f>Tabella1[[#This Row],[Denominazione]]&amp;" - "&amp;Tabella1[[#This Row],[Città]]</f>
        <v>B&amp;B TRA LE TORRI - ASCOLI PICENO</v>
      </c>
    </row>
    <row r="2050" spans="1:8" x14ac:dyDescent="0.25">
      <c r="A2050" s="1" t="s">
        <v>29</v>
      </c>
      <c r="B2050" s="1" t="s">
        <v>3217</v>
      </c>
      <c r="C2050" s="1" t="s">
        <v>3218</v>
      </c>
      <c r="D2050" s="1" t="s">
        <v>3182</v>
      </c>
      <c r="G2050" s="1" t="s">
        <v>3219</v>
      </c>
      <c r="H2050" s="2" t="str">
        <f>Tabella1[[#This Row],[Denominazione]]&amp;" - "&amp;Tabella1[[#This Row],[Città]]</f>
        <v>B&amp;B TRA ULIVI E GINESTRE - MONTEMAGGIORE AL METAURO</v>
      </c>
    </row>
    <row r="2051" spans="1:8" x14ac:dyDescent="0.25">
      <c r="A2051" s="1" t="s">
        <v>29</v>
      </c>
      <c r="B2051" s="1" t="s">
        <v>14171</v>
      </c>
      <c r="C2051" s="1" t="s">
        <v>14172</v>
      </c>
      <c r="D2051" s="1" t="s">
        <v>14065</v>
      </c>
      <c r="G2051" s="1" t="s">
        <v>14173</v>
      </c>
      <c r="H2051" s="2" t="str">
        <f>Tabella1[[#This Row],[Denominazione]]&amp;" - "&amp;Tabella1[[#This Row],[Città]]</f>
        <v>B&amp;B TRANSITA A TREIA - TREIA</v>
      </c>
    </row>
    <row r="2052" spans="1:8" x14ac:dyDescent="0.25">
      <c r="A2052" s="1" t="s">
        <v>29</v>
      </c>
      <c r="B2052" s="1" t="s">
        <v>18327</v>
      </c>
      <c r="C2052" s="1" t="s">
        <v>18328</v>
      </c>
      <c r="D2052" s="1" t="s">
        <v>17932</v>
      </c>
      <c r="E2052" s="1" t="s">
        <v>18329</v>
      </c>
      <c r="G2052" s="1" t="s">
        <v>18330</v>
      </c>
      <c r="H2052" s="2" t="str">
        <f>Tabella1[[#This Row],[Denominazione]]&amp;" - "&amp;Tabella1[[#This Row],[Città]]</f>
        <v>B&amp;B TRAPANANTI ARIANNA - FERMO</v>
      </c>
    </row>
    <row r="2053" spans="1:8" x14ac:dyDescent="0.25">
      <c r="A2053" s="1" t="s">
        <v>29</v>
      </c>
      <c r="B2053" s="1" t="s">
        <v>637</v>
      </c>
      <c r="C2053" s="1" t="s">
        <v>638</v>
      </c>
      <c r="D2053" s="1" t="s">
        <v>634</v>
      </c>
      <c r="G2053" s="1" t="s">
        <v>639</v>
      </c>
      <c r="H2053" s="2" t="str">
        <f>Tabella1[[#This Row],[Denominazione]]&amp;" - "&amp;Tabella1[[#This Row],[Città]]</f>
        <v>B&amp;B TRE CIVETTE SUL COMO' - CARTOCETO</v>
      </c>
    </row>
    <row r="2054" spans="1:8" x14ac:dyDescent="0.25">
      <c r="A2054" s="1" t="s">
        <v>29</v>
      </c>
      <c r="B2054" s="1" t="s">
        <v>15592</v>
      </c>
      <c r="C2054" s="1" t="s">
        <v>15593</v>
      </c>
      <c r="D2054" s="1" t="s">
        <v>15585</v>
      </c>
      <c r="F2054" s="1" t="s">
        <v>15594</v>
      </c>
      <c r="G2054" s="1" t="s">
        <v>15595</v>
      </c>
      <c r="H2054" s="2" t="str">
        <f>Tabella1[[#This Row],[Denominazione]]&amp;" - "&amp;Tabella1[[#This Row],[Città]]</f>
        <v>B&amp;B TRE FINESTRE SUL MARE - CASABAGNARA - GROTTAMMARE</v>
      </c>
    </row>
    <row r="2055" spans="1:8" x14ac:dyDescent="0.25">
      <c r="A2055" s="1" t="s">
        <v>29</v>
      </c>
      <c r="B2055" s="1" t="s">
        <v>18940</v>
      </c>
      <c r="C2055" s="1" t="s">
        <v>18941</v>
      </c>
      <c r="D2055" s="1" t="s">
        <v>18909</v>
      </c>
      <c r="G2055" s="1" t="s">
        <v>18942</v>
      </c>
      <c r="H2055" s="2" t="str">
        <f>Tabella1[[#This Row],[Denominazione]]&amp;" - "&amp;Tabella1[[#This Row],[Città]]</f>
        <v>B&amp;B TRE ORTENZIE - ORTEZZANO</v>
      </c>
    </row>
    <row r="2056" spans="1:8" x14ac:dyDescent="0.25">
      <c r="A2056" s="1" t="s">
        <v>29</v>
      </c>
      <c r="B2056" s="1" t="s">
        <v>14526</v>
      </c>
      <c r="D2056" s="1" t="s">
        <v>14510</v>
      </c>
      <c r="E2056" s="1" t="s">
        <v>14523</v>
      </c>
      <c r="H2056" s="2" t="str">
        <f>Tabella1[[#This Row],[Denominazione]]&amp;" - "&amp;Tabella1[[#This Row],[Città]]</f>
        <v>B&amp;B TRENTA ROMOLO - ARQUATA DEL TRONTO</v>
      </c>
    </row>
    <row r="2057" spans="1:8" x14ac:dyDescent="0.25">
      <c r="A2057" s="1" t="s">
        <v>29</v>
      </c>
      <c r="B2057" s="1" t="s">
        <v>19268</v>
      </c>
      <c r="C2057" s="1" t="s">
        <v>19269</v>
      </c>
      <c r="D2057" s="1" t="s">
        <v>18082</v>
      </c>
      <c r="E2057" s="1" t="s">
        <v>18082</v>
      </c>
      <c r="G2057" s="1" t="s">
        <v>19270</v>
      </c>
      <c r="H2057" s="2" t="str">
        <f>Tabella1[[#This Row],[Denominazione]]&amp;" - "&amp;Tabella1[[#This Row],[Città]]</f>
        <v>B&amp;B TRENTHOUSE - PORTO SAN GIORGIO</v>
      </c>
    </row>
    <row r="2058" spans="1:8" x14ac:dyDescent="0.25">
      <c r="A2058" s="1" t="s">
        <v>29</v>
      </c>
      <c r="B2058" s="1" t="s">
        <v>5855</v>
      </c>
      <c r="C2058" s="1" t="s">
        <v>5856</v>
      </c>
      <c r="D2058" s="1" t="s">
        <v>1864</v>
      </c>
      <c r="E2058" s="1" t="s">
        <v>1864</v>
      </c>
      <c r="G2058" s="1" t="s">
        <v>5857</v>
      </c>
      <c r="H2058" s="2" t="str">
        <f>Tabella1[[#This Row],[Denominazione]]&amp;" - "&amp;Tabella1[[#This Row],[Città]]</f>
        <v>B&amp;B TRESTELLE - ANCONA</v>
      </c>
    </row>
    <row r="2059" spans="1:8" x14ac:dyDescent="0.25">
      <c r="A2059" s="1" t="s">
        <v>29</v>
      </c>
      <c r="B2059" s="1" t="s">
        <v>4400</v>
      </c>
      <c r="D2059" s="1" t="s">
        <v>4397</v>
      </c>
      <c r="H2059" s="2" t="str">
        <f>Tabella1[[#This Row],[Denominazione]]&amp;" - "&amp;Tabella1[[#This Row],[Città]]</f>
        <v>B&amp;B TRUFFI E FERRI - SANT'ANGELO IN VADO</v>
      </c>
    </row>
    <row r="2060" spans="1:8" x14ac:dyDescent="0.25">
      <c r="A2060" s="1" t="s">
        <v>29</v>
      </c>
      <c r="B2060" s="1" t="s">
        <v>14978</v>
      </c>
      <c r="C2060" s="1" t="s">
        <v>14979</v>
      </c>
      <c r="D2060" s="1" t="s">
        <v>14576</v>
      </c>
      <c r="H2060" s="2" t="str">
        <f>Tabella1[[#This Row],[Denominazione]]&amp;" - "&amp;Tabella1[[#This Row],[Città]]</f>
        <v>B&amp;B TUFILLA - ASCOLI PICENO</v>
      </c>
    </row>
    <row r="2061" spans="1:8" x14ac:dyDescent="0.25">
      <c r="A2061" s="1" t="s">
        <v>29</v>
      </c>
      <c r="B2061" s="1" t="s">
        <v>11966</v>
      </c>
      <c r="C2061" s="1" t="s">
        <v>11047</v>
      </c>
      <c r="D2061" s="1" t="s">
        <v>11883</v>
      </c>
      <c r="E2061" s="1" t="s">
        <v>11883</v>
      </c>
      <c r="F2061" s="1" t="s">
        <v>11967</v>
      </c>
      <c r="G2061" s="1" t="s">
        <v>11958</v>
      </c>
      <c r="H2061" s="2" t="str">
        <f>Tabella1[[#This Row],[Denominazione]]&amp;" - "&amp;Tabella1[[#This Row],[Città]]</f>
        <v>B&amp;B TULLIANI - GUALDO</v>
      </c>
    </row>
    <row r="2062" spans="1:8" x14ac:dyDescent="0.25">
      <c r="A2062" s="1" t="s">
        <v>29</v>
      </c>
      <c r="B2062" s="1" t="s">
        <v>10149</v>
      </c>
      <c r="C2062" s="1" t="s">
        <v>10150</v>
      </c>
      <c r="D2062" s="1" t="s">
        <v>10117</v>
      </c>
      <c r="F2062" s="1" t="s">
        <v>10151</v>
      </c>
      <c r="G2062" s="1" t="s">
        <v>10152</v>
      </c>
      <c r="H2062" s="2" t="str">
        <f>Tabella1[[#This Row],[Denominazione]]&amp;" - "&amp;Tabella1[[#This Row],[Città]]</f>
        <v>B&amp;B TUTTATERRA - SERRA SAN QUIRICO</v>
      </c>
    </row>
    <row r="2063" spans="1:8" x14ac:dyDescent="0.25">
      <c r="A2063" s="1" t="s">
        <v>29</v>
      </c>
      <c r="B2063" s="1" t="s">
        <v>7156</v>
      </c>
      <c r="C2063" s="1" t="s">
        <v>7157</v>
      </c>
      <c r="D2063" s="1" t="s">
        <v>5735</v>
      </c>
      <c r="G2063" s="1" t="s">
        <v>7158</v>
      </c>
      <c r="H2063" s="2" t="str">
        <f>Tabella1[[#This Row],[Denominazione]]&amp;" - "&amp;Tabella1[[#This Row],[Città]]</f>
        <v>B&amp;B TUTTO ENTRO 300 MT - FALCONARA MARITTIMA</v>
      </c>
    </row>
    <row r="2064" spans="1:8" x14ac:dyDescent="0.25">
      <c r="A2064" s="1" t="s">
        <v>29</v>
      </c>
      <c r="B2064" s="1" t="s">
        <v>12978</v>
      </c>
      <c r="C2064" s="1" t="s">
        <v>12979</v>
      </c>
      <c r="D2064" s="1" t="s">
        <v>12801</v>
      </c>
      <c r="F2064" s="1" t="s">
        <v>12980</v>
      </c>
      <c r="G2064" s="1" t="s">
        <v>12981</v>
      </c>
      <c r="H2064" s="2" t="str">
        <f>Tabella1[[#This Row],[Denominazione]]&amp;" - "&amp;Tabella1[[#This Row],[Città]]</f>
        <v>B&amp;B UN MARE DI GIOIA - PORTO RECANATI</v>
      </c>
    </row>
    <row r="2065" spans="1:8" x14ac:dyDescent="0.25">
      <c r="A2065" s="1" t="s">
        <v>29</v>
      </c>
      <c r="B2065" s="1" t="s">
        <v>14711</v>
      </c>
      <c r="C2065" s="1" t="s">
        <v>14712</v>
      </c>
      <c r="D2065" s="1" t="s">
        <v>14576</v>
      </c>
      <c r="H2065" s="2" t="str">
        <f>Tabella1[[#This Row],[Denominazione]]&amp;" - "&amp;Tabella1[[#This Row],[Città]]</f>
        <v>B&amp;B UN POSTO AL SOLE - ASCOLI PICENO</v>
      </c>
    </row>
    <row r="2066" spans="1:8" x14ac:dyDescent="0.25">
      <c r="A2066" s="1" t="s">
        <v>29</v>
      </c>
      <c r="B2066" s="1" t="s">
        <v>9421</v>
      </c>
      <c r="C2066" s="1" t="s">
        <v>9422</v>
      </c>
      <c r="D2066" s="1" t="s">
        <v>8949</v>
      </c>
      <c r="E2066" s="1" t="s">
        <v>8949</v>
      </c>
      <c r="G2066" s="1" t="s">
        <v>9423</v>
      </c>
      <c r="H2066" s="2" t="str">
        <f>Tabella1[[#This Row],[Denominazione]]&amp;" - "&amp;Tabella1[[#This Row],[Città]]</f>
        <v>B&amp;B UNA ROTONDA SUL MARE - SENIGALLIA</v>
      </c>
    </row>
    <row r="2067" spans="1:8" x14ac:dyDescent="0.25">
      <c r="A2067" s="1" t="s">
        <v>29</v>
      </c>
      <c r="B2067" s="1" t="s">
        <v>4997</v>
      </c>
      <c r="C2067" s="1" t="s">
        <v>4998</v>
      </c>
      <c r="D2067" s="1" t="s">
        <v>9</v>
      </c>
      <c r="E2067" s="1" t="s">
        <v>9</v>
      </c>
      <c r="G2067" s="1" t="s">
        <v>4999</v>
      </c>
      <c r="H2067" s="2" t="str">
        <f>Tabella1[[#This Row],[Denominazione]]&amp;" - "&amp;Tabella1[[#This Row],[Città]]</f>
        <v>B&amp;B URBINO - URBINO</v>
      </c>
    </row>
    <row r="2068" spans="1:8" x14ac:dyDescent="0.25">
      <c r="A2068" s="1" t="s">
        <v>29</v>
      </c>
      <c r="B2068" s="1" t="s">
        <v>272</v>
      </c>
      <c r="C2068" s="1" t="s">
        <v>273</v>
      </c>
      <c r="D2068" s="1" t="s">
        <v>266</v>
      </c>
      <c r="E2068" s="1" t="s">
        <v>274</v>
      </c>
      <c r="F2068" s="1" t="s">
        <v>275</v>
      </c>
      <c r="G2068" s="1" t="s">
        <v>276</v>
      </c>
      <c r="H2068" s="2" t="str">
        <f>Tabella1[[#This Row],[Denominazione]]&amp;" - "&amp;Tabella1[[#This Row],[Città]]</f>
        <v>B&amp;B VALDERICARTE - BORGO PACE</v>
      </c>
    </row>
    <row r="2069" spans="1:8" x14ac:dyDescent="0.25">
      <c r="A2069" s="1" t="s">
        <v>29</v>
      </c>
      <c r="B2069" s="1" t="s">
        <v>5501</v>
      </c>
      <c r="C2069" s="1" t="s">
        <v>5502</v>
      </c>
      <c r="D2069" s="1" t="s">
        <v>1864</v>
      </c>
      <c r="G2069" s="1" t="s">
        <v>5503</v>
      </c>
      <c r="H2069" s="2" t="str">
        <f>Tabella1[[#This Row],[Denominazione]]&amp;" - "&amp;Tabella1[[#This Row],[Città]]</f>
        <v>B&amp;B VALENTINA - ANCONA</v>
      </c>
    </row>
    <row r="2070" spans="1:8" x14ac:dyDescent="0.25">
      <c r="A2070" s="1" t="s">
        <v>29</v>
      </c>
      <c r="B2070" s="1" t="s">
        <v>18892</v>
      </c>
      <c r="C2070" s="1" t="s">
        <v>18893</v>
      </c>
      <c r="D2070" s="1" t="s">
        <v>18876</v>
      </c>
      <c r="G2070" s="1" t="s">
        <v>18894</v>
      </c>
      <c r="H2070" s="2" t="str">
        <f>Tabella1[[#This Row],[Denominazione]]&amp;" - "&amp;Tabella1[[#This Row],[Città]]</f>
        <v>B&amp;B VALENTINO - MONTOTTONE</v>
      </c>
    </row>
    <row r="2071" spans="1:8" x14ac:dyDescent="0.25">
      <c r="A2071" s="1" t="s">
        <v>29</v>
      </c>
      <c r="B2071" s="1" t="s">
        <v>15636</v>
      </c>
      <c r="C2071" s="1" t="s">
        <v>15637</v>
      </c>
      <c r="D2071" s="1" t="s">
        <v>15585</v>
      </c>
      <c r="F2071" s="1" t="s">
        <v>15638</v>
      </c>
      <c r="G2071" s="1" t="s">
        <v>15639</v>
      </c>
      <c r="H2071" s="2" t="str">
        <f>Tabella1[[#This Row],[Denominazione]]&amp;" - "&amp;Tabella1[[#This Row],[Città]]</f>
        <v>B&amp;B VALLE DELL'EDEN - GROTTAMMARE</v>
      </c>
    </row>
    <row r="2072" spans="1:8" x14ac:dyDescent="0.25">
      <c r="A2072" s="1" t="s">
        <v>29</v>
      </c>
      <c r="B2072" s="1" t="s">
        <v>10739</v>
      </c>
      <c r="C2072" s="1" t="s">
        <v>10740</v>
      </c>
      <c r="D2072" s="1" t="s">
        <v>10737</v>
      </c>
      <c r="E2072" s="1" t="s">
        <v>10737</v>
      </c>
      <c r="H2072" s="2" t="str">
        <f>Tabella1[[#This Row],[Denominazione]]&amp;" - "&amp;Tabella1[[#This Row],[Città]]</f>
        <v>B&amp;B VALLE SAN MARTINO - CAMERINO</v>
      </c>
    </row>
    <row r="2073" spans="1:8" x14ac:dyDescent="0.25">
      <c r="A2073" s="1" t="s">
        <v>29</v>
      </c>
      <c r="B2073" s="1" t="s">
        <v>7646</v>
      </c>
      <c r="C2073" s="1" t="s">
        <v>7647</v>
      </c>
      <c r="D2073" s="1" t="s">
        <v>7611</v>
      </c>
      <c r="F2073" s="1" t="s">
        <v>7648</v>
      </c>
      <c r="G2073" s="1" t="s">
        <v>7649</v>
      </c>
      <c r="H2073" s="2" t="str">
        <f>Tabella1[[#This Row],[Denominazione]]&amp;" - "&amp;Tabella1[[#This Row],[Città]]</f>
        <v>B&amp;B VALLEVERDE - MERGO</v>
      </c>
    </row>
    <row r="2074" spans="1:8" x14ac:dyDescent="0.25">
      <c r="A2074" s="1" t="s">
        <v>29</v>
      </c>
      <c r="B2074" s="1" t="s">
        <v>3315</v>
      </c>
      <c r="C2074" s="1" t="s">
        <v>3316</v>
      </c>
      <c r="D2074" s="1" t="s">
        <v>3305</v>
      </c>
      <c r="E2074" s="1" t="s">
        <v>3305</v>
      </c>
      <c r="F2074" s="1" t="s">
        <v>3317</v>
      </c>
      <c r="G2074" s="1" t="s">
        <v>3318</v>
      </c>
      <c r="H2074" s="2" t="str">
        <f>Tabella1[[#This Row],[Denominazione]]&amp;" - "&amp;Tabella1[[#This Row],[Città]]</f>
        <v>B&amp;B VAN HAMBURG ANNELIES - PERGOLA</v>
      </c>
    </row>
    <row r="2075" spans="1:8" x14ac:dyDescent="0.25">
      <c r="A2075" s="1" t="s">
        <v>29</v>
      </c>
      <c r="B2075" s="1" t="s">
        <v>11984</v>
      </c>
      <c r="C2075" s="1" t="s">
        <v>11985</v>
      </c>
      <c r="D2075" s="1" t="s">
        <v>11981</v>
      </c>
      <c r="E2075" s="1" t="s">
        <v>11981</v>
      </c>
      <c r="F2075" s="1" t="s">
        <v>11986</v>
      </c>
      <c r="G2075" s="1" t="s">
        <v>11987</v>
      </c>
      <c r="H2075" s="2" t="str">
        <f>Tabella1[[#This Row],[Denominazione]]&amp;" - "&amp;Tabella1[[#This Row],[Città]]</f>
        <v>B&amp;B VARCO - LORO PICENO</v>
      </c>
    </row>
    <row r="2076" spans="1:8" x14ac:dyDescent="0.25">
      <c r="A2076" s="1" t="s">
        <v>29</v>
      </c>
      <c r="B2076" s="1" t="s">
        <v>11419</v>
      </c>
      <c r="C2076" s="1" t="s">
        <v>11420</v>
      </c>
      <c r="D2076" s="1" t="s">
        <v>11244</v>
      </c>
      <c r="E2076" s="1" t="s">
        <v>11255</v>
      </c>
      <c r="G2076" s="1" t="s">
        <v>11421</v>
      </c>
      <c r="H2076" s="2" t="str">
        <f>Tabella1[[#This Row],[Denominazione]]&amp;" - "&amp;Tabella1[[#This Row],[Città]]</f>
        <v>B&amp;B VELA SEA di ACCIARRI VITALIANA - CIVITANOVA MARCHE</v>
      </c>
    </row>
    <row r="2077" spans="1:8" x14ac:dyDescent="0.25">
      <c r="A2077" s="1" t="s">
        <v>29</v>
      </c>
      <c r="B2077" s="1" t="s">
        <v>7887</v>
      </c>
      <c r="C2077" s="1" t="s">
        <v>7888</v>
      </c>
      <c r="D2077" s="1" t="s">
        <v>7889</v>
      </c>
      <c r="E2077" s="1" t="s">
        <v>7890</v>
      </c>
      <c r="F2077" s="1" t="s">
        <v>7891</v>
      </c>
      <c r="G2077" s="1" t="s">
        <v>7892</v>
      </c>
      <c r="H2077" s="2" t="str">
        <f>Tabella1[[#This Row],[Denominazione]]&amp;" - "&amp;Tabella1[[#This Row],[Città]]</f>
        <v>B&amp;B VENTO DEL MARE - NUMANA</v>
      </c>
    </row>
    <row r="2078" spans="1:8" x14ac:dyDescent="0.25">
      <c r="A2078" s="1" t="s">
        <v>29</v>
      </c>
      <c r="B2078" s="1" t="s">
        <v>13091</v>
      </c>
      <c r="C2078" s="1" t="s">
        <v>13092</v>
      </c>
      <c r="D2078" s="1" t="s">
        <v>13026</v>
      </c>
      <c r="F2078" s="1" t="s">
        <v>13093</v>
      </c>
      <c r="G2078" s="1" t="s">
        <v>13094</v>
      </c>
      <c r="H2078" s="2" t="str">
        <f>Tabella1[[#This Row],[Denominazione]]&amp;" - "&amp;Tabella1[[#This Row],[Città]]</f>
        <v>B&amp;B VENTO DELL'EST - POTENZA PICENA</v>
      </c>
    </row>
    <row r="2079" spans="1:8" x14ac:dyDescent="0.25">
      <c r="A2079" s="1" t="s">
        <v>29</v>
      </c>
      <c r="B2079" s="1" t="s">
        <v>18793</v>
      </c>
      <c r="C2079" s="1" t="s">
        <v>18794</v>
      </c>
      <c r="D2079" s="1" t="s">
        <v>18783</v>
      </c>
      <c r="E2079" s="1" t="s">
        <v>18795</v>
      </c>
      <c r="F2079" s="1" t="s">
        <v>18796</v>
      </c>
      <c r="G2079" s="1" t="s">
        <v>18797</v>
      </c>
      <c r="H2079" s="2" t="str">
        <f>Tabella1[[#This Row],[Denominazione]]&amp;" - "&amp;Tabella1[[#This Row],[Città]]</f>
        <v>B&amp;B VENTO DI ROSE - MONTERUBBIANO</v>
      </c>
    </row>
    <row r="2080" spans="1:8" x14ac:dyDescent="0.25">
      <c r="A2080" s="1" t="s">
        <v>29</v>
      </c>
      <c r="B2080" s="1" t="s">
        <v>838</v>
      </c>
      <c r="C2080" s="1" t="s">
        <v>839</v>
      </c>
      <c r="D2080" s="1" t="s">
        <v>682</v>
      </c>
      <c r="F2080" s="1" t="s">
        <v>840</v>
      </c>
      <c r="G2080" s="1" t="s">
        <v>841</v>
      </c>
      <c r="H2080" s="2" t="str">
        <f>Tabella1[[#This Row],[Denominazione]]&amp;" - "&amp;Tabella1[[#This Row],[Città]]</f>
        <v>B&amp;B VERDAZZURRO di FILIPPETTI ELISABETTA - FANO</v>
      </c>
    </row>
    <row r="2081" spans="1:8" x14ac:dyDescent="0.25">
      <c r="A2081" s="1" t="s">
        <v>29</v>
      </c>
      <c r="B2081" s="1" t="s">
        <v>7795</v>
      </c>
      <c r="C2081" s="1" t="s">
        <v>7796</v>
      </c>
      <c r="D2081" s="1" t="s">
        <v>7718</v>
      </c>
      <c r="G2081" s="1" t="s">
        <v>7719</v>
      </c>
      <c r="H2081" s="2" t="str">
        <f>Tabella1[[#This Row],[Denominazione]]&amp;" - "&amp;Tabella1[[#This Row],[Città]]</f>
        <v>B&amp;B VERDE ARMONIA - MONTEMARCIANO</v>
      </c>
    </row>
    <row r="2082" spans="1:8" x14ac:dyDescent="0.25">
      <c r="A2082" s="1" t="s">
        <v>29</v>
      </c>
      <c r="B2082" s="1" t="s">
        <v>11425</v>
      </c>
      <c r="C2082" s="1" t="s">
        <v>11426</v>
      </c>
      <c r="D2082" s="1" t="s">
        <v>11244</v>
      </c>
      <c r="E2082" s="1" t="s">
        <v>11244</v>
      </c>
      <c r="G2082" s="1" t="s">
        <v>11427</v>
      </c>
      <c r="H2082" s="2" t="str">
        <f>Tabella1[[#This Row],[Denominazione]]&amp;" - "&amp;Tabella1[[#This Row],[Città]]</f>
        <v>B&amp;B VERDE AZZURRO - CIVITANOVA MARCHE</v>
      </c>
    </row>
    <row r="2083" spans="1:8" x14ac:dyDescent="0.25">
      <c r="A2083" s="1" t="s">
        <v>29</v>
      </c>
      <c r="B2083" s="1" t="s">
        <v>13409</v>
      </c>
      <c r="C2083" s="1" t="s">
        <v>13410</v>
      </c>
      <c r="D2083" s="1" t="s">
        <v>13298</v>
      </c>
      <c r="F2083" s="1" t="s">
        <v>13411</v>
      </c>
      <c r="G2083" s="1" t="s">
        <v>13412</v>
      </c>
      <c r="H2083" s="2" t="str">
        <f>Tabella1[[#This Row],[Denominazione]]&amp;" - "&amp;Tabella1[[#This Row],[Città]]</f>
        <v>B&amp;B VERDE PARADISO - RECANATI</v>
      </c>
    </row>
    <row r="2084" spans="1:8" x14ac:dyDescent="0.25">
      <c r="A2084" s="1" t="s">
        <v>29</v>
      </c>
      <c r="B2084" s="1" t="s">
        <v>11220</v>
      </c>
      <c r="C2084" s="1" t="s">
        <v>11221</v>
      </c>
      <c r="D2084" s="1" t="s">
        <v>11058</v>
      </c>
      <c r="E2084" s="1" t="s">
        <v>11058</v>
      </c>
      <c r="F2084" s="1" t="s">
        <v>11222</v>
      </c>
      <c r="G2084" s="1" t="s">
        <v>11223</v>
      </c>
      <c r="H2084" s="2" t="str">
        <f>Tabella1[[#This Row],[Denominazione]]&amp;" - "&amp;Tabella1[[#This Row],[Città]]</f>
        <v>B&amp;B VERDE SMERALDO - CINGOLI</v>
      </c>
    </row>
    <row r="2085" spans="1:8" x14ac:dyDescent="0.25">
      <c r="A2085" s="1" t="s">
        <v>29</v>
      </c>
      <c r="B2085" s="1" t="s">
        <v>7993</v>
      </c>
      <c r="C2085" s="1" t="s">
        <v>7994</v>
      </c>
      <c r="D2085" s="1" t="s">
        <v>7889</v>
      </c>
      <c r="F2085" s="1" t="s">
        <v>7995</v>
      </c>
      <c r="G2085" s="1" t="s">
        <v>7996</v>
      </c>
      <c r="H2085" s="2" t="str">
        <f>Tabella1[[#This Row],[Denominazione]]&amp;" - "&amp;Tabella1[[#This Row],[Città]]</f>
        <v>B&amp;B VERDE SUL MARE - NUMANA</v>
      </c>
    </row>
    <row r="2086" spans="1:8" x14ac:dyDescent="0.25">
      <c r="A2086" s="1" t="s">
        <v>29</v>
      </c>
      <c r="B2086" s="1" t="s">
        <v>18421</v>
      </c>
      <c r="C2086" s="1" t="s">
        <v>18422</v>
      </c>
      <c r="D2086" s="1" t="s">
        <v>18389</v>
      </c>
      <c r="E2086" s="1" t="s">
        <v>18389</v>
      </c>
      <c r="F2086" s="1" t="s">
        <v>18423</v>
      </c>
      <c r="G2086" s="1" t="s">
        <v>18424</v>
      </c>
      <c r="H2086" s="2" t="str">
        <f>Tabella1[[#This Row],[Denominazione]]&amp;" - "&amp;Tabella1[[#This Row],[Città]]</f>
        <v>B&amp;B VERDE VALDASO DI PENNESI DOMENICO - LAPEDONA</v>
      </c>
    </row>
    <row r="2087" spans="1:8" x14ac:dyDescent="0.25">
      <c r="A2087" s="1" t="s">
        <v>29</v>
      </c>
      <c r="B2087" s="1" t="s">
        <v>14446</v>
      </c>
      <c r="C2087" s="1" t="s">
        <v>14447</v>
      </c>
      <c r="D2087" s="1" t="s">
        <v>14428</v>
      </c>
      <c r="E2087" s="1" t="s">
        <v>14428</v>
      </c>
      <c r="G2087" s="1" t="s">
        <v>14448</v>
      </c>
      <c r="H2087" s="2" t="str">
        <f>Tabella1[[#This Row],[Denominazione]]&amp;" - "&amp;Tabella1[[#This Row],[Città]]</f>
        <v>B&amp;B VERDEMARE di MARZETTI ANTONELLA - ACQUAVIVA PICENA</v>
      </c>
    </row>
    <row r="2088" spans="1:8" x14ac:dyDescent="0.25">
      <c r="A2088" s="1" t="s">
        <v>29</v>
      </c>
      <c r="B2088" s="1" t="s">
        <v>13770</v>
      </c>
      <c r="C2088" s="1" t="s">
        <v>13771</v>
      </c>
      <c r="D2088" s="1" t="s">
        <v>13756</v>
      </c>
      <c r="E2088" s="1" t="s">
        <v>13756</v>
      </c>
      <c r="G2088" s="1" t="s">
        <v>13772</v>
      </c>
      <c r="H2088" s="2" t="str">
        <f>Tabella1[[#This Row],[Denominazione]]&amp;" - "&amp;Tabella1[[#This Row],[Città]]</f>
        <v>B&amp;B VERDEQUIETE VENANZI MAURO - SARNANO</v>
      </c>
    </row>
    <row r="2089" spans="1:8" x14ac:dyDescent="0.25">
      <c r="A2089" s="1" t="s">
        <v>29</v>
      </c>
      <c r="B2089" s="1" t="s">
        <v>15503</v>
      </c>
      <c r="C2089" s="1" t="s">
        <v>15504</v>
      </c>
      <c r="D2089" s="1" t="s">
        <v>15349</v>
      </c>
      <c r="G2089" s="1" t="s">
        <v>15505</v>
      </c>
      <c r="H2089" s="2" t="str">
        <f>Tabella1[[#This Row],[Denominazione]]&amp;" - "&amp;Tabella1[[#This Row],[Città]]</f>
        <v>B&amp;B VERDEROSA - CUPRA MARITTIMA</v>
      </c>
    </row>
    <row r="2090" spans="1:8" x14ac:dyDescent="0.25">
      <c r="A2090" s="1" t="s">
        <v>29</v>
      </c>
      <c r="B2090" s="1" t="s">
        <v>6970</v>
      </c>
      <c r="C2090" s="1" t="s">
        <v>6971</v>
      </c>
      <c r="D2090" s="1" t="s">
        <v>6790</v>
      </c>
      <c r="E2090" s="1" t="s">
        <v>6790</v>
      </c>
      <c r="F2090" s="1" t="s">
        <v>6972</v>
      </c>
      <c r="G2090" s="1" t="s">
        <v>6973</v>
      </c>
      <c r="H2090" s="2" t="str">
        <f>Tabella1[[#This Row],[Denominazione]]&amp;" - "&amp;Tabella1[[#This Row],[Città]]</f>
        <v>B&amp;B VETRALLA - FABRIANO</v>
      </c>
    </row>
    <row r="2091" spans="1:8" x14ac:dyDescent="0.25">
      <c r="A2091" s="1" t="s">
        <v>29</v>
      </c>
      <c r="B2091" s="1" t="s">
        <v>4744</v>
      </c>
      <c r="C2091" s="1" t="s">
        <v>4745</v>
      </c>
      <c r="D2091" s="1" t="s">
        <v>4735</v>
      </c>
      <c r="E2091" s="1" t="s">
        <v>4746</v>
      </c>
      <c r="G2091" s="1" t="s">
        <v>4747</v>
      </c>
      <c r="H2091" s="2" t="str">
        <f>Tabella1[[#This Row],[Denominazione]]&amp;" - "&amp;Tabella1[[#This Row],[Città]]</f>
        <v>B&amp;B VI.VI' - URBANIA</v>
      </c>
    </row>
    <row r="2092" spans="1:8" x14ac:dyDescent="0.25">
      <c r="A2092" s="1" t="s">
        <v>29</v>
      </c>
      <c r="B2092" s="1" t="s">
        <v>3426</v>
      </c>
      <c r="C2092" s="1" t="s">
        <v>3427</v>
      </c>
      <c r="D2092" s="1" t="s">
        <v>2386</v>
      </c>
      <c r="G2092" s="1" t="s">
        <v>3428</v>
      </c>
      <c r="H2092" s="2" t="str">
        <f>Tabella1[[#This Row],[Denominazione]]&amp;" - "&amp;Tabella1[[#This Row],[Città]]</f>
        <v>B&amp;B VIA ABBA - PESARO</v>
      </c>
    </row>
    <row r="2093" spans="1:8" x14ac:dyDescent="0.25">
      <c r="A2093" s="1" t="s">
        <v>29</v>
      </c>
      <c r="B2093" s="1" t="s">
        <v>4567</v>
      </c>
      <c r="C2093" s="1" t="s">
        <v>4568</v>
      </c>
      <c r="D2093" s="1" t="s">
        <v>4550</v>
      </c>
      <c r="G2093" s="1" t="s">
        <v>4569</v>
      </c>
      <c r="H2093" s="2" t="str">
        <f>Tabella1[[#This Row],[Denominazione]]&amp;" - "&amp;Tabella1[[#This Row],[Città]]</f>
        <v>B&amp;B VIA DEGLI ORTI - SERRA SANT'ABBONDIO</v>
      </c>
    </row>
    <row r="2094" spans="1:8" x14ac:dyDescent="0.25">
      <c r="A2094" s="1" t="s">
        <v>29</v>
      </c>
      <c r="B2094" s="1" t="s">
        <v>14312</v>
      </c>
      <c r="C2094" s="1" t="s">
        <v>14313</v>
      </c>
      <c r="D2094" s="1" t="s">
        <v>14276</v>
      </c>
      <c r="E2094" s="1" t="s">
        <v>14276</v>
      </c>
      <c r="G2094" s="1" t="s">
        <v>14314</v>
      </c>
      <c r="H2094" s="2" t="str">
        <f>Tabella1[[#This Row],[Denominazione]]&amp;" - "&amp;Tabella1[[#This Row],[Città]]</f>
        <v>B&amp;B VIA DEL POGGIO - VISSO</v>
      </c>
    </row>
    <row r="2095" spans="1:8" x14ac:dyDescent="0.25">
      <c r="A2095" s="1" t="s">
        <v>29</v>
      </c>
      <c r="B2095" s="1" t="s">
        <v>9350</v>
      </c>
      <c r="C2095" s="1" t="s">
        <v>9351</v>
      </c>
      <c r="D2095" s="1" t="s">
        <v>8949</v>
      </c>
      <c r="G2095" s="1" t="s">
        <v>9352</v>
      </c>
      <c r="H2095" s="2" t="str">
        <f>Tabella1[[#This Row],[Denominazione]]&amp;" - "&amp;Tabella1[[#This Row],[Città]]</f>
        <v>B&amp;B VIA DELLA MARINA 3 - SENIGALLIA</v>
      </c>
    </row>
    <row r="2096" spans="1:8" x14ac:dyDescent="0.25">
      <c r="A2096" s="1" t="s">
        <v>29</v>
      </c>
      <c r="B2096" s="1" t="s">
        <v>18246</v>
      </c>
      <c r="C2096" s="1" t="s">
        <v>18247</v>
      </c>
      <c r="D2096" s="1" t="s">
        <v>17932</v>
      </c>
      <c r="E2096" s="1" t="s">
        <v>17932</v>
      </c>
      <c r="G2096" s="1" t="s">
        <v>18248</v>
      </c>
      <c r="H2096" s="2" t="str">
        <f>Tabella1[[#This Row],[Denominazione]]&amp;" - "&amp;Tabella1[[#This Row],[Città]]</f>
        <v>B&amp;B VIA GARIBALDI - FERMO</v>
      </c>
    </row>
    <row r="2097" spans="1:8" x14ac:dyDescent="0.25">
      <c r="A2097" s="1" t="s">
        <v>29</v>
      </c>
      <c r="B2097" s="1" t="s">
        <v>7728</v>
      </c>
      <c r="C2097" s="1" t="s">
        <v>7729</v>
      </c>
      <c r="D2097" s="1" t="s">
        <v>7718</v>
      </c>
      <c r="F2097" s="1" t="s">
        <v>7730</v>
      </c>
      <c r="G2097" s="1" t="s">
        <v>7731</v>
      </c>
      <c r="H2097" s="2" t="str">
        <f>Tabella1[[#This Row],[Denominazione]]&amp;" - "&amp;Tabella1[[#This Row],[Città]]</f>
        <v>B&amp;B VIA MARINA 56 - MONTEMARCIANO</v>
      </c>
    </row>
    <row r="2098" spans="1:8" x14ac:dyDescent="0.25">
      <c r="A2098" s="1" t="s">
        <v>29</v>
      </c>
      <c r="B2098" s="1" t="s">
        <v>4570</v>
      </c>
      <c r="C2098" s="1" t="s">
        <v>4571</v>
      </c>
      <c r="D2098" s="1" t="s">
        <v>4550</v>
      </c>
      <c r="G2098" s="1" t="s">
        <v>4569</v>
      </c>
      <c r="H2098" s="2" t="str">
        <f>Tabella1[[#This Row],[Denominazione]]&amp;" - "&amp;Tabella1[[#This Row],[Città]]</f>
        <v>B&amp;B VIA PRADELLA - SERRA SANT'ABBONDIO</v>
      </c>
    </row>
    <row r="2099" spans="1:8" x14ac:dyDescent="0.25">
      <c r="A2099" s="1" t="s">
        <v>29</v>
      </c>
      <c r="B2099" s="1" t="s">
        <v>14331</v>
      </c>
      <c r="D2099" s="1" t="s">
        <v>14276</v>
      </c>
      <c r="H2099" s="2" t="str">
        <f>Tabella1[[#This Row],[Denominazione]]&amp;" - "&amp;Tabella1[[#This Row],[Città]]</f>
        <v>B&amp;B VIA USSITA - VISSO</v>
      </c>
    </row>
    <row r="2100" spans="1:8" x14ac:dyDescent="0.25">
      <c r="A2100" s="1" t="s">
        <v>29</v>
      </c>
      <c r="B2100" s="1" t="s">
        <v>505</v>
      </c>
      <c r="C2100" s="1" t="s">
        <v>506</v>
      </c>
      <c r="D2100" s="1" t="s">
        <v>316</v>
      </c>
      <c r="G2100" s="1" t="s">
        <v>507</v>
      </c>
      <c r="H2100" s="2" t="str">
        <f>Tabella1[[#This Row],[Denominazione]]&amp;" - "&amp;Tabella1[[#This Row],[Città]]</f>
        <v>B&amp;B VIABENAMATI - CAGLI</v>
      </c>
    </row>
    <row r="2101" spans="1:8" x14ac:dyDescent="0.25">
      <c r="A2101" s="1" t="s">
        <v>29</v>
      </c>
      <c r="B2101" s="1" t="s">
        <v>10749</v>
      </c>
      <c r="C2101" s="1" t="s">
        <v>10750</v>
      </c>
      <c r="D2101" s="1" t="s">
        <v>10737</v>
      </c>
      <c r="E2101" s="1" t="s">
        <v>10737</v>
      </c>
      <c r="G2101" s="1" t="s">
        <v>10751</v>
      </c>
      <c r="H2101" s="2" t="str">
        <f>Tabella1[[#This Row],[Denominazione]]&amp;" - "&amp;Tabella1[[#This Row],[Città]]</f>
        <v>B&amp;B VIALE DEI TIGLI - CAMERINO</v>
      </c>
    </row>
    <row r="2102" spans="1:8" x14ac:dyDescent="0.25">
      <c r="A2102" s="1" t="s">
        <v>29</v>
      </c>
      <c r="B2102" s="1" t="s">
        <v>10554</v>
      </c>
      <c r="C2102" s="1" t="s">
        <v>10555</v>
      </c>
      <c r="D2102" s="1" t="s">
        <v>10519</v>
      </c>
      <c r="E2102" s="1" t="s">
        <v>3174</v>
      </c>
      <c r="F2102" s="1" t="s">
        <v>10556</v>
      </c>
      <c r="G2102" s="1" t="s">
        <v>10557</v>
      </c>
      <c r="H2102" s="2" t="str">
        <f>Tabella1[[#This Row],[Denominazione]]&amp;" - "&amp;Tabella1[[#This Row],[Città]]</f>
        <v>B&amp;B VIASANMORO - TRECASTELLI</v>
      </c>
    </row>
    <row r="2103" spans="1:8" x14ac:dyDescent="0.25">
      <c r="A2103" s="1" t="s">
        <v>29</v>
      </c>
      <c r="B2103" s="1" t="s">
        <v>7313</v>
      </c>
      <c r="C2103" s="1" t="s">
        <v>7314</v>
      </c>
      <c r="D2103" s="1" t="s">
        <v>7254</v>
      </c>
      <c r="E2103" s="1" t="s">
        <v>7254</v>
      </c>
      <c r="F2103" s="1" t="s">
        <v>7315</v>
      </c>
      <c r="G2103" s="1" t="s">
        <v>7316</v>
      </c>
      <c r="H2103" s="2" t="str">
        <f>Tabella1[[#This Row],[Denominazione]]&amp;" - "&amp;Tabella1[[#This Row],[Città]]</f>
        <v>B&amp;B VICINO... L'ARCO - JESI</v>
      </c>
    </row>
    <row r="2104" spans="1:8" x14ac:dyDescent="0.25">
      <c r="A2104" s="1" t="s">
        <v>29</v>
      </c>
      <c r="B2104" s="1" t="s">
        <v>5792</v>
      </c>
      <c r="C2104" s="1" t="s">
        <v>5793</v>
      </c>
      <c r="D2104" s="1" t="s">
        <v>1864</v>
      </c>
      <c r="E2104" s="1" t="s">
        <v>1864</v>
      </c>
      <c r="F2104" s="1" t="s">
        <v>5794</v>
      </c>
      <c r="G2104" s="1" t="s">
        <v>5795</v>
      </c>
      <c r="H2104" s="2" t="str">
        <f>Tabella1[[#This Row],[Denominazione]]&amp;" - "&amp;Tabella1[[#This Row],[Città]]</f>
        <v>B&amp;B VILLA  NGIOLO' - ANCONA</v>
      </c>
    </row>
    <row r="2105" spans="1:8" x14ac:dyDescent="0.25">
      <c r="A2105" s="1" t="s">
        <v>29</v>
      </c>
      <c r="B2105" s="1" t="s">
        <v>323</v>
      </c>
      <c r="C2105" s="1" t="s">
        <v>324</v>
      </c>
      <c r="D2105" s="1" t="s">
        <v>316</v>
      </c>
      <c r="F2105" s="1" t="s">
        <v>325</v>
      </c>
      <c r="G2105" s="1" t="s">
        <v>326</v>
      </c>
      <c r="H2105" s="2" t="str">
        <f>Tabella1[[#This Row],[Denominazione]]&amp;" - "&amp;Tabella1[[#This Row],[Città]]</f>
        <v>B&amp;B VILLA ADA - CAGLI</v>
      </c>
    </row>
    <row r="2106" spans="1:8" x14ac:dyDescent="0.25">
      <c r="A2106" s="1" t="s">
        <v>29</v>
      </c>
      <c r="B2106" s="1" t="s">
        <v>6336</v>
      </c>
      <c r="C2106" s="1" t="s">
        <v>6337</v>
      </c>
      <c r="D2106" s="1" t="s">
        <v>6290</v>
      </c>
      <c r="E2106" s="1" t="s">
        <v>6290</v>
      </c>
      <c r="G2106" s="1" t="s">
        <v>6338</v>
      </c>
      <c r="H2106" s="2" t="str">
        <f>Tabella1[[#This Row],[Denominazione]]&amp;" - "&amp;Tabella1[[#This Row],[Città]]</f>
        <v>B&amp;B VILLA ALBA - CAMERANO</v>
      </c>
    </row>
    <row r="2107" spans="1:8" x14ac:dyDescent="0.25">
      <c r="A2107" s="1" t="s">
        <v>29</v>
      </c>
      <c r="B2107" s="1" t="s">
        <v>6336</v>
      </c>
      <c r="C2107" s="1" t="s">
        <v>18308</v>
      </c>
      <c r="D2107" s="1" t="s">
        <v>17932</v>
      </c>
      <c r="F2107" s="1" t="s">
        <v>18309</v>
      </c>
      <c r="G2107" s="1" t="s">
        <v>18310</v>
      </c>
      <c r="H2107" s="2" t="str">
        <f>Tabella1[[#This Row],[Denominazione]]&amp;" - "&amp;Tabella1[[#This Row],[Città]]</f>
        <v>B&amp;B VILLA ALBA - FERMO</v>
      </c>
    </row>
    <row r="2108" spans="1:8" x14ac:dyDescent="0.25">
      <c r="A2108" s="1" t="s">
        <v>29</v>
      </c>
      <c r="B2108" s="1" t="s">
        <v>5076</v>
      </c>
      <c r="C2108" s="1" t="s">
        <v>5077</v>
      </c>
      <c r="D2108" s="1" t="s">
        <v>9</v>
      </c>
      <c r="E2108" s="1" t="s">
        <v>5078</v>
      </c>
      <c r="F2108" s="1" t="s">
        <v>5079</v>
      </c>
      <c r="G2108" s="1" t="s">
        <v>5080</v>
      </c>
      <c r="H2108" s="2" t="str">
        <f>Tabella1[[#This Row],[Denominazione]]&amp;" - "&amp;Tabella1[[#This Row],[Città]]</f>
        <v>B&amp;B VILLA ANJANA - URBINO</v>
      </c>
    </row>
    <row r="2109" spans="1:8" x14ac:dyDescent="0.25">
      <c r="A2109" s="1" t="s">
        <v>29</v>
      </c>
      <c r="B2109" s="1" t="s">
        <v>13888</v>
      </c>
      <c r="C2109" s="1" t="s">
        <v>13889</v>
      </c>
      <c r="D2109" s="1" t="s">
        <v>13881</v>
      </c>
      <c r="G2109" s="1" t="s">
        <v>13890</v>
      </c>
      <c r="H2109" s="2" t="str">
        <f>Tabella1[[#This Row],[Denominazione]]&amp;" - "&amp;Tabella1[[#This Row],[Città]]</f>
        <v>B&amp;B VILLA ANNA - SEFRO</v>
      </c>
    </row>
    <row r="2110" spans="1:8" x14ac:dyDescent="0.25">
      <c r="A2110" s="1" t="s">
        <v>29</v>
      </c>
      <c r="B2110" s="1" t="s">
        <v>19231</v>
      </c>
      <c r="C2110" s="1" t="s">
        <v>19232</v>
      </c>
      <c r="D2110" s="1" t="s">
        <v>18082</v>
      </c>
      <c r="F2110" s="1" t="s">
        <v>19233</v>
      </c>
      <c r="G2110" s="1" t="s">
        <v>19234</v>
      </c>
      <c r="H2110" s="2" t="str">
        <f>Tabella1[[#This Row],[Denominazione]]&amp;" - "&amp;Tabella1[[#This Row],[Città]]</f>
        <v>B&amp;B VILLA ANNABELLA - PORTO SAN GIORGIO</v>
      </c>
    </row>
    <row r="2111" spans="1:8" x14ac:dyDescent="0.25">
      <c r="A2111" s="1" t="s">
        <v>29</v>
      </c>
      <c r="B2111" s="1" t="s">
        <v>6007</v>
      </c>
      <c r="C2111" s="1" t="s">
        <v>6008</v>
      </c>
      <c r="D2111" s="1" t="s">
        <v>1864</v>
      </c>
      <c r="E2111" s="1" t="s">
        <v>6009</v>
      </c>
      <c r="G2111" s="1" t="s">
        <v>6010</v>
      </c>
      <c r="H2111" s="2" t="str">
        <f>Tabella1[[#This Row],[Denominazione]]&amp;" - "&amp;Tabella1[[#This Row],[Città]]</f>
        <v>B&amp;B VILLA ANY - ANCONA</v>
      </c>
    </row>
    <row r="2112" spans="1:8" x14ac:dyDescent="0.25">
      <c r="A2112" s="1" t="s">
        <v>29</v>
      </c>
      <c r="B2112" s="1" t="s">
        <v>5029</v>
      </c>
      <c r="C2112" s="1" t="s">
        <v>5030</v>
      </c>
      <c r="D2112" s="1" t="s">
        <v>9</v>
      </c>
      <c r="F2112" s="1" t="s">
        <v>5031</v>
      </c>
      <c r="G2112" s="1" t="s">
        <v>5032</v>
      </c>
      <c r="H2112" s="2" t="str">
        <f>Tabella1[[#This Row],[Denominazione]]&amp;" - "&amp;Tabella1[[#This Row],[Città]]</f>
        <v>B&amp;B VILLA BANCI di CIOPPI STEFANO - URBINO</v>
      </c>
    </row>
    <row r="2113" spans="1:8" x14ac:dyDescent="0.25">
      <c r="A2113" s="1" t="s">
        <v>29</v>
      </c>
      <c r="B2113" s="1" t="s">
        <v>18427</v>
      </c>
      <c r="C2113" s="1" t="s">
        <v>18428</v>
      </c>
      <c r="D2113" s="1" t="s">
        <v>18389</v>
      </c>
      <c r="G2113" s="1" t="s">
        <v>18429</v>
      </c>
      <c r="H2113" s="2" t="str">
        <f>Tabella1[[#This Row],[Denominazione]]&amp;" - "&amp;Tabella1[[#This Row],[Città]]</f>
        <v>B&amp;B VILLA BRITANNICA - LAPEDONA</v>
      </c>
    </row>
    <row r="2114" spans="1:8" x14ac:dyDescent="0.25">
      <c r="A2114" s="1" t="s">
        <v>29</v>
      </c>
      <c r="B2114" s="1" t="s">
        <v>16081</v>
      </c>
      <c r="C2114" s="1" t="s">
        <v>16082</v>
      </c>
      <c r="D2114" s="1" t="s">
        <v>16040</v>
      </c>
      <c r="E2114" s="1" t="s">
        <v>16040</v>
      </c>
      <c r="G2114" s="1" t="s">
        <v>16080</v>
      </c>
      <c r="H2114" s="2" t="str">
        <f>Tabella1[[#This Row],[Denominazione]]&amp;" - "&amp;Tabella1[[#This Row],[Città]]</f>
        <v>B&amp;B VILLA BUSSOLA - MONSAMPOLO DEL TRONTO</v>
      </c>
    </row>
    <row r="2115" spans="1:8" x14ac:dyDescent="0.25">
      <c r="A2115" s="1" t="s">
        <v>29</v>
      </c>
      <c r="B2115" s="1" t="s">
        <v>5287</v>
      </c>
      <c r="C2115" s="1" t="s">
        <v>5288</v>
      </c>
      <c r="D2115" s="1" t="s">
        <v>9</v>
      </c>
      <c r="F2115" s="1" t="s">
        <v>5289</v>
      </c>
      <c r="G2115" s="1" t="s">
        <v>5290</v>
      </c>
      <c r="H2115" s="2" t="str">
        <f>Tabella1[[#This Row],[Denominazione]]&amp;" - "&amp;Tabella1[[#This Row],[Città]]</f>
        <v>B&amp;B VILLA CA' BELLARIA - URBINO</v>
      </c>
    </row>
    <row r="2116" spans="1:8" x14ac:dyDescent="0.25">
      <c r="A2116" s="1" t="s">
        <v>29</v>
      </c>
      <c r="B2116" s="1" t="s">
        <v>18294</v>
      </c>
      <c r="C2116" s="1" t="s">
        <v>18295</v>
      </c>
      <c r="D2116" s="1" t="s">
        <v>17932</v>
      </c>
      <c r="E2116" s="1" t="s">
        <v>18296</v>
      </c>
      <c r="F2116" s="1" t="s">
        <v>18297</v>
      </c>
      <c r="G2116" s="1" t="s">
        <v>18298</v>
      </c>
      <c r="H2116" s="2" t="str">
        <f>Tabella1[[#This Row],[Denominazione]]&amp;" - "&amp;Tabella1[[#This Row],[Città]]</f>
        <v>B&amp;B VILLA CAPODARCO - FERMO</v>
      </c>
    </row>
    <row r="2117" spans="1:8" x14ac:dyDescent="0.25">
      <c r="A2117" s="1" t="s">
        <v>29</v>
      </c>
      <c r="B2117" s="1" t="s">
        <v>14550</v>
      </c>
      <c r="C2117" s="1" t="s">
        <v>14551</v>
      </c>
      <c r="D2117" s="1" t="s">
        <v>14510</v>
      </c>
      <c r="E2117" s="1" t="s">
        <v>14510</v>
      </c>
      <c r="F2117" s="1" t="s">
        <v>14548</v>
      </c>
      <c r="G2117" s="1" t="s">
        <v>14549</v>
      </c>
      <c r="H2117" s="2" t="str">
        <f>Tabella1[[#This Row],[Denominazione]]&amp;" - "&amp;Tabella1[[#This Row],[Città]]</f>
        <v>B&amp;B VILLA CAPONI di FEDERICA TASSI - ARQUATA DEL TRONTO</v>
      </c>
    </row>
    <row r="2118" spans="1:8" x14ac:dyDescent="0.25">
      <c r="A2118" s="1" t="s">
        <v>29</v>
      </c>
      <c r="B2118" s="1" t="s">
        <v>13928</v>
      </c>
      <c r="D2118" s="1" t="s">
        <v>13929</v>
      </c>
      <c r="E2118" s="1" t="s">
        <v>13930</v>
      </c>
      <c r="F2118" s="1" t="s">
        <v>13931</v>
      </c>
      <c r="G2118" s="1" t="s">
        <v>13932</v>
      </c>
      <c r="H2118" s="2" t="str">
        <f>Tabella1[[#This Row],[Denominazione]]&amp;" - "&amp;Tabella1[[#This Row],[Città]]</f>
        <v>B&amp;B VILLA CAPPELLETTI - SERRAVALLE DI CHIENTI</v>
      </c>
    </row>
    <row r="2119" spans="1:8" x14ac:dyDescent="0.25">
      <c r="A2119" s="1" t="s">
        <v>29</v>
      </c>
      <c r="B2119" s="1" t="s">
        <v>3172</v>
      </c>
      <c r="C2119" s="1" t="s">
        <v>3173</v>
      </c>
      <c r="D2119" s="1" t="s">
        <v>3160</v>
      </c>
      <c r="E2119" s="1" t="s">
        <v>3174</v>
      </c>
      <c r="G2119" s="1" t="s">
        <v>3175</v>
      </c>
      <c r="H2119" s="2" t="str">
        <f>Tabella1[[#This Row],[Denominazione]]&amp;" - "&amp;Tabella1[[#This Row],[Città]]</f>
        <v>B&amp;B VILLA CASULA - MONTELABBATE</v>
      </c>
    </row>
    <row r="2120" spans="1:8" x14ac:dyDescent="0.25">
      <c r="A2120" s="1" t="s">
        <v>29</v>
      </c>
      <c r="B2120" s="1" t="s">
        <v>4921</v>
      </c>
      <c r="C2120" s="1" t="s">
        <v>4922</v>
      </c>
      <c r="D2120" s="1" t="s">
        <v>9</v>
      </c>
      <c r="F2120" s="1" t="s">
        <v>4923</v>
      </c>
      <c r="G2120" s="1" t="s">
        <v>4924</v>
      </c>
      <c r="H2120" s="2" t="str">
        <f>Tabella1[[#This Row],[Denominazione]]&amp;" - "&amp;Tabella1[[#This Row],[Città]]</f>
        <v>B&amp;B VILLA CINI - URBINO</v>
      </c>
    </row>
    <row r="2121" spans="1:8" x14ac:dyDescent="0.25">
      <c r="A2121" s="1" t="s">
        <v>29</v>
      </c>
      <c r="B2121" s="1" t="s">
        <v>6045</v>
      </c>
      <c r="C2121" s="1" t="s">
        <v>6046</v>
      </c>
      <c r="D2121" s="1" t="s">
        <v>1864</v>
      </c>
      <c r="G2121" s="1" t="s">
        <v>6047</v>
      </c>
      <c r="H2121" s="2" t="str">
        <f>Tabella1[[#This Row],[Denominazione]]&amp;" - "&amp;Tabella1[[#This Row],[Città]]</f>
        <v>B&amp;B VILLA COLLE - ANCONA</v>
      </c>
    </row>
    <row r="2122" spans="1:8" x14ac:dyDescent="0.25">
      <c r="A2122" s="1" t="s">
        <v>29</v>
      </c>
      <c r="B2122" s="1" t="s">
        <v>8476</v>
      </c>
      <c r="C2122" s="1" t="s">
        <v>8477</v>
      </c>
      <c r="D2122" s="1" t="s">
        <v>8454</v>
      </c>
      <c r="G2122" s="1" t="s">
        <v>8472</v>
      </c>
      <c r="H2122" s="2" t="str">
        <f>Tabella1[[#This Row],[Denominazione]]&amp;" - "&amp;Tabella1[[#This Row],[Città]]</f>
        <v>B&amp;B VILLA CORALIA - OSIMO</v>
      </c>
    </row>
    <row r="2123" spans="1:8" x14ac:dyDescent="0.25">
      <c r="A2123" s="1" t="s">
        <v>29</v>
      </c>
      <c r="B2123" s="1" t="s">
        <v>1376</v>
      </c>
      <c r="C2123" s="1" t="s">
        <v>1377</v>
      </c>
      <c r="D2123" s="1" t="s">
        <v>682</v>
      </c>
      <c r="E2123" s="1" t="s">
        <v>682</v>
      </c>
      <c r="G2123" s="1" t="s">
        <v>1378</v>
      </c>
      <c r="H2123" s="2" t="str">
        <f>Tabella1[[#This Row],[Denominazione]]&amp;" - "&amp;Tabella1[[#This Row],[Città]]</f>
        <v>B&amp;B VILLA COSETTA - FANO</v>
      </c>
    </row>
    <row r="2124" spans="1:8" x14ac:dyDescent="0.25">
      <c r="A2124" s="1" t="s">
        <v>29</v>
      </c>
      <c r="B2124" s="1" t="s">
        <v>16952</v>
      </c>
      <c r="C2124" s="1" t="s">
        <v>16953</v>
      </c>
      <c r="D2124" s="1" t="s">
        <v>15819</v>
      </c>
      <c r="G2124" s="1" t="s">
        <v>16954</v>
      </c>
      <c r="H2124" s="2" t="str">
        <f>Tabella1[[#This Row],[Denominazione]]&amp;" - "&amp;Tabella1[[#This Row],[Città]]</f>
        <v>B&amp;B VILLA CRI CRI - SAN BENEDETTO DEL TRONTO</v>
      </c>
    </row>
    <row r="2125" spans="1:8" x14ac:dyDescent="0.25">
      <c r="A2125" s="1" t="s">
        <v>29</v>
      </c>
      <c r="B2125" s="1" t="s">
        <v>18741</v>
      </c>
      <c r="C2125" s="1" t="s">
        <v>18742</v>
      </c>
      <c r="D2125" s="1" t="s">
        <v>18702</v>
      </c>
      <c r="H2125" s="2" t="str">
        <f>Tabella1[[#This Row],[Denominazione]]&amp;" - "&amp;Tabella1[[#This Row],[Città]]</f>
        <v>B&amp;B VILLA CRISTINA - MONTELPARO</v>
      </c>
    </row>
    <row r="2126" spans="1:8" x14ac:dyDescent="0.25">
      <c r="A2126" s="1" t="s">
        <v>29</v>
      </c>
      <c r="B2126" s="1" t="s">
        <v>13992</v>
      </c>
      <c r="C2126" s="1" t="s">
        <v>13993</v>
      </c>
      <c r="D2126" s="1" t="s">
        <v>13946</v>
      </c>
      <c r="E2126" s="1" t="s">
        <v>13946</v>
      </c>
      <c r="F2126" s="1" t="s">
        <v>13994</v>
      </c>
      <c r="G2126" s="1" t="s">
        <v>13995</v>
      </c>
      <c r="H2126" s="2" t="str">
        <f>Tabella1[[#This Row],[Denominazione]]&amp;" - "&amp;Tabella1[[#This Row],[Città]]</f>
        <v>B&amp;B VILLA D'ARIA - TOLENTINO</v>
      </c>
    </row>
    <row r="2127" spans="1:8" x14ac:dyDescent="0.25">
      <c r="A2127" s="1" t="s">
        <v>29</v>
      </c>
      <c r="B2127" s="1" t="s">
        <v>1288</v>
      </c>
      <c r="C2127" s="1" t="s">
        <v>1289</v>
      </c>
      <c r="D2127" s="1" t="s">
        <v>682</v>
      </c>
      <c r="E2127" s="1" t="s">
        <v>1290</v>
      </c>
      <c r="F2127" s="1" t="s">
        <v>1291</v>
      </c>
      <c r="G2127" s="1" t="s">
        <v>1292</v>
      </c>
      <c r="H2127" s="2" t="str">
        <f>Tabella1[[#This Row],[Denominazione]]&amp;" - "&amp;Tabella1[[#This Row],[Città]]</f>
        <v>B&amp;B VILLA DEA - FANO</v>
      </c>
    </row>
    <row r="2128" spans="1:8" x14ac:dyDescent="0.25">
      <c r="A2128" s="1" t="s">
        <v>29</v>
      </c>
      <c r="B2128" s="1" t="s">
        <v>2484</v>
      </c>
      <c r="C2128" s="1" t="s">
        <v>2485</v>
      </c>
      <c r="D2128" s="1" t="s">
        <v>2425</v>
      </c>
      <c r="E2128" s="1" t="s">
        <v>2425</v>
      </c>
      <c r="F2128" s="1" t="s">
        <v>2486</v>
      </c>
      <c r="G2128" s="1" t="s">
        <v>2487</v>
      </c>
      <c r="H2128" s="2" t="str">
        <f>Tabella1[[#This Row],[Denominazione]]&amp;" - "&amp;Tabella1[[#This Row],[Città]]</f>
        <v>B&amp;B VILLA DEI FIORI - GRADARA</v>
      </c>
    </row>
    <row r="2129" spans="1:8" x14ac:dyDescent="0.25">
      <c r="A2129" s="1" t="s">
        <v>29</v>
      </c>
      <c r="B2129" s="1" t="s">
        <v>16038</v>
      </c>
      <c r="C2129" s="1" t="s">
        <v>16039</v>
      </c>
      <c r="D2129" s="1" t="s">
        <v>16040</v>
      </c>
      <c r="E2129" s="1" t="s">
        <v>16040</v>
      </c>
      <c r="F2129" s="1" t="s">
        <v>16041</v>
      </c>
      <c r="G2129" s="1" t="s">
        <v>16042</v>
      </c>
      <c r="H2129" s="2" t="str">
        <f>Tabella1[[#This Row],[Denominazione]]&amp;" - "&amp;Tabella1[[#This Row],[Città]]</f>
        <v>B&amp;B VILLA DEI PRIORI - MONSAMPOLO DEL TRONTO</v>
      </c>
    </row>
    <row r="2130" spans="1:8" x14ac:dyDescent="0.25">
      <c r="A2130" s="1" t="s">
        <v>29</v>
      </c>
      <c r="B2130" s="1" t="s">
        <v>15224</v>
      </c>
      <c r="C2130" s="1" t="s">
        <v>15225</v>
      </c>
      <c r="D2130" s="1" t="s">
        <v>15226</v>
      </c>
      <c r="E2130" s="1" t="s">
        <v>15226</v>
      </c>
      <c r="F2130" s="1" t="s">
        <v>15227</v>
      </c>
      <c r="G2130" s="1" t="s">
        <v>15228</v>
      </c>
      <c r="H2130" s="2" t="str">
        <f>Tabella1[[#This Row],[Denominazione]]&amp;" - "&amp;Tabella1[[#This Row],[Città]]</f>
        <v>B&amp;B VILLA DEI VIGNALI - COLLI DEL TRONTO</v>
      </c>
    </row>
    <row r="2131" spans="1:8" x14ac:dyDescent="0.25">
      <c r="A2131" s="1" t="s">
        <v>29</v>
      </c>
      <c r="B2131" s="1" t="s">
        <v>16085</v>
      </c>
      <c r="C2131" s="1" t="s">
        <v>16086</v>
      </c>
      <c r="D2131" s="1" t="s">
        <v>16083</v>
      </c>
      <c r="E2131" s="1" t="s">
        <v>16087</v>
      </c>
      <c r="F2131" s="1" t="s">
        <v>16088</v>
      </c>
      <c r="G2131" s="1" t="s">
        <v>16089</v>
      </c>
      <c r="H2131" s="2" t="str">
        <f>Tabella1[[#This Row],[Denominazione]]&amp;" - "&amp;Tabella1[[#This Row],[Città]]</f>
        <v>B&amp;B VILLA DELLA VALLE di BONNIER ANUSCKA PETRONELLA - MONTALTO DELLE MARCHE</v>
      </c>
    </row>
    <row r="2132" spans="1:8" x14ac:dyDescent="0.25">
      <c r="A2132" s="1" t="s">
        <v>29</v>
      </c>
      <c r="B2132" s="1" t="s">
        <v>10558</v>
      </c>
      <c r="C2132" s="1" t="s">
        <v>10559</v>
      </c>
      <c r="D2132" s="1" t="s">
        <v>10519</v>
      </c>
      <c r="E2132" s="1" t="s">
        <v>3174</v>
      </c>
      <c r="F2132" s="1" t="s">
        <v>10560</v>
      </c>
      <c r="G2132" s="1" t="s">
        <v>10561</v>
      </c>
      <c r="H2132" s="2" t="str">
        <f>Tabella1[[#This Row],[Denominazione]]&amp;" - "&amp;Tabella1[[#This Row],[Città]]</f>
        <v>B&amp;B VILLA DELLE PRINCIPESSE - TRECASTELLI</v>
      </c>
    </row>
    <row r="2133" spans="1:8" x14ac:dyDescent="0.25">
      <c r="A2133" s="1" t="s">
        <v>29</v>
      </c>
      <c r="B2133" s="1" t="s">
        <v>4279</v>
      </c>
      <c r="C2133" s="1" t="s">
        <v>4280</v>
      </c>
      <c r="D2133" s="1" t="s">
        <v>4272</v>
      </c>
      <c r="F2133" s="1" t="s">
        <v>4281</v>
      </c>
      <c r="G2133" s="1" t="s">
        <v>4282</v>
      </c>
      <c r="H2133" s="2" t="str">
        <f>Tabella1[[#This Row],[Denominazione]]&amp;" - "&amp;Tabella1[[#This Row],[Città]]</f>
        <v>B&amp;B VILLA DOLCE VITA - SAN COSTANZO</v>
      </c>
    </row>
    <row r="2134" spans="1:8" x14ac:dyDescent="0.25">
      <c r="A2134" s="1" t="s">
        <v>29</v>
      </c>
      <c r="B2134" s="1" t="s">
        <v>18769</v>
      </c>
      <c r="C2134" s="1" t="s">
        <v>18770</v>
      </c>
      <c r="D2134" s="1" t="s">
        <v>18757</v>
      </c>
      <c r="E2134" s="1" t="s">
        <v>18757</v>
      </c>
      <c r="F2134" s="1" t="s">
        <v>18771</v>
      </c>
      <c r="G2134" s="1" t="s">
        <v>18772</v>
      </c>
      <c r="H2134" s="2" t="str">
        <f>Tabella1[[#This Row],[Denominazione]]&amp;" - "&amp;Tabella1[[#This Row],[Città]]</f>
        <v>B&amp;B VILLA ELISABETH - MONTE RINALDO</v>
      </c>
    </row>
    <row r="2135" spans="1:8" x14ac:dyDescent="0.25">
      <c r="A2135" s="1" t="s">
        <v>29</v>
      </c>
      <c r="B2135" s="1" t="s">
        <v>16721</v>
      </c>
      <c r="C2135" s="1" t="s">
        <v>16722</v>
      </c>
      <c r="D2135" s="1" t="s">
        <v>16714</v>
      </c>
      <c r="E2135" s="1" t="s">
        <v>16714</v>
      </c>
      <c r="F2135" s="1" t="s">
        <v>16723</v>
      </c>
      <c r="G2135" s="1" t="s">
        <v>16724</v>
      </c>
      <c r="H2135" s="2" t="str">
        <f>Tabella1[[#This Row],[Denominazione]]&amp;" - "&amp;Tabella1[[#This Row],[Città]]</f>
        <v>B&amp;B VILLA FILETTA - ROCCAFLUVIONE</v>
      </c>
    </row>
    <row r="2136" spans="1:8" x14ac:dyDescent="0.25">
      <c r="A2136" s="1" t="s">
        <v>29</v>
      </c>
      <c r="B2136" s="1" t="s">
        <v>3433</v>
      </c>
      <c r="C2136" s="1" t="s">
        <v>3434</v>
      </c>
      <c r="D2136" s="1" t="s">
        <v>2386</v>
      </c>
      <c r="G2136" s="1" t="s">
        <v>3435</v>
      </c>
      <c r="H2136" s="2" t="str">
        <f>Tabella1[[#This Row],[Denominazione]]&amp;" - "&amp;Tabella1[[#This Row],[Città]]</f>
        <v>B&amp;B VILLA FIORE - PESARO</v>
      </c>
    </row>
    <row r="2137" spans="1:8" x14ac:dyDescent="0.25">
      <c r="A2137" s="1" t="s">
        <v>29</v>
      </c>
      <c r="B2137" s="1" t="s">
        <v>5910</v>
      </c>
      <c r="C2137" s="1" t="s">
        <v>5911</v>
      </c>
      <c r="D2137" s="1" t="s">
        <v>1864</v>
      </c>
      <c r="E2137" s="1" t="s">
        <v>1864</v>
      </c>
      <c r="F2137" s="1" t="s">
        <v>5912</v>
      </c>
      <c r="G2137" s="1" t="s">
        <v>5913</v>
      </c>
      <c r="H2137" s="2" t="str">
        <f>Tabella1[[#This Row],[Denominazione]]&amp;" - "&amp;Tabella1[[#This Row],[Città]]</f>
        <v>B&amp;B VILLA FIORECONERO - ANCONA</v>
      </c>
    </row>
    <row r="2138" spans="1:8" x14ac:dyDescent="0.25">
      <c r="A2138" s="1" t="s">
        <v>29</v>
      </c>
      <c r="B2138" s="1" t="s">
        <v>14336</v>
      </c>
      <c r="C2138" s="1" t="s">
        <v>14337</v>
      </c>
      <c r="D2138" s="1" t="s">
        <v>14334</v>
      </c>
      <c r="E2138" s="1" t="s">
        <v>14338</v>
      </c>
      <c r="H2138" s="2" t="str">
        <f>Tabella1[[#This Row],[Denominazione]]&amp;" - "&amp;Tabella1[[#This Row],[Città]]</f>
        <v>B&amp;B VILLA FIORITA - ACQUASANTA TERME</v>
      </c>
    </row>
    <row r="2139" spans="1:8" x14ac:dyDescent="0.25">
      <c r="A2139" s="1" t="s">
        <v>29</v>
      </c>
      <c r="B2139" s="1" t="s">
        <v>12640</v>
      </c>
      <c r="C2139" s="1" t="s">
        <v>12641</v>
      </c>
      <c r="D2139" s="1" t="s">
        <v>12635</v>
      </c>
      <c r="E2139" s="1" t="s">
        <v>12635</v>
      </c>
      <c r="H2139" s="2" t="str">
        <f>Tabella1[[#This Row],[Denominazione]]&amp;" - "&amp;Tabella1[[#This Row],[Città]]</f>
        <v>B&amp;B VILLA FIORITA di SILLA-LINA - PENNA SAN GIOVANNI</v>
      </c>
    </row>
    <row r="2140" spans="1:8" x14ac:dyDescent="0.25">
      <c r="A2140" s="1" t="s">
        <v>29</v>
      </c>
      <c r="B2140" s="1" t="s">
        <v>19528</v>
      </c>
      <c r="C2140" s="1" t="s">
        <v>19529</v>
      </c>
      <c r="D2140" s="1" t="s">
        <v>19500</v>
      </c>
      <c r="E2140" s="1" t="s">
        <v>19500</v>
      </c>
      <c r="G2140" s="1" t="s">
        <v>19530</v>
      </c>
      <c r="H2140" s="2" t="str">
        <f>Tabella1[[#This Row],[Denominazione]]&amp;" - "&amp;Tabella1[[#This Row],[Città]]</f>
        <v>B&amp;B VILLA FONTANA - SANTA VITTORIA IN MATENANO</v>
      </c>
    </row>
    <row r="2141" spans="1:8" x14ac:dyDescent="0.25">
      <c r="A2141" s="1" t="s">
        <v>29</v>
      </c>
      <c r="B2141" s="1" t="s">
        <v>14601</v>
      </c>
      <c r="C2141" s="1" t="s">
        <v>14602</v>
      </c>
      <c r="D2141" s="1" t="s">
        <v>14576</v>
      </c>
      <c r="E2141" s="1" t="s">
        <v>14576</v>
      </c>
      <c r="F2141" s="1" t="s">
        <v>14603</v>
      </c>
      <c r="G2141" s="1" t="s">
        <v>14604</v>
      </c>
      <c r="H2141" s="2" t="str">
        <f>Tabella1[[#This Row],[Denominazione]]&amp;" - "&amp;Tabella1[[#This Row],[Città]]</f>
        <v>B&amp;B VILLA FORTEZZA - ASCOLI PICENO</v>
      </c>
    </row>
    <row r="2142" spans="1:8" x14ac:dyDescent="0.25">
      <c r="A2142" s="1" t="s">
        <v>29</v>
      </c>
      <c r="B2142" s="1" t="s">
        <v>4968</v>
      </c>
      <c r="C2142" s="1" t="s">
        <v>4969</v>
      </c>
      <c r="D2142" s="1" t="s">
        <v>9</v>
      </c>
      <c r="E2142" s="1" t="s">
        <v>9</v>
      </c>
      <c r="H2142" s="2" t="str">
        <f>Tabella1[[#This Row],[Denominazione]]&amp;" - "&amp;Tabella1[[#This Row],[Città]]</f>
        <v>B&amp;B VILLA GERHARDT - URBINO</v>
      </c>
    </row>
    <row r="2143" spans="1:8" x14ac:dyDescent="0.25">
      <c r="A2143" s="1" t="s">
        <v>29</v>
      </c>
      <c r="B2143" s="1" t="s">
        <v>10475</v>
      </c>
      <c r="C2143" s="1" t="s">
        <v>10476</v>
      </c>
      <c r="D2143" s="1" t="s">
        <v>10206</v>
      </c>
      <c r="F2143" s="1" t="s">
        <v>10477</v>
      </c>
      <c r="G2143" s="1" t="s">
        <v>10478</v>
      </c>
      <c r="H2143" s="2" t="str">
        <f>Tabella1[[#This Row],[Denominazione]]&amp;" - "&amp;Tabella1[[#This Row],[Città]]</f>
        <v>B&amp;B VILLA GHIRARDELLI - SIROLO</v>
      </c>
    </row>
    <row r="2144" spans="1:8" x14ac:dyDescent="0.25">
      <c r="A2144" s="1" t="s">
        <v>29</v>
      </c>
      <c r="B2144" s="1" t="s">
        <v>18656</v>
      </c>
      <c r="C2144" s="1" t="s">
        <v>18657</v>
      </c>
      <c r="D2144" s="1" t="s">
        <v>18653</v>
      </c>
      <c r="E2144" s="1" t="s">
        <v>18653</v>
      </c>
      <c r="G2144" s="1" t="s">
        <v>18658</v>
      </c>
      <c r="H2144" s="2" t="str">
        <f>Tabella1[[#This Row],[Denominazione]]&amp;" - "&amp;Tabella1[[#This Row],[Città]]</f>
        <v>B&amp;B VILLA GIOIA - MONTEGRANARO</v>
      </c>
    </row>
    <row r="2145" spans="1:8" x14ac:dyDescent="0.25">
      <c r="A2145" s="1" t="s">
        <v>29</v>
      </c>
      <c r="B2145" s="1" t="s">
        <v>9373</v>
      </c>
      <c r="C2145" s="1" t="s">
        <v>9374</v>
      </c>
      <c r="D2145" s="1" t="s">
        <v>8949</v>
      </c>
      <c r="G2145" s="1" t="s">
        <v>9375</v>
      </c>
      <c r="H2145" s="2" t="str">
        <f>Tabella1[[#This Row],[Denominazione]]&amp;" - "&amp;Tabella1[[#This Row],[Città]]</f>
        <v>B&amp;B VILLA GIULIA - SENIGALLIA</v>
      </c>
    </row>
    <row r="2146" spans="1:8" x14ac:dyDescent="0.25">
      <c r="A2146" s="1" t="s">
        <v>29</v>
      </c>
      <c r="B2146" s="1" t="s">
        <v>12367</v>
      </c>
      <c r="C2146" s="1" t="s">
        <v>12368</v>
      </c>
      <c r="D2146" s="1" t="s">
        <v>12342</v>
      </c>
      <c r="E2146" s="1" t="s">
        <v>12369</v>
      </c>
      <c r="G2146" s="1" t="s">
        <v>12370</v>
      </c>
      <c r="H2146" s="2" t="str">
        <f>Tabella1[[#This Row],[Denominazione]]&amp;" - "&amp;Tabella1[[#This Row],[Città]]</f>
        <v>B&amp;B VILLA GIULIA MATTEI - MONTECASSIANO</v>
      </c>
    </row>
    <row r="2147" spans="1:8" x14ac:dyDescent="0.25">
      <c r="A2147" s="1" t="s">
        <v>29</v>
      </c>
      <c r="B2147" s="1" t="s">
        <v>16488</v>
      </c>
      <c r="C2147" s="1" t="s">
        <v>16489</v>
      </c>
      <c r="D2147" s="1" t="s">
        <v>16440</v>
      </c>
      <c r="E2147" s="1" t="s">
        <v>16490</v>
      </c>
      <c r="G2147" s="1" t="s">
        <v>16491</v>
      </c>
      <c r="H2147" s="2" t="str">
        <f>Tabella1[[#This Row],[Denominazione]]&amp;" - "&amp;Tabella1[[#This Row],[Città]]</f>
        <v>B&amp;B VILLA HARVEY - OFFIDA</v>
      </c>
    </row>
    <row r="2148" spans="1:8" x14ac:dyDescent="0.25">
      <c r="A2148" s="1" t="s">
        <v>29</v>
      </c>
      <c r="B2148" s="1" t="s">
        <v>6443</v>
      </c>
      <c r="C2148" s="1" t="s">
        <v>6444</v>
      </c>
      <c r="D2148" s="1" t="s">
        <v>6371</v>
      </c>
      <c r="G2148" s="1" t="s">
        <v>6445</v>
      </c>
      <c r="H2148" s="2" t="str">
        <f>Tabella1[[#This Row],[Denominazione]]&amp;" - "&amp;Tabella1[[#This Row],[Città]]</f>
        <v>B&amp;B VILLA INCANTO - CASTELFIDARDO</v>
      </c>
    </row>
    <row r="2149" spans="1:8" x14ac:dyDescent="0.25">
      <c r="A2149" s="1" t="s">
        <v>29</v>
      </c>
      <c r="B2149" s="1" t="s">
        <v>1545</v>
      </c>
      <c r="C2149" s="1" t="s">
        <v>1546</v>
      </c>
      <c r="D2149" s="1" t="s">
        <v>682</v>
      </c>
      <c r="G2149" s="1" t="s">
        <v>1547</v>
      </c>
      <c r="H2149" s="2" t="str">
        <f>Tabella1[[#This Row],[Denominazione]]&amp;" - "&amp;Tabella1[[#This Row],[Città]]</f>
        <v>B&amp;B VILLA LA PALEOTTA - FANO</v>
      </c>
    </row>
    <row r="2150" spans="1:8" x14ac:dyDescent="0.25">
      <c r="A2150" s="1" t="s">
        <v>29</v>
      </c>
      <c r="B2150" s="1" t="s">
        <v>1569</v>
      </c>
      <c r="C2150" s="1" t="s">
        <v>1570</v>
      </c>
      <c r="D2150" s="1" t="s">
        <v>682</v>
      </c>
      <c r="F2150" s="1" t="s">
        <v>1571</v>
      </c>
      <c r="G2150" s="1" t="s">
        <v>1572</v>
      </c>
      <c r="H2150" s="2" t="str">
        <f>Tabella1[[#This Row],[Denominazione]]&amp;" - "&amp;Tabella1[[#This Row],[Città]]</f>
        <v>B&amp;B VILLA LIBERTY - FANO</v>
      </c>
    </row>
    <row r="2151" spans="1:8" x14ac:dyDescent="0.25">
      <c r="A2151" s="1" t="s">
        <v>29</v>
      </c>
      <c r="B2151" s="1" t="s">
        <v>1569</v>
      </c>
      <c r="C2151" s="1" t="s">
        <v>5004</v>
      </c>
      <c r="D2151" s="1" t="s">
        <v>9</v>
      </c>
      <c r="E2151" s="1" t="s">
        <v>9</v>
      </c>
      <c r="G2151" s="1" t="s">
        <v>5005</v>
      </c>
      <c r="H2151" s="2" t="str">
        <f>Tabella1[[#This Row],[Denominazione]]&amp;" - "&amp;Tabella1[[#This Row],[Città]]</f>
        <v>B&amp;B VILLA LIBERTY - URBINO</v>
      </c>
    </row>
    <row r="2152" spans="1:8" x14ac:dyDescent="0.25">
      <c r="A2152" s="1" t="s">
        <v>29</v>
      </c>
      <c r="B2152" s="1" t="s">
        <v>12084</v>
      </c>
      <c r="D2152" s="1" t="s">
        <v>12050</v>
      </c>
      <c r="E2152" s="1" t="s">
        <v>12085</v>
      </c>
      <c r="G2152" s="1" t="s">
        <v>12086</v>
      </c>
      <c r="H2152" s="2" t="str">
        <f>Tabella1[[#This Row],[Denominazione]]&amp;" - "&amp;Tabella1[[#This Row],[Città]]</f>
        <v>B&amp;B VILLA LUCIA - MACERATA</v>
      </c>
    </row>
    <row r="2153" spans="1:8" x14ac:dyDescent="0.25">
      <c r="A2153" s="1" t="s">
        <v>29</v>
      </c>
      <c r="B2153" s="1" t="s">
        <v>15201</v>
      </c>
      <c r="C2153" s="1" t="s">
        <v>15202</v>
      </c>
      <c r="D2153" s="1" t="s">
        <v>15197</v>
      </c>
      <c r="E2153" s="1" t="s">
        <v>15197</v>
      </c>
      <c r="H2153" s="2" t="str">
        <f>Tabella1[[#This Row],[Denominazione]]&amp;" - "&amp;Tabella1[[#This Row],[Città]]</f>
        <v>B&amp;B VILLA MAGNOLIA - CASTORANO</v>
      </c>
    </row>
    <row r="2154" spans="1:8" x14ac:dyDescent="0.25">
      <c r="A2154" s="1" t="s">
        <v>29</v>
      </c>
      <c r="B2154" s="1" t="s">
        <v>8414</v>
      </c>
      <c r="C2154" s="1" t="s">
        <v>8415</v>
      </c>
      <c r="D2154" s="1" t="s">
        <v>8411</v>
      </c>
      <c r="G2154" s="1" t="s">
        <v>8416</v>
      </c>
      <c r="H2154" s="2" t="str">
        <f>Tabella1[[#This Row],[Denominazione]]&amp;" - "&amp;Tabella1[[#This Row],[Città]]</f>
        <v>B&amp;B VILLA MALACARI - OFFAGNA</v>
      </c>
    </row>
    <row r="2155" spans="1:8" x14ac:dyDescent="0.25">
      <c r="A2155" s="1" t="s">
        <v>29</v>
      </c>
      <c r="B2155" s="1" t="s">
        <v>18515</v>
      </c>
      <c r="D2155" s="1" t="s">
        <v>18499</v>
      </c>
      <c r="G2155" s="1" t="s">
        <v>18516</v>
      </c>
      <c r="H2155" s="2" t="str">
        <f>Tabella1[[#This Row],[Denominazione]]&amp;" - "&amp;Tabella1[[#This Row],[Città]]</f>
        <v>B&amp;B VILLA MARCONI - MONTEFALCONE APPENNINO</v>
      </c>
    </row>
    <row r="2156" spans="1:8" x14ac:dyDescent="0.25">
      <c r="A2156" s="1" t="s">
        <v>29</v>
      </c>
      <c r="B2156" s="1" t="s">
        <v>14713</v>
      </c>
      <c r="C2156" s="1" t="s">
        <v>14714</v>
      </c>
      <c r="D2156" s="1" t="s">
        <v>14576</v>
      </c>
      <c r="E2156" s="1" t="s">
        <v>14715</v>
      </c>
      <c r="G2156" s="1" t="s">
        <v>14716</v>
      </c>
      <c r="H2156" s="2" t="str">
        <f>Tabella1[[#This Row],[Denominazione]]&amp;" - "&amp;Tabella1[[#This Row],[Città]]</f>
        <v>B&amp;B VILLA MARGHERITA - ASCOLI PICENO</v>
      </c>
    </row>
    <row r="2157" spans="1:8" x14ac:dyDescent="0.25">
      <c r="A2157" s="1" t="s">
        <v>29</v>
      </c>
      <c r="B2157" s="1" t="s">
        <v>8509</v>
      </c>
      <c r="C2157" s="1" t="s">
        <v>8510</v>
      </c>
      <c r="D2157" s="1" t="s">
        <v>8454</v>
      </c>
      <c r="E2157" s="1" t="s">
        <v>8454</v>
      </c>
      <c r="F2157" s="1" t="s">
        <v>8511</v>
      </c>
      <c r="G2157" s="1" t="s">
        <v>8512</v>
      </c>
      <c r="H2157" s="2" t="str">
        <f>Tabella1[[#This Row],[Denominazione]]&amp;" - "&amp;Tabella1[[#This Row],[Città]]</f>
        <v>B&amp;B VILLA MARIA - OSIMO</v>
      </c>
    </row>
    <row r="2158" spans="1:8" x14ac:dyDescent="0.25">
      <c r="A2158" s="1" t="s">
        <v>29</v>
      </c>
      <c r="B2158" s="1" t="s">
        <v>1689</v>
      </c>
      <c r="C2158" s="1" t="s">
        <v>1690</v>
      </c>
      <c r="D2158" s="1" t="s">
        <v>1653</v>
      </c>
      <c r="E2158" s="1" t="s">
        <v>1691</v>
      </c>
      <c r="G2158" s="1" t="s">
        <v>1692</v>
      </c>
      <c r="H2158" s="2" t="str">
        <f>Tabella1[[#This Row],[Denominazione]]&amp;" - "&amp;Tabella1[[#This Row],[Città]]</f>
        <v>B&amp;B VILLA MARTINA - FERMIGNANO</v>
      </c>
    </row>
    <row r="2159" spans="1:8" x14ac:dyDescent="0.25">
      <c r="A2159" s="1" t="s">
        <v>29</v>
      </c>
      <c r="B2159" s="1" t="s">
        <v>12097</v>
      </c>
      <c r="C2159" s="1" t="s">
        <v>12098</v>
      </c>
      <c r="D2159" s="1" t="s">
        <v>12050</v>
      </c>
      <c r="E2159" s="1" t="s">
        <v>12050</v>
      </c>
      <c r="G2159" s="1" t="s">
        <v>12099</v>
      </c>
      <c r="H2159" s="2" t="str">
        <f>Tabella1[[#This Row],[Denominazione]]&amp;" - "&amp;Tabella1[[#This Row],[Città]]</f>
        <v>B&amp;B VILLA MARTINI - MACERATA</v>
      </c>
    </row>
    <row r="2160" spans="1:8" x14ac:dyDescent="0.25">
      <c r="A2160" s="1" t="s">
        <v>29</v>
      </c>
      <c r="B2160" s="1" t="s">
        <v>15021</v>
      </c>
      <c r="C2160" s="1" t="s">
        <v>15022</v>
      </c>
      <c r="D2160" s="1" t="s">
        <v>14576</v>
      </c>
      <c r="G2160" s="1" t="s">
        <v>15023</v>
      </c>
      <c r="H2160" s="2" t="str">
        <f>Tabella1[[#This Row],[Denominazione]]&amp;" - "&amp;Tabella1[[#This Row],[Città]]</f>
        <v>B&amp;B VILLA MIMOSA - ASCOLI PICENO</v>
      </c>
    </row>
    <row r="2161" spans="1:8" x14ac:dyDescent="0.25">
      <c r="A2161" s="1" t="s">
        <v>29</v>
      </c>
      <c r="B2161" s="1" t="s">
        <v>7183</v>
      </c>
      <c r="C2161" s="1" t="s">
        <v>7184</v>
      </c>
      <c r="D2161" s="1" t="s">
        <v>7161</v>
      </c>
      <c r="E2161" s="1" t="s">
        <v>7185</v>
      </c>
      <c r="F2161" s="1" t="s">
        <v>7186</v>
      </c>
      <c r="G2161" s="1" t="s">
        <v>7187</v>
      </c>
      <c r="H2161" s="2" t="str">
        <f>Tabella1[[#This Row],[Denominazione]]&amp;" - "&amp;Tabella1[[#This Row],[Città]]</f>
        <v>B&amp;B VILLA NICOLE - FILOTTRANO</v>
      </c>
    </row>
    <row r="2162" spans="1:8" x14ac:dyDescent="0.25">
      <c r="A2162" s="1" t="s">
        <v>29</v>
      </c>
      <c r="B2162" s="1" t="s">
        <v>5343</v>
      </c>
      <c r="C2162" s="1" t="s">
        <v>5344</v>
      </c>
      <c r="D2162" s="1" t="s">
        <v>9</v>
      </c>
      <c r="E2162" s="1" t="s">
        <v>9</v>
      </c>
      <c r="F2162" s="1" t="s">
        <v>5345</v>
      </c>
      <c r="G2162" s="1" t="s">
        <v>5346</v>
      </c>
      <c r="H2162" s="2" t="str">
        <f>Tabella1[[#This Row],[Denominazione]]&amp;" - "&amp;Tabella1[[#This Row],[Città]]</f>
        <v>B&amp;B VILLA PARADISO - URBINO</v>
      </c>
    </row>
    <row r="2163" spans="1:8" x14ac:dyDescent="0.25">
      <c r="A2163" s="1" t="s">
        <v>29</v>
      </c>
      <c r="B2163" s="1" t="s">
        <v>16627</v>
      </c>
      <c r="C2163" s="1" t="s">
        <v>16628</v>
      </c>
      <c r="D2163" s="1" t="s">
        <v>16585</v>
      </c>
      <c r="E2163" s="1" t="s">
        <v>16629</v>
      </c>
      <c r="F2163" s="1" t="s">
        <v>16630</v>
      </c>
      <c r="G2163" s="1" t="s">
        <v>16631</v>
      </c>
      <c r="H2163" s="2" t="str">
        <f>Tabella1[[#This Row],[Denominazione]]&amp;" - "&amp;Tabella1[[#This Row],[Città]]</f>
        <v>B&amp;B VILLA PATRIZIA - RIPATRANSONE</v>
      </c>
    </row>
    <row r="2164" spans="1:8" x14ac:dyDescent="0.25">
      <c r="A2164" s="1" t="s">
        <v>29</v>
      </c>
      <c r="B2164" s="1" t="s">
        <v>11484</v>
      </c>
      <c r="C2164" s="1" t="s">
        <v>11485</v>
      </c>
      <c r="D2164" s="1" t="s">
        <v>11244</v>
      </c>
      <c r="E2164" s="1" t="s">
        <v>11486</v>
      </c>
      <c r="F2164" s="1" t="s">
        <v>11487</v>
      </c>
      <c r="G2164" s="1" t="s">
        <v>11488</v>
      </c>
      <c r="H2164" s="2" t="str">
        <f>Tabella1[[#This Row],[Denominazione]]&amp;" - "&amp;Tabella1[[#This Row],[Città]]</f>
        <v>B&amp;B VILLA PINI - CIVITANOVA MARCHE</v>
      </c>
    </row>
    <row r="2165" spans="1:8" x14ac:dyDescent="0.25">
      <c r="A2165" s="1" t="s">
        <v>29</v>
      </c>
      <c r="B2165" s="1" t="s">
        <v>6432</v>
      </c>
      <c r="C2165" s="1" t="s">
        <v>6433</v>
      </c>
      <c r="D2165" s="1" t="s">
        <v>6371</v>
      </c>
      <c r="E2165" s="1" t="s">
        <v>6434</v>
      </c>
      <c r="F2165" s="1" t="s">
        <v>6435</v>
      </c>
      <c r="G2165" s="1" t="s">
        <v>6436</v>
      </c>
      <c r="H2165" s="2" t="str">
        <f>Tabella1[[#This Row],[Denominazione]]&amp;" - "&amp;Tabella1[[#This Row],[Città]]</f>
        <v>B&amp;B VILLA POTICCIO - CASTELFIDARDO</v>
      </c>
    </row>
    <row r="2166" spans="1:8" x14ac:dyDescent="0.25">
      <c r="A2166" s="1" t="s">
        <v>29</v>
      </c>
      <c r="B2166" s="1" t="s">
        <v>11496</v>
      </c>
      <c r="C2166" s="1" t="s">
        <v>11497</v>
      </c>
      <c r="D2166" s="1" t="s">
        <v>11244</v>
      </c>
      <c r="G2166" s="1" t="s">
        <v>11498</v>
      </c>
      <c r="H2166" s="2" t="str">
        <f>Tabella1[[#This Row],[Denominazione]]&amp;" - "&amp;Tabella1[[#This Row],[Città]]</f>
        <v>B&amp;B VILLA REGINA - CIVITANOVA MARCHE</v>
      </c>
    </row>
    <row r="2167" spans="1:8" x14ac:dyDescent="0.25">
      <c r="A2167" s="1" t="s">
        <v>29</v>
      </c>
      <c r="B2167" s="1" t="s">
        <v>18031</v>
      </c>
      <c r="D2167" s="1" t="s">
        <v>17932</v>
      </c>
      <c r="E2167" s="1" t="s">
        <v>17932</v>
      </c>
      <c r="F2167" s="1" t="s">
        <v>18032</v>
      </c>
      <c r="G2167" s="1" t="s">
        <v>18033</v>
      </c>
      <c r="H2167" s="2" t="str">
        <f>Tabella1[[#This Row],[Denominazione]]&amp;" - "&amp;Tabella1[[#This Row],[Città]]</f>
        <v>B&amp;B VILLA RONDANELLA - FERMO</v>
      </c>
    </row>
    <row r="2168" spans="1:8" x14ac:dyDescent="0.25">
      <c r="A2168" s="1" t="s">
        <v>29</v>
      </c>
      <c r="B2168" s="1" t="s">
        <v>19400</v>
      </c>
      <c r="C2168" s="1" t="s">
        <v>19401</v>
      </c>
      <c r="D2168" s="1" t="s">
        <v>19283</v>
      </c>
      <c r="E2168" s="1" t="s">
        <v>19363</v>
      </c>
      <c r="G2168" s="1" t="s">
        <v>19402</v>
      </c>
      <c r="H2168" s="2" t="str">
        <f>Tabella1[[#This Row],[Denominazione]]&amp;" - "&amp;Tabella1[[#This Row],[Città]]</f>
        <v>B&amp;B VILLA ROSA - PORTO SANT'ELPIDIO</v>
      </c>
    </row>
    <row r="2169" spans="1:8" x14ac:dyDescent="0.25">
      <c r="A2169" s="1" t="s">
        <v>29</v>
      </c>
      <c r="B2169" s="1" t="s">
        <v>16270</v>
      </c>
      <c r="C2169" s="1" t="s">
        <v>16271</v>
      </c>
      <c r="D2169" s="1" t="s">
        <v>16202</v>
      </c>
      <c r="F2169" s="1" t="s">
        <v>16272</v>
      </c>
      <c r="G2169" s="1" t="s">
        <v>16273</v>
      </c>
      <c r="H2169" s="2" t="str">
        <f>Tabella1[[#This Row],[Denominazione]]&amp;" - "&amp;Tabella1[[#This Row],[Città]]</f>
        <v>B&amp;B VILLA ROSA BIANCA - MONTEFIORE DELL'ASO</v>
      </c>
    </row>
    <row r="2170" spans="1:8" x14ac:dyDescent="0.25">
      <c r="A2170" s="1" t="s">
        <v>29</v>
      </c>
      <c r="B2170" s="1" t="s">
        <v>969</v>
      </c>
      <c r="C2170" s="1" t="s">
        <v>970</v>
      </c>
      <c r="D2170" s="1" t="s">
        <v>682</v>
      </c>
      <c r="E2170" s="1" t="s">
        <v>682</v>
      </c>
      <c r="F2170" s="1" t="s">
        <v>971</v>
      </c>
      <c r="G2170" s="1" t="s">
        <v>972</v>
      </c>
      <c r="H2170" s="2" t="str">
        <f>Tabella1[[#This Row],[Denominazione]]&amp;" - "&amp;Tabella1[[#This Row],[Città]]</f>
        <v>B&amp;B VILLA ROSABELLA - FANO</v>
      </c>
    </row>
    <row r="2171" spans="1:8" x14ac:dyDescent="0.25">
      <c r="A2171" s="1" t="s">
        <v>29</v>
      </c>
      <c r="B2171" s="1" t="s">
        <v>3446</v>
      </c>
      <c r="C2171" s="1" t="s">
        <v>3447</v>
      </c>
      <c r="D2171" s="1" t="s">
        <v>2386</v>
      </c>
      <c r="E2171" s="1" t="s">
        <v>2386</v>
      </c>
      <c r="G2171" s="1" t="s">
        <v>3448</v>
      </c>
      <c r="H2171" s="2" t="str">
        <f>Tabella1[[#This Row],[Denominazione]]&amp;" - "&amp;Tabella1[[#This Row],[Città]]</f>
        <v>B&amp;B VILLA SAN NICOLA - PESARO</v>
      </c>
    </row>
    <row r="2172" spans="1:8" x14ac:dyDescent="0.25">
      <c r="A2172" s="1" t="s">
        <v>29</v>
      </c>
      <c r="B2172" s="1" t="s">
        <v>12556</v>
      </c>
      <c r="C2172" s="1" t="s">
        <v>12557</v>
      </c>
      <c r="D2172" s="1" t="s">
        <v>12546</v>
      </c>
      <c r="E2172" s="1" t="s">
        <v>12546</v>
      </c>
      <c r="F2172" s="1" t="s">
        <v>12558</v>
      </c>
      <c r="G2172" s="1" t="s">
        <v>12559</v>
      </c>
      <c r="H2172" s="2" t="str">
        <f>Tabella1[[#This Row],[Denominazione]]&amp;" - "&amp;Tabella1[[#This Row],[Città]]</f>
        <v>B&amp;B VILLA SAN NICOLINO - MORROVALLE</v>
      </c>
    </row>
    <row r="2173" spans="1:8" x14ac:dyDescent="0.25">
      <c r="A2173" s="1" t="s">
        <v>29</v>
      </c>
      <c r="B2173" s="1" t="s">
        <v>13338</v>
      </c>
      <c r="C2173" s="1" t="s">
        <v>13339</v>
      </c>
      <c r="D2173" s="1" t="s">
        <v>13298</v>
      </c>
      <c r="E2173" s="1" t="s">
        <v>13298</v>
      </c>
      <c r="G2173" s="1" t="s">
        <v>13340</v>
      </c>
      <c r="H2173" s="2" t="str">
        <f>Tabella1[[#This Row],[Denominazione]]&amp;" - "&amp;Tabella1[[#This Row],[Città]]</f>
        <v>B&amp;B VILLA SCUDERI - RECANATI</v>
      </c>
    </row>
    <row r="2174" spans="1:8" x14ac:dyDescent="0.25">
      <c r="A2174" s="1" t="s">
        <v>29</v>
      </c>
      <c r="B2174" s="1" t="s">
        <v>14380</v>
      </c>
      <c r="C2174" s="1" t="s">
        <v>14381</v>
      </c>
      <c r="D2174" s="1" t="s">
        <v>14334</v>
      </c>
      <c r="E2174" s="1" t="s">
        <v>14382</v>
      </c>
      <c r="G2174" s="1" t="s">
        <v>14383</v>
      </c>
      <c r="H2174" s="2" t="str">
        <f>Tabella1[[#This Row],[Denominazione]]&amp;" - "&amp;Tabella1[[#This Row],[Città]]</f>
        <v>B&amp;B VILLA SILVIA - ACQUASANTA TERME</v>
      </c>
    </row>
    <row r="2175" spans="1:8" x14ac:dyDescent="0.25">
      <c r="A2175" s="1" t="s">
        <v>29</v>
      </c>
      <c r="B2175" s="1" t="s">
        <v>11258</v>
      </c>
      <c r="C2175" s="1" t="s">
        <v>11259</v>
      </c>
      <c r="D2175" s="1" t="s">
        <v>11244</v>
      </c>
      <c r="F2175" s="1" t="s">
        <v>11260</v>
      </c>
      <c r="G2175" s="1" t="s">
        <v>11261</v>
      </c>
      <c r="H2175" s="2" t="str">
        <f>Tabella1[[#This Row],[Denominazione]]&amp;" - "&amp;Tabella1[[#This Row],[Città]]</f>
        <v>B&amp;B VILLA SILVIO - CIVITANOVA MARCHE</v>
      </c>
    </row>
    <row r="2176" spans="1:8" x14ac:dyDescent="0.25">
      <c r="A2176" s="1" t="s">
        <v>29</v>
      </c>
      <c r="B2176" s="1" t="s">
        <v>18487</v>
      </c>
      <c r="C2176" s="1" t="s">
        <v>18488</v>
      </c>
      <c r="D2176" s="1" t="s">
        <v>18489</v>
      </c>
      <c r="G2176" s="1" t="s">
        <v>18490</v>
      </c>
      <c r="H2176" s="2" t="str">
        <f>Tabella1[[#This Row],[Denominazione]]&amp;" - "&amp;Tabella1[[#This Row],[Città]]</f>
        <v>B&amp;B VILLA SOLE - MONTAPPONE</v>
      </c>
    </row>
    <row r="2177" spans="1:8" x14ac:dyDescent="0.25">
      <c r="A2177" s="1" t="s">
        <v>29</v>
      </c>
      <c r="B2177" s="1" t="s">
        <v>4199</v>
      </c>
      <c r="C2177" s="1" t="s">
        <v>4200</v>
      </c>
      <c r="D2177" s="1" t="s">
        <v>4175</v>
      </c>
      <c r="E2177" s="1" t="s">
        <v>4175</v>
      </c>
      <c r="F2177" s="1" t="s">
        <v>4201</v>
      </c>
      <c r="G2177" s="1" t="s">
        <v>4202</v>
      </c>
      <c r="H2177" s="2" t="str">
        <f>Tabella1[[#This Row],[Denominazione]]&amp;" - "&amp;Tabella1[[#This Row],[Città]]</f>
        <v>B&amp;B VILLA TADDEA - PIOBBICO</v>
      </c>
    </row>
    <row r="2178" spans="1:8" x14ac:dyDescent="0.25">
      <c r="A2178" s="1" t="s">
        <v>29</v>
      </c>
      <c r="B2178" s="1" t="s">
        <v>19200</v>
      </c>
      <c r="C2178" s="1" t="s">
        <v>19201</v>
      </c>
      <c r="D2178" s="1" t="s">
        <v>18082</v>
      </c>
      <c r="E2178" s="1" t="s">
        <v>6520</v>
      </c>
      <c r="G2178" s="1" t="s">
        <v>19202</v>
      </c>
      <c r="H2178" s="2" t="str">
        <f>Tabella1[[#This Row],[Denominazione]]&amp;" - "&amp;Tabella1[[#This Row],[Città]]</f>
        <v>B&amp;B VILLA TETA - PORTO SAN GIORGIO</v>
      </c>
    </row>
    <row r="2179" spans="1:8" x14ac:dyDescent="0.25">
      <c r="A2179" s="1" t="s">
        <v>29</v>
      </c>
      <c r="B2179" s="1" t="s">
        <v>3274</v>
      </c>
      <c r="C2179" s="1" t="s">
        <v>3275</v>
      </c>
      <c r="D2179" s="1" t="s">
        <v>3257</v>
      </c>
      <c r="G2179" s="1" t="s">
        <v>3276</v>
      </c>
      <c r="H2179" s="2" t="str">
        <f>Tabella1[[#This Row],[Denominazione]]&amp;" - "&amp;Tabella1[[#This Row],[Città]]</f>
        <v>B&amp;B VILLA TITTI - ORCIANO DI PESARO</v>
      </c>
    </row>
    <row r="2180" spans="1:8" x14ac:dyDescent="0.25">
      <c r="A2180" s="1" t="s">
        <v>29</v>
      </c>
      <c r="B2180" s="1" t="s">
        <v>19000</v>
      </c>
      <c r="C2180" s="1" t="s">
        <v>19001</v>
      </c>
      <c r="D2180" s="1" t="s">
        <v>18971</v>
      </c>
      <c r="G2180" s="1" t="s">
        <v>19002</v>
      </c>
      <c r="H2180" s="2" t="str">
        <f>Tabella1[[#This Row],[Denominazione]]&amp;" - "&amp;Tabella1[[#This Row],[Città]]</f>
        <v>B&amp;B VILLA TOCCAMONA PETRITOLI - PETRITOLI</v>
      </c>
    </row>
    <row r="2181" spans="1:8" x14ac:dyDescent="0.25">
      <c r="A2181" s="1" t="s">
        <v>29</v>
      </c>
      <c r="B2181" s="1" t="s">
        <v>4029</v>
      </c>
      <c r="C2181" s="1" t="s">
        <v>4030</v>
      </c>
      <c r="D2181" s="1" t="s">
        <v>2386</v>
      </c>
      <c r="F2181" s="1" t="s">
        <v>4031</v>
      </c>
      <c r="G2181" s="1" t="s">
        <v>4032</v>
      </c>
      <c r="H2181" s="2" t="str">
        <f>Tabella1[[#This Row],[Denominazione]]&amp;" - "&amp;Tabella1[[#This Row],[Città]]</f>
        <v>B&amp;B VILLA TORRACCIA - PESARO</v>
      </c>
    </row>
    <row r="2182" spans="1:8" x14ac:dyDescent="0.25">
      <c r="A2182" s="1" t="s">
        <v>29</v>
      </c>
      <c r="B2182" s="1" t="s">
        <v>14124</v>
      </c>
      <c r="C2182" s="1" t="s">
        <v>14125</v>
      </c>
      <c r="D2182" s="1" t="s">
        <v>14065</v>
      </c>
      <c r="F2182" s="1" t="s">
        <v>14126</v>
      </c>
      <c r="G2182" s="1" t="s">
        <v>14127</v>
      </c>
      <c r="H2182" s="2" t="str">
        <f>Tabella1[[#This Row],[Denominazione]]&amp;" - "&amp;Tabella1[[#This Row],[Città]]</f>
        <v>B&amp;B VILLA TRINA - TREIA</v>
      </c>
    </row>
    <row r="2183" spans="1:8" x14ac:dyDescent="0.25">
      <c r="A2183" s="1" t="s">
        <v>29</v>
      </c>
      <c r="B2183" s="1" t="s">
        <v>5043</v>
      </c>
      <c r="C2183" s="1" t="s">
        <v>5044</v>
      </c>
      <c r="D2183" s="1" t="s">
        <v>9</v>
      </c>
      <c r="G2183" s="1" t="s">
        <v>5045</v>
      </c>
      <c r="H2183" s="2" t="str">
        <f>Tabella1[[#This Row],[Denominazione]]&amp;" - "&amp;Tabella1[[#This Row],[Città]]</f>
        <v>B&amp;B VILLA VITTORIA - URBINO</v>
      </c>
    </row>
    <row r="2184" spans="1:8" x14ac:dyDescent="0.25">
      <c r="A2184" s="1" t="s">
        <v>29</v>
      </c>
      <c r="B2184" s="1" t="s">
        <v>4491</v>
      </c>
      <c r="C2184" s="1" t="s">
        <v>4492</v>
      </c>
      <c r="D2184" s="1" t="s">
        <v>4493</v>
      </c>
      <c r="F2184" s="1" t="s">
        <v>4494</v>
      </c>
      <c r="G2184" s="1" t="s">
        <v>4495</v>
      </c>
      <c r="H2184" s="2" t="str">
        <f>Tabella1[[#This Row],[Denominazione]]&amp;" - "&amp;Tabella1[[#This Row],[Città]]</f>
        <v>B&amp;B VILLAGGIO RANCO - SASSOCORVARO</v>
      </c>
    </row>
    <row r="2185" spans="1:8" x14ac:dyDescent="0.25">
      <c r="A2185" s="1" t="s">
        <v>29</v>
      </c>
      <c r="B2185" s="1" t="s">
        <v>4491</v>
      </c>
      <c r="D2185" s="1" t="s">
        <v>4493</v>
      </c>
      <c r="G2185" s="1" t="s">
        <v>4495</v>
      </c>
      <c r="H2185" s="2" t="str">
        <f>Tabella1[[#This Row],[Denominazione]]&amp;" - "&amp;Tabella1[[#This Row],[Città]]</f>
        <v>B&amp;B VILLAGGIO RANCO - SASSOCORVARO</v>
      </c>
    </row>
    <row r="2186" spans="1:8" x14ac:dyDescent="0.25">
      <c r="A2186" s="1" t="s">
        <v>29</v>
      </c>
      <c r="B2186" s="1" t="s">
        <v>1479</v>
      </c>
      <c r="C2186" s="1" t="s">
        <v>1480</v>
      </c>
      <c r="D2186" s="1" t="s">
        <v>682</v>
      </c>
      <c r="F2186" s="1" t="s">
        <v>1481</v>
      </c>
      <c r="G2186" s="1" t="s">
        <v>1482</v>
      </c>
      <c r="H2186" s="2" t="str">
        <f>Tabella1[[#This Row],[Denominazione]]&amp;" - "&amp;Tabella1[[#This Row],[Città]]</f>
        <v>B&amp;B VILLETTA AL MARE - FANO</v>
      </c>
    </row>
    <row r="2187" spans="1:8" x14ac:dyDescent="0.25">
      <c r="A2187" s="1" t="s">
        <v>29</v>
      </c>
      <c r="B2187" s="1" t="s">
        <v>923</v>
      </c>
      <c r="C2187" s="1" t="s">
        <v>924</v>
      </c>
      <c r="D2187" s="1" t="s">
        <v>682</v>
      </c>
      <c r="E2187" s="1" t="s">
        <v>682</v>
      </c>
      <c r="G2187" s="1" t="s">
        <v>925</v>
      </c>
      <c r="H2187" s="2" t="str">
        <f>Tabella1[[#This Row],[Denominazione]]&amp;" - "&amp;Tabella1[[#This Row],[Città]]</f>
        <v>B&amp;B VILLINO ELISABETTA - FANO</v>
      </c>
    </row>
    <row r="2188" spans="1:8" x14ac:dyDescent="0.25">
      <c r="A2188" s="1" t="s">
        <v>29</v>
      </c>
      <c r="B2188" s="1" t="s">
        <v>19313</v>
      </c>
      <c r="C2188" s="1" t="s">
        <v>19314</v>
      </c>
      <c r="D2188" s="1" t="s">
        <v>19283</v>
      </c>
      <c r="G2188" s="1" t="s">
        <v>19315</v>
      </c>
      <c r="H2188" s="2" t="str">
        <f>Tabella1[[#This Row],[Denominazione]]&amp;" - "&amp;Tabella1[[#This Row],[Città]]</f>
        <v>B&amp;B VILLINO GIOVANNA - PORTO SANT'ELPIDIO</v>
      </c>
    </row>
    <row r="2189" spans="1:8" x14ac:dyDescent="0.25">
      <c r="A2189" s="1" t="s">
        <v>29</v>
      </c>
      <c r="B2189" s="1" t="s">
        <v>8986</v>
      </c>
      <c r="C2189" s="1" t="s">
        <v>8987</v>
      </c>
      <c r="D2189" s="1" t="s">
        <v>8949</v>
      </c>
      <c r="E2189" s="1" t="s">
        <v>8988</v>
      </c>
      <c r="G2189" s="1" t="s">
        <v>8989</v>
      </c>
      <c r="H2189" s="2" t="str">
        <f>Tabella1[[#This Row],[Denominazione]]&amp;" - "&amp;Tabella1[[#This Row],[Città]]</f>
        <v>B&amp;B VISTA MARE - SENIGALLIA</v>
      </c>
    </row>
    <row r="2190" spans="1:8" x14ac:dyDescent="0.25">
      <c r="A2190" s="1" t="s">
        <v>29</v>
      </c>
      <c r="B2190" s="1" t="s">
        <v>7543</v>
      </c>
      <c r="C2190" s="1" t="s">
        <v>7544</v>
      </c>
      <c r="D2190" s="1" t="s">
        <v>7385</v>
      </c>
      <c r="F2190" s="1" t="s">
        <v>7545</v>
      </c>
      <c r="G2190" s="1" t="s">
        <v>7546</v>
      </c>
      <c r="H2190" s="2" t="str">
        <f>Tabella1[[#This Row],[Denominazione]]&amp;" - "&amp;Tabella1[[#This Row],[Città]]</f>
        <v>B&amp;B VISTA SUL CONERO - LORETO</v>
      </c>
    </row>
    <row r="2191" spans="1:8" x14ac:dyDescent="0.25">
      <c r="A2191" s="1" t="s">
        <v>29</v>
      </c>
      <c r="B2191" s="1" t="s">
        <v>17930</v>
      </c>
      <c r="C2191" s="1" t="s">
        <v>17931</v>
      </c>
      <c r="D2191" s="1" t="s">
        <v>17932</v>
      </c>
      <c r="E2191" s="1" t="s">
        <v>17933</v>
      </c>
      <c r="F2191" s="1" t="s">
        <v>17934</v>
      </c>
      <c r="G2191" s="1" t="s">
        <v>17935</v>
      </c>
      <c r="H2191" s="2" t="str">
        <f>Tabella1[[#This Row],[Denominazione]]&amp;" - "&amp;Tabella1[[#This Row],[Città]]</f>
        <v>B&amp;B VISTA SUL MARE - FERMO</v>
      </c>
    </row>
    <row r="2192" spans="1:8" x14ac:dyDescent="0.25">
      <c r="A2192" s="1" t="s">
        <v>29</v>
      </c>
      <c r="B2192" s="1" t="s">
        <v>5575</v>
      </c>
      <c r="C2192" s="1" t="s">
        <v>5576</v>
      </c>
      <c r="D2192" s="1" t="s">
        <v>1864</v>
      </c>
      <c r="E2192" s="1" t="s">
        <v>1864</v>
      </c>
      <c r="F2192" s="1" t="s">
        <v>5577</v>
      </c>
      <c r="G2192" s="1" t="s">
        <v>5578</v>
      </c>
      <c r="H2192" s="2" t="str">
        <f>Tabella1[[#This Row],[Denominazione]]&amp;" - "&amp;Tabella1[[#This Row],[Città]]</f>
        <v>B&amp;B VISTAZZURRA - ANCONA</v>
      </c>
    </row>
    <row r="2193" spans="1:8" x14ac:dyDescent="0.25">
      <c r="A2193" s="1" t="s">
        <v>29</v>
      </c>
      <c r="B2193" s="1" t="s">
        <v>7153</v>
      </c>
      <c r="C2193" s="1" t="s">
        <v>7154</v>
      </c>
      <c r="D2193" s="1" t="s">
        <v>5735</v>
      </c>
      <c r="G2193" s="1" t="s">
        <v>7155</v>
      </c>
      <c r="H2193" s="2" t="str">
        <f>Tabella1[[#This Row],[Denominazione]]&amp;" - "&amp;Tabella1[[#This Row],[Città]]</f>
        <v>B&amp;B VI-TA - FALCONARA MARITTIMA</v>
      </c>
    </row>
    <row r="2194" spans="1:8" x14ac:dyDescent="0.25">
      <c r="A2194" s="1" t="s">
        <v>29</v>
      </c>
      <c r="B2194" s="1" t="s">
        <v>920</v>
      </c>
      <c r="C2194" s="1" t="s">
        <v>921</v>
      </c>
      <c r="D2194" s="1" t="s">
        <v>682</v>
      </c>
      <c r="E2194" s="1" t="s">
        <v>682</v>
      </c>
      <c r="G2194" s="1" t="s">
        <v>922</v>
      </c>
      <c r="H2194" s="2" t="str">
        <f>Tabella1[[#This Row],[Denominazione]]&amp;" - "&amp;Tabella1[[#This Row],[Città]]</f>
        <v>B&amp;B VITRUVIO - FANO</v>
      </c>
    </row>
    <row r="2195" spans="1:8" x14ac:dyDescent="0.25">
      <c r="A2195" s="1" t="s">
        <v>29</v>
      </c>
      <c r="B2195" s="1" t="s">
        <v>7897</v>
      </c>
      <c r="C2195" s="1" t="s">
        <v>7898</v>
      </c>
      <c r="D2195" s="1" t="s">
        <v>7889</v>
      </c>
      <c r="F2195" s="1" t="s">
        <v>7899</v>
      </c>
      <c r="G2195" s="1" t="s">
        <v>7900</v>
      </c>
      <c r="H2195" s="2" t="str">
        <f>Tabella1[[#This Row],[Denominazione]]&amp;" - "&amp;Tabella1[[#This Row],[Città]]</f>
        <v>B&amp;B VIVERE IL MARE - NUMANA</v>
      </c>
    </row>
    <row r="2196" spans="1:8" x14ac:dyDescent="0.25">
      <c r="A2196" s="1" t="s">
        <v>29</v>
      </c>
      <c r="B2196" s="1" t="s">
        <v>11359</v>
      </c>
      <c r="C2196" s="1" t="s">
        <v>11360</v>
      </c>
      <c r="D2196" s="1" t="s">
        <v>11244</v>
      </c>
      <c r="E2196" s="1" t="s">
        <v>11244</v>
      </c>
      <c r="F2196" s="1" t="s">
        <v>11361</v>
      </c>
      <c r="G2196" s="1" t="s">
        <v>11362</v>
      </c>
      <c r="H2196" s="2" t="str">
        <f>Tabella1[[#This Row],[Denominazione]]&amp;" - "&amp;Tabella1[[#This Row],[Città]]</f>
        <v>B&amp;B VIVI IL CENTRO DI PETTINELLI LAVINIA - CIVITANOVA MARCHE</v>
      </c>
    </row>
    <row r="2197" spans="1:8" x14ac:dyDescent="0.25">
      <c r="A2197" s="1" t="s">
        <v>29</v>
      </c>
      <c r="B2197" s="1" t="s">
        <v>8927</v>
      </c>
      <c r="C2197" s="1" t="s">
        <v>8928</v>
      </c>
      <c r="D2197" s="1" t="s">
        <v>8849</v>
      </c>
      <c r="E2197" s="1" t="s">
        <v>8929</v>
      </c>
      <c r="F2197" s="1" t="s">
        <v>8930</v>
      </c>
      <c r="G2197" s="1" t="s">
        <v>8931</v>
      </c>
      <c r="H2197" s="2" t="str">
        <f>Tabella1[[#This Row],[Denominazione]]&amp;" - "&amp;Tabella1[[#This Row],[Città]]</f>
        <v>B&amp;B VOLTI DI PIETRA - SASSOFERRATO</v>
      </c>
    </row>
    <row r="2198" spans="1:8" x14ac:dyDescent="0.25">
      <c r="A2198" s="1" t="s">
        <v>29</v>
      </c>
      <c r="B2198" s="1" t="s">
        <v>18725</v>
      </c>
      <c r="C2198" s="1" t="s">
        <v>18726</v>
      </c>
      <c r="D2198" s="1" t="s">
        <v>18702</v>
      </c>
      <c r="G2198" s="1" t="s">
        <v>18727</v>
      </c>
      <c r="H2198" s="2" t="str">
        <f>Tabella1[[#This Row],[Denominazione]]&amp;" - "&amp;Tabella1[[#This Row],[Città]]</f>
        <v>B&amp;B WENDY RICHARDSON - MONTELPARO</v>
      </c>
    </row>
    <row r="2199" spans="1:8" x14ac:dyDescent="0.25">
      <c r="A2199" s="1" t="s">
        <v>29</v>
      </c>
      <c r="B2199" s="1" t="s">
        <v>11499</v>
      </c>
      <c r="C2199" s="1" t="s">
        <v>11500</v>
      </c>
      <c r="D2199" s="1" t="s">
        <v>11244</v>
      </c>
      <c r="E2199" s="1" t="s">
        <v>11289</v>
      </c>
      <c r="F2199" s="1" t="s">
        <v>11501</v>
      </c>
      <c r="G2199" s="1" t="s">
        <v>11502</v>
      </c>
      <c r="H2199" s="2" t="str">
        <f>Tabella1[[#This Row],[Denominazione]]&amp;" - "&amp;Tabella1[[#This Row],[Città]]</f>
        <v>B&amp;B WITTORIA HOUSE DI CATTOLICA VITTORIA - CIVITANOVA MARCHE</v>
      </c>
    </row>
    <row r="2200" spans="1:8" x14ac:dyDescent="0.25">
      <c r="A2200" s="1" t="s">
        <v>29</v>
      </c>
      <c r="B2200" s="1" t="s">
        <v>12132</v>
      </c>
      <c r="C2200" s="1" t="s">
        <v>12133</v>
      </c>
      <c r="D2200" s="1" t="s">
        <v>12050</v>
      </c>
      <c r="G2200" s="1" t="s">
        <v>12134</v>
      </c>
      <c r="H2200" s="2" t="str">
        <f>Tabella1[[#This Row],[Denominazione]]&amp;" - "&amp;Tabella1[[#This Row],[Città]]</f>
        <v>B&amp;B ZAMPOLINI SIMONA - MACERATA</v>
      </c>
    </row>
    <row r="2201" spans="1:8" x14ac:dyDescent="0.25">
      <c r="A2201" s="1" t="s">
        <v>29</v>
      </c>
      <c r="B2201" s="1" t="s">
        <v>14368</v>
      </c>
      <c r="C2201" s="1" t="s">
        <v>14337</v>
      </c>
      <c r="D2201" s="1" t="s">
        <v>14334</v>
      </c>
      <c r="E2201" s="1" t="s">
        <v>14369</v>
      </c>
      <c r="H2201" s="2" t="str">
        <f>Tabella1[[#This Row],[Denominazione]]&amp;" - "&amp;Tabella1[[#This Row],[Città]]</f>
        <v>B&amp;B ZEPPILLI DOMENICO - ACQUASANTA TERME</v>
      </c>
    </row>
    <row r="2202" spans="1:8" x14ac:dyDescent="0.25">
      <c r="A2202" s="1" t="s">
        <v>29</v>
      </c>
      <c r="B2202" s="1" t="s">
        <v>12958</v>
      </c>
      <c r="C2202" s="1" t="s">
        <v>12959</v>
      </c>
      <c r="D2202" s="1" t="s">
        <v>12801</v>
      </c>
      <c r="G2202" s="1" t="s">
        <v>12960</v>
      </c>
      <c r="H2202" s="2" t="str">
        <f>Tabella1[[#This Row],[Denominazione]]&amp;" - "&amp;Tabella1[[#This Row],[Città]]</f>
        <v>B&amp;B ZI' PASQUALE RAMOVECCHI LUCIANA - PORTO RECANATI</v>
      </c>
    </row>
    <row r="2203" spans="1:8" x14ac:dyDescent="0.25">
      <c r="A2203" s="1" t="s">
        <v>29</v>
      </c>
      <c r="B2203" s="1" t="s">
        <v>16924</v>
      </c>
      <c r="C2203" s="1" t="s">
        <v>16925</v>
      </c>
      <c r="D2203" s="1" t="s">
        <v>15819</v>
      </c>
      <c r="F2203" s="1" t="s">
        <v>16926</v>
      </c>
      <c r="G2203" s="1" t="s">
        <v>16927</v>
      </c>
      <c r="H2203" s="2" t="str">
        <f>Tabella1[[#This Row],[Denominazione]]&amp;" - "&amp;Tabella1[[#This Row],[Città]]</f>
        <v>B&amp;B ZIA ELVIRA - SAN BENEDETTO DEL TRONTO</v>
      </c>
    </row>
    <row r="2204" spans="1:8" x14ac:dyDescent="0.25">
      <c r="A2204" s="1" t="s">
        <v>29</v>
      </c>
      <c r="B2204" s="1" t="s">
        <v>11099</v>
      </c>
      <c r="C2204" s="1" t="s">
        <v>11100</v>
      </c>
      <c r="D2204" s="1" t="s">
        <v>11058</v>
      </c>
      <c r="E2204" s="1" t="s">
        <v>11058</v>
      </c>
      <c r="F2204" s="1" t="s">
        <v>11101</v>
      </c>
      <c r="G2204" s="1" t="s">
        <v>11102</v>
      </c>
      <c r="H2204" s="2" t="str">
        <f>Tabella1[[#This Row],[Denominazione]]&amp;" - "&amp;Tabella1[[#This Row],[Città]]</f>
        <v>B&amp;B ZIAMELIA - CINGOLI</v>
      </c>
    </row>
    <row r="2205" spans="1:8" x14ac:dyDescent="0.25">
      <c r="A2205" s="1" t="s">
        <v>29</v>
      </c>
      <c r="B2205" s="1" t="s">
        <v>16794</v>
      </c>
      <c r="C2205" s="1" t="s">
        <v>16795</v>
      </c>
      <c r="D2205" s="1" t="s">
        <v>15819</v>
      </c>
      <c r="F2205" s="1" t="s">
        <v>16796</v>
      </c>
      <c r="G2205" s="1" t="s">
        <v>16797</v>
      </c>
      <c r="H2205" s="2" t="str">
        <f>Tabella1[[#This Row],[Denominazione]]&amp;" - "&amp;Tabella1[[#This Row],[Città]]</f>
        <v>B&amp;BELVEDERE - SAN BENEDETTO DEL TRONTO</v>
      </c>
    </row>
    <row r="2206" spans="1:8" x14ac:dyDescent="0.25">
      <c r="A2206" s="1" t="s">
        <v>29</v>
      </c>
      <c r="B2206" s="1" t="s">
        <v>11574</v>
      </c>
      <c r="C2206" s="1" t="s">
        <v>11575</v>
      </c>
      <c r="D2206" s="1" t="s">
        <v>11244</v>
      </c>
      <c r="E2206" s="1" t="s">
        <v>11244</v>
      </c>
      <c r="G2206" s="1" t="s">
        <v>11576</v>
      </c>
      <c r="H2206" s="2" t="str">
        <f>Tabella1[[#This Row],[Denominazione]]&amp;" - "&amp;Tabella1[[#This Row],[Città]]</f>
        <v>B.&amp; B. Le Palme - CIVITANOVA MARCHE</v>
      </c>
    </row>
    <row r="2207" spans="1:8" x14ac:dyDescent="0.25">
      <c r="A2207" s="1" t="s">
        <v>29</v>
      </c>
      <c r="B2207" s="1" t="s">
        <v>15050</v>
      </c>
      <c r="C2207" s="1" t="s">
        <v>15051</v>
      </c>
      <c r="D2207" s="1" t="s">
        <v>14576</v>
      </c>
      <c r="E2207" s="1" t="s">
        <v>14576</v>
      </c>
      <c r="G2207" s="1" t="s">
        <v>15052</v>
      </c>
      <c r="H2207" s="2" t="str">
        <f>Tabella1[[#This Row],[Denominazione]]&amp;" - "&amp;Tabella1[[#This Row],[Città]]</f>
        <v>B.B. SWEET HOME TRILLI - ASCOLI PICENO</v>
      </c>
    </row>
    <row r="2208" spans="1:8" x14ac:dyDescent="0.25">
      <c r="A2208" s="1" t="s">
        <v>679</v>
      </c>
      <c r="B2208" s="1" t="s">
        <v>15518</v>
      </c>
      <c r="C2208" s="1" t="s">
        <v>15519</v>
      </c>
      <c r="D2208" s="1" t="s">
        <v>15349</v>
      </c>
      <c r="F2208" s="1" t="s">
        <v>15520</v>
      </c>
      <c r="H2208" s="2" t="str">
        <f>Tabella1[[#This Row],[Denominazione]]&amp;" - "&amp;Tabella1[[#This Row],[Città]]</f>
        <v>BA BEACH - CUPRA MARITTIMA</v>
      </c>
    </row>
    <row r="2209" spans="1:8" x14ac:dyDescent="0.25">
      <c r="A2209" s="1" t="s">
        <v>12</v>
      </c>
      <c r="B2209" s="1" t="s">
        <v>8359</v>
      </c>
      <c r="C2209" s="1" t="s">
        <v>8360</v>
      </c>
      <c r="D2209" s="1" t="s">
        <v>7889</v>
      </c>
      <c r="G2209" s="1" t="s">
        <v>8361</v>
      </c>
      <c r="H2209" s="2" t="str">
        <f>Tabella1[[#This Row],[Denominazione]]&amp;" - "&amp;Tabella1[[#This Row],[Città]]</f>
        <v>BACCHELLI FIORELLA - NUMANA</v>
      </c>
    </row>
    <row r="2210" spans="1:8" x14ac:dyDescent="0.25">
      <c r="A2210" s="1" t="s">
        <v>12</v>
      </c>
      <c r="B2210" s="1" t="s">
        <v>2027</v>
      </c>
      <c r="C2210" s="1" t="s">
        <v>2028</v>
      </c>
      <c r="D2210" s="1" t="s">
        <v>1907</v>
      </c>
      <c r="H2210" s="2" t="str">
        <f>Tabella1[[#This Row],[Denominazione]]&amp;" - "&amp;Tabella1[[#This Row],[Città]]</f>
        <v>BACCHINI ORIANA - GABICCE MARE</v>
      </c>
    </row>
    <row r="2211" spans="1:8" x14ac:dyDescent="0.25">
      <c r="A2211" s="1" t="s">
        <v>12</v>
      </c>
      <c r="B2211" s="1" t="s">
        <v>2021</v>
      </c>
      <c r="C2211" s="1" t="s">
        <v>2022</v>
      </c>
      <c r="D2211" s="1" t="s">
        <v>1907</v>
      </c>
      <c r="H2211" s="2" t="str">
        <f>Tabella1[[#This Row],[Denominazione]]&amp;" - "&amp;Tabella1[[#This Row],[Città]]</f>
        <v>BACCHINI ROBERTO - GABICCE MARE</v>
      </c>
    </row>
    <row r="2212" spans="1:8" x14ac:dyDescent="0.25">
      <c r="A2212" s="1" t="s">
        <v>12</v>
      </c>
      <c r="B2212" s="1" t="s">
        <v>1593</v>
      </c>
      <c r="C2212" s="1" t="s">
        <v>1594</v>
      </c>
      <c r="D2212" s="1" t="s">
        <v>682</v>
      </c>
      <c r="H2212" s="2" t="str">
        <f>Tabella1[[#This Row],[Denominazione]]&amp;" - "&amp;Tabella1[[#This Row],[Città]]</f>
        <v>BACCHIOCCHI ANGELA - FANO</v>
      </c>
    </row>
    <row r="2213" spans="1:8" x14ac:dyDescent="0.25">
      <c r="A2213" s="1" t="s">
        <v>12</v>
      </c>
      <c r="B2213" s="1" t="s">
        <v>1593</v>
      </c>
      <c r="C2213" s="1" t="s">
        <v>1650</v>
      </c>
      <c r="D2213" s="1" t="s">
        <v>682</v>
      </c>
      <c r="H2213" s="2" t="str">
        <f>Tabella1[[#This Row],[Denominazione]]&amp;" - "&amp;Tabella1[[#This Row],[Città]]</f>
        <v>BACCHIOCCHI ANGELA - FANO</v>
      </c>
    </row>
    <row r="2214" spans="1:8" x14ac:dyDescent="0.25">
      <c r="A2214" s="1" t="s">
        <v>12</v>
      </c>
      <c r="B2214" s="1" t="s">
        <v>1593</v>
      </c>
      <c r="C2214" s="1" t="s">
        <v>2788</v>
      </c>
      <c r="D2214" s="1" t="s">
        <v>1605</v>
      </c>
      <c r="G2214" s="1" t="s">
        <v>749</v>
      </c>
      <c r="H2214" s="2" t="str">
        <f>Tabella1[[#This Row],[Denominazione]]&amp;" - "&amp;Tabella1[[#This Row],[Città]]</f>
        <v>BACCHIOCCHI ANGELA - MONDOLFO</v>
      </c>
    </row>
    <row r="2215" spans="1:8" x14ac:dyDescent="0.25">
      <c r="A2215" s="1" t="s">
        <v>12</v>
      </c>
      <c r="B2215" s="1" t="s">
        <v>9069</v>
      </c>
      <c r="C2215" s="1" t="s">
        <v>9070</v>
      </c>
      <c r="D2215" s="1" t="s">
        <v>8949</v>
      </c>
      <c r="E2215" s="1" t="s">
        <v>8949</v>
      </c>
      <c r="G2215" s="1" t="s">
        <v>9071</v>
      </c>
      <c r="H2215" s="2" t="str">
        <f>Tabella1[[#This Row],[Denominazione]]&amp;" - "&amp;Tabella1[[#This Row],[Città]]</f>
        <v>BACCHIOCCHI CARLO - SENIGALLIA</v>
      </c>
    </row>
    <row r="2216" spans="1:8" x14ac:dyDescent="0.25">
      <c r="A2216" s="1" t="s">
        <v>12</v>
      </c>
      <c r="B2216" s="1" t="s">
        <v>94</v>
      </c>
      <c r="C2216" s="1" t="s">
        <v>95</v>
      </c>
      <c r="D2216" s="1" t="s">
        <v>15</v>
      </c>
      <c r="G2216" s="1" t="s">
        <v>96</v>
      </c>
      <c r="H2216" s="2" t="str">
        <f>Tabella1[[#This Row],[Denominazione]]&amp;" - "&amp;Tabella1[[#This Row],[Città]]</f>
        <v>BACCHIOCCHI MARIA ELISA - ACQUALAGNA</v>
      </c>
    </row>
    <row r="2217" spans="1:8" x14ac:dyDescent="0.25">
      <c r="A2217" s="1" t="s">
        <v>679</v>
      </c>
      <c r="B2217" s="1" t="s">
        <v>17342</v>
      </c>
      <c r="C2217" s="1" t="s">
        <v>3805</v>
      </c>
      <c r="D2217" s="1" t="s">
        <v>15819</v>
      </c>
      <c r="G2217" s="1" t="s">
        <v>17343</v>
      </c>
      <c r="H2217" s="2" t="str">
        <f>Tabella1[[#This Row],[Denominazione]]&amp;" - "&amp;Tabella1[[#This Row],[Città]]</f>
        <v>BACIO DELL'ONDA - SAN BENEDETTO DEL TRONTO</v>
      </c>
    </row>
    <row r="2218" spans="1:8" x14ac:dyDescent="0.25">
      <c r="A2218" s="1" t="s">
        <v>35</v>
      </c>
      <c r="B2218" s="1" t="s">
        <v>7699</v>
      </c>
      <c r="C2218" s="1" t="s">
        <v>7700</v>
      </c>
      <c r="D2218" s="1" t="s">
        <v>7678</v>
      </c>
      <c r="E2218" s="1" t="s">
        <v>7678</v>
      </c>
      <c r="F2218" s="1" t="s">
        <v>7701</v>
      </c>
      <c r="G2218" s="1" t="s">
        <v>7702</v>
      </c>
      <c r="H2218" s="2" t="str">
        <f>Tabella1[[#This Row],[Denominazione]]&amp;" - "&amp;Tabella1[[#This Row],[Città]]</f>
        <v>BACUCCO - MONTECAROTTO</v>
      </c>
    </row>
    <row r="2219" spans="1:8" x14ac:dyDescent="0.25">
      <c r="A2219" s="1" t="s">
        <v>6</v>
      </c>
      <c r="B2219" s="1" t="s">
        <v>13901</v>
      </c>
      <c r="C2219" s="1" t="s">
        <v>13902</v>
      </c>
      <c r="D2219" s="1" t="s">
        <v>13894</v>
      </c>
      <c r="E2219" s="1" t="s">
        <v>13894</v>
      </c>
      <c r="F2219" s="1" t="s">
        <v>13903</v>
      </c>
      <c r="G2219" s="1" t="s">
        <v>13904</v>
      </c>
      <c r="H2219" s="2" t="str">
        <f>Tabella1[[#This Row],[Denominazione]]&amp;" - "&amp;Tabella1[[#This Row],[Città]]</f>
        <v>BAGLIO DELLA LUNA - SERRAPETRONA</v>
      </c>
    </row>
    <row r="2220" spans="1:8" x14ac:dyDescent="0.25">
      <c r="A2220" s="1" t="s">
        <v>679</v>
      </c>
      <c r="B2220" s="1" t="s">
        <v>10068</v>
      </c>
      <c r="C2220" s="1" t="s">
        <v>10069</v>
      </c>
      <c r="D2220" s="1" t="s">
        <v>8949</v>
      </c>
      <c r="E2220" s="1" t="s">
        <v>8949</v>
      </c>
      <c r="H2220" s="2" t="str">
        <f>Tabella1[[#This Row],[Denominazione]]&amp;" - "&amp;Tabella1[[#This Row],[Città]]</f>
        <v>BAGNI  BEACH BREAK N° 160 - SENIGALLIA</v>
      </c>
    </row>
    <row r="2221" spans="1:8" x14ac:dyDescent="0.25">
      <c r="A2221" s="1" t="s">
        <v>679</v>
      </c>
      <c r="B2221" s="1" t="s">
        <v>2345</v>
      </c>
      <c r="C2221" s="1" t="s">
        <v>2346</v>
      </c>
      <c r="D2221" s="1" t="s">
        <v>1907</v>
      </c>
      <c r="E2221" s="1" t="s">
        <v>1907</v>
      </c>
      <c r="F2221" s="1" t="s">
        <v>2347</v>
      </c>
      <c r="G2221" s="1" t="s">
        <v>2348</v>
      </c>
      <c r="H2221" s="2" t="str">
        <f>Tabella1[[#This Row],[Denominazione]]&amp;" - "&amp;Tabella1[[#This Row],[Città]]</f>
        <v>BAGNI  N. 32 - GABICCE MARE</v>
      </c>
    </row>
    <row r="2222" spans="1:8" x14ac:dyDescent="0.25">
      <c r="A2222" s="1" t="s">
        <v>679</v>
      </c>
      <c r="B2222" s="1" t="s">
        <v>17348</v>
      </c>
      <c r="C2222" s="1" t="s">
        <v>17349</v>
      </c>
      <c r="D2222" s="1" t="s">
        <v>15819</v>
      </c>
      <c r="H2222" s="2" t="str">
        <f>Tabella1[[#This Row],[Denominazione]]&amp;" - "&amp;Tabella1[[#This Row],[Città]]</f>
        <v>BAGNI 007 - SAN BENEDETTO DEL TRONTO</v>
      </c>
    </row>
    <row r="2223" spans="1:8" x14ac:dyDescent="0.25">
      <c r="A2223" s="1" t="s">
        <v>679</v>
      </c>
      <c r="B2223" s="1" t="s">
        <v>9922</v>
      </c>
      <c r="C2223" s="1" t="s">
        <v>9923</v>
      </c>
      <c r="D2223" s="1" t="s">
        <v>8949</v>
      </c>
      <c r="E2223" s="1" t="s">
        <v>8949</v>
      </c>
      <c r="H2223" s="2" t="str">
        <f>Tabella1[[#This Row],[Denominazione]]&amp;" - "&amp;Tabella1[[#This Row],[Città]]</f>
        <v>BAGNI 102 N° 85 - SENIGALLIA</v>
      </c>
    </row>
    <row r="2224" spans="1:8" x14ac:dyDescent="0.25">
      <c r="A2224" s="1" t="s">
        <v>679</v>
      </c>
      <c r="B2224" s="1" t="s">
        <v>9939</v>
      </c>
      <c r="C2224" s="1" t="s">
        <v>9940</v>
      </c>
      <c r="D2224" s="1" t="s">
        <v>8949</v>
      </c>
      <c r="E2224" s="1" t="s">
        <v>8949</v>
      </c>
      <c r="F2224" s="1" t="s">
        <v>9941</v>
      </c>
      <c r="G2224" s="1" t="s">
        <v>9942</v>
      </c>
      <c r="H2224" s="2" t="str">
        <f>Tabella1[[#This Row],[Denominazione]]&amp;" - "&amp;Tabella1[[#This Row],[Città]]</f>
        <v>BAGNI 124 DI MANIZZA MICHELE - SENIGALLIA</v>
      </c>
    </row>
    <row r="2225" spans="1:8" x14ac:dyDescent="0.25">
      <c r="A2225" s="1" t="s">
        <v>679</v>
      </c>
      <c r="B2225" s="1" t="s">
        <v>10040</v>
      </c>
      <c r="C2225" s="1" t="s">
        <v>10041</v>
      </c>
      <c r="D2225" s="1" t="s">
        <v>8949</v>
      </c>
      <c r="E2225" s="1" t="s">
        <v>8949</v>
      </c>
      <c r="H2225" s="2" t="str">
        <f>Tabella1[[#This Row],[Denominazione]]&amp;" - "&amp;Tabella1[[#This Row],[Città]]</f>
        <v>BAGNI 2000 N° 53 - SENIGALLIA</v>
      </c>
    </row>
    <row r="2226" spans="1:8" x14ac:dyDescent="0.25">
      <c r="A2226" s="1" t="s">
        <v>679</v>
      </c>
      <c r="B2226" s="1" t="s">
        <v>1007</v>
      </c>
      <c r="C2226" s="1" t="s">
        <v>1008</v>
      </c>
      <c r="D2226" s="1" t="s">
        <v>682</v>
      </c>
      <c r="E2226" s="1" t="s">
        <v>682</v>
      </c>
      <c r="H2226" s="2" t="str">
        <f>Tabella1[[#This Row],[Denominazione]]&amp;" - "&amp;Tabella1[[#This Row],[Città]]</f>
        <v>BAGNI 5 - TAM TAM BEACH - FANO</v>
      </c>
    </row>
    <row r="2227" spans="1:8" x14ac:dyDescent="0.25">
      <c r="A2227" s="1" t="s">
        <v>679</v>
      </c>
      <c r="B2227" s="1" t="s">
        <v>3834</v>
      </c>
      <c r="C2227" s="1" t="s">
        <v>3835</v>
      </c>
      <c r="D2227" s="1" t="s">
        <v>2386</v>
      </c>
      <c r="E2227" s="1" t="s">
        <v>2386</v>
      </c>
      <c r="H2227" s="2" t="str">
        <f>Tabella1[[#This Row],[Denominazione]]&amp;" - "&amp;Tabella1[[#This Row],[Città]]</f>
        <v>BAGNI AGATA - PESARO</v>
      </c>
    </row>
    <row r="2228" spans="1:8" x14ac:dyDescent="0.25">
      <c r="A2228" s="1" t="s">
        <v>679</v>
      </c>
      <c r="B2228" s="1" t="s">
        <v>9975</v>
      </c>
      <c r="C2228" s="1" t="s">
        <v>9976</v>
      </c>
      <c r="D2228" s="1" t="s">
        <v>8949</v>
      </c>
      <c r="E2228" s="1" t="s">
        <v>8949</v>
      </c>
      <c r="F2228" s="1" t="s">
        <v>9752</v>
      </c>
      <c r="G2228" s="1" t="s">
        <v>9751</v>
      </c>
      <c r="H2228" s="2" t="str">
        <f>Tabella1[[#This Row],[Denominazione]]&amp;" - "&amp;Tabella1[[#This Row],[Città]]</f>
        <v>BAGNI ALBERGO REGINA - SENIGALLIA</v>
      </c>
    </row>
    <row r="2229" spans="1:8" x14ac:dyDescent="0.25">
      <c r="A2229" s="1" t="s">
        <v>679</v>
      </c>
      <c r="B2229" s="1" t="s">
        <v>2857</v>
      </c>
      <c r="C2229" s="1" t="s">
        <v>994</v>
      </c>
      <c r="D2229" s="1" t="s">
        <v>1605</v>
      </c>
      <c r="E2229" s="1" t="s">
        <v>1605</v>
      </c>
      <c r="H2229" s="2" t="str">
        <f>Tabella1[[#This Row],[Denominazione]]&amp;" - "&amp;Tabella1[[#This Row],[Città]]</f>
        <v>BAGNI ALBERTO &amp; CESARE - MONDOLFO</v>
      </c>
    </row>
    <row r="2230" spans="1:8" x14ac:dyDescent="0.25">
      <c r="A2230" s="1" t="s">
        <v>679</v>
      </c>
      <c r="B2230" s="1" t="s">
        <v>2364</v>
      </c>
      <c r="C2230" s="1" t="s">
        <v>2365</v>
      </c>
      <c r="D2230" s="1" t="s">
        <v>1907</v>
      </c>
      <c r="E2230" s="1" t="s">
        <v>1907</v>
      </c>
      <c r="H2230" s="2" t="str">
        <f>Tabella1[[#This Row],[Denominazione]]&amp;" - "&amp;Tabella1[[#This Row],[Città]]</f>
        <v>BAGNI ALBERTO E MARIO N° 16 - GABICCE MARE</v>
      </c>
    </row>
    <row r="2231" spans="1:8" x14ac:dyDescent="0.25">
      <c r="A2231" s="1" t="s">
        <v>679</v>
      </c>
      <c r="B2231" s="1" t="s">
        <v>10037</v>
      </c>
      <c r="C2231" s="1" t="s">
        <v>10038</v>
      </c>
      <c r="D2231" s="1" t="s">
        <v>8949</v>
      </c>
      <c r="E2231" s="1" t="s">
        <v>8949</v>
      </c>
      <c r="H2231" s="2" t="str">
        <f>Tabella1[[#This Row],[Denominazione]]&amp;" - "&amp;Tabella1[[#This Row],[Città]]</f>
        <v>BAGNI ALDA - BAGNI N° 88 - SENIGALLIA</v>
      </c>
    </row>
    <row r="2232" spans="1:8" x14ac:dyDescent="0.25">
      <c r="A2232" s="1" t="s">
        <v>679</v>
      </c>
      <c r="B2232" s="1" t="s">
        <v>1062</v>
      </c>
      <c r="C2232" s="1" t="s">
        <v>994</v>
      </c>
      <c r="D2232" s="1" t="s">
        <v>682</v>
      </c>
      <c r="E2232" s="1" t="s">
        <v>682</v>
      </c>
      <c r="F2232" s="1" t="s">
        <v>1063</v>
      </c>
      <c r="H2232" s="2" t="str">
        <f>Tabella1[[#This Row],[Denominazione]]&amp;" - "&amp;Tabella1[[#This Row],[Città]]</f>
        <v>BAGNI ALDA DI MASTROGIACOMI MARCO - FANO</v>
      </c>
    </row>
    <row r="2233" spans="1:8" x14ac:dyDescent="0.25">
      <c r="A2233" s="1" t="s">
        <v>679</v>
      </c>
      <c r="B2233" s="1" t="s">
        <v>3884</v>
      </c>
      <c r="C2233" s="1" t="s">
        <v>3885</v>
      </c>
      <c r="D2233" s="1" t="s">
        <v>2386</v>
      </c>
      <c r="E2233" s="1" t="s">
        <v>3812</v>
      </c>
      <c r="H2233" s="2" t="str">
        <f>Tabella1[[#This Row],[Denominazione]]&amp;" - "&amp;Tabella1[[#This Row],[Città]]</f>
        <v>BAGNI ALFREDO - PESARO</v>
      </c>
    </row>
    <row r="2234" spans="1:8" x14ac:dyDescent="0.25">
      <c r="A2234" s="1" t="s">
        <v>679</v>
      </c>
      <c r="B2234" s="1" t="s">
        <v>8190</v>
      </c>
      <c r="C2234" s="1" t="s">
        <v>8191</v>
      </c>
      <c r="D2234" s="1" t="s">
        <v>7889</v>
      </c>
      <c r="E2234" s="1" t="s">
        <v>7895</v>
      </c>
      <c r="G2234" s="1" t="s">
        <v>8192</v>
      </c>
      <c r="H2234" s="2" t="str">
        <f>Tabella1[[#This Row],[Denominazione]]&amp;" - "&amp;Tabella1[[#This Row],[Città]]</f>
        <v>BAGNI AMEDEO N 23 - NUMANA</v>
      </c>
    </row>
    <row r="2235" spans="1:8" x14ac:dyDescent="0.25">
      <c r="A2235" s="1" t="s">
        <v>679</v>
      </c>
      <c r="B2235" s="1" t="s">
        <v>15861</v>
      </c>
      <c r="D2235" s="1" t="s">
        <v>15585</v>
      </c>
      <c r="H2235" s="2" t="str">
        <f>Tabella1[[#This Row],[Denominazione]]&amp;" - "&amp;Tabella1[[#This Row],[Città]]</f>
        <v>BAGNI ANDREA - GROTTAMMARE</v>
      </c>
    </row>
    <row r="2236" spans="1:8" x14ac:dyDescent="0.25">
      <c r="A2236" s="1" t="s">
        <v>679</v>
      </c>
      <c r="B2236" s="1" t="s">
        <v>9994</v>
      </c>
      <c r="C2236" s="1" t="s">
        <v>9845</v>
      </c>
      <c r="D2236" s="1" t="s">
        <v>8949</v>
      </c>
      <c r="E2236" s="1" t="s">
        <v>8949</v>
      </c>
      <c r="H2236" s="2" t="str">
        <f>Tabella1[[#This Row],[Denominazione]]&amp;" - "&amp;Tabella1[[#This Row],[Città]]</f>
        <v>BAGNI ANDREA N° 24 - SENIGALLIA</v>
      </c>
    </row>
    <row r="2237" spans="1:8" x14ac:dyDescent="0.25">
      <c r="A2237" s="1" t="s">
        <v>679</v>
      </c>
      <c r="B2237" s="1" t="s">
        <v>10006</v>
      </c>
      <c r="C2237" s="1" t="s">
        <v>9845</v>
      </c>
      <c r="D2237" s="1" t="s">
        <v>8949</v>
      </c>
      <c r="E2237" s="1" t="s">
        <v>8949</v>
      </c>
      <c r="H2237" s="2" t="str">
        <f>Tabella1[[#This Row],[Denominazione]]&amp;" - "&amp;Tabella1[[#This Row],[Città]]</f>
        <v>BAGNI ANDREA N° 37 - SENIGALLIA</v>
      </c>
    </row>
    <row r="2238" spans="1:8" x14ac:dyDescent="0.25">
      <c r="A2238" s="1" t="s">
        <v>679</v>
      </c>
      <c r="B2238" s="1" t="s">
        <v>2359</v>
      </c>
      <c r="C2238" s="1" t="s">
        <v>2360</v>
      </c>
      <c r="D2238" s="1" t="s">
        <v>1907</v>
      </c>
      <c r="E2238" s="1" t="s">
        <v>2361</v>
      </c>
      <c r="H2238" s="2" t="str">
        <f>Tabella1[[#This Row],[Denominazione]]&amp;" - "&amp;Tabella1[[#This Row],[Città]]</f>
        <v>BAGNI ANGELO N. 11 - GABICCE MARE</v>
      </c>
    </row>
    <row r="2239" spans="1:8" x14ac:dyDescent="0.25">
      <c r="A2239" s="1" t="s">
        <v>679</v>
      </c>
      <c r="B2239" s="1" t="s">
        <v>10070</v>
      </c>
      <c r="C2239" s="1" t="s">
        <v>9843</v>
      </c>
      <c r="D2239" s="1" t="s">
        <v>8949</v>
      </c>
      <c r="E2239" s="1" t="s">
        <v>8949</v>
      </c>
      <c r="H2239" s="2" t="str">
        <f>Tabella1[[#This Row],[Denominazione]]&amp;" - "&amp;Tabella1[[#This Row],[Città]]</f>
        <v>BAGNI ANNA MARIA N° 47 - SENIGALLIA</v>
      </c>
    </row>
    <row r="2240" spans="1:8" x14ac:dyDescent="0.25">
      <c r="A2240" s="1" t="s">
        <v>679</v>
      </c>
      <c r="B2240" s="1" t="s">
        <v>3875</v>
      </c>
      <c r="C2240" s="1" t="s">
        <v>3811</v>
      </c>
      <c r="D2240" s="1" t="s">
        <v>2386</v>
      </c>
      <c r="E2240" s="1" t="s">
        <v>3876</v>
      </c>
      <c r="F2240" s="1" t="s">
        <v>3877</v>
      </c>
      <c r="H2240" s="2" t="str">
        <f>Tabella1[[#This Row],[Denominazione]]&amp;" - "&amp;Tabella1[[#This Row],[Città]]</f>
        <v>BAGNI ARCOBALENO - PESARO</v>
      </c>
    </row>
    <row r="2241" spans="1:8" x14ac:dyDescent="0.25">
      <c r="A2241" s="1" t="s">
        <v>679</v>
      </c>
      <c r="B2241" s="1" t="s">
        <v>9864</v>
      </c>
      <c r="C2241" s="1" t="s">
        <v>9865</v>
      </c>
      <c r="D2241" s="1" t="s">
        <v>8949</v>
      </c>
      <c r="E2241" s="1" t="s">
        <v>8949</v>
      </c>
      <c r="H2241" s="2" t="str">
        <f>Tabella1[[#This Row],[Denominazione]]&amp;" - "&amp;Tabella1[[#This Row],[Città]]</f>
        <v>BAGNI ARCOBALENO N 52 - SENIGALLIA</v>
      </c>
    </row>
    <row r="2242" spans="1:8" x14ac:dyDescent="0.25">
      <c r="A2242" s="1" t="s">
        <v>679</v>
      </c>
      <c r="B2242" s="1" t="s">
        <v>9984</v>
      </c>
      <c r="C2242" s="1" t="s">
        <v>9985</v>
      </c>
      <c r="D2242" s="1" t="s">
        <v>8949</v>
      </c>
      <c r="E2242" s="1" t="s">
        <v>8949</v>
      </c>
      <c r="H2242" s="2" t="str">
        <f>Tabella1[[#This Row],[Denominazione]]&amp;" - "&amp;Tabella1[[#This Row],[Città]]</f>
        <v>BAGNI ARMANDO (SOLO RIMESSAGGIO) - SENIGALLIA</v>
      </c>
    </row>
    <row r="2243" spans="1:8" x14ac:dyDescent="0.25">
      <c r="A2243" s="1" t="s">
        <v>679</v>
      </c>
      <c r="B2243" s="1" t="s">
        <v>2379</v>
      </c>
      <c r="C2243" s="1" t="s">
        <v>2380</v>
      </c>
      <c r="D2243" s="1" t="s">
        <v>1907</v>
      </c>
      <c r="E2243" s="1" t="s">
        <v>1907</v>
      </c>
      <c r="H2243" s="2" t="str">
        <f>Tabella1[[#This Row],[Denominazione]]&amp;" - "&amp;Tabella1[[#This Row],[Città]]</f>
        <v>BAGNI ARMANDO E GIUSEPPE N. 7, 8 - GABICCE MARE</v>
      </c>
    </row>
    <row r="2244" spans="1:8" x14ac:dyDescent="0.25">
      <c r="A2244" s="1" t="s">
        <v>679</v>
      </c>
      <c r="B2244" s="1" t="s">
        <v>9967</v>
      </c>
      <c r="C2244" s="1" t="s">
        <v>9968</v>
      </c>
      <c r="D2244" s="1" t="s">
        <v>8949</v>
      </c>
      <c r="E2244" s="1" t="s">
        <v>8949</v>
      </c>
      <c r="F2244" s="1" t="s">
        <v>9969</v>
      </c>
      <c r="H2244" s="2" t="str">
        <f>Tabella1[[#This Row],[Denominazione]]&amp;" - "&amp;Tabella1[[#This Row],[Città]]</f>
        <v>BAGNI ARMANDO N° 98 - SENIGALLIA</v>
      </c>
    </row>
    <row r="2245" spans="1:8" x14ac:dyDescent="0.25">
      <c r="A2245" s="1" t="s">
        <v>679</v>
      </c>
      <c r="B2245" s="1" t="s">
        <v>11600</v>
      </c>
      <c r="C2245" s="1" t="s">
        <v>11601</v>
      </c>
      <c r="D2245" s="1" t="s">
        <v>11244</v>
      </c>
      <c r="E2245" s="1" t="s">
        <v>11244</v>
      </c>
      <c r="F2245" s="1" t="s">
        <v>11602</v>
      </c>
      <c r="H2245" s="2" t="str">
        <f>Tabella1[[#This Row],[Denominazione]]&amp;" - "&amp;Tabella1[[#This Row],[Città]]</f>
        <v>BAGNI ARTURO - CIVITANOVA MARCHE</v>
      </c>
    </row>
    <row r="2246" spans="1:8" x14ac:dyDescent="0.25">
      <c r="A2246" s="1" t="s">
        <v>679</v>
      </c>
      <c r="B2246" s="1" t="s">
        <v>991</v>
      </c>
      <c r="C2246" s="1" t="s">
        <v>992</v>
      </c>
      <c r="D2246" s="1" t="s">
        <v>682</v>
      </c>
      <c r="E2246" s="1" t="s">
        <v>682</v>
      </c>
      <c r="H2246" s="2" t="str">
        <f>Tabella1[[#This Row],[Denominazione]]&amp;" - "&amp;Tabella1[[#This Row],[Città]]</f>
        <v>BAGNI ARZILLA DI MONTALBINI E TANFANI S.N.C. - FANO</v>
      </c>
    </row>
    <row r="2247" spans="1:8" x14ac:dyDescent="0.25">
      <c r="A2247" s="1" t="s">
        <v>679</v>
      </c>
      <c r="B2247" s="1" t="s">
        <v>9860</v>
      </c>
      <c r="C2247" s="1" t="s">
        <v>9806</v>
      </c>
      <c r="D2247" s="1" t="s">
        <v>8949</v>
      </c>
      <c r="E2247" s="1" t="s">
        <v>8949</v>
      </c>
      <c r="H2247" s="2" t="str">
        <f>Tabella1[[#This Row],[Denominazione]]&amp;" - "&amp;Tabella1[[#This Row],[Città]]</f>
        <v>BAGNI ATLANTIC N° 157 - SENIGALLIA</v>
      </c>
    </row>
    <row r="2248" spans="1:8" x14ac:dyDescent="0.25">
      <c r="A2248" s="1" t="s">
        <v>679</v>
      </c>
      <c r="B2248" s="1" t="s">
        <v>1025</v>
      </c>
      <c r="C2248" s="1" t="s">
        <v>1026</v>
      </c>
      <c r="D2248" s="1" t="s">
        <v>682</v>
      </c>
      <c r="E2248" s="1" t="s">
        <v>682</v>
      </c>
      <c r="F2248" s="1" t="s">
        <v>1027</v>
      </c>
      <c r="H2248" s="2" t="str">
        <f>Tabella1[[#This Row],[Denominazione]]&amp;" - "&amp;Tabella1[[#This Row],[Città]]</f>
        <v>BAGNI AZZURRA - FANO</v>
      </c>
    </row>
    <row r="2249" spans="1:8" x14ac:dyDescent="0.25">
      <c r="A2249" s="1" t="s">
        <v>679</v>
      </c>
      <c r="B2249" s="1" t="s">
        <v>3826</v>
      </c>
      <c r="C2249" s="1" t="s">
        <v>3827</v>
      </c>
      <c r="D2249" s="1" t="s">
        <v>2386</v>
      </c>
      <c r="E2249" s="1" t="s">
        <v>2386</v>
      </c>
      <c r="H2249" s="2" t="str">
        <f>Tabella1[[#This Row],[Denominazione]]&amp;" - "&amp;Tabella1[[#This Row],[Città]]</f>
        <v>BAGNI BAIA - PESARO</v>
      </c>
    </row>
    <row r="2250" spans="1:8" x14ac:dyDescent="0.25">
      <c r="A2250" s="1" t="s">
        <v>679</v>
      </c>
      <c r="B2250" s="1" t="s">
        <v>7757</v>
      </c>
      <c r="C2250" s="1" t="s">
        <v>7758</v>
      </c>
      <c r="D2250" s="1" t="s">
        <v>7718</v>
      </c>
      <c r="E2250" s="1" t="s">
        <v>7748</v>
      </c>
      <c r="F2250" s="1" t="s">
        <v>7759</v>
      </c>
      <c r="H2250" s="2" t="str">
        <f>Tabella1[[#This Row],[Denominazione]]&amp;" - "&amp;Tabella1[[#This Row],[Città]]</f>
        <v>BAGNI BANANAS - MONTEMARCIANO</v>
      </c>
    </row>
    <row r="2251" spans="1:8" x14ac:dyDescent="0.25">
      <c r="A2251" s="1" t="s">
        <v>679</v>
      </c>
      <c r="B2251" s="1" t="s">
        <v>9812</v>
      </c>
      <c r="C2251" s="1" t="s">
        <v>9813</v>
      </c>
      <c r="D2251" s="1" t="s">
        <v>8949</v>
      </c>
      <c r="E2251" s="1" t="s">
        <v>8949</v>
      </c>
      <c r="G2251" s="1" t="s">
        <v>9814</v>
      </c>
      <c r="H2251" s="2" t="str">
        <f>Tabella1[[#This Row],[Denominazione]]&amp;" - "&amp;Tabella1[[#This Row],[Città]]</f>
        <v>BAGNI BANO N.114 - SENIGALLIA</v>
      </c>
    </row>
    <row r="2252" spans="1:8" x14ac:dyDescent="0.25">
      <c r="A2252" s="1" t="s">
        <v>679</v>
      </c>
      <c r="B2252" s="1" t="s">
        <v>3898</v>
      </c>
      <c r="C2252" s="1" t="s">
        <v>3805</v>
      </c>
      <c r="D2252" s="1" t="s">
        <v>2386</v>
      </c>
      <c r="E2252" s="1" t="s">
        <v>2386</v>
      </c>
      <c r="F2252" s="1" t="s">
        <v>3899</v>
      </c>
      <c r="H2252" s="2" t="str">
        <f>Tabella1[[#This Row],[Denominazione]]&amp;" - "&amp;Tabella1[[#This Row],[Città]]</f>
        <v>BAGNI BARONCIANI DI BARONCIANI ANTONELLA - PESARO</v>
      </c>
    </row>
    <row r="2253" spans="1:8" x14ac:dyDescent="0.25">
      <c r="A2253" s="1" t="s">
        <v>679</v>
      </c>
      <c r="B2253" s="1" t="s">
        <v>17185</v>
      </c>
      <c r="C2253" s="1" t="s">
        <v>17186</v>
      </c>
      <c r="D2253" s="1" t="s">
        <v>15819</v>
      </c>
      <c r="E2253" s="1" t="s">
        <v>15819</v>
      </c>
      <c r="F2253" s="1" t="s">
        <v>17070</v>
      </c>
      <c r="G2253" s="1" t="s">
        <v>17069</v>
      </c>
      <c r="H2253" s="2" t="str">
        <f>Tabella1[[#This Row],[Denominazione]]&amp;" - "&amp;Tabella1[[#This Row],[Città]]</f>
        <v>BAGNI BEAURIVAGE - SAN BENEDETTO DEL TRONTO</v>
      </c>
    </row>
    <row r="2254" spans="1:8" x14ac:dyDescent="0.25">
      <c r="A2254" s="1" t="s">
        <v>679</v>
      </c>
      <c r="B2254" s="1" t="s">
        <v>3831</v>
      </c>
      <c r="C2254" s="1" t="s">
        <v>3830</v>
      </c>
      <c r="D2254" s="1" t="s">
        <v>2386</v>
      </c>
      <c r="E2254" s="1" t="s">
        <v>2386</v>
      </c>
      <c r="G2254" s="1" t="s">
        <v>3832</v>
      </c>
      <c r="H2254" s="2" t="str">
        <f>Tabella1[[#This Row],[Denominazione]]&amp;" - "&amp;Tabella1[[#This Row],[Città]]</f>
        <v>BAGNI BIBI - PESARO</v>
      </c>
    </row>
    <row r="2255" spans="1:8" x14ac:dyDescent="0.25">
      <c r="A2255" s="1" t="s">
        <v>679</v>
      </c>
      <c r="B2255" s="1" t="s">
        <v>9919</v>
      </c>
      <c r="C2255" s="1" t="s">
        <v>9845</v>
      </c>
      <c r="D2255" s="1" t="s">
        <v>8949</v>
      </c>
      <c r="E2255" s="1" t="s">
        <v>8949</v>
      </c>
      <c r="H2255" s="2" t="str">
        <f>Tabella1[[#This Row],[Denominazione]]&amp;" - "&amp;Tabella1[[#This Row],[Città]]</f>
        <v>BAGNI BIKINI BEACH N° 39 - SENIGALLIA</v>
      </c>
    </row>
    <row r="2256" spans="1:8" x14ac:dyDescent="0.25">
      <c r="A2256" s="1" t="s">
        <v>679</v>
      </c>
      <c r="B2256" s="1" t="s">
        <v>9887</v>
      </c>
      <c r="C2256" s="1" t="s">
        <v>9888</v>
      </c>
      <c r="D2256" s="1" t="s">
        <v>8949</v>
      </c>
      <c r="E2256" s="1" t="s">
        <v>8949</v>
      </c>
      <c r="H2256" s="2" t="str">
        <f>Tabella1[[#This Row],[Denominazione]]&amp;" - "&amp;Tabella1[[#This Row],[Città]]</f>
        <v>BAGNI BILLY N° 54 - SENIGALLIA</v>
      </c>
    </row>
    <row r="2257" spans="1:8" x14ac:dyDescent="0.25">
      <c r="A2257" s="1" t="s">
        <v>679</v>
      </c>
      <c r="B2257" s="1" t="s">
        <v>9877</v>
      </c>
      <c r="C2257" s="1" t="s">
        <v>9878</v>
      </c>
      <c r="D2257" s="1" t="s">
        <v>8949</v>
      </c>
      <c r="E2257" s="1" t="s">
        <v>8949</v>
      </c>
      <c r="F2257" s="1" t="s">
        <v>9879</v>
      </c>
      <c r="G2257" s="1" t="s">
        <v>9880</v>
      </c>
      <c r="H2257" s="2" t="str">
        <f>Tabella1[[#This Row],[Denominazione]]&amp;" - "&amp;Tabella1[[#This Row],[Città]]</f>
        <v>BAGNI BLASCO N° 132 - SENIGALLIA</v>
      </c>
    </row>
    <row r="2258" spans="1:8" x14ac:dyDescent="0.25">
      <c r="A2258" s="1" t="s">
        <v>679</v>
      </c>
      <c r="B2258" s="1" t="s">
        <v>9800</v>
      </c>
      <c r="C2258" s="1" t="s">
        <v>9801</v>
      </c>
      <c r="D2258" s="1" t="s">
        <v>8949</v>
      </c>
      <c r="E2258" s="1" t="s">
        <v>8949</v>
      </c>
      <c r="G2258" s="1" t="s">
        <v>9802</v>
      </c>
      <c r="H2258" s="2" t="str">
        <f>Tabella1[[#This Row],[Denominazione]]&amp;" - "&amp;Tabella1[[#This Row],[Città]]</f>
        <v>BAGNI BLU BEACH N° 126 - SENIGALLIA</v>
      </c>
    </row>
    <row r="2259" spans="1:8" x14ac:dyDescent="0.25">
      <c r="A2259" s="1" t="s">
        <v>679</v>
      </c>
      <c r="B2259" s="1" t="s">
        <v>9855</v>
      </c>
      <c r="C2259" s="1" t="s">
        <v>9843</v>
      </c>
      <c r="D2259" s="1" t="s">
        <v>8949</v>
      </c>
      <c r="E2259" s="1" t="s">
        <v>8949</v>
      </c>
      <c r="H2259" s="2" t="str">
        <f>Tabella1[[#This Row],[Denominazione]]&amp;" - "&amp;Tabella1[[#This Row],[Città]]</f>
        <v>BAGNI BORA BORA N° 42 - SENIGALLIA</v>
      </c>
    </row>
    <row r="2260" spans="1:8" x14ac:dyDescent="0.25">
      <c r="A2260" s="1" t="s">
        <v>679</v>
      </c>
      <c r="B2260" s="1" t="s">
        <v>9944</v>
      </c>
      <c r="C2260" s="1" t="s">
        <v>9843</v>
      </c>
      <c r="D2260" s="1" t="s">
        <v>8949</v>
      </c>
      <c r="E2260" s="1" t="s">
        <v>8949</v>
      </c>
      <c r="H2260" s="2" t="str">
        <f>Tabella1[[#This Row],[Denominazione]]&amp;" - "&amp;Tabella1[[#This Row],[Città]]</f>
        <v>BAGNI BORA BORA N° 43 - SENIGALLIA</v>
      </c>
    </row>
    <row r="2261" spans="1:8" x14ac:dyDescent="0.25">
      <c r="A2261" s="1" t="s">
        <v>679</v>
      </c>
      <c r="B2261" s="1" t="s">
        <v>10000</v>
      </c>
      <c r="C2261" s="1" t="s">
        <v>10001</v>
      </c>
      <c r="D2261" s="1" t="s">
        <v>8949</v>
      </c>
      <c r="E2261" s="1" t="s">
        <v>8949</v>
      </c>
      <c r="H2261" s="2" t="str">
        <f>Tabella1[[#This Row],[Denominazione]]&amp;" - "&amp;Tabella1[[#This Row],[Città]]</f>
        <v>BAGNI BRUNA N° 69 - SENIGALLIA</v>
      </c>
    </row>
    <row r="2262" spans="1:8" x14ac:dyDescent="0.25">
      <c r="A2262" s="1" t="s">
        <v>679</v>
      </c>
      <c r="B2262" s="1" t="s">
        <v>17350</v>
      </c>
      <c r="C2262" s="1" t="s">
        <v>17351</v>
      </c>
      <c r="D2262" s="1" t="s">
        <v>15819</v>
      </c>
      <c r="H2262" s="2" t="str">
        <f>Tabella1[[#This Row],[Denominazione]]&amp;" - "&amp;Tabella1[[#This Row],[Città]]</f>
        <v>BAGNI CAMISCIONI - SAN BENEDETTO DEL TRONTO</v>
      </c>
    </row>
    <row r="2263" spans="1:8" x14ac:dyDescent="0.25">
      <c r="A2263" s="1" t="s">
        <v>679</v>
      </c>
      <c r="B2263" s="1" t="s">
        <v>1039</v>
      </c>
      <c r="C2263" s="1" t="s">
        <v>954</v>
      </c>
      <c r="D2263" s="1" t="s">
        <v>682</v>
      </c>
      <c r="E2263" s="1" t="s">
        <v>1040</v>
      </c>
      <c r="H2263" s="2" t="str">
        <f>Tabella1[[#This Row],[Denominazione]]&amp;" - "&amp;Tabella1[[#This Row],[Città]]</f>
        <v>BAGNI CAMPING METAURO - FANO</v>
      </c>
    </row>
    <row r="2264" spans="1:8" x14ac:dyDescent="0.25">
      <c r="A2264" s="1" t="s">
        <v>679</v>
      </c>
      <c r="B2264" s="1" t="s">
        <v>953</v>
      </c>
      <c r="C2264" s="1" t="s">
        <v>954</v>
      </c>
      <c r="D2264" s="1" t="s">
        <v>682</v>
      </c>
      <c r="E2264" s="1" t="s">
        <v>682</v>
      </c>
      <c r="F2264" s="1" t="s">
        <v>955</v>
      </c>
      <c r="G2264" s="1" t="s">
        <v>956</v>
      </c>
      <c r="H2264" s="2" t="str">
        <f>Tabella1[[#This Row],[Denominazione]]&amp;" - "&amp;Tabella1[[#This Row],[Città]]</f>
        <v>BAGNI CAMPING MIMOSA - FANO</v>
      </c>
    </row>
    <row r="2265" spans="1:8" x14ac:dyDescent="0.25">
      <c r="A2265" s="1" t="s">
        <v>679</v>
      </c>
      <c r="B2265" s="1" t="s">
        <v>1073</v>
      </c>
      <c r="C2265" s="1" t="s">
        <v>954</v>
      </c>
      <c r="D2265" s="1" t="s">
        <v>682</v>
      </c>
      <c r="E2265" s="1" t="s">
        <v>1040</v>
      </c>
      <c r="H2265" s="2" t="str">
        <f>Tabella1[[#This Row],[Denominazione]]&amp;" - "&amp;Tabella1[[#This Row],[Città]]</f>
        <v>BAGNI CAMPING VERDE LUNA - FANO</v>
      </c>
    </row>
    <row r="2266" spans="1:8" x14ac:dyDescent="0.25">
      <c r="A2266" s="1" t="s">
        <v>679</v>
      </c>
      <c r="B2266" s="1" t="s">
        <v>1029</v>
      </c>
      <c r="C2266" s="1" t="s">
        <v>1030</v>
      </c>
      <c r="D2266" s="1" t="s">
        <v>682</v>
      </c>
      <c r="E2266" s="1" t="s">
        <v>1031</v>
      </c>
      <c r="F2266" s="1" t="s">
        <v>1032</v>
      </c>
      <c r="G2266" s="1" t="s">
        <v>1033</v>
      </c>
      <c r="H2266" s="2" t="str">
        <f>Tabella1[[#This Row],[Denominazione]]&amp;" - "&amp;Tabella1[[#This Row],[Città]]</f>
        <v>BAGNI CARAVEL DI CUICCHI MARINO &amp; C. SAS - FANO</v>
      </c>
    </row>
    <row r="2267" spans="1:8" x14ac:dyDescent="0.25">
      <c r="A2267" s="1" t="s">
        <v>679</v>
      </c>
      <c r="B2267" s="1" t="s">
        <v>9881</v>
      </c>
      <c r="C2267" s="1" t="s">
        <v>9882</v>
      </c>
      <c r="D2267" s="1" t="s">
        <v>8949</v>
      </c>
      <c r="E2267" s="1" t="s">
        <v>8949</v>
      </c>
      <c r="H2267" s="2" t="str">
        <f>Tabella1[[#This Row],[Denominazione]]&amp;" - "&amp;Tabella1[[#This Row],[Città]]</f>
        <v>BAGNI CARLINI N° 51 - SENIGALLIA</v>
      </c>
    </row>
    <row r="2268" spans="1:8" x14ac:dyDescent="0.25">
      <c r="A2268" s="1" t="s">
        <v>679</v>
      </c>
      <c r="B2268" s="1" t="s">
        <v>1041</v>
      </c>
      <c r="C2268" s="1" t="s">
        <v>1042</v>
      </c>
      <c r="D2268" s="1" t="s">
        <v>682</v>
      </c>
      <c r="E2268" s="1" t="s">
        <v>682</v>
      </c>
      <c r="H2268" s="2" t="str">
        <f>Tabella1[[#This Row],[Denominazione]]&amp;" - "&amp;Tabella1[[#This Row],[Città]]</f>
        <v>BAGNI CARLO DI LISOTTI GABRIELLA (Conc N° 48) - FANO</v>
      </c>
    </row>
    <row r="2269" spans="1:8" x14ac:dyDescent="0.25">
      <c r="A2269" s="1" t="s">
        <v>679</v>
      </c>
      <c r="B2269" s="1" t="s">
        <v>2855</v>
      </c>
      <c r="C2269" s="1" t="s">
        <v>2856</v>
      </c>
      <c r="D2269" s="1" t="s">
        <v>1605</v>
      </c>
      <c r="E2269" s="1" t="s">
        <v>1605</v>
      </c>
      <c r="H2269" s="2" t="str">
        <f>Tabella1[[#This Row],[Denominazione]]&amp;" - "&amp;Tabella1[[#This Row],[Città]]</f>
        <v>BAGNI CARLO DI SCROSTA CARLO ( Conc. N° 131) - MONDOLFO</v>
      </c>
    </row>
    <row r="2270" spans="1:8" x14ac:dyDescent="0.25">
      <c r="A2270" s="1" t="s">
        <v>679</v>
      </c>
      <c r="B2270" s="1" t="s">
        <v>10055</v>
      </c>
      <c r="C2270" s="1" t="s">
        <v>10056</v>
      </c>
      <c r="D2270" s="1" t="s">
        <v>8949</v>
      </c>
      <c r="E2270" s="1" t="s">
        <v>8949</v>
      </c>
      <c r="F2270" s="1" t="s">
        <v>10057</v>
      </c>
      <c r="G2270" s="1" t="s">
        <v>10058</v>
      </c>
      <c r="H2270" s="2" t="str">
        <f>Tabella1[[#This Row],[Denominazione]]&amp;" - "&amp;Tabella1[[#This Row],[Città]]</f>
        <v>BAGNI CARLO E ARMANDA N° 79 - SENIGALLIA</v>
      </c>
    </row>
    <row r="2271" spans="1:8" x14ac:dyDescent="0.25">
      <c r="A2271" s="1" t="s">
        <v>679</v>
      </c>
      <c r="B2271" s="1" t="s">
        <v>1028</v>
      </c>
      <c r="C2271" s="1" t="s">
        <v>994</v>
      </c>
      <c r="D2271" s="1" t="s">
        <v>682</v>
      </c>
      <c r="E2271" s="1" t="s">
        <v>682</v>
      </c>
      <c r="H2271" s="2" t="str">
        <f>Tabella1[[#This Row],[Denominazione]]&amp;" - "&amp;Tabella1[[#This Row],[Città]]</f>
        <v>BAGNI CARMEN DI BATTISTI LEONELLO E BATTISTONI CARMEN LUISA - FANO</v>
      </c>
    </row>
    <row r="2272" spans="1:8" x14ac:dyDescent="0.25">
      <c r="A2272" s="1" t="s">
        <v>679</v>
      </c>
      <c r="B2272" s="1" t="s">
        <v>10071</v>
      </c>
      <c r="C2272" s="1" t="s">
        <v>9845</v>
      </c>
      <c r="D2272" s="1" t="s">
        <v>8949</v>
      </c>
      <c r="E2272" s="1" t="s">
        <v>8949</v>
      </c>
      <c r="H2272" s="2" t="str">
        <f>Tabella1[[#This Row],[Denominazione]]&amp;" - "&amp;Tabella1[[#This Row],[Città]]</f>
        <v>BAGNI CATERINA N° 41 - SENIGALLIA</v>
      </c>
    </row>
    <row r="2273" spans="1:8" x14ac:dyDescent="0.25">
      <c r="A2273" s="1" t="s">
        <v>679</v>
      </c>
      <c r="B2273" s="1" t="s">
        <v>2387</v>
      </c>
      <c r="C2273" s="1" t="s">
        <v>2388</v>
      </c>
      <c r="D2273" s="1" t="s">
        <v>1907</v>
      </c>
      <c r="E2273" s="1" t="s">
        <v>1907</v>
      </c>
      <c r="H2273" s="2" t="str">
        <f>Tabella1[[#This Row],[Denominazione]]&amp;" - "&amp;Tabella1[[#This Row],[Città]]</f>
        <v>BAGNI CATIA E GIORGIO N. 42, 43, 44 - GABICCE MARE</v>
      </c>
    </row>
    <row r="2274" spans="1:8" x14ac:dyDescent="0.25">
      <c r="A2274" s="1" t="s">
        <v>679</v>
      </c>
      <c r="B2274" s="1" t="s">
        <v>3975</v>
      </c>
      <c r="C2274" s="1" t="s">
        <v>3976</v>
      </c>
      <c r="D2274" s="1" t="s">
        <v>2386</v>
      </c>
      <c r="E2274" s="1" t="s">
        <v>3977</v>
      </c>
      <c r="F2274" s="1" t="s">
        <v>3978</v>
      </c>
      <c r="G2274" s="1" t="s">
        <v>3979</v>
      </c>
      <c r="H2274" s="2" t="str">
        <f>Tabella1[[#This Row],[Denominazione]]&amp;" - "&amp;Tabella1[[#This Row],[Città]]</f>
        <v>BAGNI CHALET A MARE N 4 - PESARO</v>
      </c>
    </row>
    <row r="2275" spans="1:8" x14ac:dyDescent="0.25">
      <c r="A2275" s="1" t="s">
        <v>679</v>
      </c>
      <c r="B2275" s="1" t="s">
        <v>3980</v>
      </c>
      <c r="C2275" s="1" t="s">
        <v>3981</v>
      </c>
      <c r="D2275" s="1" t="s">
        <v>2386</v>
      </c>
      <c r="E2275" s="1" t="s">
        <v>3901</v>
      </c>
      <c r="F2275" s="1" t="s">
        <v>3978</v>
      </c>
      <c r="G2275" s="1" t="s">
        <v>3979</v>
      </c>
      <c r="H2275" s="2" t="str">
        <f>Tabella1[[#This Row],[Denominazione]]&amp;" - "&amp;Tabella1[[#This Row],[Città]]</f>
        <v>BAGNI CHALET A MARE N 5 - PESARO</v>
      </c>
    </row>
    <row r="2276" spans="1:8" x14ac:dyDescent="0.25">
      <c r="A2276" s="1" t="s">
        <v>679</v>
      </c>
      <c r="B2276" s="1" t="s">
        <v>9844</v>
      </c>
      <c r="C2276" s="1" t="s">
        <v>9845</v>
      </c>
      <c r="D2276" s="1" t="s">
        <v>8949</v>
      </c>
      <c r="E2276" s="1" t="s">
        <v>8949</v>
      </c>
      <c r="H2276" s="2" t="str">
        <f>Tabella1[[#This Row],[Denominazione]]&amp;" - "&amp;Tabella1[[#This Row],[Città]]</f>
        <v>BAGNI CINQUANTUNO N° 20 - SENIGALLIA</v>
      </c>
    </row>
    <row r="2277" spans="1:8" x14ac:dyDescent="0.25">
      <c r="A2277" s="1" t="s">
        <v>679</v>
      </c>
      <c r="B2277" s="1" t="s">
        <v>3852</v>
      </c>
      <c r="C2277" s="1" t="s">
        <v>3853</v>
      </c>
      <c r="D2277" s="1" t="s">
        <v>2386</v>
      </c>
      <c r="E2277" s="1" t="s">
        <v>2386</v>
      </c>
      <c r="G2277" s="1" t="s">
        <v>3854</v>
      </c>
      <c r="H2277" s="2" t="str">
        <f>Tabella1[[#This Row],[Denominazione]]&amp;" - "&amp;Tabella1[[#This Row],[Città]]</f>
        <v>BAGNI CIRO - PESARO</v>
      </c>
    </row>
    <row r="2278" spans="1:8" x14ac:dyDescent="0.25">
      <c r="A2278" s="1" t="s">
        <v>679</v>
      </c>
      <c r="B2278" s="1" t="s">
        <v>9934</v>
      </c>
      <c r="C2278" s="1" t="s">
        <v>9845</v>
      </c>
      <c r="D2278" s="1" t="s">
        <v>8949</v>
      </c>
      <c r="E2278" s="1" t="s">
        <v>8949</v>
      </c>
      <c r="H2278" s="2" t="str">
        <f>Tabella1[[#This Row],[Denominazione]]&amp;" - "&amp;Tabella1[[#This Row],[Città]]</f>
        <v>BAGNI CIRO N° 19 - SENIGALLIA</v>
      </c>
    </row>
    <row r="2279" spans="1:8" x14ac:dyDescent="0.25">
      <c r="A2279" s="1" t="s">
        <v>679</v>
      </c>
      <c r="B2279" s="1" t="s">
        <v>1022</v>
      </c>
      <c r="C2279" s="1" t="s">
        <v>1023</v>
      </c>
      <c r="D2279" s="1" t="s">
        <v>682</v>
      </c>
      <c r="E2279" s="1" t="s">
        <v>682</v>
      </c>
      <c r="H2279" s="2" t="str">
        <f>Tabella1[[#This Row],[Denominazione]]&amp;" - "&amp;Tabella1[[#This Row],[Città]]</f>
        <v>BAGNI CLAUDIA (Conc. N° 140) - FANO</v>
      </c>
    </row>
    <row r="2280" spans="1:8" x14ac:dyDescent="0.25">
      <c r="A2280" s="1" t="s">
        <v>679</v>
      </c>
      <c r="B2280" s="1" t="s">
        <v>1020</v>
      </c>
      <c r="C2280" s="1" t="s">
        <v>1021</v>
      </c>
      <c r="D2280" s="1" t="s">
        <v>682</v>
      </c>
      <c r="E2280" s="1" t="s">
        <v>682</v>
      </c>
      <c r="H2280" s="2" t="str">
        <f>Tabella1[[#This Row],[Denominazione]]&amp;" - "&amp;Tabella1[[#This Row],[Città]]</f>
        <v>BAGNI CLAUDIA (Conc. N° 17) - FANO</v>
      </c>
    </row>
    <row r="2281" spans="1:8" x14ac:dyDescent="0.25">
      <c r="A2281" s="1" t="s">
        <v>679</v>
      </c>
      <c r="B2281" s="1" t="s">
        <v>2853</v>
      </c>
      <c r="C2281" s="1" t="s">
        <v>2847</v>
      </c>
      <c r="D2281" s="1" t="s">
        <v>1605</v>
      </c>
      <c r="E2281" s="1" t="s">
        <v>1456</v>
      </c>
      <c r="H2281" s="2" t="str">
        <f>Tabella1[[#This Row],[Denominazione]]&amp;" - "&amp;Tabella1[[#This Row],[Città]]</f>
        <v>BAGNI CLAUDIO - MONDOLFO</v>
      </c>
    </row>
    <row r="2282" spans="1:8" x14ac:dyDescent="0.25">
      <c r="A2282" s="1" t="s">
        <v>679</v>
      </c>
      <c r="B2282" s="1" t="s">
        <v>9805</v>
      </c>
      <c r="C2282" s="1" t="s">
        <v>9806</v>
      </c>
      <c r="D2282" s="1" t="s">
        <v>8949</v>
      </c>
      <c r="E2282" s="1" t="s">
        <v>8949</v>
      </c>
      <c r="H2282" s="2" t="str">
        <f>Tabella1[[#This Row],[Denominazione]]&amp;" - "&amp;Tabella1[[#This Row],[Città]]</f>
        <v>BAGNI CLIPPER N° 147 - SENIGALLIA</v>
      </c>
    </row>
    <row r="2283" spans="1:8" x14ac:dyDescent="0.25">
      <c r="A2283" s="1" t="s">
        <v>679</v>
      </c>
      <c r="B2283" s="1" t="s">
        <v>9872</v>
      </c>
      <c r="C2283" s="1" t="s">
        <v>9873</v>
      </c>
      <c r="D2283" s="1" t="s">
        <v>8949</v>
      </c>
      <c r="E2283" s="1" t="s">
        <v>8949</v>
      </c>
      <c r="F2283" s="1" t="s">
        <v>9874</v>
      </c>
      <c r="H2283" s="2" t="str">
        <f>Tabella1[[#This Row],[Denominazione]]&amp;" - "&amp;Tabella1[[#This Row],[Città]]</f>
        <v>BAGNI CLUB TRE C N° 30 - SENIGALLIA</v>
      </c>
    </row>
    <row r="2284" spans="1:8" x14ac:dyDescent="0.25">
      <c r="A2284" s="1" t="s">
        <v>679</v>
      </c>
      <c r="B2284" s="1" t="s">
        <v>3808</v>
      </c>
      <c r="C2284" s="1" t="s">
        <v>3809</v>
      </c>
      <c r="D2284" s="1" t="s">
        <v>2386</v>
      </c>
      <c r="E2284" s="1" t="s">
        <v>2386</v>
      </c>
      <c r="H2284" s="2" t="str">
        <f>Tabella1[[#This Row],[Denominazione]]&amp;" - "&amp;Tabella1[[#This Row],[Città]]</f>
        <v>BAGNI COCOLOCO BEACH N 62 - PESARO</v>
      </c>
    </row>
    <row r="2285" spans="1:8" x14ac:dyDescent="0.25">
      <c r="A2285" s="1" t="s">
        <v>679</v>
      </c>
      <c r="B2285" s="1" t="s">
        <v>1058</v>
      </c>
      <c r="C2285" s="1" t="s">
        <v>996</v>
      </c>
      <c r="D2285" s="1" t="s">
        <v>682</v>
      </c>
      <c r="E2285" s="1" t="s">
        <v>682</v>
      </c>
      <c r="H2285" s="2" t="str">
        <f>Tabella1[[#This Row],[Denominazione]]&amp;" - "&amp;Tabella1[[#This Row],[Città]]</f>
        <v>BAGNI CRIDA DI BARTOLUCCI PAOLO E DAVIDE - FANO</v>
      </c>
    </row>
    <row r="2286" spans="1:8" x14ac:dyDescent="0.25">
      <c r="A2286" s="1" t="s">
        <v>679</v>
      </c>
      <c r="B2286" s="1" t="s">
        <v>9998</v>
      </c>
      <c r="C2286" s="1" t="s">
        <v>9999</v>
      </c>
      <c r="D2286" s="1" t="s">
        <v>8949</v>
      </c>
      <c r="E2286" s="1" t="s">
        <v>8949</v>
      </c>
      <c r="H2286" s="2" t="str">
        <f>Tabella1[[#This Row],[Denominazione]]&amp;" - "&amp;Tabella1[[#This Row],[Città]]</f>
        <v>BAGNI CRISTINA N° 70/71 - SENIGALLIA</v>
      </c>
    </row>
    <row r="2287" spans="1:8" x14ac:dyDescent="0.25">
      <c r="A2287" s="1" t="s">
        <v>679</v>
      </c>
      <c r="B2287" s="1" t="s">
        <v>9965</v>
      </c>
      <c r="C2287" s="1" t="s">
        <v>9910</v>
      </c>
      <c r="D2287" s="1" t="s">
        <v>8949</v>
      </c>
      <c r="E2287" s="1" t="s">
        <v>8949</v>
      </c>
      <c r="H2287" s="2" t="str">
        <f>Tabella1[[#This Row],[Denominazione]]&amp;" - "&amp;Tabella1[[#This Row],[Città]]</f>
        <v>BAGNI DA CLAUDIO N° 137 - SENIGALLIA</v>
      </c>
    </row>
    <row r="2288" spans="1:8" x14ac:dyDescent="0.25">
      <c r="A2288" s="1" t="s">
        <v>679</v>
      </c>
      <c r="B2288" s="1" t="s">
        <v>2431</v>
      </c>
      <c r="C2288" s="1" t="s">
        <v>2346</v>
      </c>
      <c r="D2288" s="1" t="s">
        <v>1907</v>
      </c>
      <c r="E2288" s="1" t="s">
        <v>1907</v>
      </c>
      <c r="H2288" s="2" t="str">
        <f>Tabella1[[#This Row],[Denominazione]]&amp;" - "&amp;Tabella1[[#This Row],[Città]]</f>
        <v>BAGNI DANTE N. 1 - GABICCE MARE</v>
      </c>
    </row>
    <row r="2289" spans="1:8" x14ac:dyDescent="0.25">
      <c r="A2289" s="1" t="s">
        <v>679</v>
      </c>
      <c r="B2289" s="1" t="s">
        <v>7079</v>
      </c>
      <c r="C2289" s="1" t="s">
        <v>5741</v>
      </c>
      <c r="D2289" s="1" t="s">
        <v>5735</v>
      </c>
      <c r="E2289" s="1" t="s">
        <v>5735</v>
      </c>
      <c r="H2289" s="2" t="str">
        <f>Tabella1[[#This Row],[Denominazione]]&amp;" - "&amp;Tabella1[[#This Row],[Città]]</f>
        <v>BAGNI DANY - FALCONARA MARITTIMA</v>
      </c>
    </row>
    <row r="2290" spans="1:8" x14ac:dyDescent="0.25">
      <c r="A2290" s="1" t="s">
        <v>679</v>
      </c>
      <c r="B2290" s="1" t="s">
        <v>19128</v>
      </c>
      <c r="C2290" s="1" t="s">
        <v>19048</v>
      </c>
      <c r="D2290" s="1" t="s">
        <v>18082</v>
      </c>
      <c r="E2290" s="1" t="s">
        <v>18082</v>
      </c>
      <c r="H2290" s="2" t="str">
        <f>Tabella1[[#This Row],[Denominazione]]&amp;" - "&amp;Tabella1[[#This Row],[Città]]</f>
        <v>BAGNI DARDO - PORTO SAN GIORGIO</v>
      </c>
    </row>
    <row r="2291" spans="1:8" x14ac:dyDescent="0.25">
      <c r="A2291" s="1" t="s">
        <v>679</v>
      </c>
      <c r="B2291" s="1" t="s">
        <v>9930</v>
      </c>
      <c r="C2291" s="1" t="s">
        <v>9931</v>
      </c>
      <c r="D2291" s="1" t="s">
        <v>8949</v>
      </c>
      <c r="E2291" s="1" t="s">
        <v>9170</v>
      </c>
      <c r="H2291" s="2" t="str">
        <f>Tabella1[[#This Row],[Denominazione]]&amp;" - "&amp;Tabella1[[#This Row],[Città]]</f>
        <v>BAGNI DELFINO N° 2 - SENIGALLIA</v>
      </c>
    </row>
    <row r="2292" spans="1:8" x14ac:dyDescent="0.25">
      <c r="A2292" s="1" t="s">
        <v>35</v>
      </c>
      <c r="B2292" s="1" t="s">
        <v>13618</v>
      </c>
      <c r="C2292" s="1" t="s">
        <v>13619</v>
      </c>
      <c r="D2292" s="1" t="s">
        <v>13548</v>
      </c>
      <c r="E2292" s="1" t="s">
        <v>13620</v>
      </c>
      <c r="G2292" s="1" t="s">
        <v>13621</v>
      </c>
      <c r="H2292" s="2" t="str">
        <f>Tabella1[[#This Row],[Denominazione]]&amp;" - "&amp;Tabella1[[#This Row],[Città]]</f>
        <v>BAGNI DI PITINO - SAN SEVERINO MARCHE</v>
      </c>
    </row>
    <row r="2293" spans="1:8" x14ac:dyDescent="0.25">
      <c r="A2293" s="1" t="s">
        <v>679</v>
      </c>
      <c r="B2293" s="1" t="s">
        <v>10061</v>
      </c>
      <c r="C2293" s="1" t="s">
        <v>9845</v>
      </c>
      <c r="D2293" s="1" t="s">
        <v>8949</v>
      </c>
      <c r="E2293" s="1" t="s">
        <v>8949</v>
      </c>
      <c r="H2293" s="2" t="str">
        <f>Tabella1[[#This Row],[Denominazione]]&amp;" - "&amp;Tabella1[[#This Row],[Città]]</f>
        <v>BAGNI DI SOLE N° 27 - SENIGALLIA</v>
      </c>
    </row>
    <row r="2294" spans="1:8" x14ac:dyDescent="0.25">
      <c r="A2294" s="1" t="s">
        <v>679</v>
      </c>
      <c r="B2294" s="1" t="s">
        <v>15858</v>
      </c>
      <c r="C2294" s="1" t="s">
        <v>2346</v>
      </c>
      <c r="D2294" s="1" t="s">
        <v>15585</v>
      </c>
      <c r="H2294" s="2" t="str">
        <f>Tabella1[[#This Row],[Denominazione]]&amp;" - "&amp;Tabella1[[#This Row],[Città]]</f>
        <v>BAGNI DIANA - GROTTAMMARE</v>
      </c>
    </row>
    <row r="2295" spans="1:8" x14ac:dyDescent="0.25">
      <c r="A2295" s="1" t="s">
        <v>679</v>
      </c>
      <c r="B2295" s="1" t="s">
        <v>9982</v>
      </c>
      <c r="C2295" s="1" t="s">
        <v>9983</v>
      </c>
      <c r="D2295" s="1" t="s">
        <v>8949</v>
      </c>
      <c r="E2295" s="1" t="s">
        <v>8949</v>
      </c>
      <c r="H2295" s="2" t="str">
        <f>Tabella1[[#This Row],[Denominazione]]&amp;" - "&amp;Tabella1[[#This Row],[Città]]</f>
        <v>BAGNI DINO N 96 - SENIGALLIA</v>
      </c>
    </row>
    <row r="2296" spans="1:8" x14ac:dyDescent="0.25">
      <c r="A2296" s="1" t="s">
        <v>679</v>
      </c>
      <c r="B2296" s="1" t="s">
        <v>2429</v>
      </c>
      <c r="C2296" s="1" t="s">
        <v>2430</v>
      </c>
      <c r="D2296" s="1" t="s">
        <v>1907</v>
      </c>
      <c r="E2296" s="1" t="s">
        <v>1907</v>
      </c>
      <c r="H2296" s="2" t="str">
        <f>Tabella1[[#This Row],[Denominazione]]&amp;" - "&amp;Tabella1[[#This Row],[Città]]</f>
        <v>BAGNI DINO N. 22 - GABICCE MARE</v>
      </c>
    </row>
    <row r="2297" spans="1:8" x14ac:dyDescent="0.25">
      <c r="A2297" s="1" t="s">
        <v>679</v>
      </c>
      <c r="B2297" s="1" t="s">
        <v>17108</v>
      </c>
      <c r="D2297" s="1" t="s">
        <v>15819</v>
      </c>
      <c r="F2297" s="1" t="s">
        <v>17109</v>
      </c>
      <c r="H2297" s="2" t="str">
        <f>Tabella1[[#This Row],[Denominazione]]&amp;" - "&amp;Tabella1[[#This Row],[Città]]</f>
        <v>BAGNI DORIA - SAN BENEDETTO DEL TRONTO</v>
      </c>
    </row>
    <row r="2298" spans="1:8" x14ac:dyDescent="0.25">
      <c r="A2298" s="1" t="s">
        <v>679</v>
      </c>
      <c r="B2298" s="1" t="s">
        <v>3908</v>
      </c>
      <c r="C2298" s="1" t="s">
        <v>3830</v>
      </c>
      <c r="D2298" s="1" t="s">
        <v>2386</v>
      </c>
      <c r="E2298" s="1" t="s">
        <v>3833</v>
      </c>
      <c r="H2298" s="2" t="str">
        <f>Tabella1[[#This Row],[Denominazione]]&amp;" - "&amp;Tabella1[[#This Row],[Città]]</f>
        <v>BAGNI DUE PALME - PESARO</v>
      </c>
    </row>
    <row r="2299" spans="1:8" x14ac:dyDescent="0.25">
      <c r="A2299" s="1" t="s">
        <v>679</v>
      </c>
      <c r="B2299" s="1" t="s">
        <v>9842</v>
      </c>
      <c r="C2299" s="1" t="s">
        <v>9843</v>
      </c>
      <c r="D2299" s="1" t="s">
        <v>8949</v>
      </c>
      <c r="E2299" s="1" t="s">
        <v>8949</v>
      </c>
      <c r="H2299" s="2" t="str">
        <f>Tabella1[[#This Row],[Denominazione]]&amp;" - "&amp;Tabella1[[#This Row],[Città]]</f>
        <v>BAGNI ELENA N° 45 - SENIGALLIA</v>
      </c>
    </row>
    <row r="2300" spans="1:8" x14ac:dyDescent="0.25">
      <c r="A2300" s="1" t="s">
        <v>679</v>
      </c>
      <c r="B2300" s="1" t="s">
        <v>1003</v>
      </c>
      <c r="D2300" s="1" t="s">
        <v>682</v>
      </c>
      <c r="E2300" s="1" t="s">
        <v>1004</v>
      </c>
      <c r="H2300" s="2" t="str">
        <f>Tabella1[[#This Row],[Denominazione]]&amp;" - "&amp;Tabella1[[#This Row],[Città]]</f>
        <v>BAGNI ELSA DI TOMBARI ELSA ISOLA - FANO</v>
      </c>
    </row>
    <row r="2301" spans="1:8" x14ac:dyDescent="0.25">
      <c r="A2301" s="1" t="s">
        <v>679</v>
      </c>
      <c r="B2301" s="1" t="s">
        <v>19103</v>
      </c>
      <c r="C2301" s="1" t="s">
        <v>19048</v>
      </c>
      <c r="D2301" s="1" t="s">
        <v>18082</v>
      </c>
      <c r="E2301" s="1" t="s">
        <v>18082</v>
      </c>
      <c r="F2301" s="1" t="s">
        <v>19104</v>
      </c>
      <c r="G2301" s="1" t="s">
        <v>19104</v>
      </c>
      <c r="H2301" s="2" t="str">
        <f>Tabella1[[#This Row],[Denominazione]]&amp;" - "&amp;Tabella1[[#This Row],[Città]]</f>
        <v>BAGNI ELVEZIO - PORTO SAN GIORGIO</v>
      </c>
    </row>
    <row r="2302" spans="1:8" x14ac:dyDescent="0.25">
      <c r="A2302" s="1" t="s">
        <v>679</v>
      </c>
      <c r="B2302" s="1" t="s">
        <v>3868</v>
      </c>
      <c r="C2302" s="1" t="s">
        <v>3869</v>
      </c>
      <c r="D2302" s="1" t="s">
        <v>2386</v>
      </c>
      <c r="E2302" s="1" t="s">
        <v>3870</v>
      </c>
      <c r="H2302" s="2" t="str">
        <f>Tabella1[[#This Row],[Denominazione]]&amp;" - "&amp;Tabella1[[#This Row],[Città]]</f>
        <v>BAGNI ENRICO N 19 - PESARO</v>
      </c>
    </row>
    <row r="2303" spans="1:8" x14ac:dyDescent="0.25">
      <c r="A2303" s="1" t="s">
        <v>679</v>
      </c>
      <c r="B2303" s="1" t="s">
        <v>2371</v>
      </c>
      <c r="C2303" s="1" t="s">
        <v>2372</v>
      </c>
      <c r="D2303" s="1" t="s">
        <v>1907</v>
      </c>
      <c r="E2303" s="1" t="s">
        <v>1907</v>
      </c>
      <c r="H2303" s="2" t="str">
        <f>Tabella1[[#This Row],[Denominazione]]&amp;" - "&amp;Tabella1[[#This Row],[Città]]</f>
        <v>BAGNI ENZO N. 18 - GABICCE MARE</v>
      </c>
    </row>
    <row r="2304" spans="1:8" x14ac:dyDescent="0.25">
      <c r="A2304" s="1" t="s">
        <v>679</v>
      </c>
      <c r="B2304" s="1" t="s">
        <v>1068</v>
      </c>
      <c r="C2304" s="1" t="s">
        <v>954</v>
      </c>
      <c r="D2304" s="1" t="s">
        <v>682</v>
      </c>
      <c r="E2304" s="1" t="s">
        <v>682</v>
      </c>
      <c r="H2304" s="2" t="str">
        <f>Tabella1[[#This Row],[Denominazione]]&amp;" - "&amp;Tabella1[[#This Row],[Città]]</f>
        <v>BAGNI ERMES DI ZAGAGLIA ERMES - FANO</v>
      </c>
    </row>
    <row r="2305" spans="1:8" x14ac:dyDescent="0.25">
      <c r="A2305" s="1" t="s">
        <v>679</v>
      </c>
      <c r="B2305" s="1" t="s">
        <v>1047</v>
      </c>
      <c r="C2305" s="1" t="s">
        <v>1048</v>
      </c>
      <c r="D2305" s="1" t="s">
        <v>682</v>
      </c>
      <c r="E2305" s="1" t="s">
        <v>682</v>
      </c>
      <c r="H2305" s="2" t="str">
        <f>Tabella1[[#This Row],[Denominazione]]&amp;" - "&amp;Tabella1[[#This Row],[Città]]</f>
        <v>BAGNI ERMETE DI GLORI MAURIZIO - FANO</v>
      </c>
    </row>
    <row r="2306" spans="1:8" x14ac:dyDescent="0.25">
      <c r="A2306" s="1" t="s">
        <v>679</v>
      </c>
      <c r="B2306" s="1" t="s">
        <v>17184</v>
      </c>
      <c r="D2306" s="1" t="s">
        <v>15819</v>
      </c>
      <c r="E2306" s="1" t="s">
        <v>17077</v>
      </c>
      <c r="H2306" s="2" t="str">
        <f>Tabella1[[#This Row],[Denominazione]]&amp;" - "&amp;Tabella1[[#This Row],[Città]]</f>
        <v>BAGNI EXCELSIOR - SAN BENEDETTO DEL TRONTO</v>
      </c>
    </row>
    <row r="2307" spans="1:8" x14ac:dyDescent="0.25">
      <c r="A2307" s="1" t="s">
        <v>679</v>
      </c>
      <c r="B2307" s="1" t="s">
        <v>15887</v>
      </c>
      <c r="C2307" s="1" t="s">
        <v>15888</v>
      </c>
      <c r="D2307" s="1" t="s">
        <v>15585</v>
      </c>
      <c r="H2307" s="2" t="str">
        <f>Tabella1[[#This Row],[Denominazione]]&amp;" - "&amp;Tabella1[[#This Row],[Città]]</f>
        <v>BAGNI FABIO (1) - GROTTAMMARE</v>
      </c>
    </row>
    <row r="2308" spans="1:8" x14ac:dyDescent="0.25">
      <c r="A2308" s="1" t="s">
        <v>679</v>
      </c>
      <c r="B2308" s="1" t="s">
        <v>15889</v>
      </c>
      <c r="C2308" s="1" t="s">
        <v>15888</v>
      </c>
      <c r="D2308" s="1" t="s">
        <v>15585</v>
      </c>
      <c r="H2308" s="2" t="str">
        <f>Tabella1[[#This Row],[Denominazione]]&amp;" - "&amp;Tabella1[[#This Row],[Città]]</f>
        <v>BAGNI FABIO (2) - GROTTAMMARE</v>
      </c>
    </row>
    <row r="2309" spans="1:8" x14ac:dyDescent="0.25">
      <c r="A2309" s="1" t="s">
        <v>679</v>
      </c>
      <c r="B2309" s="1" t="s">
        <v>7096</v>
      </c>
      <c r="C2309" s="1" t="s">
        <v>7097</v>
      </c>
      <c r="D2309" s="1" t="s">
        <v>5735</v>
      </c>
      <c r="E2309" s="1" t="s">
        <v>5735</v>
      </c>
      <c r="H2309" s="2" t="str">
        <f>Tabella1[[#This Row],[Denominazione]]&amp;" - "&amp;Tabella1[[#This Row],[Città]]</f>
        <v>BAGNI FANESI - FALCONARA MARITTIMA</v>
      </c>
    </row>
    <row r="2310" spans="1:8" x14ac:dyDescent="0.25">
      <c r="A2310" s="1" t="s">
        <v>679</v>
      </c>
      <c r="B2310" s="1" t="s">
        <v>2420</v>
      </c>
      <c r="C2310" s="1" t="s">
        <v>2421</v>
      </c>
      <c r="D2310" s="1" t="s">
        <v>1907</v>
      </c>
      <c r="E2310" s="1" t="s">
        <v>1907</v>
      </c>
      <c r="F2310" s="1" t="s">
        <v>2422</v>
      </c>
      <c r="H2310" s="2" t="str">
        <f>Tabella1[[#This Row],[Denominazione]]&amp;" - "&amp;Tabella1[[#This Row],[Città]]</f>
        <v>BAGNI FERNANDO &amp; LUCIANO N. 25 - GABICCE MARE</v>
      </c>
    </row>
    <row r="2311" spans="1:8" x14ac:dyDescent="0.25">
      <c r="A2311" s="1" t="s">
        <v>679</v>
      </c>
      <c r="B2311" s="1" t="s">
        <v>9978</v>
      </c>
      <c r="C2311" s="1" t="s">
        <v>9979</v>
      </c>
      <c r="D2311" s="1" t="s">
        <v>8949</v>
      </c>
      <c r="E2311" s="1" t="s">
        <v>8949</v>
      </c>
      <c r="H2311" s="2" t="str">
        <f>Tabella1[[#This Row],[Denominazione]]&amp;" - "&amp;Tabella1[[#This Row],[Città]]</f>
        <v>BAGNI FIRMINA N° 84 - SENIGALLIA</v>
      </c>
    </row>
    <row r="2312" spans="1:8" x14ac:dyDescent="0.25">
      <c r="A2312" s="1" t="s">
        <v>679</v>
      </c>
      <c r="B2312" s="1" t="s">
        <v>19077</v>
      </c>
      <c r="C2312" s="1" t="s">
        <v>19078</v>
      </c>
      <c r="D2312" s="1" t="s">
        <v>18082</v>
      </c>
      <c r="E2312" s="1" t="s">
        <v>18082</v>
      </c>
      <c r="F2312" s="1" t="s">
        <v>19079</v>
      </c>
      <c r="H2312" s="2" t="str">
        <f>Tabella1[[#This Row],[Denominazione]]&amp;" - "&amp;Tabella1[[#This Row],[Città]]</f>
        <v>BAGNI FLORINDA - PORTO SAN GIORGIO</v>
      </c>
    </row>
    <row r="2313" spans="1:8" x14ac:dyDescent="0.25">
      <c r="A2313" s="1" t="s">
        <v>679</v>
      </c>
      <c r="B2313" s="1" t="s">
        <v>10054</v>
      </c>
      <c r="C2313" s="1" t="s">
        <v>9845</v>
      </c>
      <c r="D2313" s="1" t="s">
        <v>8949</v>
      </c>
      <c r="E2313" s="1" t="s">
        <v>8949</v>
      </c>
      <c r="H2313" s="2" t="str">
        <f>Tabella1[[#This Row],[Denominazione]]&amp;" - "&amp;Tabella1[[#This Row],[Città]]</f>
        <v>BAGNI FLORISA N° 8 - SENIGALLIA</v>
      </c>
    </row>
    <row r="2314" spans="1:8" x14ac:dyDescent="0.25">
      <c r="A2314" s="1" t="s">
        <v>679</v>
      </c>
      <c r="B2314" s="1" t="s">
        <v>17187</v>
      </c>
      <c r="C2314" s="1" t="s">
        <v>17188</v>
      </c>
      <c r="D2314" s="1" t="s">
        <v>15819</v>
      </c>
      <c r="H2314" s="2" t="str">
        <f>Tabella1[[#This Row],[Denominazione]]&amp;" - "&amp;Tabella1[[#This Row],[Città]]</f>
        <v>BAGNI FORTUNA - SAN BENEDETTO DEL TRONTO</v>
      </c>
    </row>
    <row r="2315" spans="1:8" x14ac:dyDescent="0.25">
      <c r="A2315" s="1" t="s">
        <v>679</v>
      </c>
      <c r="B2315" s="1" t="s">
        <v>3859</v>
      </c>
      <c r="C2315" s="1" t="s">
        <v>3860</v>
      </c>
      <c r="D2315" s="1" t="s">
        <v>2386</v>
      </c>
      <c r="E2315" s="1" t="s">
        <v>2386</v>
      </c>
      <c r="H2315" s="2" t="str">
        <f>Tabella1[[#This Row],[Denominazione]]&amp;" - "&amp;Tabella1[[#This Row],[Città]]</f>
        <v>BAGNI FRANCO - PESARO</v>
      </c>
    </row>
    <row r="2316" spans="1:8" x14ac:dyDescent="0.25">
      <c r="A2316" s="1" t="s">
        <v>679</v>
      </c>
      <c r="B2316" s="1" t="s">
        <v>998</v>
      </c>
      <c r="C2316" s="1" t="s">
        <v>999</v>
      </c>
      <c r="D2316" s="1" t="s">
        <v>682</v>
      </c>
      <c r="E2316" s="1" t="s">
        <v>1000</v>
      </c>
      <c r="F2316" s="1" t="s">
        <v>1001</v>
      </c>
      <c r="G2316" s="1" t="s">
        <v>1002</v>
      </c>
      <c r="H2316" s="2" t="str">
        <f>Tabella1[[#This Row],[Denominazione]]&amp;" - "&amp;Tabella1[[#This Row],[Città]]</f>
        <v>BAGNI FRANCO (Conc. N° 56) DI GAUDENZI GIANFRANCO - FANO</v>
      </c>
    </row>
    <row r="2317" spans="1:8" x14ac:dyDescent="0.25">
      <c r="A2317" s="1" t="s">
        <v>679</v>
      </c>
      <c r="B2317" s="1" t="s">
        <v>2858</v>
      </c>
      <c r="C2317" s="1" t="s">
        <v>994</v>
      </c>
      <c r="D2317" s="1" t="s">
        <v>1605</v>
      </c>
      <c r="E2317" s="1" t="s">
        <v>1605</v>
      </c>
      <c r="H2317" s="2" t="str">
        <f>Tabella1[[#This Row],[Denominazione]]&amp;" - "&amp;Tabella1[[#This Row],[Città]]</f>
        <v>BAGNI FRANCO DI PORTAVIA LUCA(Conc. Integrativa N° 1) - MONDOLFO</v>
      </c>
    </row>
    <row r="2318" spans="1:8" x14ac:dyDescent="0.25">
      <c r="A2318" s="1" t="s">
        <v>679</v>
      </c>
      <c r="B2318" s="1" t="s">
        <v>2389</v>
      </c>
      <c r="C2318" s="1" t="s">
        <v>2390</v>
      </c>
      <c r="D2318" s="1" t="s">
        <v>1907</v>
      </c>
      <c r="E2318" s="1" t="s">
        <v>1907</v>
      </c>
      <c r="F2318" s="1" t="s">
        <v>2391</v>
      </c>
      <c r="H2318" s="2" t="str">
        <f>Tabella1[[#This Row],[Denominazione]]&amp;" - "&amp;Tabella1[[#This Row],[Città]]</f>
        <v>BAGNI FRANCO N. 37 - GABICCE MARE</v>
      </c>
    </row>
    <row r="2319" spans="1:8" x14ac:dyDescent="0.25">
      <c r="A2319" s="1" t="s">
        <v>679</v>
      </c>
      <c r="B2319" s="1" t="s">
        <v>7113</v>
      </c>
      <c r="C2319" s="1" t="s">
        <v>2346</v>
      </c>
      <c r="D2319" s="1" t="s">
        <v>5735</v>
      </c>
      <c r="E2319" s="1" t="s">
        <v>5735</v>
      </c>
      <c r="F2319" s="1" t="s">
        <v>7114</v>
      </c>
      <c r="H2319" s="2" t="str">
        <f>Tabella1[[#This Row],[Denominazione]]&amp;" - "&amp;Tabella1[[#This Row],[Città]]</f>
        <v>BAGNI GABBIANO - FALCONARA MARITTIMA</v>
      </c>
    </row>
    <row r="2320" spans="1:8" x14ac:dyDescent="0.25">
      <c r="A2320" s="1" t="s">
        <v>679</v>
      </c>
      <c r="B2320" s="1" t="s">
        <v>10066</v>
      </c>
      <c r="C2320" s="1" t="s">
        <v>10067</v>
      </c>
      <c r="D2320" s="1" t="s">
        <v>8949</v>
      </c>
      <c r="E2320" s="1" t="s">
        <v>8949</v>
      </c>
      <c r="H2320" s="2" t="str">
        <f>Tabella1[[#This Row],[Denominazione]]&amp;" - "&amp;Tabella1[[#This Row],[Città]]</f>
        <v>BAGNI GABBIANO N° 25 - SENIGALLIA</v>
      </c>
    </row>
    <row r="2321" spans="1:8" x14ac:dyDescent="0.25">
      <c r="A2321" s="1" t="s">
        <v>679</v>
      </c>
      <c r="B2321" s="1" t="s">
        <v>1061</v>
      </c>
      <c r="C2321" s="1" t="s">
        <v>1036</v>
      </c>
      <c r="D2321" s="1" t="s">
        <v>682</v>
      </c>
      <c r="E2321" s="1" t="s">
        <v>682</v>
      </c>
      <c r="H2321" s="2" t="str">
        <f>Tabella1[[#This Row],[Denominazione]]&amp;" - "&amp;Tabella1[[#This Row],[Città]]</f>
        <v>BAGNI GABRIELE DI BARBINI GABRIELE - FANO</v>
      </c>
    </row>
    <row r="2322" spans="1:8" x14ac:dyDescent="0.25">
      <c r="A2322" s="1" t="s">
        <v>679</v>
      </c>
      <c r="B2322" s="1" t="s">
        <v>10032</v>
      </c>
      <c r="C2322" s="1" t="s">
        <v>9910</v>
      </c>
      <c r="D2322" s="1" t="s">
        <v>8949</v>
      </c>
      <c r="E2322" s="1" t="s">
        <v>8949</v>
      </c>
      <c r="H2322" s="2" t="str">
        <f>Tabella1[[#This Row],[Denominazione]]&amp;" - "&amp;Tabella1[[#This Row],[Città]]</f>
        <v>BAGNI GABRIELE N° 115 - SENIGALLIA</v>
      </c>
    </row>
    <row r="2323" spans="1:8" x14ac:dyDescent="0.25">
      <c r="A2323" s="1" t="s">
        <v>679</v>
      </c>
      <c r="B2323" s="1" t="s">
        <v>10062</v>
      </c>
      <c r="C2323" s="1" t="s">
        <v>10063</v>
      </c>
      <c r="D2323" s="1" t="s">
        <v>8949</v>
      </c>
      <c r="E2323" s="1" t="s">
        <v>8949</v>
      </c>
      <c r="H2323" s="2" t="str">
        <f>Tabella1[[#This Row],[Denominazione]]&amp;" - "&amp;Tabella1[[#This Row],[Città]]</f>
        <v>BAGNI GABRIELLA N° 66 - SENIGALLIA</v>
      </c>
    </row>
    <row r="2324" spans="1:8" x14ac:dyDescent="0.25">
      <c r="A2324" s="1" t="s">
        <v>679</v>
      </c>
      <c r="B2324" s="1" t="s">
        <v>3850</v>
      </c>
      <c r="C2324" s="1" t="s">
        <v>3851</v>
      </c>
      <c r="D2324" s="1" t="s">
        <v>2386</v>
      </c>
      <c r="E2324" s="1" t="s">
        <v>2386</v>
      </c>
      <c r="H2324" s="2" t="str">
        <f>Tabella1[[#This Row],[Denominazione]]&amp;" - "&amp;Tabella1[[#This Row],[Città]]</f>
        <v>BAGNI GABRY - PESARO</v>
      </c>
    </row>
    <row r="2325" spans="1:8" x14ac:dyDescent="0.25">
      <c r="A2325" s="1" t="s">
        <v>679</v>
      </c>
      <c r="B2325" s="1" t="s">
        <v>11628</v>
      </c>
      <c r="C2325" s="1" t="s">
        <v>11629</v>
      </c>
      <c r="D2325" s="1" t="s">
        <v>11244</v>
      </c>
      <c r="E2325" s="1" t="s">
        <v>11244</v>
      </c>
      <c r="H2325" s="2" t="str">
        <f>Tabella1[[#This Row],[Denominazione]]&amp;" - "&amp;Tabella1[[#This Row],[Città]]</f>
        <v>BAGNI GALLIANO - CIVITANOVA MARCHE</v>
      </c>
    </row>
    <row r="2326" spans="1:8" x14ac:dyDescent="0.25">
      <c r="A2326" s="1" t="s">
        <v>679</v>
      </c>
      <c r="B2326" s="1" t="s">
        <v>3888</v>
      </c>
      <c r="C2326" s="1" t="s">
        <v>3811</v>
      </c>
      <c r="D2326" s="1" t="s">
        <v>2386</v>
      </c>
      <c r="E2326" s="1" t="s">
        <v>3889</v>
      </c>
      <c r="F2326" s="1" t="s">
        <v>3890</v>
      </c>
      <c r="H2326" s="2" t="str">
        <f>Tabella1[[#This Row],[Denominazione]]&amp;" - "&amp;Tabella1[[#This Row],[Città]]</f>
        <v>BAGNI GASTONE &amp; MARTA - PESARO</v>
      </c>
    </row>
    <row r="2327" spans="1:8" x14ac:dyDescent="0.25">
      <c r="A2327" s="1" t="s">
        <v>679</v>
      </c>
      <c r="B2327" s="1" t="s">
        <v>2434</v>
      </c>
      <c r="C2327" s="1" t="s">
        <v>2435</v>
      </c>
      <c r="D2327" s="1" t="s">
        <v>1907</v>
      </c>
      <c r="E2327" s="1" t="s">
        <v>1907</v>
      </c>
      <c r="H2327" s="2" t="str">
        <f>Tabella1[[#This Row],[Denominazione]]&amp;" - "&amp;Tabella1[[#This Row],[Città]]</f>
        <v>BAGNI GIACOMO N. 3 - GABICCE MARE</v>
      </c>
    </row>
    <row r="2328" spans="1:8" x14ac:dyDescent="0.25">
      <c r="A2328" s="1" t="s">
        <v>679</v>
      </c>
      <c r="B2328" s="1" t="s">
        <v>3886</v>
      </c>
      <c r="C2328" s="1" t="s">
        <v>3811</v>
      </c>
      <c r="D2328" s="1" t="s">
        <v>2386</v>
      </c>
      <c r="E2328" s="1" t="s">
        <v>3812</v>
      </c>
      <c r="H2328" s="2" t="str">
        <f>Tabella1[[#This Row],[Denominazione]]&amp;" - "&amp;Tabella1[[#This Row],[Città]]</f>
        <v>BAGNI GILBERTO - PESARO</v>
      </c>
    </row>
    <row r="2329" spans="1:8" x14ac:dyDescent="0.25">
      <c r="A2329" s="1" t="s">
        <v>679</v>
      </c>
      <c r="B2329" s="1" t="s">
        <v>3891</v>
      </c>
      <c r="C2329" s="1" t="s">
        <v>3811</v>
      </c>
      <c r="D2329" s="1" t="s">
        <v>2386</v>
      </c>
      <c r="E2329" s="1" t="s">
        <v>3889</v>
      </c>
      <c r="F2329" s="1" t="s">
        <v>3892</v>
      </c>
      <c r="H2329" s="2" t="str">
        <f>Tabella1[[#This Row],[Denominazione]]&amp;" - "&amp;Tabella1[[#This Row],[Città]]</f>
        <v>BAGNI GINO DI GUIDI MONICA - PESARO</v>
      </c>
    </row>
    <row r="2330" spans="1:8" x14ac:dyDescent="0.25">
      <c r="A2330" s="1" t="s">
        <v>679</v>
      </c>
      <c r="B2330" s="1" t="s">
        <v>2373</v>
      </c>
      <c r="C2330" s="1" t="s">
        <v>2374</v>
      </c>
      <c r="D2330" s="1" t="s">
        <v>1907</v>
      </c>
      <c r="E2330" s="1" t="s">
        <v>1907</v>
      </c>
      <c r="F2330" s="1" t="s">
        <v>2375</v>
      </c>
      <c r="G2330" s="1" t="s">
        <v>2376</v>
      </c>
      <c r="H2330" s="2" t="str">
        <f>Tabella1[[#This Row],[Denominazione]]&amp;" - "&amp;Tabella1[[#This Row],[Città]]</f>
        <v>BAGNI GINO E CARLA N. 19 - GABICCE MARE</v>
      </c>
    </row>
    <row r="2331" spans="1:8" x14ac:dyDescent="0.25">
      <c r="A2331" s="1" t="s">
        <v>679</v>
      </c>
      <c r="B2331" s="1" t="s">
        <v>3880</v>
      </c>
      <c r="C2331" s="1" t="s">
        <v>3811</v>
      </c>
      <c r="D2331" s="1" t="s">
        <v>2386</v>
      </c>
      <c r="E2331" s="1" t="s">
        <v>3876</v>
      </c>
      <c r="H2331" s="2" t="str">
        <f>Tabella1[[#This Row],[Denominazione]]&amp;" - "&amp;Tabella1[[#This Row],[Città]]</f>
        <v>BAGNI GINO N.34 - PESARO</v>
      </c>
    </row>
    <row r="2332" spans="1:8" x14ac:dyDescent="0.25">
      <c r="A2332" s="1" t="s">
        <v>679</v>
      </c>
      <c r="B2332" s="1" t="s">
        <v>2416</v>
      </c>
      <c r="C2332" s="1" t="s">
        <v>2390</v>
      </c>
      <c r="D2332" s="1" t="s">
        <v>1907</v>
      </c>
      <c r="E2332" s="1" t="s">
        <v>1907</v>
      </c>
      <c r="H2332" s="2" t="str">
        <f>Tabella1[[#This Row],[Denominazione]]&amp;" - "&amp;Tabella1[[#This Row],[Città]]</f>
        <v>BAGNI GIORGIO N. 27 - GABICCE MARE</v>
      </c>
    </row>
    <row r="2333" spans="1:8" x14ac:dyDescent="0.25">
      <c r="A2333" s="1" t="s">
        <v>679</v>
      </c>
      <c r="B2333" s="1" t="s">
        <v>10020</v>
      </c>
      <c r="C2333" s="1" t="s">
        <v>9910</v>
      </c>
      <c r="D2333" s="1" t="s">
        <v>8949</v>
      </c>
      <c r="E2333" s="1" t="s">
        <v>8949</v>
      </c>
      <c r="G2333" s="1" t="s">
        <v>10021</v>
      </c>
      <c r="H2333" s="2" t="str">
        <f>Tabella1[[#This Row],[Denominazione]]&amp;" - "&amp;Tabella1[[#This Row],[Città]]</f>
        <v>BAGNI GISELLA &amp; IVANO N° 111 - SENIGALLIA</v>
      </c>
    </row>
    <row r="2334" spans="1:8" x14ac:dyDescent="0.25">
      <c r="A2334" s="1" t="s">
        <v>679</v>
      </c>
      <c r="B2334" s="1" t="s">
        <v>19095</v>
      </c>
      <c r="C2334" s="1" t="s">
        <v>19078</v>
      </c>
      <c r="D2334" s="1" t="s">
        <v>18082</v>
      </c>
      <c r="E2334" s="1" t="s">
        <v>18082</v>
      </c>
      <c r="F2334" s="1" t="s">
        <v>19096</v>
      </c>
      <c r="H2334" s="2" t="str">
        <f>Tabella1[[#This Row],[Denominazione]]&amp;" - "&amp;Tabella1[[#This Row],[Città]]</f>
        <v>BAGNI GIULIANA - PORTO SAN GIORGIO</v>
      </c>
    </row>
    <row r="2335" spans="1:8" x14ac:dyDescent="0.25">
      <c r="A2335" s="1" t="s">
        <v>679</v>
      </c>
      <c r="B2335" s="1" t="s">
        <v>9885</v>
      </c>
      <c r="C2335" s="1" t="s">
        <v>9845</v>
      </c>
      <c r="D2335" s="1" t="s">
        <v>8949</v>
      </c>
      <c r="E2335" s="1" t="s">
        <v>8949</v>
      </c>
      <c r="H2335" s="2" t="str">
        <f>Tabella1[[#This Row],[Denominazione]]&amp;" - "&amp;Tabella1[[#This Row],[Città]]</f>
        <v>BAGNI GIULIANA N° 12 - SENIGALLIA</v>
      </c>
    </row>
    <row r="2336" spans="1:8" x14ac:dyDescent="0.25">
      <c r="A2336" s="1" t="s">
        <v>679</v>
      </c>
      <c r="B2336" s="1" t="s">
        <v>3878</v>
      </c>
      <c r="C2336" s="1" t="s">
        <v>3825</v>
      </c>
      <c r="D2336" s="1" t="s">
        <v>2386</v>
      </c>
      <c r="E2336" s="1" t="s">
        <v>3812</v>
      </c>
      <c r="F2336" s="1" t="s">
        <v>3879</v>
      </c>
      <c r="H2336" s="2" t="str">
        <f>Tabella1[[#This Row],[Denominazione]]&amp;" - "&amp;Tabella1[[#This Row],[Città]]</f>
        <v>BAGNI GIUSEPPE - PESARO</v>
      </c>
    </row>
    <row r="2337" spans="1:8" x14ac:dyDescent="0.25">
      <c r="A2337" s="1" t="s">
        <v>679</v>
      </c>
      <c r="B2337" s="1" t="s">
        <v>9952</v>
      </c>
      <c r="C2337" s="1" t="s">
        <v>9953</v>
      </c>
      <c r="D2337" s="1" t="s">
        <v>8949</v>
      </c>
      <c r="E2337" s="1" t="s">
        <v>8949</v>
      </c>
      <c r="F2337" s="1" t="s">
        <v>9954</v>
      </c>
      <c r="G2337" s="1" t="s">
        <v>9526</v>
      </c>
      <c r="H2337" s="2" t="str">
        <f>Tabella1[[#This Row],[Denominazione]]&amp;" - "&amp;Tabella1[[#This Row],[Città]]</f>
        <v>BAGNI GRAND HOTEL EXCELSIOR N° 97 - SENIGALLIA</v>
      </c>
    </row>
    <row r="2338" spans="1:8" x14ac:dyDescent="0.25">
      <c r="A2338" s="1" t="s">
        <v>679</v>
      </c>
      <c r="B2338" s="1" t="s">
        <v>7765</v>
      </c>
      <c r="C2338" s="1" t="s">
        <v>7766</v>
      </c>
      <c r="D2338" s="1" t="s">
        <v>7718</v>
      </c>
      <c r="E2338" s="1" t="s">
        <v>7748</v>
      </c>
      <c r="F2338" s="1" t="s">
        <v>7767</v>
      </c>
      <c r="H2338" s="2" t="str">
        <f>Tabella1[[#This Row],[Denominazione]]&amp;" - "&amp;Tabella1[[#This Row],[Città]]</f>
        <v>BAGNI HEIDI - MONTEMARCIANO</v>
      </c>
    </row>
    <row r="2339" spans="1:8" x14ac:dyDescent="0.25">
      <c r="A2339" s="1" t="s">
        <v>679</v>
      </c>
      <c r="B2339" s="1" t="s">
        <v>3839</v>
      </c>
      <c r="C2339" s="1" t="s">
        <v>3840</v>
      </c>
      <c r="D2339" s="1" t="s">
        <v>2386</v>
      </c>
      <c r="E2339" s="1" t="s">
        <v>2386</v>
      </c>
      <c r="H2339" s="2" t="str">
        <f>Tabella1[[#This Row],[Denominazione]]&amp;" - "&amp;Tabella1[[#This Row],[Città]]</f>
        <v>BAGNI HELIOS - PESARO</v>
      </c>
    </row>
    <row r="2340" spans="1:8" x14ac:dyDescent="0.25">
      <c r="A2340" s="1" t="s">
        <v>679</v>
      </c>
      <c r="B2340" s="1" t="s">
        <v>10007</v>
      </c>
      <c r="C2340" s="1" t="s">
        <v>10008</v>
      </c>
      <c r="D2340" s="1" t="s">
        <v>8949</v>
      </c>
      <c r="E2340" s="1" t="s">
        <v>8949</v>
      </c>
      <c r="F2340" s="1" t="s">
        <v>9700</v>
      </c>
      <c r="G2340" s="1" t="s">
        <v>9699</v>
      </c>
      <c r="H2340" s="2" t="str">
        <f>Tabella1[[#This Row],[Denominazione]]&amp;" - "&amp;Tabella1[[#This Row],[Città]]</f>
        <v>BAGNI HOTEL BOLOGNA N° 29 - SENIGALLIA</v>
      </c>
    </row>
    <row r="2341" spans="1:8" x14ac:dyDescent="0.25">
      <c r="A2341" s="1" t="s">
        <v>679</v>
      </c>
      <c r="B2341" s="1" t="s">
        <v>9915</v>
      </c>
      <c r="C2341" s="1" t="s">
        <v>9916</v>
      </c>
      <c r="D2341" s="1" t="s">
        <v>8949</v>
      </c>
      <c r="E2341" s="1" t="s">
        <v>8949</v>
      </c>
      <c r="F2341" s="1" t="s">
        <v>9747</v>
      </c>
      <c r="G2341" s="1" t="s">
        <v>9748</v>
      </c>
      <c r="H2341" s="2" t="str">
        <f>Tabella1[[#This Row],[Denominazione]]&amp;" - "&amp;Tabella1[[#This Row],[Città]]</f>
        <v>BAGNI HOTEL CARAIBI N 3 - SENIGALLIA</v>
      </c>
    </row>
    <row r="2342" spans="1:8" x14ac:dyDescent="0.25">
      <c r="A2342" s="1" t="s">
        <v>679</v>
      </c>
      <c r="B2342" s="1" t="s">
        <v>15418</v>
      </c>
      <c r="C2342" s="1" t="s">
        <v>15419</v>
      </c>
      <c r="D2342" s="1" t="s">
        <v>15349</v>
      </c>
      <c r="E2342" s="1" t="s">
        <v>15349</v>
      </c>
      <c r="F2342" s="1" t="s">
        <v>15420</v>
      </c>
      <c r="H2342" s="2" t="str">
        <f>Tabella1[[#This Row],[Denominazione]]&amp;" - "&amp;Tabella1[[#This Row],[Città]]</f>
        <v>BAGNI HOTEL EUROPA DI SPLENDIANI G. - CUPRA MARITTIMA</v>
      </c>
    </row>
    <row r="2343" spans="1:8" x14ac:dyDescent="0.25">
      <c r="A2343" s="1" t="s">
        <v>679</v>
      </c>
      <c r="B2343" s="1" t="s">
        <v>17359</v>
      </c>
      <c r="C2343" s="1" t="s">
        <v>17360</v>
      </c>
      <c r="D2343" s="1" t="s">
        <v>15819</v>
      </c>
      <c r="E2343" s="1" t="s">
        <v>17056</v>
      </c>
      <c r="F2343" s="1" t="s">
        <v>17361</v>
      </c>
      <c r="H2343" s="2" t="str">
        <f>Tabella1[[#This Row],[Denominazione]]&amp;" - "&amp;Tabella1[[#This Row],[Città]]</f>
        <v>BAGNI HOTEL FAUSTO - SAN BENEDETTO DEL TRONTO</v>
      </c>
    </row>
    <row r="2344" spans="1:8" x14ac:dyDescent="0.25">
      <c r="A2344" s="1" t="s">
        <v>679</v>
      </c>
      <c r="B2344" s="1" t="s">
        <v>9803</v>
      </c>
      <c r="C2344" s="1" t="s">
        <v>9804</v>
      </c>
      <c r="D2344" s="1" t="s">
        <v>8949</v>
      </c>
      <c r="E2344" s="1" t="s">
        <v>8949</v>
      </c>
      <c r="H2344" s="2" t="str">
        <f>Tabella1[[#This Row],[Denominazione]]&amp;" - "&amp;Tabella1[[#This Row],[Città]]</f>
        <v>BAGNI HOTEL GABBIANO N° 140 - SENIGALLIA</v>
      </c>
    </row>
    <row r="2345" spans="1:8" x14ac:dyDescent="0.25">
      <c r="A2345" s="1" t="s">
        <v>679</v>
      </c>
      <c r="B2345" s="1" t="s">
        <v>17124</v>
      </c>
      <c r="C2345" s="1" t="s">
        <v>17125</v>
      </c>
      <c r="D2345" s="1" t="s">
        <v>15819</v>
      </c>
      <c r="E2345" s="1" t="s">
        <v>15819</v>
      </c>
      <c r="H2345" s="2" t="str">
        <f>Tabella1[[#This Row],[Denominazione]]&amp;" - "&amp;Tabella1[[#This Row],[Città]]</f>
        <v>BAGNI HOTEL HAITI - SAN BENEDETTO DEL TRONTO</v>
      </c>
    </row>
    <row r="2346" spans="1:8" x14ac:dyDescent="0.25">
      <c r="A2346" s="1" t="s">
        <v>679</v>
      </c>
      <c r="B2346" s="1" t="s">
        <v>17121</v>
      </c>
      <c r="C2346" s="1" t="s">
        <v>9843</v>
      </c>
      <c r="D2346" s="1" t="s">
        <v>15819</v>
      </c>
      <c r="H2346" s="2" t="str">
        <f>Tabella1[[#This Row],[Denominazione]]&amp;" - "&amp;Tabella1[[#This Row],[Città]]</f>
        <v>BAGNI HOTEL HOLIDAY - SAN BENEDETTO DEL TRONTO</v>
      </c>
    </row>
    <row r="2347" spans="1:8" x14ac:dyDescent="0.25">
      <c r="A2347" s="1" t="s">
        <v>679</v>
      </c>
      <c r="B2347" s="1" t="s">
        <v>9971</v>
      </c>
      <c r="C2347" s="1" t="s">
        <v>9845</v>
      </c>
      <c r="D2347" s="1" t="s">
        <v>8949</v>
      </c>
      <c r="E2347" s="1" t="s">
        <v>8949</v>
      </c>
      <c r="F2347" s="1" t="s">
        <v>9718</v>
      </c>
      <c r="G2347" s="1" t="s">
        <v>9719</v>
      </c>
      <c r="H2347" s="2" t="str">
        <f>Tabella1[[#This Row],[Denominazione]]&amp;" - "&amp;Tabella1[[#This Row],[Città]]</f>
        <v>BAGNI HOTEL INTERNATIONAL N° 34 - SENIGALLIA</v>
      </c>
    </row>
    <row r="2348" spans="1:8" x14ac:dyDescent="0.25">
      <c r="A2348" s="1" t="s">
        <v>679</v>
      </c>
      <c r="B2348" s="1" t="s">
        <v>19075</v>
      </c>
      <c r="C2348" s="1" t="s">
        <v>19048</v>
      </c>
      <c r="D2348" s="1" t="s">
        <v>18082</v>
      </c>
      <c r="E2348" s="1" t="s">
        <v>18082</v>
      </c>
      <c r="F2348" s="1" t="s">
        <v>19076</v>
      </c>
      <c r="H2348" s="2" t="str">
        <f>Tabella1[[#This Row],[Denominazione]]&amp;" - "&amp;Tabella1[[#This Row],[Città]]</f>
        <v>BAGNI HOTEL LANTERNA - PORTO SAN GIORGIO</v>
      </c>
    </row>
    <row r="2349" spans="1:8" x14ac:dyDescent="0.25">
      <c r="A2349" s="1" t="s">
        <v>679</v>
      </c>
      <c r="B2349" s="1" t="s">
        <v>15901</v>
      </c>
      <c r="C2349" s="1" t="s">
        <v>15902</v>
      </c>
      <c r="D2349" s="1" t="s">
        <v>15585</v>
      </c>
      <c r="H2349" s="2" t="str">
        <f>Tabella1[[#This Row],[Denominazione]]&amp;" - "&amp;Tabella1[[#This Row],[Città]]</f>
        <v>BAGNI HOTEL MARCONI - GROTTAMMARE</v>
      </c>
    </row>
    <row r="2350" spans="1:8" x14ac:dyDescent="0.25">
      <c r="A2350" s="1" t="s">
        <v>679</v>
      </c>
      <c r="B2350" s="1" t="s">
        <v>17226</v>
      </c>
      <c r="C2350" s="1" t="s">
        <v>17227</v>
      </c>
      <c r="D2350" s="1" t="s">
        <v>15819</v>
      </c>
      <c r="H2350" s="2" t="str">
        <f>Tabella1[[#This Row],[Denominazione]]&amp;" - "&amp;Tabella1[[#This Row],[Città]]</f>
        <v>BAGNI HOTEL MICHELANGELO - SAN BENEDETTO DEL TRONTO</v>
      </c>
    </row>
    <row r="2351" spans="1:8" x14ac:dyDescent="0.25">
      <c r="A2351" s="1" t="s">
        <v>679</v>
      </c>
      <c r="B2351" s="1" t="s">
        <v>17241</v>
      </c>
      <c r="C2351" s="1" t="s">
        <v>17242</v>
      </c>
      <c r="D2351" s="1" t="s">
        <v>15819</v>
      </c>
      <c r="E2351" s="1" t="s">
        <v>682</v>
      </c>
      <c r="H2351" s="2" t="str">
        <f>Tabella1[[#This Row],[Denominazione]]&amp;" - "&amp;Tabella1[[#This Row],[Città]]</f>
        <v>BAGNI HOTEL OLIMPO - SAN BENEDETTO DEL TRONTO</v>
      </c>
    </row>
    <row r="2352" spans="1:8" x14ac:dyDescent="0.25">
      <c r="A2352" s="1" t="s">
        <v>679</v>
      </c>
      <c r="B2352" s="1" t="s">
        <v>15868</v>
      </c>
      <c r="C2352" s="1" t="s">
        <v>15818</v>
      </c>
      <c r="D2352" s="1" t="s">
        <v>15585</v>
      </c>
      <c r="H2352" s="2" t="str">
        <f>Tabella1[[#This Row],[Denominazione]]&amp;" - "&amp;Tabella1[[#This Row],[Città]]</f>
        <v>BAGNI HOTEL ROMA - Bahia Blanca - GROTTAMMARE</v>
      </c>
    </row>
    <row r="2353" spans="1:8" x14ac:dyDescent="0.25">
      <c r="A2353" s="1" t="s">
        <v>679</v>
      </c>
      <c r="B2353" s="1" t="s">
        <v>19070</v>
      </c>
      <c r="C2353" s="1" t="s">
        <v>19071</v>
      </c>
      <c r="D2353" s="1" t="s">
        <v>18082</v>
      </c>
      <c r="E2353" s="1" t="s">
        <v>18082</v>
      </c>
      <c r="F2353" s="1" t="s">
        <v>19072</v>
      </c>
      <c r="G2353" s="1" t="s">
        <v>19073</v>
      </c>
      <c r="H2353" s="2" t="str">
        <f>Tabella1[[#This Row],[Denominazione]]&amp;" - "&amp;Tabella1[[#This Row],[Città]]</f>
        <v>BAGNI HOTEL TRITONE - ZULU' - PORTO SAN GIORGIO</v>
      </c>
    </row>
    <row r="2354" spans="1:8" x14ac:dyDescent="0.25">
      <c r="A2354" s="1" t="s">
        <v>679</v>
      </c>
      <c r="B2354" s="1" t="s">
        <v>9980</v>
      </c>
      <c r="C2354" s="1" t="s">
        <v>9845</v>
      </c>
      <c r="D2354" s="1" t="s">
        <v>8949</v>
      </c>
      <c r="E2354" s="1" t="s">
        <v>8949</v>
      </c>
      <c r="G2354" s="1" t="s">
        <v>9535</v>
      </c>
      <c r="H2354" s="2" t="str">
        <f>Tabella1[[#This Row],[Denominazione]]&amp;" - "&amp;Tabella1[[#This Row],[Città]]</f>
        <v>BAGNI HOTEL UNIVERSAL N 33 - SENIGALLIA</v>
      </c>
    </row>
    <row r="2355" spans="1:8" x14ac:dyDescent="0.25">
      <c r="A2355" s="1" t="s">
        <v>679</v>
      </c>
      <c r="B2355" s="1" t="s">
        <v>3874</v>
      </c>
      <c r="C2355" s="1" t="s">
        <v>3825</v>
      </c>
      <c r="D2355" s="1" t="s">
        <v>2386</v>
      </c>
      <c r="E2355" s="1" t="s">
        <v>3812</v>
      </c>
      <c r="H2355" s="2" t="str">
        <f>Tabella1[[#This Row],[Denominazione]]&amp;" - "&amp;Tabella1[[#This Row],[Città]]</f>
        <v>BAGNI IOLE - PESARO</v>
      </c>
    </row>
    <row r="2356" spans="1:8" x14ac:dyDescent="0.25">
      <c r="A2356" s="1" t="s">
        <v>679</v>
      </c>
      <c r="B2356" s="1" t="s">
        <v>3881</v>
      </c>
      <c r="C2356" s="1" t="s">
        <v>3825</v>
      </c>
      <c r="D2356" s="1" t="s">
        <v>2386</v>
      </c>
      <c r="E2356" s="1" t="s">
        <v>3812</v>
      </c>
      <c r="H2356" s="2" t="str">
        <f>Tabella1[[#This Row],[Denominazione]]&amp;" - "&amp;Tabella1[[#This Row],[Città]]</f>
        <v>BAGNI IRENE - PESARO</v>
      </c>
    </row>
    <row r="2357" spans="1:8" x14ac:dyDescent="0.25">
      <c r="A2357" s="1" t="s">
        <v>679</v>
      </c>
      <c r="B2357" s="1" t="s">
        <v>9924</v>
      </c>
      <c r="C2357" s="1" t="s">
        <v>9925</v>
      </c>
      <c r="D2357" s="1" t="s">
        <v>8949</v>
      </c>
      <c r="E2357" s="1" t="s">
        <v>8949</v>
      </c>
      <c r="H2357" s="2" t="str">
        <f>Tabella1[[#This Row],[Denominazione]]&amp;" - "&amp;Tabella1[[#This Row],[Città]]</f>
        <v>BAGNI IRMA N° 75 - SENIGALLIA</v>
      </c>
    </row>
    <row r="2358" spans="1:8" x14ac:dyDescent="0.25">
      <c r="A2358" s="1" t="s">
        <v>679</v>
      </c>
      <c r="B2358" s="1" t="s">
        <v>10011</v>
      </c>
      <c r="C2358" s="1" t="s">
        <v>10012</v>
      </c>
      <c r="D2358" s="1" t="s">
        <v>8949</v>
      </c>
      <c r="E2358" s="1" t="s">
        <v>8949</v>
      </c>
      <c r="H2358" s="2" t="str">
        <f>Tabella1[[#This Row],[Denominazione]]&amp;" - "&amp;Tabella1[[#This Row],[Città]]</f>
        <v>BAGNI ITALO N° 92 - SENIGALLIA</v>
      </c>
    </row>
    <row r="2359" spans="1:8" x14ac:dyDescent="0.25">
      <c r="A2359" s="1" t="s">
        <v>679</v>
      </c>
      <c r="B2359" s="1" t="s">
        <v>3810</v>
      </c>
      <c r="C2359" s="1" t="s">
        <v>3811</v>
      </c>
      <c r="D2359" s="1" t="s">
        <v>2386</v>
      </c>
      <c r="E2359" s="1" t="s">
        <v>3812</v>
      </c>
      <c r="H2359" s="2" t="str">
        <f>Tabella1[[#This Row],[Denominazione]]&amp;" - "&amp;Tabella1[[#This Row],[Città]]</f>
        <v>BAGNI JOLLY - PESARO</v>
      </c>
    </row>
    <row r="2360" spans="1:8" x14ac:dyDescent="0.25">
      <c r="A2360" s="1" t="s">
        <v>679</v>
      </c>
      <c r="B2360" s="1" t="s">
        <v>1326</v>
      </c>
      <c r="C2360" s="1" t="s">
        <v>1327</v>
      </c>
      <c r="D2360" s="1" t="s">
        <v>682</v>
      </c>
      <c r="F2360" s="1" t="s">
        <v>1328</v>
      </c>
      <c r="H2360" s="2" t="str">
        <f>Tabella1[[#This Row],[Denominazione]]&amp;" - "&amp;Tabella1[[#This Row],[Città]]</f>
        <v>BAGNI LA BAIA - FANO</v>
      </c>
    </row>
    <row r="2361" spans="1:8" x14ac:dyDescent="0.25">
      <c r="A2361" s="1" t="s">
        <v>679</v>
      </c>
      <c r="B2361" s="1" t="s">
        <v>7073</v>
      </c>
      <c r="C2361" s="1" t="s">
        <v>7074</v>
      </c>
      <c r="D2361" s="1" t="s">
        <v>5735</v>
      </c>
      <c r="E2361" s="1" t="s">
        <v>5735</v>
      </c>
      <c r="H2361" s="2" t="str">
        <f>Tabella1[[#This Row],[Denominazione]]&amp;" - "&amp;Tabella1[[#This Row],[Città]]</f>
        <v>BAGNI LA SALUTE - FALCONARA MARITTIMA</v>
      </c>
    </row>
    <row r="2362" spans="1:8" x14ac:dyDescent="0.25">
      <c r="A2362" s="1" t="s">
        <v>679</v>
      </c>
      <c r="B2362" s="1" t="s">
        <v>3845</v>
      </c>
      <c r="C2362" s="1" t="s">
        <v>3846</v>
      </c>
      <c r="D2362" s="1" t="s">
        <v>2386</v>
      </c>
      <c r="E2362" s="1" t="s">
        <v>2386</v>
      </c>
      <c r="H2362" s="2" t="str">
        <f>Tabella1[[#This Row],[Denominazione]]&amp;" - "&amp;Tabella1[[#This Row],[Città]]</f>
        <v>BAGNI LALLO N 21 - PESARO</v>
      </c>
    </row>
    <row r="2363" spans="1:8" x14ac:dyDescent="0.25">
      <c r="A2363" s="1" t="s">
        <v>679</v>
      </c>
      <c r="B2363" s="1" t="s">
        <v>3824</v>
      </c>
      <c r="C2363" s="1" t="s">
        <v>3825</v>
      </c>
      <c r="D2363" s="1" t="s">
        <v>2386</v>
      </c>
      <c r="E2363" s="1" t="s">
        <v>3812</v>
      </c>
      <c r="H2363" s="2" t="str">
        <f>Tabella1[[#This Row],[Denominazione]]&amp;" - "&amp;Tabella1[[#This Row],[Città]]</f>
        <v>BAGNI LAURA N 24 - PESARO</v>
      </c>
    </row>
    <row r="2364" spans="1:8" x14ac:dyDescent="0.25">
      <c r="A2364" s="1" t="s">
        <v>679</v>
      </c>
      <c r="B2364" s="1" t="s">
        <v>9889</v>
      </c>
      <c r="C2364" s="1" t="s">
        <v>9890</v>
      </c>
      <c r="D2364" s="1" t="s">
        <v>8949</v>
      </c>
      <c r="E2364" s="1" t="s">
        <v>8949</v>
      </c>
      <c r="H2364" s="2" t="str">
        <f>Tabella1[[#This Row],[Denominazione]]&amp;" - "&amp;Tabella1[[#This Row],[Città]]</f>
        <v>BAGNI LE PALME N° 61 - SENIGALLIA</v>
      </c>
    </row>
    <row r="2365" spans="1:8" x14ac:dyDescent="0.25">
      <c r="A2365" s="1" t="s">
        <v>679</v>
      </c>
      <c r="B2365" s="1" t="s">
        <v>15881</v>
      </c>
      <c r="C2365" s="1" t="s">
        <v>15863</v>
      </c>
      <c r="D2365" s="1" t="s">
        <v>15585</v>
      </c>
      <c r="H2365" s="2" t="str">
        <f>Tabella1[[#This Row],[Denominazione]]&amp;" - "&amp;Tabella1[[#This Row],[Città]]</f>
        <v>BAGNI LELII - GROTTAMMARE</v>
      </c>
    </row>
    <row r="2366" spans="1:8" x14ac:dyDescent="0.25">
      <c r="A2366" s="1" t="s">
        <v>679</v>
      </c>
      <c r="B2366" s="1" t="s">
        <v>10045</v>
      </c>
      <c r="C2366" s="1" t="s">
        <v>10046</v>
      </c>
      <c r="D2366" s="1" t="s">
        <v>8949</v>
      </c>
      <c r="E2366" s="1" t="s">
        <v>8949</v>
      </c>
      <c r="H2366" s="2" t="str">
        <f>Tabella1[[#This Row],[Denominazione]]&amp;" - "&amp;Tabella1[[#This Row],[Città]]</f>
        <v>BAGNI LICIA N° 99 - SENIGALLIA</v>
      </c>
    </row>
    <row r="2367" spans="1:8" x14ac:dyDescent="0.25">
      <c r="A2367" s="1" t="s">
        <v>679</v>
      </c>
      <c r="B2367" s="1" t="s">
        <v>1005</v>
      </c>
      <c r="C2367" s="1" t="s">
        <v>1006</v>
      </c>
      <c r="D2367" s="1" t="s">
        <v>682</v>
      </c>
      <c r="E2367" s="1" t="s">
        <v>682</v>
      </c>
      <c r="H2367" s="2" t="str">
        <f>Tabella1[[#This Row],[Denominazione]]&amp;" - "&amp;Tabella1[[#This Row],[Città]]</f>
        <v>BAGNI LIDO 1 di CECCONI MATTEO &amp; C. s.n.c. (Conc. N° 235) - FANO</v>
      </c>
    </row>
    <row r="2368" spans="1:8" x14ac:dyDescent="0.25">
      <c r="A2368" s="1" t="s">
        <v>679</v>
      </c>
      <c r="B2368" s="1" t="s">
        <v>1009</v>
      </c>
      <c r="C2368" s="1" t="s">
        <v>1010</v>
      </c>
      <c r="D2368" s="1" t="s">
        <v>682</v>
      </c>
      <c r="E2368" s="1" t="s">
        <v>682</v>
      </c>
      <c r="F2368" s="1" t="s">
        <v>1011</v>
      </c>
      <c r="H2368" s="2" t="str">
        <f>Tabella1[[#This Row],[Denominazione]]&amp;" - "&amp;Tabella1[[#This Row],[Città]]</f>
        <v>BAGNI LIDO 2 di FRANCHINI FRANCO (Conc. N° 18) - FANO</v>
      </c>
    </row>
    <row r="2369" spans="1:8" x14ac:dyDescent="0.25">
      <c r="A2369" s="1" t="s">
        <v>679</v>
      </c>
      <c r="B2369" s="1" t="s">
        <v>1397</v>
      </c>
      <c r="D2369" s="1" t="s">
        <v>682</v>
      </c>
      <c r="E2369" s="1" t="s">
        <v>1398</v>
      </c>
      <c r="G2369" s="1" t="s">
        <v>1399</v>
      </c>
      <c r="H2369" s="2" t="str">
        <f>Tabella1[[#This Row],[Denominazione]]&amp;" - "&amp;Tabella1[[#This Row],[Città]]</f>
        <v>BAGNI LIDO VERDE - FANO</v>
      </c>
    </row>
    <row r="2370" spans="1:8" x14ac:dyDescent="0.25">
      <c r="A2370" s="1" t="s">
        <v>679</v>
      </c>
      <c r="B2370" s="1" t="s">
        <v>1037</v>
      </c>
      <c r="C2370" s="1" t="s">
        <v>1038</v>
      </c>
      <c r="D2370" s="1" t="s">
        <v>682</v>
      </c>
      <c r="E2370" s="1" t="s">
        <v>682</v>
      </c>
      <c r="H2370" s="2" t="str">
        <f>Tabella1[[#This Row],[Denominazione]]&amp;" - "&amp;Tabella1[[#This Row],[Città]]</f>
        <v>BAGNI LORY DI CASAGRANDE BACCHIOCCHI FABIO - FANO</v>
      </c>
    </row>
    <row r="2371" spans="1:8" x14ac:dyDescent="0.25">
      <c r="A2371" s="1" t="s">
        <v>679</v>
      </c>
      <c r="B2371" s="1" t="s">
        <v>4033</v>
      </c>
      <c r="D2371" s="1" t="s">
        <v>2386</v>
      </c>
      <c r="H2371" s="2" t="str">
        <f>Tabella1[[#This Row],[Denominazione]]&amp;" - "&amp;Tabella1[[#This Row],[Città]]</f>
        <v>BAGNI LUCA - PESARO</v>
      </c>
    </row>
    <row r="2372" spans="1:8" x14ac:dyDescent="0.25">
      <c r="A2372" s="1" t="s">
        <v>679</v>
      </c>
      <c r="B2372" s="1" t="s">
        <v>9912</v>
      </c>
      <c r="C2372" s="1" t="s">
        <v>9910</v>
      </c>
      <c r="D2372" s="1" t="s">
        <v>8949</v>
      </c>
      <c r="E2372" s="1" t="s">
        <v>8949</v>
      </c>
      <c r="H2372" s="2" t="str">
        <f>Tabella1[[#This Row],[Denominazione]]&amp;" - "&amp;Tabella1[[#This Row],[Città]]</f>
        <v>BAGNI LUCARELLI ULIANO N 135/136 - SENIGALLIA</v>
      </c>
    </row>
    <row r="2373" spans="1:8" x14ac:dyDescent="0.25">
      <c r="A2373" s="1" t="s">
        <v>679</v>
      </c>
      <c r="B2373" s="1" t="s">
        <v>9809</v>
      </c>
      <c r="C2373" s="1" t="s">
        <v>9804</v>
      </c>
      <c r="D2373" s="1" t="s">
        <v>8949</v>
      </c>
      <c r="E2373" s="1" t="s">
        <v>8949</v>
      </c>
      <c r="F2373" s="1" t="s">
        <v>9740</v>
      </c>
      <c r="G2373" s="1" t="s">
        <v>9739</v>
      </c>
      <c r="H2373" s="2" t="str">
        <f>Tabella1[[#This Row],[Denominazione]]&amp;" - "&amp;Tabella1[[#This Row],[Città]]</f>
        <v>BAGNI LUCIA N.139 - SENIGALLIA</v>
      </c>
    </row>
    <row r="2374" spans="1:8" x14ac:dyDescent="0.25">
      <c r="A2374" s="1" t="s">
        <v>679</v>
      </c>
      <c r="B2374" s="1" t="s">
        <v>3828</v>
      </c>
      <c r="C2374" s="1" t="s">
        <v>3827</v>
      </c>
      <c r="D2374" s="1" t="s">
        <v>2386</v>
      </c>
      <c r="E2374" s="1" t="s">
        <v>2386</v>
      </c>
      <c r="H2374" s="2" t="str">
        <f>Tabella1[[#This Row],[Denominazione]]&amp;" - "&amp;Tabella1[[#This Row],[Città]]</f>
        <v>BAGNI LUCIANO - PESARO</v>
      </c>
    </row>
    <row r="2375" spans="1:8" x14ac:dyDescent="0.25">
      <c r="A2375" s="1" t="s">
        <v>679</v>
      </c>
      <c r="B2375" s="1" t="s">
        <v>3883</v>
      </c>
      <c r="C2375" s="1" t="s">
        <v>3811</v>
      </c>
      <c r="D2375" s="1" t="s">
        <v>2386</v>
      </c>
      <c r="E2375" s="1" t="s">
        <v>3870</v>
      </c>
      <c r="H2375" s="2" t="str">
        <f>Tabella1[[#This Row],[Denominazione]]&amp;" - "&amp;Tabella1[[#This Row],[Città]]</f>
        <v>BAGNI LUCIO N 12 - PESARO</v>
      </c>
    </row>
    <row r="2376" spans="1:8" x14ac:dyDescent="0.25">
      <c r="A2376" s="1" t="s">
        <v>679</v>
      </c>
      <c r="B2376" s="1" t="s">
        <v>2381</v>
      </c>
      <c r="C2376" s="1" t="s">
        <v>2382</v>
      </c>
      <c r="D2376" s="1" t="s">
        <v>1907</v>
      </c>
      <c r="E2376" s="1" t="s">
        <v>1907</v>
      </c>
      <c r="F2376" s="1" t="s">
        <v>2383</v>
      </c>
      <c r="H2376" s="2" t="str">
        <f>Tabella1[[#This Row],[Denominazione]]&amp;" - "&amp;Tabella1[[#This Row],[Città]]</f>
        <v>BAGNI LUIGI N. 21 - GABICCE MARE</v>
      </c>
    </row>
    <row r="2377" spans="1:8" x14ac:dyDescent="0.25">
      <c r="A2377" s="1" t="s">
        <v>679</v>
      </c>
      <c r="B2377" s="1" t="s">
        <v>19109</v>
      </c>
      <c r="C2377" s="1" t="s">
        <v>19048</v>
      </c>
      <c r="D2377" s="1" t="s">
        <v>18082</v>
      </c>
      <c r="E2377" s="1" t="s">
        <v>18082</v>
      </c>
      <c r="H2377" s="2" t="str">
        <f>Tabella1[[#This Row],[Denominazione]]&amp;" - "&amp;Tabella1[[#This Row],[Città]]</f>
        <v>BAGNI LUISA - PORTO SAN GIORGIO</v>
      </c>
    </row>
    <row r="2378" spans="1:8" x14ac:dyDescent="0.25">
      <c r="A2378" s="1" t="s">
        <v>679</v>
      </c>
      <c r="B2378" s="1" t="s">
        <v>10033</v>
      </c>
      <c r="C2378" s="1" t="s">
        <v>9843</v>
      </c>
      <c r="D2378" s="1" t="s">
        <v>8949</v>
      </c>
      <c r="E2378" s="1" t="s">
        <v>8949</v>
      </c>
      <c r="H2378" s="2" t="str">
        <f>Tabella1[[#This Row],[Denominazione]]&amp;" - "&amp;Tabella1[[#This Row],[Città]]</f>
        <v>BAGNI M.  n. 48 - SENIGALLIA</v>
      </c>
    </row>
    <row r="2379" spans="1:8" x14ac:dyDescent="0.25">
      <c r="A2379" s="1" t="s">
        <v>679</v>
      </c>
      <c r="B2379" s="1" t="s">
        <v>17737</v>
      </c>
      <c r="D2379" s="1" t="s">
        <v>17703</v>
      </c>
      <c r="E2379" s="1" t="s">
        <v>17735</v>
      </c>
      <c r="H2379" s="2" t="str">
        <f>Tabella1[[#This Row],[Denominazione]]&amp;" - "&amp;Tabella1[[#This Row],[Città]]</f>
        <v>BAGNI MADAI - ALTIDONA</v>
      </c>
    </row>
    <row r="2380" spans="1:8" x14ac:dyDescent="0.25">
      <c r="A2380" s="1" t="s">
        <v>679</v>
      </c>
      <c r="B2380" s="1" t="s">
        <v>9875</v>
      </c>
      <c r="C2380" s="1" t="s">
        <v>9876</v>
      </c>
      <c r="D2380" s="1" t="s">
        <v>8949</v>
      </c>
      <c r="E2380" s="1" t="s">
        <v>8949</v>
      </c>
      <c r="H2380" s="2" t="str">
        <f>Tabella1[[#This Row],[Denominazione]]&amp;" - "&amp;Tabella1[[#This Row],[Città]]</f>
        <v>BAGNI MAFALDA N° 56 - SENIGALLIA</v>
      </c>
    </row>
    <row r="2381" spans="1:8" x14ac:dyDescent="0.25">
      <c r="A2381" s="1" t="s">
        <v>679</v>
      </c>
      <c r="B2381" s="1" t="s">
        <v>9894</v>
      </c>
      <c r="C2381" s="1" t="s">
        <v>9895</v>
      </c>
      <c r="D2381" s="1" t="s">
        <v>8949</v>
      </c>
      <c r="E2381" s="1" t="s">
        <v>8949</v>
      </c>
      <c r="H2381" s="2" t="str">
        <f>Tabella1[[#This Row],[Denominazione]]&amp;" - "&amp;Tabella1[[#This Row],[Città]]</f>
        <v>BAGNI MARA N° 80/81 - SENIGALLIA</v>
      </c>
    </row>
    <row r="2382" spans="1:8" x14ac:dyDescent="0.25">
      <c r="A2382" s="1" t="s">
        <v>679</v>
      </c>
      <c r="B2382" s="1" t="s">
        <v>9993</v>
      </c>
      <c r="C2382" s="1" t="s">
        <v>9910</v>
      </c>
      <c r="D2382" s="1" t="s">
        <v>8949</v>
      </c>
      <c r="E2382" s="1" t="s">
        <v>8949</v>
      </c>
      <c r="F2382" s="1" t="s">
        <v>9463</v>
      </c>
      <c r="G2382" s="1" t="s">
        <v>9462</v>
      </c>
      <c r="H2382" s="2" t="str">
        <f>Tabella1[[#This Row],[Denominazione]]&amp;" - "&amp;Tabella1[[#This Row],[Città]]</f>
        <v>BAGNI MARACAIBO N° 128 - SENIGALLIA</v>
      </c>
    </row>
    <row r="2383" spans="1:8" x14ac:dyDescent="0.25">
      <c r="A2383" s="1" t="s">
        <v>679</v>
      </c>
      <c r="B2383" s="1" t="s">
        <v>17237</v>
      </c>
      <c r="C2383" s="1" t="s">
        <v>17238</v>
      </c>
      <c r="D2383" s="1" t="s">
        <v>15819</v>
      </c>
      <c r="E2383" s="1" t="s">
        <v>16950</v>
      </c>
      <c r="F2383" s="1" t="s">
        <v>17239</v>
      </c>
      <c r="G2383" s="1" t="s">
        <v>17240</v>
      </c>
      <c r="H2383" s="2" t="str">
        <f>Tabella1[[#This Row],[Denominazione]]&amp;" - "&amp;Tabella1[[#This Row],[Città]]</f>
        <v>BAGNI MARCONI - SAN BENEDETTO DEL TRONTO</v>
      </c>
    </row>
    <row r="2384" spans="1:8" x14ac:dyDescent="0.25">
      <c r="A2384" s="1" t="s">
        <v>679</v>
      </c>
      <c r="B2384" s="1" t="s">
        <v>9886</v>
      </c>
      <c r="C2384" s="1" t="s">
        <v>9843</v>
      </c>
      <c r="D2384" s="1" t="s">
        <v>8949</v>
      </c>
      <c r="E2384" s="1" t="s">
        <v>8949</v>
      </c>
      <c r="H2384" s="2" t="str">
        <f>Tabella1[[#This Row],[Denominazione]]&amp;" - "&amp;Tabella1[[#This Row],[Città]]</f>
        <v>BAGNI MARE MIO N° 50 - SENIGALLIA</v>
      </c>
    </row>
    <row r="2385" spans="1:8" x14ac:dyDescent="0.25">
      <c r="A2385" s="1" t="s">
        <v>679</v>
      </c>
      <c r="B2385" s="1" t="s">
        <v>3829</v>
      </c>
      <c r="C2385" s="1" t="s">
        <v>3830</v>
      </c>
      <c r="D2385" s="1" t="s">
        <v>2386</v>
      </c>
      <c r="E2385" s="1" t="s">
        <v>2386</v>
      </c>
      <c r="H2385" s="2" t="str">
        <f>Tabella1[[#This Row],[Denominazione]]&amp;" - "&amp;Tabella1[[#This Row],[Città]]</f>
        <v>BAGNI MARGHERITA - PESARO</v>
      </c>
    </row>
    <row r="2386" spans="1:8" x14ac:dyDescent="0.25">
      <c r="A2386" s="1" t="s">
        <v>679</v>
      </c>
      <c r="B2386" s="1" t="s">
        <v>15862</v>
      </c>
      <c r="C2386" s="1" t="s">
        <v>15863</v>
      </c>
      <c r="D2386" s="1" t="s">
        <v>15585</v>
      </c>
      <c r="E2386" s="1" t="s">
        <v>2386</v>
      </c>
      <c r="H2386" s="2" t="str">
        <f>Tabella1[[#This Row],[Denominazione]]&amp;" - "&amp;Tabella1[[#This Row],[Città]]</f>
        <v>BAGNI MARIA FIORI - GROTTAMMARE</v>
      </c>
    </row>
    <row r="2387" spans="1:8" x14ac:dyDescent="0.25">
      <c r="A2387" s="1" t="s">
        <v>679</v>
      </c>
      <c r="B2387" s="1" t="s">
        <v>9997</v>
      </c>
      <c r="C2387" s="1" t="s">
        <v>9845</v>
      </c>
      <c r="D2387" s="1" t="s">
        <v>8949</v>
      </c>
      <c r="E2387" s="1" t="s">
        <v>8949</v>
      </c>
      <c r="H2387" s="2" t="str">
        <f>Tabella1[[#This Row],[Denominazione]]&amp;" - "&amp;Tabella1[[#This Row],[Città]]</f>
        <v>BAGNI MARIA N° 21 - SENIGALLIA</v>
      </c>
    </row>
    <row r="2388" spans="1:8" x14ac:dyDescent="0.25">
      <c r="A2388" s="1" t="s">
        <v>679</v>
      </c>
      <c r="B2388" s="1" t="s">
        <v>9932</v>
      </c>
      <c r="C2388" s="1" t="s">
        <v>9933</v>
      </c>
      <c r="D2388" s="1" t="s">
        <v>8949</v>
      </c>
      <c r="E2388" s="1" t="s">
        <v>8949</v>
      </c>
      <c r="H2388" s="2" t="str">
        <f>Tabella1[[#This Row],[Denominazione]]&amp;" - "&amp;Tabella1[[#This Row],[Città]]</f>
        <v>BAGNI MARIA N° 94 - SENIGALLIA</v>
      </c>
    </row>
    <row r="2389" spans="1:8" x14ac:dyDescent="0.25">
      <c r="A2389" s="1" t="s">
        <v>679</v>
      </c>
      <c r="B2389" s="1" t="s">
        <v>3856</v>
      </c>
      <c r="C2389" s="1" t="s">
        <v>3857</v>
      </c>
      <c r="D2389" s="1" t="s">
        <v>2386</v>
      </c>
      <c r="E2389" s="1" t="s">
        <v>3812</v>
      </c>
      <c r="G2389" s="1" t="s">
        <v>3858</v>
      </c>
      <c r="H2389" s="2" t="str">
        <f>Tabella1[[#This Row],[Denominazione]]&amp;" - "&amp;Tabella1[[#This Row],[Città]]</f>
        <v>BAGNI MARINO - PESARO</v>
      </c>
    </row>
    <row r="2390" spans="1:8" x14ac:dyDescent="0.25">
      <c r="A2390" s="1" t="s">
        <v>679</v>
      </c>
      <c r="B2390" s="1" t="s">
        <v>993</v>
      </c>
      <c r="C2390" s="1" t="s">
        <v>994</v>
      </c>
      <c r="D2390" s="1" t="s">
        <v>682</v>
      </c>
      <c r="E2390" s="1" t="s">
        <v>682</v>
      </c>
      <c r="H2390" s="2" t="str">
        <f>Tabella1[[#This Row],[Denominazione]]&amp;" - "&amp;Tabella1[[#This Row],[Città]]</f>
        <v>BAGNI MARINO DI ALBERTINI ILARIO &amp; C. - FANO</v>
      </c>
    </row>
    <row r="2391" spans="1:8" x14ac:dyDescent="0.25">
      <c r="A2391" s="1" t="s">
        <v>679</v>
      </c>
      <c r="B2391" s="1" t="s">
        <v>3882</v>
      </c>
      <c r="C2391" s="1" t="s">
        <v>3811</v>
      </c>
      <c r="D2391" s="1" t="s">
        <v>2386</v>
      </c>
      <c r="E2391" s="1" t="s">
        <v>3876</v>
      </c>
      <c r="H2391" s="2" t="str">
        <f>Tabella1[[#This Row],[Denominazione]]&amp;" - "&amp;Tabella1[[#This Row],[Città]]</f>
        <v>BAGNI MARIO - PESARO</v>
      </c>
    </row>
    <row r="2392" spans="1:8" x14ac:dyDescent="0.25">
      <c r="A2392" s="1" t="s">
        <v>679</v>
      </c>
      <c r="B2392" s="1" t="s">
        <v>2432</v>
      </c>
      <c r="C2392" s="1" t="s">
        <v>2433</v>
      </c>
      <c r="D2392" s="1" t="s">
        <v>1907</v>
      </c>
      <c r="E2392" s="1" t="s">
        <v>1907</v>
      </c>
      <c r="H2392" s="2" t="str">
        <f>Tabella1[[#This Row],[Denominazione]]&amp;" - "&amp;Tabella1[[#This Row],[Città]]</f>
        <v>BAGNI MARIO E NORMA N. 2 - GABICCE MARE</v>
      </c>
    </row>
    <row r="2393" spans="1:8" x14ac:dyDescent="0.25">
      <c r="A2393" s="1" t="s">
        <v>679</v>
      </c>
      <c r="B2393" s="1" t="s">
        <v>9970</v>
      </c>
      <c r="C2393" s="1" t="s">
        <v>9910</v>
      </c>
      <c r="D2393" s="1" t="s">
        <v>8949</v>
      </c>
      <c r="E2393" s="1" t="s">
        <v>8949</v>
      </c>
      <c r="H2393" s="2" t="str">
        <f>Tabella1[[#This Row],[Denominazione]]&amp;" - "&amp;Tabella1[[#This Row],[Città]]</f>
        <v>BAGNI MARIO N° 121 - SENIGALLIA</v>
      </c>
    </row>
    <row r="2394" spans="1:8" x14ac:dyDescent="0.25">
      <c r="A2394" s="1" t="s">
        <v>679</v>
      </c>
      <c r="B2394" s="1" t="s">
        <v>2427</v>
      </c>
      <c r="C2394" s="1" t="s">
        <v>2363</v>
      </c>
      <c r="D2394" s="1" t="s">
        <v>1907</v>
      </c>
      <c r="E2394" s="1" t="s">
        <v>1907</v>
      </c>
      <c r="F2394" s="1" t="s">
        <v>2428</v>
      </c>
      <c r="H2394" s="2" t="str">
        <f>Tabella1[[#This Row],[Denominazione]]&amp;" - "&amp;Tabella1[[#This Row],[Città]]</f>
        <v>BAGNI MARISA N. 23 - GABICCE MARE</v>
      </c>
    </row>
    <row r="2395" spans="1:8" x14ac:dyDescent="0.25">
      <c r="A2395" s="1" t="s">
        <v>679</v>
      </c>
      <c r="B2395" s="1" t="s">
        <v>9867</v>
      </c>
      <c r="C2395" s="1" t="s">
        <v>9868</v>
      </c>
      <c r="D2395" s="1" t="s">
        <v>8949</v>
      </c>
      <c r="E2395" s="1" t="s">
        <v>8949</v>
      </c>
      <c r="H2395" s="2" t="str">
        <f>Tabella1[[#This Row],[Denominazione]]&amp;" - "&amp;Tabella1[[#This Row],[Città]]</f>
        <v>BAGNI MARTA N° 55 - SENIGALLIA</v>
      </c>
    </row>
    <row r="2396" spans="1:8" x14ac:dyDescent="0.25">
      <c r="A2396" s="1" t="s">
        <v>679</v>
      </c>
      <c r="B2396" s="1" t="s">
        <v>10059</v>
      </c>
      <c r="C2396" s="1" t="s">
        <v>9910</v>
      </c>
      <c r="D2396" s="1" t="s">
        <v>8949</v>
      </c>
      <c r="E2396" s="1" t="s">
        <v>8949</v>
      </c>
      <c r="G2396" s="1" t="s">
        <v>10060</v>
      </c>
      <c r="H2396" s="2" t="str">
        <f>Tabella1[[#This Row],[Denominazione]]&amp;" - "&amp;Tabella1[[#This Row],[Città]]</f>
        <v>BAGNI MASSIMO N° 112 - SENIGALLIA</v>
      </c>
    </row>
    <row r="2397" spans="1:8" x14ac:dyDescent="0.25">
      <c r="A2397" s="1" t="s">
        <v>679</v>
      </c>
      <c r="B2397" s="1" t="s">
        <v>1055</v>
      </c>
      <c r="C2397" s="1" t="s">
        <v>1036</v>
      </c>
      <c r="D2397" s="1" t="s">
        <v>682</v>
      </c>
      <c r="E2397" s="1" t="s">
        <v>682</v>
      </c>
      <c r="F2397" s="1" t="s">
        <v>1056</v>
      </c>
      <c r="G2397" s="1" t="s">
        <v>1057</v>
      </c>
      <c r="H2397" s="2" t="str">
        <f>Tabella1[[#This Row],[Denominazione]]&amp;" - "&amp;Tabella1[[#This Row],[Città]]</f>
        <v>BAGNI MAURIZIO di GABBIANELLI IRIDE - FANO</v>
      </c>
    </row>
    <row r="2398" spans="1:8" x14ac:dyDescent="0.25">
      <c r="A2398" s="1" t="s">
        <v>679</v>
      </c>
      <c r="B2398" s="1" t="s">
        <v>9920</v>
      </c>
      <c r="C2398" s="1" t="s">
        <v>9921</v>
      </c>
      <c r="D2398" s="1" t="s">
        <v>8949</v>
      </c>
      <c r="E2398" s="1" t="s">
        <v>8949</v>
      </c>
      <c r="H2398" s="2" t="str">
        <f>Tabella1[[#This Row],[Denominazione]]&amp;" - "&amp;Tabella1[[#This Row],[Città]]</f>
        <v>BAGNI MIAMI BEACH N° 100 - SENIGALLIA</v>
      </c>
    </row>
    <row r="2399" spans="1:8" x14ac:dyDescent="0.25">
      <c r="A2399" s="1" t="s">
        <v>679</v>
      </c>
      <c r="B2399" s="1" t="s">
        <v>3836</v>
      </c>
      <c r="C2399" s="1" t="s">
        <v>3837</v>
      </c>
      <c r="D2399" s="1" t="s">
        <v>2386</v>
      </c>
      <c r="E2399" s="1" t="s">
        <v>2386</v>
      </c>
      <c r="G2399" s="1" t="s">
        <v>3838</v>
      </c>
      <c r="H2399" s="2" t="str">
        <f>Tabella1[[#This Row],[Denominazione]]&amp;" - "&amp;Tabella1[[#This Row],[Città]]</f>
        <v>BAGNI MIRAMARE N 60 - PESARO</v>
      </c>
    </row>
    <row r="2400" spans="1:8" x14ac:dyDescent="0.25">
      <c r="A2400" s="1" t="s">
        <v>679</v>
      </c>
      <c r="B2400" s="1" t="s">
        <v>7772</v>
      </c>
      <c r="C2400" s="1" t="s">
        <v>7773</v>
      </c>
      <c r="D2400" s="1" t="s">
        <v>7718</v>
      </c>
      <c r="E2400" s="1" t="s">
        <v>7748</v>
      </c>
      <c r="F2400" s="1" t="s">
        <v>7774</v>
      </c>
      <c r="G2400" s="1" t="s">
        <v>7775</v>
      </c>
      <c r="H2400" s="2" t="str">
        <f>Tabella1[[#This Row],[Denominazione]]&amp;" - "&amp;Tabella1[[#This Row],[Città]]</f>
        <v>BAGNI MIRELLA - MONTEMARCIANO</v>
      </c>
    </row>
    <row r="2401" spans="1:8" x14ac:dyDescent="0.25">
      <c r="A2401" s="1" t="s">
        <v>679</v>
      </c>
      <c r="B2401" s="1" t="s">
        <v>2846</v>
      </c>
      <c r="C2401" s="1" t="s">
        <v>2847</v>
      </c>
      <c r="D2401" s="1" t="s">
        <v>1605</v>
      </c>
      <c r="E2401" s="1" t="s">
        <v>1456</v>
      </c>
      <c r="H2401" s="2" t="str">
        <f>Tabella1[[#This Row],[Denominazione]]&amp;" - "&amp;Tabella1[[#This Row],[Città]]</f>
        <v>BAGNI MIRIAM - MONDOLFO</v>
      </c>
    </row>
    <row r="2402" spans="1:8" x14ac:dyDescent="0.25">
      <c r="A2402" s="1" t="s">
        <v>679</v>
      </c>
      <c r="B2402" s="1" t="s">
        <v>2862</v>
      </c>
      <c r="C2402" s="1" t="s">
        <v>994</v>
      </c>
      <c r="D2402" s="1" t="s">
        <v>1605</v>
      </c>
      <c r="E2402" s="1" t="s">
        <v>1605</v>
      </c>
      <c r="F2402" s="1" t="s">
        <v>2863</v>
      </c>
      <c r="H2402" s="2" t="str">
        <f>Tabella1[[#This Row],[Denominazione]]&amp;" - "&amp;Tabella1[[#This Row],[Città]]</f>
        <v>BAGNI MONASCO DI MONTONI MONASCO - MONDOLFO</v>
      </c>
    </row>
    <row r="2403" spans="1:8" x14ac:dyDescent="0.25">
      <c r="A2403" s="1" t="s">
        <v>679</v>
      </c>
      <c r="B2403" s="1" t="s">
        <v>9937</v>
      </c>
      <c r="C2403" s="1" t="s">
        <v>9938</v>
      </c>
      <c r="D2403" s="1" t="s">
        <v>8949</v>
      </c>
      <c r="E2403" s="1" t="s">
        <v>8949</v>
      </c>
      <c r="F2403" s="1" t="s">
        <v>9601</v>
      </c>
      <c r="G2403" s="1" t="s">
        <v>9600</v>
      </c>
      <c r="H2403" s="2" t="str">
        <f>Tabella1[[#This Row],[Denominazione]]&amp;" - "&amp;Tabella1[[#This Row],[Città]]</f>
        <v>BAGNI N 116 - SENIGALLIA</v>
      </c>
    </row>
    <row r="2404" spans="1:8" x14ac:dyDescent="0.25">
      <c r="A2404" s="1" t="s">
        <v>679</v>
      </c>
      <c r="B2404" s="1" t="s">
        <v>1909</v>
      </c>
      <c r="D2404" s="1" t="s">
        <v>1907</v>
      </c>
      <c r="E2404" s="1" t="s">
        <v>1907</v>
      </c>
      <c r="G2404" s="1" t="s">
        <v>1910</v>
      </c>
      <c r="H2404" s="2" t="str">
        <f>Tabella1[[#This Row],[Denominazione]]&amp;" - "&amp;Tabella1[[#This Row],[Città]]</f>
        <v>BAGNI N 45 - GABICCE MARE</v>
      </c>
    </row>
    <row r="2405" spans="1:8" x14ac:dyDescent="0.25">
      <c r="A2405" s="1" t="s">
        <v>679</v>
      </c>
      <c r="B2405" s="1" t="s">
        <v>1911</v>
      </c>
      <c r="D2405" s="1" t="s">
        <v>1907</v>
      </c>
      <c r="E2405" s="1" t="s">
        <v>1907</v>
      </c>
      <c r="G2405" s="1" t="s">
        <v>1910</v>
      </c>
      <c r="H2405" s="2" t="str">
        <f>Tabella1[[#This Row],[Denominazione]]&amp;" - "&amp;Tabella1[[#This Row],[Città]]</f>
        <v>BAGNI N 46 - GABICCE MARE</v>
      </c>
    </row>
    <row r="2406" spans="1:8" x14ac:dyDescent="0.25">
      <c r="A2406" s="1" t="s">
        <v>679</v>
      </c>
      <c r="B2406" s="1" t="s">
        <v>2362</v>
      </c>
      <c r="C2406" s="1" t="s">
        <v>2363</v>
      </c>
      <c r="D2406" s="1" t="s">
        <v>1907</v>
      </c>
      <c r="E2406" s="1" t="s">
        <v>1907</v>
      </c>
      <c r="H2406" s="2" t="str">
        <f>Tabella1[[#This Row],[Denominazione]]&amp;" - "&amp;Tabella1[[#This Row],[Città]]</f>
        <v>BAGNI N. 14 - GABICCE MARE</v>
      </c>
    </row>
    <row r="2407" spans="1:8" x14ac:dyDescent="0.25">
      <c r="A2407" s="1" t="s">
        <v>679</v>
      </c>
      <c r="B2407" s="1" t="s">
        <v>2397</v>
      </c>
      <c r="C2407" s="1" t="s">
        <v>2398</v>
      </c>
      <c r="D2407" s="1" t="s">
        <v>1907</v>
      </c>
      <c r="E2407" s="1" t="s">
        <v>1907</v>
      </c>
      <c r="F2407" s="1" t="s">
        <v>2395</v>
      </c>
      <c r="G2407" s="1" t="s">
        <v>2396</v>
      </c>
      <c r="H2407" s="2" t="str">
        <f>Tabella1[[#This Row],[Denominazione]]&amp;" - "&amp;Tabella1[[#This Row],[Città]]</f>
        <v>BAGNI N. 34 - GABICCE MARE</v>
      </c>
    </row>
    <row r="2408" spans="1:8" x14ac:dyDescent="0.25">
      <c r="A2408" s="1" t="s">
        <v>679</v>
      </c>
      <c r="B2408" s="1" t="s">
        <v>2393</v>
      </c>
      <c r="C2408" s="1" t="s">
        <v>2394</v>
      </c>
      <c r="D2408" s="1" t="s">
        <v>1907</v>
      </c>
      <c r="E2408" s="1" t="s">
        <v>1907</v>
      </c>
      <c r="F2408" s="1" t="s">
        <v>2395</v>
      </c>
      <c r="G2408" s="1" t="s">
        <v>2396</v>
      </c>
      <c r="H2408" s="2" t="str">
        <f>Tabella1[[#This Row],[Denominazione]]&amp;" - "&amp;Tabella1[[#This Row],[Città]]</f>
        <v>BAGNI N. 35 - GABICCE MARE</v>
      </c>
    </row>
    <row r="2409" spans="1:8" x14ac:dyDescent="0.25">
      <c r="A2409" s="1" t="s">
        <v>679</v>
      </c>
      <c r="B2409" s="1" t="s">
        <v>9810</v>
      </c>
      <c r="C2409" s="1" t="s">
        <v>9811</v>
      </c>
      <c r="D2409" s="1" t="s">
        <v>8949</v>
      </c>
      <c r="E2409" s="1" t="s">
        <v>8949</v>
      </c>
      <c r="H2409" s="2" t="str">
        <f>Tabella1[[#This Row],[Denominazione]]&amp;" - "&amp;Tabella1[[#This Row],[Città]]</f>
        <v>BAGNI N.107 STELLA MARINA - SENIGALLIA</v>
      </c>
    </row>
    <row r="2410" spans="1:8" x14ac:dyDescent="0.25">
      <c r="A2410" s="1" t="s">
        <v>679</v>
      </c>
      <c r="B2410" s="1" t="s">
        <v>9807</v>
      </c>
      <c r="C2410" s="1" t="s">
        <v>9808</v>
      </c>
      <c r="D2410" s="1" t="s">
        <v>8949</v>
      </c>
      <c r="E2410" s="1" t="s">
        <v>8949</v>
      </c>
      <c r="H2410" s="2" t="str">
        <f>Tabella1[[#This Row],[Denominazione]]&amp;" - "&amp;Tabella1[[#This Row],[Città]]</f>
        <v>BAGNI N.130 - SENIGALLIA</v>
      </c>
    </row>
    <row r="2411" spans="1:8" x14ac:dyDescent="0.25">
      <c r="A2411" s="1" t="s">
        <v>679</v>
      </c>
      <c r="B2411" s="1" t="s">
        <v>10047</v>
      </c>
      <c r="C2411" s="1" t="s">
        <v>9910</v>
      </c>
      <c r="D2411" s="1" t="s">
        <v>8949</v>
      </c>
      <c r="E2411" s="1" t="s">
        <v>8949</v>
      </c>
      <c r="H2411" s="2" t="str">
        <f>Tabella1[[#This Row],[Denominazione]]&amp;" - "&amp;Tabella1[[#This Row],[Città]]</f>
        <v>BAGNI N° 117 LA PERLA - SENIGALLIA</v>
      </c>
    </row>
    <row r="2412" spans="1:8" x14ac:dyDescent="0.25">
      <c r="A2412" s="1" t="s">
        <v>679</v>
      </c>
      <c r="B2412" s="1" t="s">
        <v>9911</v>
      </c>
      <c r="C2412" s="1" t="s">
        <v>9910</v>
      </c>
      <c r="D2412" s="1" t="s">
        <v>8949</v>
      </c>
      <c r="E2412" s="1" t="s">
        <v>8949</v>
      </c>
      <c r="H2412" s="2" t="str">
        <f>Tabella1[[#This Row],[Denominazione]]&amp;" - "&amp;Tabella1[[#This Row],[Città]]</f>
        <v>BAGNI N° 118 - SENIGALLIA</v>
      </c>
    </row>
    <row r="2413" spans="1:8" x14ac:dyDescent="0.25">
      <c r="A2413" s="1" t="s">
        <v>679</v>
      </c>
      <c r="B2413" s="1" t="s">
        <v>10028</v>
      </c>
      <c r="C2413" s="1" t="s">
        <v>10029</v>
      </c>
      <c r="D2413" s="1" t="s">
        <v>8949</v>
      </c>
      <c r="E2413" s="1" t="s">
        <v>8949</v>
      </c>
      <c r="F2413" s="1" t="s">
        <v>10030</v>
      </c>
      <c r="G2413" s="1" t="s">
        <v>10031</v>
      </c>
      <c r="H2413" s="2" t="str">
        <f>Tabella1[[#This Row],[Denominazione]]&amp;" - "&amp;Tabella1[[#This Row],[Città]]</f>
        <v>BAGNI N° 14 - SENIGALLIA</v>
      </c>
    </row>
    <row r="2414" spans="1:8" x14ac:dyDescent="0.25">
      <c r="A2414" s="1" t="s">
        <v>679</v>
      </c>
      <c r="B2414" s="1" t="s">
        <v>9960</v>
      </c>
      <c r="C2414" s="1" t="s">
        <v>9961</v>
      </c>
      <c r="D2414" s="1" t="s">
        <v>8949</v>
      </c>
      <c r="E2414" s="1" t="s">
        <v>8949</v>
      </c>
      <c r="H2414" s="2" t="str">
        <f>Tabella1[[#This Row],[Denominazione]]&amp;" - "&amp;Tabella1[[#This Row],[Città]]</f>
        <v>BAGNI N° 141 - SENIGALLIA</v>
      </c>
    </row>
    <row r="2415" spans="1:8" x14ac:dyDescent="0.25">
      <c r="A2415" s="1" t="s">
        <v>679</v>
      </c>
      <c r="B2415" s="1" t="s">
        <v>9966</v>
      </c>
      <c r="C2415" s="1" t="s">
        <v>9806</v>
      </c>
      <c r="D2415" s="1" t="s">
        <v>8949</v>
      </c>
      <c r="E2415" s="1" t="s">
        <v>8949</v>
      </c>
      <c r="H2415" s="2" t="str">
        <f>Tabella1[[#This Row],[Denominazione]]&amp;" - "&amp;Tabella1[[#This Row],[Città]]</f>
        <v>BAGNI N° 159 - SENIGALLIA</v>
      </c>
    </row>
    <row r="2416" spans="1:8" x14ac:dyDescent="0.25">
      <c r="A2416" s="1" t="s">
        <v>679</v>
      </c>
      <c r="B2416" s="1" t="s">
        <v>10013</v>
      </c>
      <c r="C2416" s="1" t="s">
        <v>9845</v>
      </c>
      <c r="D2416" s="1" t="s">
        <v>8949</v>
      </c>
      <c r="E2416" s="1" t="s">
        <v>8949</v>
      </c>
      <c r="F2416" s="1" t="s">
        <v>10014</v>
      </c>
      <c r="G2416" s="1" t="s">
        <v>10015</v>
      </c>
      <c r="H2416" s="2" t="str">
        <f>Tabella1[[#This Row],[Denominazione]]&amp;" - "&amp;Tabella1[[#This Row],[Città]]</f>
        <v>BAGNI N° 17 - BAIA DEL FARO - SENIGALLIA</v>
      </c>
    </row>
    <row r="2417" spans="1:8" x14ac:dyDescent="0.25">
      <c r="A2417" s="1" t="s">
        <v>679</v>
      </c>
      <c r="B2417" s="1" t="s">
        <v>9869</v>
      </c>
      <c r="C2417" s="1" t="s">
        <v>9870</v>
      </c>
      <c r="D2417" s="1" t="s">
        <v>8949</v>
      </c>
      <c r="E2417" s="1" t="s">
        <v>8949</v>
      </c>
      <c r="H2417" s="2" t="str">
        <f>Tabella1[[#This Row],[Denominazione]]&amp;" - "&amp;Tabella1[[#This Row],[Città]]</f>
        <v>BAGNI N° 4 MILLE BOLLE BLU - SENIGALLIA</v>
      </c>
    </row>
    <row r="2418" spans="1:8" x14ac:dyDescent="0.25">
      <c r="A2418" s="1" t="s">
        <v>679</v>
      </c>
      <c r="B2418" s="1" t="s">
        <v>9871</v>
      </c>
      <c r="C2418" s="1" t="s">
        <v>9845</v>
      </c>
      <c r="D2418" s="1" t="s">
        <v>8949</v>
      </c>
      <c r="E2418" s="1" t="s">
        <v>8949</v>
      </c>
      <c r="H2418" s="2" t="str">
        <f>Tabella1[[#This Row],[Denominazione]]&amp;" - "&amp;Tabella1[[#This Row],[Città]]</f>
        <v>BAGNI N° 5 - SENIGALLIA</v>
      </c>
    </row>
    <row r="2419" spans="1:8" x14ac:dyDescent="0.25">
      <c r="A2419" s="1" t="s">
        <v>679</v>
      </c>
      <c r="B2419" s="1" t="s">
        <v>9846</v>
      </c>
      <c r="C2419" s="1" t="s">
        <v>9847</v>
      </c>
      <c r="D2419" s="1" t="s">
        <v>8949</v>
      </c>
      <c r="E2419" s="1" t="s">
        <v>8949</v>
      </c>
      <c r="H2419" s="2" t="str">
        <f>Tabella1[[#This Row],[Denominazione]]&amp;" - "&amp;Tabella1[[#This Row],[Città]]</f>
        <v>BAGNI N° 64 - APAPAYA - SENIGALLIA</v>
      </c>
    </row>
    <row r="2420" spans="1:8" x14ac:dyDescent="0.25">
      <c r="A2420" s="1" t="s">
        <v>679</v>
      </c>
      <c r="B2420" s="1" t="s">
        <v>10064</v>
      </c>
      <c r="C2420" s="1" t="s">
        <v>9845</v>
      </c>
      <c r="D2420" s="1" t="s">
        <v>8949</v>
      </c>
      <c r="E2420" s="1" t="s">
        <v>8949</v>
      </c>
      <c r="H2420" s="2" t="str">
        <f>Tabella1[[#This Row],[Denominazione]]&amp;" - "&amp;Tabella1[[#This Row],[Città]]</f>
        <v>BAGNI N° 7 - SENIGALLIA</v>
      </c>
    </row>
    <row r="2421" spans="1:8" x14ac:dyDescent="0.25">
      <c r="A2421" s="1" t="s">
        <v>679</v>
      </c>
      <c r="B2421" s="1" t="s">
        <v>9848</v>
      </c>
      <c r="C2421" s="1" t="s">
        <v>9849</v>
      </c>
      <c r="D2421" s="1" t="s">
        <v>8949</v>
      </c>
      <c r="E2421" s="1" t="s">
        <v>8949</v>
      </c>
      <c r="F2421" s="1" t="s">
        <v>9850</v>
      </c>
      <c r="H2421" s="2" t="str">
        <f>Tabella1[[#This Row],[Denominazione]]&amp;" - "&amp;Tabella1[[#This Row],[Città]]</f>
        <v>BAGNI N° 77 - SENIGALLIA</v>
      </c>
    </row>
    <row r="2422" spans="1:8" x14ac:dyDescent="0.25">
      <c r="A2422" s="1" t="s">
        <v>679</v>
      </c>
      <c r="B2422" s="1" t="s">
        <v>10018</v>
      </c>
      <c r="C2422" s="1" t="s">
        <v>9849</v>
      </c>
      <c r="D2422" s="1" t="s">
        <v>8949</v>
      </c>
      <c r="E2422" s="1" t="s">
        <v>8949</v>
      </c>
      <c r="H2422" s="2" t="str">
        <f>Tabella1[[#This Row],[Denominazione]]&amp;" - "&amp;Tabella1[[#This Row],[Città]]</f>
        <v>BAGNI N° 86 - SENIGALLIA</v>
      </c>
    </row>
    <row r="2423" spans="1:8" x14ac:dyDescent="0.25">
      <c r="A2423" s="1" t="s">
        <v>679</v>
      </c>
      <c r="B2423" s="1" t="s">
        <v>10043</v>
      </c>
      <c r="C2423" s="1" t="s">
        <v>10044</v>
      </c>
      <c r="D2423" s="1" t="s">
        <v>8949</v>
      </c>
      <c r="E2423" s="1" t="s">
        <v>8949</v>
      </c>
      <c r="H2423" s="2" t="str">
        <f>Tabella1[[#This Row],[Denominazione]]&amp;" - "&amp;Tabella1[[#This Row],[Città]]</f>
        <v>BAGNI N° 87 DA FLAVIANA - SENIGALLIA</v>
      </c>
    </row>
    <row r="2424" spans="1:8" x14ac:dyDescent="0.25">
      <c r="A2424" s="1" t="s">
        <v>679</v>
      </c>
      <c r="B2424" s="1" t="s">
        <v>10009</v>
      </c>
      <c r="C2424" s="1" t="s">
        <v>10010</v>
      </c>
      <c r="D2424" s="1" t="s">
        <v>8949</v>
      </c>
      <c r="E2424" s="1" t="s">
        <v>8949</v>
      </c>
      <c r="H2424" s="2" t="str">
        <f>Tabella1[[#This Row],[Denominazione]]&amp;" - "&amp;Tabella1[[#This Row],[Città]]</f>
        <v>BAGNI N° 93 - SENIGALLIA</v>
      </c>
    </row>
    <row r="2425" spans="1:8" x14ac:dyDescent="0.25">
      <c r="A2425" s="1" t="s">
        <v>679</v>
      </c>
      <c r="B2425" s="1" t="s">
        <v>1077</v>
      </c>
      <c r="D2425" s="1" t="s">
        <v>682</v>
      </c>
      <c r="E2425" s="1" t="s">
        <v>1004</v>
      </c>
      <c r="F2425" s="1" t="s">
        <v>1078</v>
      </c>
      <c r="H2425" s="2" t="str">
        <f>Tabella1[[#This Row],[Denominazione]]&amp;" - "&amp;Tabella1[[#This Row],[Città]]</f>
        <v>BAGNI NELLA di CARBONI CARMEN E NELLA SNC - FANO</v>
      </c>
    </row>
    <row r="2426" spans="1:8" x14ac:dyDescent="0.25">
      <c r="A2426" s="1" t="s">
        <v>679</v>
      </c>
      <c r="B2426" s="1" t="s">
        <v>9992</v>
      </c>
      <c r="C2426" s="1" t="s">
        <v>9843</v>
      </c>
      <c r="D2426" s="1" t="s">
        <v>8949</v>
      </c>
      <c r="E2426" s="1" t="s">
        <v>8949</v>
      </c>
      <c r="H2426" s="2" t="str">
        <f>Tabella1[[#This Row],[Denominazione]]&amp;" - "&amp;Tabella1[[#This Row],[Città]]</f>
        <v>BAGNI NELLA N° 49 - SENIGALLIA</v>
      </c>
    </row>
    <row r="2427" spans="1:8" x14ac:dyDescent="0.25">
      <c r="A2427" s="1" t="s">
        <v>679</v>
      </c>
      <c r="B2427" s="1" t="s">
        <v>9948</v>
      </c>
      <c r="C2427" s="1" t="s">
        <v>9949</v>
      </c>
      <c r="D2427" s="1" t="s">
        <v>8949</v>
      </c>
      <c r="E2427" s="1" t="s">
        <v>8949</v>
      </c>
      <c r="F2427" s="1" t="s">
        <v>9950</v>
      </c>
      <c r="H2427" s="2" t="str">
        <f>Tabella1[[#This Row],[Denominazione]]&amp;" - "&amp;Tabella1[[#This Row],[Città]]</f>
        <v>BAGNI NELLA N° 57 - SENIGALLIA</v>
      </c>
    </row>
    <row r="2428" spans="1:8" x14ac:dyDescent="0.25">
      <c r="A2428" s="1" t="s">
        <v>679</v>
      </c>
      <c r="B2428" s="1" t="s">
        <v>19129</v>
      </c>
      <c r="C2428" s="1" t="s">
        <v>19048</v>
      </c>
      <c r="D2428" s="1" t="s">
        <v>18082</v>
      </c>
      <c r="E2428" s="1" t="s">
        <v>18082</v>
      </c>
      <c r="F2428" s="1" t="s">
        <v>19130</v>
      </c>
      <c r="H2428" s="2" t="str">
        <f>Tabella1[[#This Row],[Denominazione]]&amp;" - "&amp;Tabella1[[#This Row],[Città]]</f>
        <v>BAGNI NERINA - PORTO SAN GIORGIO</v>
      </c>
    </row>
    <row r="2429" spans="1:8" x14ac:dyDescent="0.25">
      <c r="A2429" s="1" t="s">
        <v>679</v>
      </c>
      <c r="B2429" s="1" t="s">
        <v>10051</v>
      </c>
      <c r="C2429" s="1" t="s">
        <v>9910</v>
      </c>
      <c r="D2429" s="1" t="s">
        <v>8949</v>
      </c>
      <c r="E2429" s="1" t="s">
        <v>8949</v>
      </c>
      <c r="H2429" s="2" t="str">
        <f>Tabella1[[#This Row],[Denominazione]]&amp;" - "&amp;Tabella1[[#This Row],[Città]]</f>
        <v>BAGNI NETTUNO N° 113 - SENIGALLIA</v>
      </c>
    </row>
    <row r="2430" spans="1:8" x14ac:dyDescent="0.25">
      <c r="A2430" s="1" t="s">
        <v>679</v>
      </c>
      <c r="B2430" s="1" t="s">
        <v>19139</v>
      </c>
      <c r="C2430" s="1" t="s">
        <v>19071</v>
      </c>
      <c r="D2430" s="1" t="s">
        <v>18082</v>
      </c>
      <c r="E2430" s="1" t="s">
        <v>18082</v>
      </c>
      <c r="F2430" s="1" t="s">
        <v>19140</v>
      </c>
      <c r="H2430" s="2" t="str">
        <f>Tabella1[[#This Row],[Denominazione]]&amp;" - "&amp;Tabella1[[#This Row],[Città]]</f>
        <v>BAGNI NICOLAI - PORTO SAN GIORGIO</v>
      </c>
    </row>
    <row r="2431" spans="1:8" x14ac:dyDescent="0.25">
      <c r="A2431" s="1" t="s">
        <v>679</v>
      </c>
      <c r="B2431" s="1" t="s">
        <v>17316</v>
      </c>
      <c r="C2431" s="1" t="s">
        <v>9843</v>
      </c>
      <c r="D2431" s="1" t="s">
        <v>15819</v>
      </c>
      <c r="F2431" s="1" t="s">
        <v>17317</v>
      </c>
      <c r="H2431" s="2" t="str">
        <f>Tabella1[[#This Row],[Denominazione]]&amp;" - "&amp;Tabella1[[#This Row],[Città]]</f>
        <v>BAGNI NIK - SAN BENEDETTO DEL TRONTO</v>
      </c>
    </row>
    <row r="2432" spans="1:8" x14ac:dyDescent="0.25">
      <c r="A2432" s="1" t="s">
        <v>679</v>
      </c>
      <c r="B2432" s="1" t="s">
        <v>1071</v>
      </c>
      <c r="D2432" s="1" t="s">
        <v>682</v>
      </c>
      <c r="E2432" s="1" t="s">
        <v>1072</v>
      </c>
      <c r="H2432" s="2" t="str">
        <f>Tabella1[[#This Row],[Denominazione]]&amp;" - "&amp;Tabella1[[#This Row],[Città]]</f>
        <v>BAGNI OASI - FANO</v>
      </c>
    </row>
    <row r="2433" spans="1:8" x14ac:dyDescent="0.25">
      <c r="A2433" s="1" t="s">
        <v>679</v>
      </c>
      <c r="B2433" s="1" t="s">
        <v>17234</v>
      </c>
      <c r="C2433" s="1" t="s">
        <v>17235</v>
      </c>
      <c r="D2433" s="1" t="s">
        <v>15819</v>
      </c>
      <c r="E2433" s="1" t="s">
        <v>17077</v>
      </c>
      <c r="F2433" s="1" t="s">
        <v>17179</v>
      </c>
      <c r="G2433" s="1" t="s">
        <v>17236</v>
      </c>
      <c r="H2433" s="2" t="str">
        <f>Tabella1[[#This Row],[Denominazione]]&amp;" - "&amp;Tabella1[[#This Row],[Città]]</f>
        <v>BAGNI OLTREMARE - SAN BENEDETTO DEL TRONTO</v>
      </c>
    </row>
    <row r="2434" spans="1:8" x14ac:dyDescent="0.25">
      <c r="A2434" s="1" t="s">
        <v>679</v>
      </c>
      <c r="B2434" s="1" t="s">
        <v>9899</v>
      </c>
      <c r="C2434" s="1" t="s">
        <v>9900</v>
      </c>
      <c r="D2434" s="1" t="s">
        <v>8949</v>
      </c>
      <c r="E2434" s="1" t="s">
        <v>8949</v>
      </c>
      <c r="H2434" s="2" t="str">
        <f>Tabella1[[#This Row],[Denominazione]]&amp;" - "&amp;Tabella1[[#This Row],[Città]]</f>
        <v>BAGNI ONDA BLU N° 74 - SENIGALLIA</v>
      </c>
    </row>
    <row r="2435" spans="1:8" x14ac:dyDescent="0.25">
      <c r="A2435" s="1" t="s">
        <v>679</v>
      </c>
      <c r="B2435" s="1" t="s">
        <v>9861</v>
      </c>
      <c r="C2435" s="1" t="s">
        <v>9845</v>
      </c>
      <c r="D2435" s="1" t="s">
        <v>8949</v>
      </c>
      <c r="E2435" s="1" t="s">
        <v>8949</v>
      </c>
      <c r="H2435" s="2" t="str">
        <f>Tabella1[[#This Row],[Denominazione]]&amp;" - "&amp;Tabella1[[#This Row],[Città]]</f>
        <v>BAGNI ONDA VERDE N° 13 - SENIGALLIA</v>
      </c>
    </row>
    <row r="2436" spans="1:8" x14ac:dyDescent="0.25">
      <c r="A2436" s="1" t="s">
        <v>679</v>
      </c>
      <c r="B2436" s="1" t="s">
        <v>12839</v>
      </c>
      <c r="D2436" s="1" t="s">
        <v>12801</v>
      </c>
      <c r="E2436" s="1" t="s">
        <v>1864</v>
      </c>
      <c r="H2436" s="2" t="str">
        <f>Tabella1[[#This Row],[Denominazione]]&amp;" - "&amp;Tabella1[[#This Row],[Città]]</f>
        <v>BAGNI PANETTI - PORTO RECANATI</v>
      </c>
    </row>
    <row r="2437" spans="1:8" x14ac:dyDescent="0.25">
      <c r="A2437" s="1" t="s">
        <v>679</v>
      </c>
      <c r="B2437" s="1" t="s">
        <v>9891</v>
      </c>
      <c r="C2437" s="1" t="s">
        <v>9892</v>
      </c>
      <c r="D2437" s="1" t="s">
        <v>8949</v>
      </c>
      <c r="E2437" s="1" t="s">
        <v>8949</v>
      </c>
      <c r="F2437" s="1" t="s">
        <v>9893</v>
      </c>
      <c r="H2437" s="2" t="str">
        <f>Tabella1[[#This Row],[Denominazione]]&amp;" - "&amp;Tabella1[[#This Row],[Città]]</f>
        <v>BAGNI PAOLA &amp; ROBERTO N° 138 - SENIGALLIA</v>
      </c>
    </row>
    <row r="2438" spans="1:8" x14ac:dyDescent="0.25">
      <c r="A2438" s="1" t="s">
        <v>679</v>
      </c>
      <c r="B2438" s="1" t="s">
        <v>10034</v>
      </c>
      <c r="C2438" s="1" t="s">
        <v>10035</v>
      </c>
      <c r="D2438" s="1" t="s">
        <v>8949</v>
      </c>
      <c r="E2438" s="1" t="s">
        <v>8949</v>
      </c>
      <c r="H2438" s="2" t="str">
        <f>Tabella1[[#This Row],[Denominazione]]&amp;" - "&amp;Tabella1[[#This Row],[Città]]</f>
        <v>BAGNI PAOLA N° 122 - SENIGALLIA</v>
      </c>
    </row>
    <row r="2439" spans="1:8" x14ac:dyDescent="0.25">
      <c r="A2439" s="1" t="s">
        <v>679</v>
      </c>
      <c r="B2439" s="1" t="s">
        <v>9883</v>
      </c>
      <c r="C2439" s="1" t="s">
        <v>9884</v>
      </c>
      <c r="D2439" s="1" t="s">
        <v>8949</v>
      </c>
      <c r="E2439" s="1" t="s">
        <v>8949</v>
      </c>
      <c r="H2439" s="2" t="str">
        <f>Tabella1[[#This Row],[Denominazione]]&amp;" - "&amp;Tabella1[[#This Row],[Città]]</f>
        <v>BAGNI PAOLA N° 58 - UN POSTO AL SOLE - SENIGALLIA</v>
      </c>
    </row>
    <row r="2440" spans="1:8" x14ac:dyDescent="0.25">
      <c r="A2440" s="1" t="s">
        <v>679</v>
      </c>
      <c r="B2440" s="1" t="s">
        <v>7764</v>
      </c>
      <c r="D2440" s="1" t="s">
        <v>7718</v>
      </c>
      <c r="E2440" s="1" t="s">
        <v>7748</v>
      </c>
      <c r="H2440" s="2" t="str">
        <f>Tabella1[[#This Row],[Denominazione]]&amp;" - "&amp;Tabella1[[#This Row],[Città]]</f>
        <v>BAGNI PAOLO - MONTEMARCIANO</v>
      </c>
    </row>
    <row r="2441" spans="1:8" x14ac:dyDescent="0.25">
      <c r="A2441" s="1" t="s">
        <v>679</v>
      </c>
      <c r="B2441" s="1" t="s">
        <v>15871</v>
      </c>
      <c r="C2441" s="1" t="s">
        <v>15818</v>
      </c>
      <c r="D2441" s="1" t="s">
        <v>15585</v>
      </c>
      <c r="H2441" s="2" t="str">
        <f>Tabella1[[#This Row],[Denominazione]]&amp;" - "&amp;Tabella1[[#This Row],[Città]]</f>
        <v>BAGNI PAOLONI - GROTTAMMARE</v>
      </c>
    </row>
    <row r="2442" spans="1:8" x14ac:dyDescent="0.25">
      <c r="A2442" s="1" t="s">
        <v>679</v>
      </c>
      <c r="B2442" s="1" t="s">
        <v>3903</v>
      </c>
      <c r="C2442" s="1" t="s">
        <v>3904</v>
      </c>
      <c r="D2442" s="1" t="s">
        <v>2386</v>
      </c>
      <c r="E2442" s="1" t="s">
        <v>2386</v>
      </c>
      <c r="G2442" s="1" t="s">
        <v>3905</v>
      </c>
      <c r="H2442" s="2" t="str">
        <f>Tabella1[[#This Row],[Denominazione]]&amp;" - "&amp;Tabella1[[#This Row],[Città]]</f>
        <v>BAGNI PARADISO - PESARO</v>
      </c>
    </row>
    <row r="2443" spans="1:8" x14ac:dyDescent="0.25">
      <c r="A2443" s="1" t="s">
        <v>679</v>
      </c>
      <c r="B2443" s="1" t="s">
        <v>10048</v>
      </c>
      <c r="C2443" s="1" t="s">
        <v>10049</v>
      </c>
      <c r="D2443" s="1" t="s">
        <v>8949</v>
      </c>
      <c r="E2443" s="1" t="s">
        <v>8949</v>
      </c>
      <c r="G2443" s="1" t="s">
        <v>10050</v>
      </c>
      <c r="H2443" s="2" t="str">
        <f>Tabella1[[#This Row],[Denominazione]]&amp;" - "&amp;Tabella1[[#This Row],[Città]]</f>
        <v>BAGNI PARADISO N° 62 - SENIGALLIA</v>
      </c>
    </row>
    <row r="2444" spans="1:8" x14ac:dyDescent="0.25">
      <c r="A2444" s="1" t="s">
        <v>679</v>
      </c>
      <c r="B2444" s="1" t="s">
        <v>10004</v>
      </c>
      <c r="C2444" s="1" t="s">
        <v>10005</v>
      </c>
      <c r="D2444" s="1" t="s">
        <v>8949</v>
      </c>
      <c r="E2444" s="1" t="s">
        <v>8949</v>
      </c>
      <c r="H2444" s="2" t="str">
        <f>Tabella1[[#This Row],[Denominazione]]&amp;" - "&amp;Tabella1[[#This Row],[Città]]</f>
        <v>BAGNI PAT N° 89 - SENIGALLIA</v>
      </c>
    </row>
    <row r="2445" spans="1:8" x14ac:dyDescent="0.25">
      <c r="A2445" s="1" t="s">
        <v>679</v>
      </c>
      <c r="B2445" s="1" t="s">
        <v>19470</v>
      </c>
      <c r="C2445" s="1" t="s">
        <v>19382</v>
      </c>
      <c r="D2445" s="1" t="s">
        <v>19283</v>
      </c>
      <c r="E2445" s="1" t="s">
        <v>19363</v>
      </c>
      <c r="H2445" s="2" t="str">
        <f>Tabella1[[#This Row],[Denominazione]]&amp;" - "&amp;Tabella1[[#This Row],[Città]]</f>
        <v>BAGNI PAZZI - PORTO SANT'ELPIDIO</v>
      </c>
    </row>
    <row r="2446" spans="1:8" x14ac:dyDescent="0.25">
      <c r="A2446" s="1" t="s">
        <v>679</v>
      </c>
      <c r="B2446" s="1" t="s">
        <v>1387</v>
      </c>
      <c r="C2446" s="1" t="s">
        <v>1388</v>
      </c>
      <c r="D2446" s="1" t="s">
        <v>682</v>
      </c>
      <c r="E2446" s="1" t="s">
        <v>682</v>
      </c>
      <c r="G2446" s="1" t="s">
        <v>1389</v>
      </c>
      <c r="H2446" s="2" t="str">
        <f>Tabella1[[#This Row],[Denominazione]]&amp;" - "&amp;Tabella1[[#This Row],[Città]]</f>
        <v>BAGNI PELO - FANO</v>
      </c>
    </row>
    <row r="2447" spans="1:8" x14ac:dyDescent="0.25">
      <c r="A2447" s="1" t="s">
        <v>679</v>
      </c>
      <c r="B2447" s="1" t="s">
        <v>1052</v>
      </c>
      <c r="C2447" s="1" t="s">
        <v>1036</v>
      </c>
      <c r="D2447" s="1" t="s">
        <v>682</v>
      </c>
      <c r="E2447" s="1" t="s">
        <v>682</v>
      </c>
      <c r="F2447" s="1" t="s">
        <v>1053</v>
      </c>
      <c r="G2447" s="1" t="s">
        <v>1054</v>
      </c>
      <c r="H2447" s="2" t="str">
        <f>Tabella1[[#This Row],[Denominazione]]&amp;" - "&amp;Tabella1[[#This Row],[Città]]</f>
        <v>BAGNI PEPPE DI TARINI GIUSEPPE - FANO</v>
      </c>
    </row>
    <row r="2448" spans="1:8" x14ac:dyDescent="0.25">
      <c r="A2448" s="1" t="s">
        <v>679</v>
      </c>
      <c r="B2448" s="1" t="s">
        <v>2377</v>
      </c>
      <c r="C2448" s="1" t="s">
        <v>2378</v>
      </c>
      <c r="D2448" s="1" t="s">
        <v>1907</v>
      </c>
      <c r="E2448" s="1" t="s">
        <v>1907</v>
      </c>
      <c r="H2448" s="2" t="str">
        <f>Tabella1[[#This Row],[Denominazione]]&amp;" - "&amp;Tabella1[[#This Row],[Città]]</f>
        <v>BAGNI PEPPINO N. 20 - GABICCE MARE</v>
      </c>
    </row>
    <row r="2449" spans="1:8" x14ac:dyDescent="0.25">
      <c r="A2449" s="1" t="s">
        <v>679</v>
      </c>
      <c r="B2449" s="1" t="s">
        <v>2423</v>
      </c>
      <c r="C2449" s="1" t="s">
        <v>2424</v>
      </c>
      <c r="D2449" s="1" t="s">
        <v>1907</v>
      </c>
      <c r="E2449" s="1" t="s">
        <v>2425</v>
      </c>
      <c r="F2449" s="1" t="s">
        <v>2426</v>
      </c>
      <c r="G2449" s="1" t="s">
        <v>2165</v>
      </c>
      <c r="H2449" s="2" t="str">
        <f>Tabella1[[#This Row],[Denominazione]]&amp;" - "&amp;Tabella1[[#This Row],[Città]]</f>
        <v>BAGNI PEPPO N. 24 - GABICCE MARE</v>
      </c>
    </row>
    <row r="2450" spans="1:8" x14ac:dyDescent="0.25">
      <c r="A2450" s="1" t="s">
        <v>679</v>
      </c>
      <c r="B2450" s="1" t="s">
        <v>17232</v>
      </c>
      <c r="C2450" s="1" t="s">
        <v>17233</v>
      </c>
      <c r="D2450" s="1" t="s">
        <v>15819</v>
      </c>
      <c r="H2450" s="2" t="str">
        <f>Tabella1[[#This Row],[Denominazione]]&amp;" - "&amp;Tabella1[[#This Row],[Città]]</f>
        <v>BAGNI PERSICO - SAN BENEDETTO DEL TRONTO</v>
      </c>
    </row>
    <row r="2451" spans="1:8" x14ac:dyDescent="0.25">
      <c r="A2451" s="1" t="s">
        <v>679</v>
      </c>
      <c r="B2451" s="1" t="s">
        <v>3849</v>
      </c>
      <c r="C2451" s="1" t="s">
        <v>3811</v>
      </c>
      <c r="D2451" s="1" t="s">
        <v>2386</v>
      </c>
      <c r="E2451" s="1" t="s">
        <v>3812</v>
      </c>
      <c r="H2451" s="2" t="str">
        <f>Tabella1[[#This Row],[Denominazione]]&amp;" - "&amp;Tabella1[[#This Row],[Città]]</f>
        <v>BAGNI PRIMAVERA - PESARO</v>
      </c>
    </row>
    <row r="2452" spans="1:8" x14ac:dyDescent="0.25">
      <c r="A2452" s="1" t="s">
        <v>679</v>
      </c>
      <c r="B2452" s="1" t="s">
        <v>3804</v>
      </c>
      <c r="C2452" s="1" t="s">
        <v>3805</v>
      </c>
      <c r="D2452" s="1" t="s">
        <v>2386</v>
      </c>
      <c r="E2452" s="1" t="s">
        <v>2386</v>
      </c>
      <c r="H2452" s="2" t="str">
        <f>Tabella1[[#This Row],[Denominazione]]&amp;" - "&amp;Tabella1[[#This Row],[Città]]</f>
        <v>BAGNI RE SOLE - PESARO</v>
      </c>
    </row>
    <row r="2453" spans="1:8" x14ac:dyDescent="0.25">
      <c r="A2453" s="1" t="s">
        <v>679</v>
      </c>
      <c r="B2453" s="1" t="s">
        <v>9986</v>
      </c>
      <c r="C2453" s="1" t="s">
        <v>9910</v>
      </c>
      <c r="D2453" s="1" t="s">
        <v>8949</v>
      </c>
      <c r="E2453" s="1" t="s">
        <v>8949</v>
      </c>
      <c r="G2453" s="1" t="s">
        <v>9987</v>
      </c>
      <c r="H2453" s="2" t="str">
        <f>Tabella1[[#This Row],[Denominazione]]&amp;" - "&amp;Tabella1[[#This Row],[Città]]</f>
        <v>BAGNI RENATO N° 133 - SENIGALLIA</v>
      </c>
    </row>
    <row r="2454" spans="1:8" x14ac:dyDescent="0.25">
      <c r="A2454" s="1" t="s">
        <v>679</v>
      </c>
      <c r="B2454" s="1" t="s">
        <v>10039</v>
      </c>
      <c r="C2454" s="1" t="s">
        <v>9806</v>
      </c>
      <c r="D2454" s="1" t="s">
        <v>8949</v>
      </c>
      <c r="E2454" s="1" t="s">
        <v>8949</v>
      </c>
      <c r="H2454" s="2" t="str">
        <f>Tabella1[[#This Row],[Denominazione]]&amp;" - "&amp;Tabella1[[#This Row],[Città]]</f>
        <v>BAGNI RENATO N° 148 - SENIGALLIA</v>
      </c>
    </row>
    <row r="2455" spans="1:8" x14ac:dyDescent="0.25">
      <c r="A2455" s="1" t="s">
        <v>679</v>
      </c>
      <c r="B2455" s="1" t="s">
        <v>17312</v>
      </c>
      <c r="C2455" s="1" t="s">
        <v>17009</v>
      </c>
      <c r="D2455" s="1" t="s">
        <v>15819</v>
      </c>
      <c r="H2455" s="2" t="str">
        <f>Tabella1[[#This Row],[Denominazione]]&amp;" - "&amp;Tabella1[[#This Row],[Città]]</f>
        <v>BAGNI RESIDENCE CRISTALLO - SAN BENEDETTO DEL TRONTO</v>
      </c>
    </row>
    <row r="2456" spans="1:8" x14ac:dyDescent="0.25">
      <c r="A2456" s="1" t="s">
        <v>679</v>
      </c>
      <c r="B2456" s="1" t="s">
        <v>15427</v>
      </c>
      <c r="C2456" s="1" t="s">
        <v>15403</v>
      </c>
      <c r="D2456" s="1" t="s">
        <v>15349</v>
      </c>
      <c r="E2456" s="1" t="s">
        <v>15349</v>
      </c>
      <c r="H2456" s="2" t="str">
        <f>Tabella1[[#This Row],[Denominazione]]&amp;" - "&amp;Tabella1[[#This Row],[Città]]</f>
        <v>BAGNI RESIDENCE PATRIZIA - CUPRA MARITTIMA</v>
      </c>
    </row>
    <row r="2457" spans="1:8" x14ac:dyDescent="0.25">
      <c r="A2457" s="1" t="s">
        <v>679</v>
      </c>
      <c r="B2457" s="1" t="s">
        <v>2854</v>
      </c>
      <c r="C2457" s="1" t="s">
        <v>2847</v>
      </c>
      <c r="D2457" s="1" t="s">
        <v>1605</v>
      </c>
      <c r="E2457" s="1" t="s">
        <v>1456</v>
      </c>
      <c r="H2457" s="2" t="str">
        <f>Tabella1[[#This Row],[Denominazione]]&amp;" - "&amp;Tabella1[[#This Row],[Città]]</f>
        <v>BAGNI RICCARDO - MONDOLFO</v>
      </c>
    </row>
    <row r="2458" spans="1:8" x14ac:dyDescent="0.25">
      <c r="A2458" s="1" t="s">
        <v>679</v>
      </c>
      <c r="B2458" s="1" t="s">
        <v>2854</v>
      </c>
      <c r="C2458" s="1" t="s">
        <v>3830</v>
      </c>
      <c r="D2458" s="1" t="s">
        <v>2386</v>
      </c>
      <c r="E2458" s="1" t="s">
        <v>3833</v>
      </c>
      <c r="H2458" s="2" t="str">
        <f>Tabella1[[#This Row],[Denominazione]]&amp;" - "&amp;Tabella1[[#This Row],[Città]]</f>
        <v>BAGNI RICCARDO - PESARO</v>
      </c>
    </row>
    <row r="2459" spans="1:8" x14ac:dyDescent="0.25">
      <c r="A2459" s="1" t="s">
        <v>679</v>
      </c>
      <c r="B2459" s="1" t="s">
        <v>3893</v>
      </c>
      <c r="C2459" s="1" t="s">
        <v>3894</v>
      </c>
      <c r="D2459" s="1" t="s">
        <v>2386</v>
      </c>
      <c r="E2459" s="1" t="s">
        <v>2386</v>
      </c>
      <c r="F2459" s="1" t="s">
        <v>3895</v>
      </c>
      <c r="G2459" s="1" t="s">
        <v>3896</v>
      </c>
      <c r="H2459" s="2" t="str">
        <f>Tabella1[[#This Row],[Denominazione]]&amp;" - "&amp;Tabella1[[#This Row],[Città]]</f>
        <v>BAGNI RIDOLFI - PESARO</v>
      </c>
    </row>
    <row r="2460" spans="1:8" x14ac:dyDescent="0.25">
      <c r="A2460" s="1" t="s">
        <v>679</v>
      </c>
      <c r="B2460" s="1" t="s">
        <v>2436</v>
      </c>
      <c r="C2460" s="1" t="s">
        <v>2437</v>
      </c>
      <c r="D2460" s="1" t="s">
        <v>1907</v>
      </c>
      <c r="E2460" s="1" t="s">
        <v>1907</v>
      </c>
      <c r="H2460" s="2" t="str">
        <f>Tabella1[[#This Row],[Denominazione]]&amp;" - "&amp;Tabella1[[#This Row],[Città]]</f>
        <v>BAGNI ROBERTO E LUCA  N. 5 - GABICCE MARE</v>
      </c>
    </row>
    <row r="2461" spans="1:8" x14ac:dyDescent="0.25">
      <c r="A2461" s="1" t="s">
        <v>679</v>
      </c>
      <c r="B2461" s="1" t="s">
        <v>2417</v>
      </c>
      <c r="C2461" s="1" t="s">
        <v>2418</v>
      </c>
      <c r="D2461" s="1" t="s">
        <v>1907</v>
      </c>
      <c r="E2461" s="1" t="s">
        <v>1907</v>
      </c>
      <c r="F2461" s="1" t="s">
        <v>2419</v>
      </c>
      <c r="H2461" s="2" t="str">
        <f>Tabella1[[#This Row],[Denominazione]]&amp;" - "&amp;Tabella1[[#This Row],[Città]]</f>
        <v>BAGNI ROBERTO N. 26 - GABICCE MARE</v>
      </c>
    </row>
    <row r="2462" spans="1:8" x14ac:dyDescent="0.25">
      <c r="A2462" s="1" t="s">
        <v>679</v>
      </c>
      <c r="B2462" s="1" t="s">
        <v>9866</v>
      </c>
      <c r="C2462" s="1" t="s">
        <v>9843</v>
      </c>
      <c r="D2462" s="1" t="s">
        <v>8949</v>
      </c>
      <c r="E2462" s="1" t="s">
        <v>8949</v>
      </c>
      <c r="H2462" s="2" t="str">
        <f>Tabella1[[#This Row],[Denominazione]]&amp;" - "&amp;Tabella1[[#This Row],[Città]]</f>
        <v>BAGNI ROBERTO N° 44 - SENIGALLIA</v>
      </c>
    </row>
    <row r="2463" spans="1:8" x14ac:dyDescent="0.25">
      <c r="A2463" s="1" t="s">
        <v>679</v>
      </c>
      <c r="B2463" s="1" t="s">
        <v>3863</v>
      </c>
      <c r="C2463" s="1" t="s">
        <v>3864</v>
      </c>
      <c r="D2463" s="1" t="s">
        <v>2386</v>
      </c>
      <c r="E2463" s="1" t="s">
        <v>2386</v>
      </c>
      <c r="G2463" s="1" t="s">
        <v>3865</v>
      </c>
      <c r="H2463" s="2" t="str">
        <f>Tabella1[[#This Row],[Denominazione]]&amp;" - "&amp;Tabella1[[#This Row],[Città]]</f>
        <v>BAGNI ROBY 14 - PESARO</v>
      </c>
    </row>
    <row r="2464" spans="1:8" x14ac:dyDescent="0.25">
      <c r="A2464" s="1" t="s">
        <v>679</v>
      </c>
      <c r="B2464" s="1" t="s">
        <v>10002</v>
      </c>
      <c r="C2464" s="1" t="s">
        <v>9845</v>
      </c>
      <c r="D2464" s="1" t="s">
        <v>8949</v>
      </c>
      <c r="E2464" s="1" t="s">
        <v>8949</v>
      </c>
      <c r="G2464" s="1" t="s">
        <v>10003</v>
      </c>
      <c r="H2464" s="2" t="str">
        <f>Tabella1[[#This Row],[Denominazione]]&amp;" - "&amp;Tabella1[[#This Row],[Città]]</f>
        <v>BAGNI ROBY N° 26 - SENIGALLIA</v>
      </c>
    </row>
    <row r="2465" spans="1:8" x14ac:dyDescent="0.25">
      <c r="A2465" s="1" t="s">
        <v>679</v>
      </c>
      <c r="B2465" s="1" t="s">
        <v>4053</v>
      </c>
      <c r="C2465" s="1" t="s">
        <v>4054</v>
      </c>
      <c r="D2465" s="1" t="s">
        <v>2386</v>
      </c>
      <c r="E2465" s="1" t="s">
        <v>2386</v>
      </c>
      <c r="G2465" s="1" t="s">
        <v>4055</v>
      </c>
      <c r="H2465" s="2" t="str">
        <f>Tabella1[[#This Row],[Denominazione]]&amp;" - "&amp;Tabella1[[#This Row],[Città]]</f>
        <v>BAGNI SACRO CUORE - PESARO</v>
      </c>
    </row>
    <row r="2466" spans="1:8" x14ac:dyDescent="0.25">
      <c r="A2466" s="1" t="s">
        <v>679</v>
      </c>
      <c r="B2466" s="1" t="s">
        <v>9945</v>
      </c>
      <c r="C2466" s="1" t="s">
        <v>9845</v>
      </c>
      <c r="D2466" s="1" t="s">
        <v>8949</v>
      </c>
      <c r="E2466" s="1" t="s">
        <v>8949</v>
      </c>
      <c r="F2466" s="1" t="s">
        <v>9946</v>
      </c>
      <c r="G2466" s="1" t="s">
        <v>9947</v>
      </c>
      <c r="H2466" s="2" t="str">
        <f>Tabella1[[#This Row],[Denominazione]]&amp;" - "&amp;Tabella1[[#This Row],[Città]]</f>
        <v>BAGNI SANDRA N° 32 - SENIGALLIA</v>
      </c>
    </row>
    <row r="2467" spans="1:8" x14ac:dyDescent="0.25">
      <c r="A2467" s="1" t="s">
        <v>679</v>
      </c>
      <c r="B2467" s="1" t="s">
        <v>2351</v>
      </c>
      <c r="C2467" s="1" t="s">
        <v>2352</v>
      </c>
      <c r="D2467" s="1" t="s">
        <v>1907</v>
      </c>
      <c r="E2467" s="1" t="s">
        <v>1907</v>
      </c>
      <c r="F2467" s="1" t="s">
        <v>2353</v>
      </c>
      <c r="G2467" s="1" t="s">
        <v>2354</v>
      </c>
      <c r="H2467" s="2" t="str">
        <f>Tabella1[[#This Row],[Denominazione]]&amp;" - "&amp;Tabella1[[#This Row],[Città]]</f>
        <v>BAGNI SANDRO N. 6 - GABICCE MARE</v>
      </c>
    </row>
    <row r="2468" spans="1:8" x14ac:dyDescent="0.25">
      <c r="A2468" s="1" t="s">
        <v>679</v>
      </c>
      <c r="B2468" s="1" t="s">
        <v>3887</v>
      </c>
      <c r="C2468" s="1" t="s">
        <v>3825</v>
      </c>
      <c r="D2468" s="1" t="s">
        <v>2386</v>
      </c>
      <c r="E2468" s="1" t="s">
        <v>3812</v>
      </c>
      <c r="H2468" s="2" t="str">
        <f>Tabella1[[#This Row],[Denominazione]]&amp;" - "&amp;Tabella1[[#This Row],[Città]]</f>
        <v>BAGNI SERGIO - PESARO</v>
      </c>
    </row>
    <row r="2469" spans="1:8" x14ac:dyDescent="0.25">
      <c r="A2469" s="1" t="s">
        <v>679</v>
      </c>
      <c r="B2469" s="1" t="s">
        <v>1035</v>
      </c>
      <c r="C2469" s="1" t="s">
        <v>1036</v>
      </c>
      <c r="D2469" s="1" t="s">
        <v>682</v>
      </c>
      <c r="E2469" s="1" t="s">
        <v>682</v>
      </c>
      <c r="H2469" s="2" t="str">
        <f>Tabella1[[#This Row],[Denominazione]]&amp;" - "&amp;Tabella1[[#This Row],[Città]]</f>
        <v>BAGNI SERGIO DI CIAVAGLIA ADAMO - FANO</v>
      </c>
    </row>
    <row r="2470" spans="1:8" x14ac:dyDescent="0.25">
      <c r="A2470" s="1" t="s">
        <v>679</v>
      </c>
      <c r="B2470" s="1" t="s">
        <v>2357</v>
      </c>
      <c r="C2470" s="1" t="s">
        <v>2358</v>
      </c>
      <c r="D2470" s="1" t="s">
        <v>1907</v>
      </c>
      <c r="E2470" s="1" t="s">
        <v>1907</v>
      </c>
      <c r="F2470" s="1" t="s">
        <v>2291</v>
      </c>
      <c r="G2470" s="1" t="s">
        <v>2290</v>
      </c>
      <c r="H2470" s="2" t="str">
        <f>Tabella1[[#This Row],[Denominazione]]&amp;" - "&amp;Tabella1[[#This Row],[Città]]</f>
        <v>BAGNI SERGIO N. 4 - GABICCE MARE</v>
      </c>
    </row>
    <row r="2471" spans="1:8" x14ac:dyDescent="0.25">
      <c r="A2471" s="1" t="s">
        <v>679</v>
      </c>
      <c r="B2471" s="1" t="s">
        <v>2412</v>
      </c>
      <c r="C2471" s="1" t="s">
        <v>2413</v>
      </c>
      <c r="D2471" s="1" t="s">
        <v>1907</v>
      </c>
      <c r="F2471" s="1" t="s">
        <v>2414</v>
      </c>
      <c r="G2471" s="1" t="s">
        <v>2415</v>
      </c>
      <c r="H2471" s="2" t="str">
        <f>Tabella1[[#This Row],[Denominazione]]&amp;" - "&amp;Tabella1[[#This Row],[Città]]</f>
        <v>BAGNI SILVIO N. 28 - GABICCE MARE</v>
      </c>
    </row>
    <row r="2472" spans="1:8" x14ac:dyDescent="0.25">
      <c r="A2472" s="1" t="s">
        <v>679</v>
      </c>
      <c r="B2472" s="1" t="s">
        <v>19126</v>
      </c>
      <c r="C2472" s="1" t="s">
        <v>19068</v>
      </c>
      <c r="D2472" s="1" t="s">
        <v>18082</v>
      </c>
      <c r="E2472" s="1" t="s">
        <v>18082</v>
      </c>
      <c r="H2472" s="2" t="str">
        <f>Tabella1[[#This Row],[Denominazione]]&amp;" - "&amp;Tabella1[[#This Row],[Città]]</f>
        <v>BAGNI SIRENA - di PACI TIZIANA - PORTO SAN GIORGIO</v>
      </c>
    </row>
    <row r="2473" spans="1:8" x14ac:dyDescent="0.25">
      <c r="A2473" s="1" t="s">
        <v>679</v>
      </c>
      <c r="B2473" s="1" t="s">
        <v>19127</v>
      </c>
      <c r="C2473" s="1" t="s">
        <v>19068</v>
      </c>
      <c r="D2473" s="1" t="s">
        <v>18082</v>
      </c>
      <c r="E2473" s="1" t="s">
        <v>18082</v>
      </c>
      <c r="H2473" s="2" t="str">
        <f>Tabella1[[#This Row],[Denominazione]]&amp;" - "&amp;Tabella1[[#This Row],[Città]]</f>
        <v>BAGNI SIRENA - di PETTINARI MARIA - PORTO SAN GIORGIO</v>
      </c>
    </row>
    <row r="2474" spans="1:8" x14ac:dyDescent="0.25">
      <c r="A2474" s="1" t="s">
        <v>679</v>
      </c>
      <c r="B2474" s="1" t="s">
        <v>9858</v>
      </c>
      <c r="C2474" s="1" t="s">
        <v>9859</v>
      </c>
      <c r="D2474" s="1" t="s">
        <v>8949</v>
      </c>
      <c r="E2474" s="1" t="s">
        <v>8949</v>
      </c>
      <c r="H2474" s="2" t="str">
        <f>Tabella1[[#This Row],[Denominazione]]&amp;" - "&amp;Tabella1[[#This Row],[Città]]</f>
        <v>BAGNI SIRENA N° 78 - SENIGALLIA</v>
      </c>
    </row>
    <row r="2475" spans="1:8" x14ac:dyDescent="0.25">
      <c r="A2475" s="1" t="s">
        <v>679</v>
      </c>
      <c r="B2475" s="1" t="s">
        <v>4058</v>
      </c>
      <c r="C2475" s="1" t="s">
        <v>4059</v>
      </c>
      <c r="D2475" s="1" t="s">
        <v>2386</v>
      </c>
      <c r="E2475" s="1" t="s">
        <v>2386</v>
      </c>
      <c r="H2475" s="2" t="str">
        <f>Tabella1[[#This Row],[Denominazione]]&amp;" - "&amp;Tabella1[[#This Row],[Città]]</f>
        <v>BAGNI SOLE - PESARO</v>
      </c>
    </row>
    <row r="2476" spans="1:8" x14ac:dyDescent="0.25">
      <c r="A2476" s="1" t="s">
        <v>679</v>
      </c>
      <c r="B2476" s="1" t="s">
        <v>9926</v>
      </c>
      <c r="C2476" s="1" t="s">
        <v>9927</v>
      </c>
      <c r="D2476" s="1" t="s">
        <v>8949</v>
      </c>
      <c r="E2476" s="1" t="s">
        <v>8949</v>
      </c>
      <c r="F2476" s="1" t="s">
        <v>9928</v>
      </c>
      <c r="G2476" s="1" t="s">
        <v>9929</v>
      </c>
      <c r="H2476" s="2" t="str">
        <f>Tabella1[[#This Row],[Denominazione]]&amp;" - "&amp;Tabella1[[#This Row],[Città]]</f>
        <v>BAGNI SOLE BLU N° 60 - SENIGALLIA</v>
      </c>
    </row>
    <row r="2477" spans="1:8" x14ac:dyDescent="0.25">
      <c r="A2477" s="1" t="s">
        <v>679</v>
      </c>
      <c r="B2477" s="1" t="s">
        <v>1034</v>
      </c>
      <c r="C2477" s="1" t="s">
        <v>1026</v>
      </c>
      <c r="D2477" s="1" t="s">
        <v>682</v>
      </c>
      <c r="E2477" s="1" t="s">
        <v>682</v>
      </c>
      <c r="H2477" s="2" t="str">
        <f>Tabella1[[#This Row],[Denominazione]]&amp;" - "&amp;Tabella1[[#This Row],[Città]]</f>
        <v>BAGNI SOLEADO DI DIOTALLEVI DAVIDE &amp; C. - FANO</v>
      </c>
    </row>
    <row r="2478" spans="1:8" x14ac:dyDescent="0.25">
      <c r="A2478" s="1" t="s">
        <v>679</v>
      </c>
      <c r="B2478" s="1" t="s">
        <v>2859</v>
      </c>
      <c r="C2478" s="1" t="s">
        <v>2860</v>
      </c>
      <c r="D2478" s="1" t="s">
        <v>1605</v>
      </c>
      <c r="E2478" s="1" t="s">
        <v>1605</v>
      </c>
      <c r="G2478" s="1" t="s">
        <v>2861</v>
      </c>
      <c r="H2478" s="2" t="str">
        <f>Tabella1[[#This Row],[Denominazione]]&amp;" - "&amp;Tabella1[[#This Row],[Città]]</f>
        <v>BAGNI SOLINDO - MONDOLFO</v>
      </c>
    </row>
    <row r="2479" spans="1:8" x14ac:dyDescent="0.25">
      <c r="A2479" s="1" t="s">
        <v>679</v>
      </c>
      <c r="B2479" s="1" t="s">
        <v>17322</v>
      </c>
      <c r="C2479" s="1" t="s">
        <v>17323</v>
      </c>
      <c r="D2479" s="1" t="s">
        <v>15819</v>
      </c>
      <c r="H2479" s="2" t="str">
        <f>Tabella1[[#This Row],[Denominazione]]&amp;" - "&amp;Tabella1[[#This Row],[Città]]</f>
        <v>BAGNI SPIAGGIA D'ORO - SAN BENEDETTO DEL TRONTO</v>
      </c>
    </row>
    <row r="2480" spans="1:8" x14ac:dyDescent="0.25">
      <c r="A2480" s="1" t="s">
        <v>679</v>
      </c>
      <c r="B2480" s="1" t="s">
        <v>3843</v>
      </c>
      <c r="C2480" s="1" t="s">
        <v>3844</v>
      </c>
      <c r="D2480" s="1" t="s">
        <v>2386</v>
      </c>
      <c r="E2480" s="1" t="s">
        <v>2386</v>
      </c>
      <c r="H2480" s="2" t="str">
        <f>Tabella1[[#This Row],[Denominazione]]&amp;" - "&amp;Tabella1[[#This Row],[Città]]</f>
        <v>BAGNI SPINACI N 18 - PESARO</v>
      </c>
    </row>
    <row r="2481" spans="1:8" x14ac:dyDescent="0.25">
      <c r="A2481" s="1" t="s">
        <v>679</v>
      </c>
      <c r="B2481" s="1" t="s">
        <v>3897</v>
      </c>
      <c r="C2481" s="1" t="s">
        <v>3811</v>
      </c>
      <c r="D2481" s="1" t="s">
        <v>2386</v>
      </c>
      <c r="E2481" s="1" t="s">
        <v>3876</v>
      </c>
      <c r="H2481" s="2" t="str">
        <f>Tabella1[[#This Row],[Denominazione]]&amp;" - "&amp;Tabella1[[#This Row],[Città]]</f>
        <v>BAGNI STEFANO - PESARO</v>
      </c>
    </row>
    <row r="2482" spans="1:8" x14ac:dyDescent="0.25">
      <c r="A2482" s="1" t="s">
        <v>679</v>
      </c>
      <c r="B2482" s="1" t="s">
        <v>7117</v>
      </c>
      <c r="C2482" s="1" t="s">
        <v>7118</v>
      </c>
      <c r="D2482" s="1" t="s">
        <v>5735</v>
      </c>
      <c r="E2482" s="1" t="s">
        <v>5735</v>
      </c>
      <c r="F2482" s="1" t="s">
        <v>7119</v>
      </c>
      <c r="H2482" s="2" t="str">
        <f>Tabella1[[#This Row],[Denominazione]]&amp;" - "&amp;Tabella1[[#This Row],[Città]]</f>
        <v>BAGNI SUBWAY - FALCONARA MARITTIMA</v>
      </c>
    </row>
    <row r="2483" spans="1:8" x14ac:dyDescent="0.25">
      <c r="A2483" s="1" t="s">
        <v>679</v>
      </c>
      <c r="B2483" s="1" t="s">
        <v>4056</v>
      </c>
      <c r="C2483" s="1" t="s">
        <v>4057</v>
      </c>
      <c r="D2483" s="1" t="s">
        <v>2386</v>
      </c>
      <c r="E2483" s="1" t="s">
        <v>2386</v>
      </c>
      <c r="H2483" s="2" t="str">
        <f>Tabella1[[#This Row],[Denominazione]]&amp;" - "&amp;Tabella1[[#This Row],[Città]]</f>
        <v>BAGNI TIKI - PESARO</v>
      </c>
    </row>
    <row r="2484" spans="1:8" x14ac:dyDescent="0.25">
      <c r="A2484" s="1" t="s">
        <v>679</v>
      </c>
      <c r="B2484" s="1" t="s">
        <v>3871</v>
      </c>
      <c r="C2484" s="1" t="s">
        <v>3872</v>
      </c>
      <c r="D2484" s="1" t="s">
        <v>2386</v>
      </c>
      <c r="E2484" s="1" t="s">
        <v>2386</v>
      </c>
      <c r="H2484" s="2" t="str">
        <f>Tabella1[[#This Row],[Denominazione]]&amp;" - "&amp;Tabella1[[#This Row],[Città]]</f>
        <v>BAGNI TINA - PESARO</v>
      </c>
    </row>
    <row r="2485" spans="1:8" x14ac:dyDescent="0.25">
      <c r="A2485" s="1" t="s">
        <v>679</v>
      </c>
      <c r="B2485" s="1" t="s">
        <v>3861</v>
      </c>
      <c r="C2485" s="1" t="s">
        <v>3862</v>
      </c>
      <c r="D2485" s="1" t="s">
        <v>2386</v>
      </c>
      <c r="E2485" s="1" t="s">
        <v>2386</v>
      </c>
      <c r="H2485" s="2" t="str">
        <f>Tabella1[[#This Row],[Denominazione]]&amp;" - "&amp;Tabella1[[#This Row],[Città]]</f>
        <v>BAGNI TINO N 5 - PESARO</v>
      </c>
    </row>
    <row r="2486" spans="1:8" x14ac:dyDescent="0.25">
      <c r="A2486" s="1" t="s">
        <v>679</v>
      </c>
      <c r="B2486" s="1" t="s">
        <v>2410</v>
      </c>
      <c r="C2486" s="1" t="s">
        <v>2411</v>
      </c>
      <c r="D2486" s="1" t="s">
        <v>1907</v>
      </c>
      <c r="E2486" s="1" t="s">
        <v>1907</v>
      </c>
      <c r="H2486" s="2" t="str">
        <f>Tabella1[[#This Row],[Denominazione]]&amp;" - "&amp;Tabella1[[#This Row],[Città]]</f>
        <v>BAGNI TONINO N. 29 - GABICCE MARE</v>
      </c>
    </row>
    <row r="2487" spans="1:8" x14ac:dyDescent="0.25">
      <c r="A2487" s="1" t="s">
        <v>679</v>
      </c>
      <c r="B2487" s="1" t="s">
        <v>1064</v>
      </c>
      <c r="C2487" s="1" t="s">
        <v>1048</v>
      </c>
      <c r="D2487" s="1" t="s">
        <v>682</v>
      </c>
      <c r="E2487" s="1" t="s">
        <v>682</v>
      </c>
      <c r="H2487" s="2" t="str">
        <f>Tabella1[[#This Row],[Denominazione]]&amp;" - "&amp;Tabella1[[#This Row],[Città]]</f>
        <v>BAGNI TORRETTE DI MANDOLINI MAURO E MARCO - FANO</v>
      </c>
    </row>
    <row r="2488" spans="1:8" x14ac:dyDescent="0.25">
      <c r="A2488" s="1" t="s">
        <v>679</v>
      </c>
      <c r="B2488" s="1" t="s">
        <v>3902</v>
      </c>
      <c r="C2488" s="1" t="s">
        <v>3805</v>
      </c>
      <c r="D2488" s="1" t="s">
        <v>2386</v>
      </c>
      <c r="E2488" s="1" t="s">
        <v>2386</v>
      </c>
      <c r="G2488" s="1" t="s">
        <v>3858</v>
      </c>
      <c r="H2488" s="2" t="str">
        <f>Tabella1[[#This Row],[Denominazione]]&amp;" - "&amp;Tabella1[[#This Row],[Città]]</f>
        <v>BAGNI TOTO - PESARO</v>
      </c>
    </row>
    <row r="2489" spans="1:8" x14ac:dyDescent="0.25">
      <c r="A2489" s="1" t="s">
        <v>679</v>
      </c>
      <c r="B2489" s="1" t="s">
        <v>3806</v>
      </c>
      <c r="C2489" s="1" t="s">
        <v>3807</v>
      </c>
      <c r="D2489" s="1" t="s">
        <v>2386</v>
      </c>
      <c r="E2489" s="1" t="s">
        <v>2386</v>
      </c>
      <c r="H2489" s="2" t="str">
        <f>Tabella1[[#This Row],[Denominazione]]&amp;" - "&amp;Tabella1[[#This Row],[Città]]</f>
        <v>BAGNI VALLUGOLA - PESARO</v>
      </c>
    </row>
    <row r="2490" spans="1:8" x14ac:dyDescent="0.25">
      <c r="A2490" s="1" t="s">
        <v>679</v>
      </c>
      <c r="B2490" s="1" t="s">
        <v>3906</v>
      </c>
      <c r="C2490" s="1" t="s">
        <v>3811</v>
      </c>
      <c r="D2490" s="1" t="s">
        <v>2386</v>
      </c>
      <c r="E2490" s="1" t="s">
        <v>3907</v>
      </c>
      <c r="H2490" s="2" t="str">
        <f>Tabella1[[#This Row],[Denominazione]]&amp;" - "&amp;Tabella1[[#This Row],[Città]]</f>
        <v>BAGNI VASINTO - PESARO</v>
      </c>
    </row>
    <row r="2491" spans="1:8" x14ac:dyDescent="0.25">
      <c r="A2491" s="1" t="s">
        <v>679</v>
      </c>
      <c r="B2491" s="1" t="s">
        <v>3873</v>
      </c>
      <c r="C2491" s="1" t="s">
        <v>3830</v>
      </c>
      <c r="D2491" s="1" t="s">
        <v>2386</v>
      </c>
      <c r="E2491" s="1" t="s">
        <v>3833</v>
      </c>
      <c r="H2491" s="2" t="str">
        <f>Tabella1[[#This Row],[Denominazione]]&amp;" - "&amp;Tabella1[[#This Row],[Città]]</f>
        <v>BAGNI VENERUCCI - PESARO</v>
      </c>
    </row>
    <row r="2492" spans="1:8" x14ac:dyDescent="0.25">
      <c r="A2492" s="1" t="s">
        <v>679</v>
      </c>
      <c r="B2492" s="1" t="s">
        <v>19080</v>
      </c>
      <c r="C2492" s="1" t="s">
        <v>19078</v>
      </c>
      <c r="D2492" s="1" t="s">
        <v>18082</v>
      </c>
      <c r="E2492" s="1" t="s">
        <v>18082</v>
      </c>
      <c r="F2492" s="1" t="s">
        <v>19081</v>
      </c>
      <c r="H2492" s="2" t="str">
        <f>Tabella1[[#This Row],[Denominazione]]&amp;" - "&amp;Tabella1[[#This Row],[Città]]</f>
        <v>BAGNI VERA - PORTO SAN GIORGIO</v>
      </c>
    </row>
    <row r="2493" spans="1:8" x14ac:dyDescent="0.25">
      <c r="A2493" s="1" t="s">
        <v>679</v>
      </c>
      <c r="B2493" s="1" t="s">
        <v>15907</v>
      </c>
      <c r="C2493" s="1" t="s">
        <v>15818</v>
      </c>
      <c r="D2493" s="1" t="s">
        <v>15585</v>
      </c>
      <c r="H2493" s="2" t="str">
        <f>Tabella1[[#This Row],[Denominazione]]&amp;" - "&amp;Tabella1[[#This Row],[Città]]</f>
        <v>BAGNI VIAREGGIO - GROTTAMMARE</v>
      </c>
    </row>
    <row r="2494" spans="1:8" x14ac:dyDescent="0.25">
      <c r="A2494" s="1" t="s">
        <v>679</v>
      </c>
      <c r="B2494" s="1" t="s">
        <v>9943</v>
      </c>
      <c r="C2494" s="1" t="s">
        <v>9843</v>
      </c>
      <c r="D2494" s="1" t="s">
        <v>8949</v>
      </c>
      <c r="E2494" s="1" t="s">
        <v>8949</v>
      </c>
      <c r="H2494" s="2" t="str">
        <f>Tabella1[[#This Row],[Denominazione]]&amp;" - "&amp;Tabella1[[#This Row],[Città]]</f>
        <v>BAGNI VIRGILIO &amp; MARCO N° 46 - SENIGALLIA</v>
      </c>
    </row>
    <row r="2495" spans="1:8" x14ac:dyDescent="0.25">
      <c r="A2495" s="1" t="s">
        <v>679</v>
      </c>
      <c r="B2495" s="1" t="s">
        <v>9990</v>
      </c>
      <c r="C2495" s="1" t="s">
        <v>9991</v>
      </c>
      <c r="D2495" s="1" t="s">
        <v>8949</v>
      </c>
      <c r="E2495" s="1" t="s">
        <v>8949</v>
      </c>
      <c r="H2495" s="2" t="str">
        <f>Tabella1[[#This Row],[Denominazione]]&amp;" - "&amp;Tabella1[[#This Row],[Città]]</f>
        <v>BAGNI VIRGILIO N 83 - SENIGALLIA</v>
      </c>
    </row>
    <row r="2496" spans="1:8" x14ac:dyDescent="0.25">
      <c r="A2496" s="1" t="s">
        <v>679</v>
      </c>
      <c r="B2496" s="1" t="s">
        <v>7089</v>
      </c>
      <c r="C2496" s="1" t="s">
        <v>5741</v>
      </c>
      <c r="D2496" s="1" t="s">
        <v>5735</v>
      </c>
      <c r="E2496" s="1" t="s">
        <v>5735</v>
      </c>
      <c r="H2496" s="2" t="str">
        <f>Tabella1[[#This Row],[Denominazione]]&amp;" - "&amp;Tabella1[[#This Row],[Città]]</f>
        <v>BAGNI VITTORIA - FALCONARA MARITTIMA</v>
      </c>
    </row>
    <row r="2497" spans="1:8" x14ac:dyDescent="0.25">
      <c r="A2497" s="1" t="s">
        <v>679</v>
      </c>
      <c r="B2497" s="1" t="s">
        <v>9897</v>
      </c>
      <c r="D2497" s="1" t="s">
        <v>8949</v>
      </c>
      <c r="E2497" s="1" t="s">
        <v>8949</v>
      </c>
      <c r="F2497" s="1" t="s">
        <v>9898</v>
      </c>
      <c r="H2497" s="2" t="str">
        <f>Tabella1[[#This Row],[Denominazione]]&amp;" - "&amp;Tabella1[[#This Row],[Città]]</f>
        <v>BAGNI VITTORIA N 105/106 - SENIGALLIA</v>
      </c>
    </row>
    <row r="2498" spans="1:8" x14ac:dyDescent="0.25">
      <c r="A2498" s="1" t="s">
        <v>679</v>
      </c>
      <c r="B2498" s="1" t="s">
        <v>3847</v>
      </c>
      <c r="C2498" s="1" t="s">
        <v>3848</v>
      </c>
      <c r="D2498" s="1" t="s">
        <v>2386</v>
      </c>
      <c r="E2498" s="1" t="s">
        <v>2386</v>
      </c>
      <c r="H2498" s="2" t="str">
        <f>Tabella1[[#This Row],[Denominazione]]&amp;" - "&amp;Tabella1[[#This Row],[Città]]</f>
        <v>BAGNI WANDA N 26 - PESARO</v>
      </c>
    </row>
    <row r="2499" spans="1:8" x14ac:dyDescent="0.25">
      <c r="A2499" s="1" t="s">
        <v>679</v>
      </c>
      <c r="B2499" s="1" t="s">
        <v>17146</v>
      </c>
      <c r="C2499" s="1" t="s">
        <v>17106</v>
      </c>
      <c r="D2499" s="1" t="s">
        <v>15819</v>
      </c>
      <c r="E2499" s="1" t="s">
        <v>15819</v>
      </c>
      <c r="F2499" s="1" t="s">
        <v>17147</v>
      </c>
      <c r="H2499" s="2" t="str">
        <f>Tabella1[[#This Row],[Denominazione]]&amp;" - "&amp;Tabella1[[#This Row],[Città]]</f>
        <v>BAGNI ZAPPA' - SAN BENEDETTO DEL TRONTO</v>
      </c>
    </row>
    <row r="2500" spans="1:8" x14ac:dyDescent="0.25">
      <c r="A2500" s="1" t="s">
        <v>679</v>
      </c>
      <c r="B2500" s="1" t="s">
        <v>5760</v>
      </c>
      <c r="D2500" s="1" t="s">
        <v>1864</v>
      </c>
      <c r="F2500" s="1" t="s">
        <v>5761</v>
      </c>
      <c r="H2500" s="2" t="str">
        <f>Tabella1[[#This Row],[Denominazione]]&amp;" - "&amp;Tabella1[[#This Row],[Città]]</f>
        <v>BAGNINO FRANCO di BORIANI GIANNI - ANCONA</v>
      </c>
    </row>
    <row r="2501" spans="1:8" x14ac:dyDescent="0.25">
      <c r="A2501" s="1" t="s">
        <v>679</v>
      </c>
      <c r="B2501" s="1" t="s">
        <v>15908</v>
      </c>
      <c r="C2501" s="1" t="s">
        <v>15909</v>
      </c>
      <c r="D2501" s="1" t="s">
        <v>15585</v>
      </c>
      <c r="E2501" s="1" t="s">
        <v>15585</v>
      </c>
      <c r="H2501" s="2" t="str">
        <f>Tabella1[[#This Row],[Denominazione]]&amp;" - "&amp;Tabella1[[#This Row],[Città]]</f>
        <v>BAGNO DELLE SIRENE - GROTTAMMARE</v>
      </c>
    </row>
    <row r="2502" spans="1:8" x14ac:dyDescent="0.25">
      <c r="A2502" s="1" t="s">
        <v>679</v>
      </c>
      <c r="B2502" s="1" t="s">
        <v>15882</v>
      </c>
      <c r="C2502" s="1" t="s">
        <v>15818</v>
      </c>
      <c r="D2502" s="1" t="s">
        <v>15585</v>
      </c>
      <c r="F2502" s="1" t="s">
        <v>15883</v>
      </c>
      <c r="G2502" s="1" t="s">
        <v>15884</v>
      </c>
      <c r="H2502" s="2" t="str">
        <f>Tabella1[[#This Row],[Denominazione]]&amp;" - "&amp;Tabella1[[#This Row],[Città]]</f>
        <v>BAGNO EDEN - GROTTAMMARE</v>
      </c>
    </row>
    <row r="2503" spans="1:8" x14ac:dyDescent="0.25">
      <c r="A2503" s="1" t="s">
        <v>679</v>
      </c>
      <c r="B2503" s="1" t="s">
        <v>15859</v>
      </c>
      <c r="D2503" s="1" t="s">
        <v>15585</v>
      </c>
      <c r="F2503" s="1" t="s">
        <v>15860</v>
      </c>
      <c r="H2503" s="2" t="str">
        <f>Tabella1[[#This Row],[Denominazione]]&amp;" - "&amp;Tabella1[[#This Row],[Città]]</f>
        <v>BAGNO FELICITA - GROTTAMMARE</v>
      </c>
    </row>
    <row r="2504" spans="1:8" x14ac:dyDescent="0.25">
      <c r="A2504" s="1" t="s">
        <v>679</v>
      </c>
      <c r="B2504" s="1" t="s">
        <v>15817</v>
      </c>
      <c r="C2504" s="1" t="s">
        <v>15818</v>
      </c>
      <c r="D2504" s="1" t="s">
        <v>15585</v>
      </c>
      <c r="E2504" s="1" t="s">
        <v>15819</v>
      </c>
      <c r="F2504" s="1" t="s">
        <v>15820</v>
      </c>
      <c r="G2504" s="1" t="s">
        <v>15620</v>
      </c>
      <c r="H2504" s="2" t="str">
        <f>Tabella1[[#This Row],[Denominazione]]&amp;" - "&amp;Tabella1[[#This Row],[Città]]</f>
        <v>BAGNO HOTEL EUROPA N° 30/31 - GROTTAMMARE</v>
      </c>
    </row>
    <row r="2505" spans="1:8" x14ac:dyDescent="0.25">
      <c r="A2505" s="1" t="s">
        <v>679</v>
      </c>
      <c r="B2505" s="1" t="s">
        <v>2399</v>
      </c>
      <c r="C2505" s="1" t="s">
        <v>2400</v>
      </c>
      <c r="D2505" s="1" t="s">
        <v>1907</v>
      </c>
      <c r="E2505" s="1" t="s">
        <v>1907</v>
      </c>
      <c r="F2505" s="1" t="s">
        <v>2401</v>
      </c>
      <c r="G2505" s="1" t="s">
        <v>2402</v>
      </c>
      <c r="H2505" s="2" t="str">
        <f>Tabella1[[#This Row],[Denominazione]]&amp;" - "&amp;Tabella1[[#This Row],[Città]]</f>
        <v>BAGNO MARIA N. 33 - GABICCE MARE</v>
      </c>
    </row>
    <row r="2506" spans="1:8" x14ac:dyDescent="0.25">
      <c r="A2506" s="1" t="s">
        <v>679</v>
      </c>
      <c r="B2506" s="1" t="s">
        <v>2384</v>
      </c>
      <c r="C2506" s="1" t="s">
        <v>2385</v>
      </c>
      <c r="D2506" s="1" t="s">
        <v>1907</v>
      </c>
      <c r="E2506" s="1" t="s">
        <v>2386</v>
      </c>
      <c r="H2506" s="2" t="str">
        <f>Tabella1[[#This Row],[Denominazione]]&amp;" - "&amp;Tabella1[[#This Row],[Città]]</f>
        <v>BAGNO N. 45 - GABICCE MARE</v>
      </c>
    </row>
    <row r="2507" spans="1:8" x14ac:dyDescent="0.25">
      <c r="A2507" s="1" t="s">
        <v>679</v>
      </c>
      <c r="B2507" s="1" t="s">
        <v>2349</v>
      </c>
      <c r="C2507" s="1" t="s">
        <v>2350</v>
      </c>
      <c r="D2507" s="1" t="s">
        <v>1907</v>
      </c>
      <c r="E2507" s="1" t="s">
        <v>1907</v>
      </c>
      <c r="H2507" s="2" t="str">
        <f>Tabella1[[#This Row],[Denominazione]]&amp;" - "&amp;Tabella1[[#This Row],[Città]]</f>
        <v>BAGNO N. 46 - GABICCE MARE</v>
      </c>
    </row>
    <row r="2508" spans="1:8" x14ac:dyDescent="0.25">
      <c r="A2508" s="1" t="s">
        <v>679</v>
      </c>
      <c r="B2508" s="1" t="s">
        <v>2872</v>
      </c>
      <c r="C2508" s="1" t="s">
        <v>2873</v>
      </c>
      <c r="D2508" s="1" t="s">
        <v>1605</v>
      </c>
      <c r="E2508" s="1" t="s">
        <v>1456</v>
      </c>
      <c r="H2508" s="2" t="str">
        <f>Tabella1[[#This Row],[Denominazione]]&amp;" - "&amp;Tabella1[[#This Row],[Città]]</f>
        <v>BAGNO N° 2 - OASI BEACH - MONDOLFO</v>
      </c>
    </row>
    <row r="2509" spans="1:8" x14ac:dyDescent="0.25">
      <c r="A2509" s="1" t="s">
        <v>679</v>
      </c>
      <c r="B2509" s="1" t="s">
        <v>15852</v>
      </c>
      <c r="C2509" s="1" t="s">
        <v>15853</v>
      </c>
      <c r="D2509" s="1" t="s">
        <v>15585</v>
      </c>
      <c r="E2509" s="1" t="s">
        <v>15585</v>
      </c>
      <c r="F2509" s="1" t="s">
        <v>15854</v>
      </c>
      <c r="G2509" s="1" t="s">
        <v>15855</v>
      </c>
      <c r="H2509" s="2" t="str">
        <f>Tabella1[[#This Row],[Denominazione]]&amp;" - "&amp;Tabella1[[#This Row],[Città]]</f>
        <v>BAGNO PEPPINA - GROTTAMMARE</v>
      </c>
    </row>
    <row r="2510" spans="1:8" x14ac:dyDescent="0.25">
      <c r="A2510" s="1" t="s">
        <v>679</v>
      </c>
      <c r="B2510" s="1" t="s">
        <v>12993</v>
      </c>
      <c r="D2510" s="1" t="s">
        <v>12801</v>
      </c>
      <c r="H2510" s="2" t="str">
        <f>Tabella1[[#This Row],[Denominazione]]&amp;" - "&amp;Tabella1[[#This Row],[Città]]</f>
        <v>BAHARI CAFE' - PORTO RECANATI</v>
      </c>
    </row>
    <row r="2511" spans="1:8" x14ac:dyDescent="0.25">
      <c r="A2511" s="1" t="s">
        <v>679</v>
      </c>
      <c r="B2511" s="1" t="s">
        <v>10024</v>
      </c>
      <c r="C2511" s="1" t="s">
        <v>10025</v>
      </c>
      <c r="D2511" s="1" t="s">
        <v>8949</v>
      </c>
      <c r="E2511" s="1" t="s">
        <v>8949</v>
      </c>
      <c r="F2511" s="1" t="s">
        <v>9640</v>
      </c>
      <c r="G2511" s="1" t="s">
        <v>10026</v>
      </c>
      <c r="H2511" s="2" t="str">
        <f>Tabella1[[#This Row],[Denominazione]]&amp;" - "&amp;Tabella1[[#This Row],[Città]]</f>
        <v>BAHYA BLANCA - SENIGALLIA</v>
      </c>
    </row>
    <row r="2512" spans="1:8" x14ac:dyDescent="0.25">
      <c r="A2512" s="1" t="s">
        <v>571</v>
      </c>
      <c r="B2512" s="1" t="s">
        <v>18051</v>
      </c>
      <c r="D2512" s="1" t="s">
        <v>17932</v>
      </c>
      <c r="E2512" s="1" t="s">
        <v>18052</v>
      </c>
      <c r="F2512" s="1" t="s">
        <v>18053</v>
      </c>
      <c r="G2512" s="1" t="s">
        <v>18054</v>
      </c>
      <c r="H2512" s="2" t="str">
        <f>Tabella1[[#This Row],[Denominazione]]&amp;" - "&amp;Tabella1[[#This Row],[Città]]</f>
        <v>BAIA DEI GABBIANI - FERMO</v>
      </c>
    </row>
    <row r="2513" spans="1:8" x14ac:dyDescent="0.25">
      <c r="A2513" s="1" t="s">
        <v>82</v>
      </c>
      <c r="B2513" s="1" t="s">
        <v>7966</v>
      </c>
      <c r="C2513" s="1" t="s">
        <v>7967</v>
      </c>
      <c r="D2513" s="1" t="s">
        <v>7889</v>
      </c>
      <c r="E2513" s="1" t="s">
        <v>7968</v>
      </c>
      <c r="H2513" s="2" t="str">
        <f>Tabella1[[#This Row],[Denominazione]]&amp;" - "&amp;Tabella1[[#This Row],[Città]]</f>
        <v>BAIA DEL CONERO - NUMANA</v>
      </c>
    </row>
    <row r="2514" spans="1:8" x14ac:dyDescent="0.25">
      <c r="A2514" s="1" t="s">
        <v>679</v>
      </c>
      <c r="B2514" s="1" t="s">
        <v>10042</v>
      </c>
      <c r="C2514" s="1" t="s">
        <v>9845</v>
      </c>
      <c r="D2514" s="1" t="s">
        <v>8949</v>
      </c>
      <c r="E2514" s="1" t="s">
        <v>8949</v>
      </c>
      <c r="H2514" s="2" t="str">
        <f>Tabella1[[#This Row],[Denominazione]]&amp;" - "&amp;Tabella1[[#This Row],[Città]]</f>
        <v>BAIA DI PONENTE - BAGNI N° 28 - SENIGALLIA</v>
      </c>
    </row>
    <row r="2515" spans="1:8" x14ac:dyDescent="0.25">
      <c r="A2515" s="1" t="s">
        <v>20</v>
      </c>
      <c r="B2515" s="1" t="s">
        <v>4025</v>
      </c>
      <c r="C2515" s="1" t="s">
        <v>4026</v>
      </c>
      <c r="D2515" s="1" t="s">
        <v>2386</v>
      </c>
      <c r="E2515" s="1" t="s">
        <v>2386</v>
      </c>
      <c r="F2515" s="1" t="s">
        <v>4027</v>
      </c>
      <c r="G2515" s="1" t="s">
        <v>4028</v>
      </c>
      <c r="H2515" s="2" t="str">
        <f>Tabella1[[#This Row],[Denominazione]]&amp;" - "&amp;Tabella1[[#This Row],[Città]]</f>
        <v>BAIA FLAMINIA RESORT - PESARO</v>
      </c>
    </row>
    <row r="2516" spans="1:8" x14ac:dyDescent="0.25">
      <c r="A2516" s="1" t="s">
        <v>679</v>
      </c>
      <c r="B2516" s="1" t="s">
        <v>15514</v>
      </c>
      <c r="C2516" s="1" t="s">
        <v>15515</v>
      </c>
      <c r="D2516" s="1" t="s">
        <v>15349</v>
      </c>
      <c r="F2516" s="1" t="s">
        <v>15516</v>
      </c>
      <c r="G2516" s="1" t="s">
        <v>15517</v>
      </c>
      <c r="H2516" s="2" t="str">
        <f>Tabella1[[#This Row],[Denominazione]]&amp;" - "&amp;Tabella1[[#This Row],[Città]]</f>
        <v>BAIA MARINA - CUPRA MARITTIMA</v>
      </c>
    </row>
    <row r="2517" spans="1:8" x14ac:dyDescent="0.25">
      <c r="A2517" s="1" t="s">
        <v>679</v>
      </c>
      <c r="B2517" s="1" t="s">
        <v>19111</v>
      </c>
      <c r="C2517" s="1" t="s">
        <v>19048</v>
      </c>
      <c r="D2517" s="1" t="s">
        <v>18082</v>
      </c>
      <c r="E2517" s="1" t="s">
        <v>18082</v>
      </c>
      <c r="F2517" s="1" t="s">
        <v>19112</v>
      </c>
      <c r="H2517" s="2" t="str">
        <f>Tabella1[[#This Row],[Denominazione]]&amp;" - "&amp;Tabella1[[#This Row],[Città]]</f>
        <v>BAIA PRINCIPE - PORTO SAN GIORGIO</v>
      </c>
    </row>
    <row r="2518" spans="1:8" x14ac:dyDescent="0.25">
      <c r="A2518" s="1" t="s">
        <v>82</v>
      </c>
      <c r="B2518" s="1" t="s">
        <v>14270</v>
      </c>
      <c r="D2518" s="1" t="s">
        <v>14213</v>
      </c>
      <c r="E2518" s="1" t="s">
        <v>14271</v>
      </c>
      <c r="F2518" s="1" t="s">
        <v>14272</v>
      </c>
      <c r="G2518" s="1" t="s">
        <v>14273</v>
      </c>
      <c r="H2518" s="2" t="str">
        <f>Tabella1[[#This Row],[Denominazione]]&amp;" - "&amp;Tabella1[[#This Row],[Città]]</f>
        <v>BAITA GIOIOSA - USSITA</v>
      </c>
    </row>
    <row r="2519" spans="1:8" x14ac:dyDescent="0.25">
      <c r="A2519" s="1" t="s">
        <v>35</v>
      </c>
      <c r="B2519" s="1" t="s">
        <v>12198</v>
      </c>
      <c r="C2519" s="1" t="s">
        <v>12199</v>
      </c>
      <c r="D2519" s="1" t="s">
        <v>12050</v>
      </c>
      <c r="H2519" s="2" t="str">
        <f>Tabella1[[#This Row],[Denominazione]]&amp;" - "&amp;Tabella1[[#This Row],[Città]]</f>
        <v>BAJOCCO MARCO E MONIA S.s. - MACERATA</v>
      </c>
    </row>
    <row r="2520" spans="1:8" x14ac:dyDescent="0.25">
      <c r="A2520" s="1" t="s">
        <v>82</v>
      </c>
      <c r="B2520" s="1" t="s">
        <v>7131</v>
      </c>
      <c r="C2520" s="1" t="s">
        <v>7132</v>
      </c>
      <c r="D2520" s="1" t="s">
        <v>5735</v>
      </c>
      <c r="F2520" s="1" t="s">
        <v>7133</v>
      </c>
      <c r="G2520" s="1" t="s">
        <v>7134</v>
      </c>
      <c r="H2520" s="2" t="str">
        <f>Tabella1[[#This Row],[Denominazione]]&amp;" - "&amp;Tabella1[[#This Row],[Città]]</f>
        <v>BALCONE DEL GOLFO - FALCONARA MARITTIMA</v>
      </c>
    </row>
    <row r="2521" spans="1:8" x14ac:dyDescent="0.25">
      <c r="A2521" s="1" t="s">
        <v>12</v>
      </c>
      <c r="B2521" s="1" t="s">
        <v>2040</v>
      </c>
      <c r="C2521" s="1" t="s">
        <v>2041</v>
      </c>
      <c r="D2521" s="1" t="s">
        <v>1907</v>
      </c>
      <c r="H2521" s="2" t="str">
        <f>Tabella1[[#This Row],[Denominazione]]&amp;" - "&amp;Tabella1[[#This Row],[Città]]</f>
        <v>BALDASSARRI VANDA - GABICCE MARE</v>
      </c>
    </row>
    <row r="2522" spans="1:8" x14ac:dyDescent="0.25">
      <c r="A2522" s="1" t="s">
        <v>12</v>
      </c>
      <c r="B2522" s="1" t="s">
        <v>4320</v>
      </c>
      <c r="C2522" s="1" t="s">
        <v>4321</v>
      </c>
      <c r="D2522" s="1" t="s">
        <v>4272</v>
      </c>
      <c r="G2522" s="1" t="s">
        <v>4322</v>
      </c>
      <c r="H2522" s="2" t="str">
        <f>Tabella1[[#This Row],[Denominazione]]&amp;" - "&amp;Tabella1[[#This Row],[Città]]</f>
        <v>BALDELLI FLAVIA - SAN COSTANZO</v>
      </c>
    </row>
    <row r="2523" spans="1:8" x14ac:dyDescent="0.25">
      <c r="A2523" s="1" t="s">
        <v>12</v>
      </c>
      <c r="B2523" s="1" t="s">
        <v>9093</v>
      </c>
      <c r="C2523" s="1" t="s">
        <v>9094</v>
      </c>
      <c r="D2523" s="1" t="s">
        <v>8949</v>
      </c>
      <c r="E2523" s="1" t="s">
        <v>8949</v>
      </c>
      <c r="G2523" s="1" t="s">
        <v>9037</v>
      </c>
      <c r="H2523" s="2" t="str">
        <f>Tabella1[[#This Row],[Denominazione]]&amp;" - "&amp;Tabella1[[#This Row],[Città]]</f>
        <v>BALDINI GIOVANNI APP.TO PIANO PRIMO - SENIGALLIA</v>
      </c>
    </row>
    <row r="2524" spans="1:8" x14ac:dyDescent="0.25">
      <c r="A2524" s="1" t="s">
        <v>12</v>
      </c>
      <c r="B2524" s="1" t="s">
        <v>9149</v>
      </c>
      <c r="C2524" s="1" t="s">
        <v>9150</v>
      </c>
      <c r="D2524" s="1" t="s">
        <v>8949</v>
      </c>
      <c r="E2524" s="1" t="s">
        <v>8949</v>
      </c>
      <c r="G2524" s="1" t="s">
        <v>9151</v>
      </c>
      <c r="H2524" s="2" t="str">
        <f>Tabella1[[#This Row],[Denominazione]]&amp;" - "&amp;Tabella1[[#This Row],[Città]]</f>
        <v>BALDINI GIOVANNI APP.TO PIANO TERRA - SENIGALLIA</v>
      </c>
    </row>
    <row r="2525" spans="1:8" x14ac:dyDescent="0.25">
      <c r="A2525" s="1" t="s">
        <v>12</v>
      </c>
      <c r="B2525" s="1" t="s">
        <v>9061</v>
      </c>
      <c r="C2525" s="1" t="s">
        <v>9062</v>
      </c>
      <c r="D2525" s="1" t="s">
        <v>8949</v>
      </c>
      <c r="E2525" s="1" t="s">
        <v>8949</v>
      </c>
      <c r="G2525" s="1" t="s">
        <v>9063</v>
      </c>
      <c r="H2525" s="2" t="str">
        <f>Tabella1[[#This Row],[Denominazione]]&amp;" - "&amp;Tabella1[[#This Row],[Città]]</f>
        <v>BALDUCCI CRISTINA - SENIGALLIA</v>
      </c>
    </row>
    <row r="2526" spans="1:8" x14ac:dyDescent="0.25">
      <c r="A2526" s="1" t="s">
        <v>679</v>
      </c>
      <c r="B2526" s="1" t="s">
        <v>5748</v>
      </c>
      <c r="C2526" s="1" t="s">
        <v>5741</v>
      </c>
      <c r="D2526" s="1" t="s">
        <v>1864</v>
      </c>
      <c r="E2526" s="1" t="s">
        <v>5735</v>
      </c>
      <c r="H2526" s="2" t="str">
        <f>Tabella1[[#This Row],[Denominazione]]&amp;" - "&amp;Tabella1[[#This Row],[Città]]</f>
        <v>BALEANI PAOLA "LA PLAYA" - ANCONA</v>
      </c>
    </row>
    <row r="2527" spans="1:8" x14ac:dyDescent="0.25">
      <c r="A2527" s="1" t="s">
        <v>679</v>
      </c>
      <c r="B2527" s="1" t="s">
        <v>8187</v>
      </c>
      <c r="C2527" s="1" t="s">
        <v>8188</v>
      </c>
      <c r="D2527" s="1" t="s">
        <v>7889</v>
      </c>
      <c r="E2527" s="1" t="s">
        <v>7889</v>
      </c>
      <c r="G2527" s="1" t="s">
        <v>8189</v>
      </c>
      <c r="H2527" s="2" t="str">
        <f>Tabella1[[#This Row],[Denominazione]]&amp;" - "&amp;Tabella1[[#This Row],[Città]]</f>
        <v>BALNEARE EUROPA N 28 - NUMANA</v>
      </c>
    </row>
    <row r="2528" spans="1:8" x14ac:dyDescent="0.25">
      <c r="A2528" s="1" t="s">
        <v>20</v>
      </c>
      <c r="B2528" s="1" t="s">
        <v>2100</v>
      </c>
      <c r="C2528" s="1" t="s">
        <v>2101</v>
      </c>
      <c r="D2528" s="1" t="s">
        <v>1907</v>
      </c>
      <c r="E2528" s="1" t="s">
        <v>1907</v>
      </c>
      <c r="F2528" s="1" t="s">
        <v>2102</v>
      </c>
      <c r="G2528" s="1" t="s">
        <v>2103</v>
      </c>
      <c r="H2528" s="2" t="str">
        <f>Tabella1[[#This Row],[Denominazione]]&amp;" - "&amp;Tabella1[[#This Row],[Città]]</f>
        <v>BALTIC - GABICCE MARE</v>
      </c>
    </row>
    <row r="2529" spans="1:8" x14ac:dyDescent="0.25">
      <c r="A2529" s="1" t="s">
        <v>20</v>
      </c>
      <c r="B2529" s="1" t="s">
        <v>2100</v>
      </c>
      <c r="C2529" s="1" t="s">
        <v>3711</v>
      </c>
      <c r="D2529" s="1" t="s">
        <v>2386</v>
      </c>
      <c r="E2529" s="1" t="s">
        <v>2386</v>
      </c>
      <c r="F2529" s="1" t="s">
        <v>3712</v>
      </c>
      <c r="G2529" s="1" t="s">
        <v>3713</v>
      </c>
      <c r="H2529" s="2" t="str">
        <f>Tabella1[[#This Row],[Denominazione]]&amp;" - "&amp;Tabella1[[#This Row],[Città]]</f>
        <v>BALTIC - PESARO</v>
      </c>
    </row>
    <row r="2530" spans="1:8" x14ac:dyDescent="0.25">
      <c r="A2530" s="1" t="s">
        <v>20</v>
      </c>
      <c r="B2530" s="1" t="s">
        <v>2100</v>
      </c>
      <c r="C2530" s="1" t="s">
        <v>9690</v>
      </c>
      <c r="D2530" s="1" t="s">
        <v>8949</v>
      </c>
      <c r="E2530" s="1" t="s">
        <v>8949</v>
      </c>
      <c r="F2530" s="1" t="s">
        <v>9691</v>
      </c>
      <c r="G2530" s="1" t="s">
        <v>9692</v>
      </c>
      <c r="H2530" s="2" t="str">
        <f>Tabella1[[#This Row],[Denominazione]]&amp;" - "&amp;Tabella1[[#This Row],[Città]]</f>
        <v>BALTIC - SENIGALLIA</v>
      </c>
    </row>
    <row r="2531" spans="1:8" x14ac:dyDescent="0.25">
      <c r="A2531" s="1" t="s">
        <v>679</v>
      </c>
      <c r="B2531" s="1" t="s">
        <v>2355</v>
      </c>
      <c r="C2531" s="1" t="s">
        <v>2356</v>
      </c>
      <c r="D2531" s="1" t="s">
        <v>1907</v>
      </c>
      <c r="E2531" s="1" t="s">
        <v>1907</v>
      </c>
      <c r="H2531" s="2" t="str">
        <f>Tabella1[[#This Row],[Denominazione]]&amp;" - "&amp;Tabella1[[#This Row],[Città]]</f>
        <v>BANANA BEACH N. 10-9 - GABICCE MARE</v>
      </c>
    </row>
    <row r="2532" spans="1:8" x14ac:dyDescent="0.25">
      <c r="A2532" s="1" t="s">
        <v>679</v>
      </c>
      <c r="B2532" s="1" t="s">
        <v>2366</v>
      </c>
      <c r="C2532" s="1" t="s">
        <v>2367</v>
      </c>
      <c r="D2532" s="1" t="s">
        <v>1907</v>
      </c>
      <c r="E2532" s="1" t="s">
        <v>1907</v>
      </c>
      <c r="G2532" s="1" t="s">
        <v>2063</v>
      </c>
      <c r="H2532" s="2" t="str">
        <f>Tabella1[[#This Row],[Denominazione]]&amp;" - "&amp;Tabella1[[#This Row],[Città]]</f>
        <v>BANANA BEACH N. 12 - GABICCE MARE</v>
      </c>
    </row>
    <row r="2533" spans="1:8" x14ac:dyDescent="0.25">
      <c r="A2533" s="1" t="s">
        <v>82</v>
      </c>
      <c r="B2533" s="1" t="s">
        <v>5201</v>
      </c>
      <c r="C2533" s="1" t="s">
        <v>5202</v>
      </c>
      <c r="D2533" s="1" t="s">
        <v>9</v>
      </c>
      <c r="E2533" s="1" t="s">
        <v>9</v>
      </c>
      <c r="H2533" s="2" t="str">
        <f>Tabella1[[#This Row],[Denominazione]]&amp;" - "&amp;Tabella1[[#This Row],[Città]]</f>
        <v>BANCI RITA - URBINO</v>
      </c>
    </row>
    <row r="2534" spans="1:8" x14ac:dyDescent="0.25">
      <c r="A2534" s="1" t="s">
        <v>679</v>
      </c>
      <c r="B2534" s="1" t="s">
        <v>5747</v>
      </c>
      <c r="C2534" s="1" t="s">
        <v>5741</v>
      </c>
      <c r="D2534" s="1" t="s">
        <v>1864</v>
      </c>
      <c r="E2534" s="1" t="s">
        <v>5735</v>
      </c>
      <c r="H2534" s="2" t="str">
        <f>Tabella1[[#This Row],[Denominazione]]&amp;" - "&amp;Tabella1[[#This Row],[Città]]</f>
        <v>BANDIERA GIALLA - ANCONA</v>
      </c>
    </row>
    <row r="2535" spans="1:8" x14ac:dyDescent="0.25">
      <c r="A2535" s="1" t="s">
        <v>679</v>
      </c>
      <c r="B2535" s="1" t="s">
        <v>19101</v>
      </c>
      <c r="C2535" s="1" t="s">
        <v>19078</v>
      </c>
      <c r="D2535" s="1" t="s">
        <v>18082</v>
      </c>
      <c r="E2535" s="1" t="s">
        <v>18082</v>
      </c>
      <c r="F2535" s="1" t="s">
        <v>19102</v>
      </c>
      <c r="H2535" s="2" t="str">
        <f>Tabella1[[#This Row],[Denominazione]]&amp;" - "&amp;Tabella1[[#This Row],[Città]]</f>
        <v>BANDOS LIDO - PORTO SAN GIORGIO</v>
      </c>
    </row>
    <row r="2536" spans="1:8" x14ac:dyDescent="0.25">
      <c r="A2536" s="1" t="s">
        <v>82</v>
      </c>
      <c r="B2536" s="1" t="s">
        <v>12721</v>
      </c>
      <c r="C2536" s="1" t="s">
        <v>12722</v>
      </c>
      <c r="D2536" s="1" t="s">
        <v>12694</v>
      </c>
      <c r="G2536" s="1" t="s">
        <v>12723</v>
      </c>
      <c r="H2536" s="2" t="str">
        <f>Tabella1[[#This Row],[Denominazione]]&amp;" - "&amp;Tabella1[[#This Row],[Città]]</f>
        <v>BAR PIZZERIA IL CORTILE - PIEVEBOVIGLIANA</v>
      </c>
    </row>
    <row r="2537" spans="1:8" x14ac:dyDescent="0.25">
      <c r="A2537" s="1" t="s">
        <v>679</v>
      </c>
      <c r="B2537" s="1" t="s">
        <v>995</v>
      </c>
      <c r="C2537" s="1" t="s">
        <v>996</v>
      </c>
      <c r="D2537" s="1" t="s">
        <v>682</v>
      </c>
      <c r="E2537" s="1" t="s">
        <v>682</v>
      </c>
      <c r="F2537" s="1" t="s">
        <v>997</v>
      </c>
      <c r="H2537" s="2" t="str">
        <f>Tabella1[[#This Row],[Denominazione]]&amp;" - "&amp;Tabella1[[#This Row],[Città]]</f>
        <v>BAR SPIAGGIA DEI FIORI - FANO</v>
      </c>
    </row>
    <row r="2538" spans="1:8" x14ac:dyDescent="0.25">
      <c r="A2538" s="1" t="s">
        <v>12</v>
      </c>
      <c r="B2538" s="1" t="s">
        <v>3598</v>
      </c>
      <c r="C2538" s="1" t="s">
        <v>3599</v>
      </c>
      <c r="D2538" s="1" t="s">
        <v>2386</v>
      </c>
      <c r="E2538" s="1" t="s">
        <v>2386</v>
      </c>
      <c r="G2538" s="1" t="s">
        <v>3600</v>
      </c>
      <c r="H2538" s="2" t="str">
        <f>Tabella1[[#This Row],[Denominazione]]&amp;" - "&amp;Tabella1[[#This Row],[Città]]</f>
        <v>BARANOVA YELENA - PESARO</v>
      </c>
    </row>
    <row r="2539" spans="1:8" x14ac:dyDescent="0.25">
      <c r="A2539" s="1" t="s">
        <v>12</v>
      </c>
      <c r="B2539" s="1" t="s">
        <v>13065</v>
      </c>
      <c r="C2539" s="1" t="s">
        <v>13066</v>
      </c>
      <c r="D2539" s="1" t="s">
        <v>13026</v>
      </c>
      <c r="E2539" s="1" t="s">
        <v>13026</v>
      </c>
      <c r="H2539" s="2" t="str">
        <f>Tabella1[[#This Row],[Denominazione]]&amp;" - "&amp;Tabella1[[#This Row],[Città]]</f>
        <v>BARBACCIA FRANCA - POTENZA PICENA</v>
      </c>
    </row>
    <row r="2540" spans="1:8" x14ac:dyDescent="0.25">
      <c r="A2540" s="1" t="s">
        <v>12</v>
      </c>
      <c r="B2540" s="1" t="s">
        <v>1454</v>
      </c>
      <c r="C2540" s="1" t="s">
        <v>1455</v>
      </c>
      <c r="D2540" s="1" t="s">
        <v>682</v>
      </c>
      <c r="E2540" s="1" t="s">
        <v>1456</v>
      </c>
      <c r="G2540" s="1" t="s">
        <v>1457</v>
      </c>
      <c r="H2540" s="2" t="str">
        <f>Tabella1[[#This Row],[Denominazione]]&amp;" - "&amp;Tabella1[[#This Row],[Città]]</f>
        <v>BARBADORO VITTORIO - FANO</v>
      </c>
    </row>
    <row r="2541" spans="1:8" x14ac:dyDescent="0.25">
      <c r="A2541" s="1" t="s">
        <v>12</v>
      </c>
      <c r="B2541" s="1" t="s">
        <v>3617</v>
      </c>
      <c r="C2541" s="1" t="s">
        <v>3618</v>
      </c>
      <c r="D2541" s="1" t="s">
        <v>2386</v>
      </c>
      <c r="E2541" s="1" t="s">
        <v>2386</v>
      </c>
      <c r="G2541" s="1" t="s">
        <v>3527</v>
      </c>
      <c r="H2541" s="2" t="str">
        <f>Tabella1[[#This Row],[Denominazione]]&amp;" - "&amp;Tabella1[[#This Row],[Città]]</f>
        <v>BARBERINI MARIANO - PESARO</v>
      </c>
    </row>
    <row r="2542" spans="1:8" x14ac:dyDescent="0.25">
      <c r="A2542" s="1" t="s">
        <v>12</v>
      </c>
      <c r="B2542" s="1" t="s">
        <v>2886</v>
      </c>
      <c r="C2542" s="1" t="s">
        <v>2885</v>
      </c>
      <c r="D2542" s="1" t="s">
        <v>1605</v>
      </c>
      <c r="E2542" s="1" t="s">
        <v>1605</v>
      </c>
      <c r="H2542" s="2" t="str">
        <f>Tabella1[[#This Row],[Denominazione]]&amp;" - "&amp;Tabella1[[#This Row],[Città]]</f>
        <v>BARONCIANI FILIPPO APP.TO PIANO 1 - MONDOLFO</v>
      </c>
    </row>
    <row r="2543" spans="1:8" x14ac:dyDescent="0.25">
      <c r="A2543" s="1" t="s">
        <v>12</v>
      </c>
      <c r="B2543" s="1" t="s">
        <v>2884</v>
      </c>
      <c r="C2543" s="1" t="s">
        <v>2885</v>
      </c>
      <c r="D2543" s="1" t="s">
        <v>1605</v>
      </c>
      <c r="E2543" s="1" t="s">
        <v>1605</v>
      </c>
      <c r="H2543" s="2" t="str">
        <f>Tabella1[[#This Row],[Denominazione]]&amp;" - "&amp;Tabella1[[#This Row],[Città]]</f>
        <v>BARONCIANI FILIPPO APP.TO PIANO 2 - MONDOLFO</v>
      </c>
    </row>
    <row r="2544" spans="1:8" x14ac:dyDescent="0.25">
      <c r="A2544" s="1" t="s">
        <v>679</v>
      </c>
      <c r="B2544" s="1" t="s">
        <v>12831</v>
      </c>
      <c r="D2544" s="1" t="s">
        <v>12801</v>
      </c>
      <c r="E2544" s="1" t="s">
        <v>12832</v>
      </c>
      <c r="H2544" s="2" t="str">
        <f>Tabella1[[#This Row],[Denominazione]]&amp;" - "&amp;Tabella1[[#This Row],[Città]]</f>
        <v>BARRACUDA - PORTO RECANATI</v>
      </c>
    </row>
    <row r="2545" spans="1:8" x14ac:dyDescent="0.25">
      <c r="A2545" s="1" t="s">
        <v>679</v>
      </c>
      <c r="B2545" s="1" t="s">
        <v>13178</v>
      </c>
      <c r="D2545" s="1" t="s">
        <v>13026</v>
      </c>
      <c r="E2545" s="1" t="s">
        <v>13105</v>
      </c>
      <c r="G2545" s="1" t="s">
        <v>13179</v>
      </c>
      <c r="H2545" s="2" t="str">
        <f>Tabella1[[#This Row],[Denominazione]]&amp;" - "&amp;Tabella1[[#This Row],[Città]]</f>
        <v>BARRACUDA BEACH - POTENZA PICENA</v>
      </c>
    </row>
    <row r="2546" spans="1:8" x14ac:dyDescent="0.25">
      <c r="A2546" s="1" t="s">
        <v>12</v>
      </c>
      <c r="B2546" s="1" t="s">
        <v>9055</v>
      </c>
      <c r="C2546" s="1" t="s">
        <v>9056</v>
      </c>
      <c r="D2546" s="1" t="s">
        <v>8949</v>
      </c>
      <c r="E2546" s="1" t="s">
        <v>8949</v>
      </c>
      <c r="G2546" s="1" t="s">
        <v>9057</v>
      </c>
      <c r="H2546" s="2" t="str">
        <f>Tabella1[[#This Row],[Denominazione]]&amp;" - "&amp;Tabella1[[#This Row],[Città]]</f>
        <v>BARTOLINI EGIDIO - SENIGALLIA</v>
      </c>
    </row>
    <row r="2547" spans="1:8" x14ac:dyDescent="0.25">
      <c r="A2547" s="1" t="s">
        <v>12</v>
      </c>
      <c r="B2547" s="1" t="s">
        <v>13056</v>
      </c>
      <c r="C2547" s="1" t="s">
        <v>13057</v>
      </c>
      <c r="D2547" s="1" t="s">
        <v>13026</v>
      </c>
      <c r="E2547" s="1" t="s">
        <v>13026</v>
      </c>
      <c r="H2547" s="2" t="str">
        <f>Tabella1[[#This Row],[Denominazione]]&amp;" - "&amp;Tabella1[[#This Row],[Città]]</f>
        <v>BARTOLINI MARIA - POTENZA PICENA</v>
      </c>
    </row>
    <row r="2548" spans="1:8" x14ac:dyDescent="0.25">
      <c r="A2548" s="1" t="s">
        <v>12</v>
      </c>
      <c r="B2548" s="1" t="s">
        <v>8614</v>
      </c>
      <c r="C2548" s="1" t="s">
        <v>8615</v>
      </c>
      <c r="D2548" s="1" t="s">
        <v>8608</v>
      </c>
      <c r="E2548" s="1" t="s">
        <v>8608</v>
      </c>
      <c r="G2548" s="1" t="s">
        <v>8616</v>
      </c>
      <c r="H2548" s="2" t="str">
        <f>Tabella1[[#This Row],[Denominazione]]&amp;" - "&amp;Tabella1[[#This Row],[Città]]</f>
        <v>BARTOLONI GIANNINA - OSTRA</v>
      </c>
    </row>
    <row r="2549" spans="1:8" x14ac:dyDescent="0.25">
      <c r="A2549" s="1" t="s">
        <v>679</v>
      </c>
      <c r="B2549" s="1" t="s">
        <v>17105</v>
      </c>
      <c r="C2549" s="1" t="s">
        <v>17106</v>
      </c>
      <c r="D2549" s="1" t="s">
        <v>15819</v>
      </c>
      <c r="E2549" s="1" t="s">
        <v>15819</v>
      </c>
      <c r="F2549" s="1" t="s">
        <v>17107</v>
      </c>
      <c r="H2549" s="2" t="str">
        <f>Tabella1[[#This Row],[Denominazione]]&amp;" - "&amp;Tabella1[[#This Row],[Città]]</f>
        <v>BASCIU' - SAN BENEDETTO DEL TRONTO</v>
      </c>
    </row>
    <row r="2550" spans="1:8" x14ac:dyDescent="0.25">
      <c r="A2550" s="1" t="s">
        <v>679</v>
      </c>
      <c r="B2550" s="1" t="s">
        <v>3900</v>
      </c>
      <c r="C2550" s="1" t="s">
        <v>3830</v>
      </c>
      <c r="D2550" s="1" t="s">
        <v>2386</v>
      </c>
      <c r="E2550" s="1" t="s">
        <v>3901</v>
      </c>
      <c r="H2550" s="2" t="str">
        <f>Tabella1[[#This Row],[Denominazione]]&amp;" - "&amp;Tabella1[[#This Row],[Città]]</f>
        <v>BASSA MAREA - PESARO</v>
      </c>
    </row>
    <row r="2551" spans="1:8" x14ac:dyDescent="0.25">
      <c r="A2551" s="1" t="s">
        <v>12</v>
      </c>
      <c r="B2551" s="1" t="s">
        <v>3134</v>
      </c>
      <c r="C2551" s="1" t="s">
        <v>3135</v>
      </c>
      <c r="D2551" s="1" t="s">
        <v>3131</v>
      </c>
      <c r="G2551" s="1" t="s">
        <v>3136</v>
      </c>
      <c r="H2551" s="2" t="str">
        <f>Tabella1[[#This Row],[Denominazione]]&amp;" - "&amp;Tabella1[[#This Row],[Città]]</f>
        <v>BASSI FERNANDO - MONTE GRIMANO TERME</v>
      </c>
    </row>
    <row r="2552" spans="1:8" x14ac:dyDescent="0.25">
      <c r="A2552" s="1" t="s">
        <v>12</v>
      </c>
      <c r="B2552" s="1" t="s">
        <v>3606</v>
      </c>
      <c r="C2552" s="1" t="s">
        <v>3607</v>
      </c>
      <c r="D2552" s="1" t="s">
        <v>2386</v>
      </c>
      <c r="E2552" s="1" t="s">
        <v>2386</v>
      </c>
      <c r="G2552" s="1" t="s">
        <v>3608</v>
      </c>
      <c r="H2552" s="2" t="str">
        <f>Tabella1[[#This Row],[Denominazione]]&amp;" - "&amp;Tabella1[[#This Row],[Città]]</f>
        <v>BASTIANELLI DEMETRIO - PESARO</v>
      </c>
    </row>
    <row r="2553" spans="1:8" x14ac:dyDescent="0.25">
      <c r="A2553" s="1" t="s">
        <v>679</v>
      </c>
      <c r="B2553" s="1" t="s">
        <v>5740</v>
      </c>
      <c r="C2553" s="1" t="s">
        <v>5741</v>
      </c>
      <c r="D2553" s="1" t="s">
        <v>1864</v>
      </c>
      <c r="E2553" s="1" t="s">
        <v>5735</v>
      </c>
      <c r="H2553" s="2" t="str">
        <f>Tabella1[[#This Row],[Denominazione]]&amp;" - "&amp;Tabella1[[#This Row],[Città]]</f>
        <v>BATABANO' SNC DI ANGELETTI E BROCCHINI - ANCONA</v>
      </c>
    </row>
    <row r="2554" spans="1:8" x14ac:dyDescent="0.25">
      <c r="A2554" s="1" t="s">
        <v>679</v>
      </c>
      <c r="B2554" s="1" t="s">
        <v>11647</v>
      </c>
      <c r="C2554" s="1" t="s">
        <v>11648</v>
      </c>
      <c r="D2554" s="1" t="s">
        <v>11244</v>
      </c>
      <c r="E2554" s="1" t="s">
        <v>11244</v>
      </c>
      <c r="H2554" s="2" t="str">
        <f>Tabella1[[#This Row],[Denominazione]]&amp;" - "&amp;Tabella1[[#This Row],[Città]]</f>
        <v>BATIK - CIVITANOVA MARCHE</v>
      </c>
    </row>
    <row r="2555" spans="1:8" x14ac:dyDescent="0.25">
      <c r="A2555" s="1" t="s">
        <v>12</v>
      </c>
      <c r="B2555" s="1" t="s">
        <v>2781</v>
      </c>
      <c r="C2555" s="1" t="s">
        <v>2782</v>
      </c>
      <c r="D2555" s="1" t="s">
        <v>1605</v>
      </c>
      <c r="G2555" s="1" t="s">
        <v>2783</v>
      </c>
      <c r="H2555" s="2" t="str">
        <f>Tabella1[[#This Row],[Denominazione]]&amp;" - "&amp;Tabella1[[#This Row],[Città]]</f>
        <v>BATTISTELLI BERNARD - MONDOLFO</v>
      </c>
    </row>
    <row r="2556" spans="1:8" x14ac:dyDescent="0.25">
      <c r="A2556" s="1" t="s">
        <v>12</v>
      </c>
      <c r="B2556" s="1" t="s">
        <v>5445</v>
      </c>
      <c r="C2556" s="1" t="s">
        <v>5446</v>
      </c>
      <c r="D2556" s="1" t="s">
        <v>1864</v>
      </c>
      <c r="G2556" s="1" t="s">
        <v>5447</v>
      </c>
      <c r="H2556" s="2" t="str">
        <f>Tabella1[[#This Row],[Denominazione]]&amp;" - "&amp;Tabella1[[#This Row],[Città]]</f>
        <v>BATTISTONI STEFANIA - ANCONA</v>
      </c>
    </row>
    <row r="2557" spans="1:8" x14ac:dyDescent="0.25">
      <c r="A2557" s="1" t="s">
        <v>679</v>
      </c>
      <c r="B2557" s="1" t="s">
        <v>13143</v>
      </c>
      <c r="D2557" s="1" t="s">
        <v>13026</v>
      </c>
      <c r="F2557" s="1" t="s">
        <v>13144</v>
      </c>
      <c r="H2557" s="2" t="str">
        <f>Tabella1[[#This Row],[Denominazione]]&amp;" - "&amp;Tabella1[[#This Row],[Città]]</f>
        <v>BEACH BOYS - POTENZA PICENA</v>
      </c>
    </row>
    <row r="2558" spans="1:8" x14ac:dyDescent="0.25">
      <c r="A2558" s="1" t="s">
        <v>6</v>
      </c>
      <c r="B2558" s="1" t="s">
        <v>9004</v>
      </c>
      <c r="C2558" s="1" t="s">
        <v>9005</v>
      </c>
      <c r="D2558" s="1" t="s">
        <v>8949</v>
      </c>
      <c r="G2558" s="1" t="s">
        <v>9006</v>
      </c>
      <c r="H2558" s="2" t="str">
        <f>Tabella1[[#This Row],[Denominazione]]&amp;" - "&amp;Tabella1[[#This Row],[Città]]</f>
        <v>BEATRICE - SENIGALLIA</v>
      </c>
    </row>
    <row r="2559" spans="1:8" x14ac:dyDescent="0.25">
      <c r="A2559" s="1" t="s">
        <v>29</v>
      </c>
      <c r="B2559" s="1" t="s">
        <v>13323</v>
      </c>
      <c r="C2559" s="1" t="s">
        <v>13324</v>
      </c>
      <c r="D2559" s="1" t="s">
        <v>13298</v>
      </c>
      <c r="E2559" s="1" t="s">
        <v>13298</v>
      </c>
      <c r="F2559" s="1" t="s">
        <v>13325</v>
      </c>
      <c r="G2559" s="1" t="s">
        <v>13326</v>
      </c>
      <c r="H2559" s="2" t="str">
        <f>Tabella1[[#This Row],[Denominazione]]&amp;" - "&amp;Tabella1[[#This Row],[Città]]</f>
        <v>BEATRICE BERTO - RECANATI</v>
      </c>
    </row>
    <row r="2560" spans="1:8" x14ac:dyDescent="0.25">
      <c r="A2560" s="1" t="s">
        <v>20</v>
      </c>
      <c r="B2560" s="1" t="s">
        <v>1117</v>
      </c>
      <c r="C2560" s="1" t="s">
        <v>1118</v>
      </c>
      <c r="D2560" s="1" t="s">
        <v>682</v>
      </c>
      <c r="E2560" s="1" t="s">
        <v>682</v>
      </c>
      <c r="F2560" s="1" t="s">
        <v>1115</v>
      </c>
      <c r="G2560" s="1" t="s">
        <v>1116</v>
      </c>
      <c r="H2560" s="2" t="str">
        <f>Tabella1[[#This Row],[Denominazione]]&amp;" - "&amp;Tabella1[[#This Row],[Città]]</f>
        <v>BEAURIVAGE - FANO</v>
      </c>
    </row>
    <row r="2561" spans="1:8" x14ac:dyDescent="0.25">
      <c r="A2561" s="1" t="s">
        <v>29</v>
      </c>
      <c r="B2561" s="1" t="s">
        <v>13010</v>
      </c>
      <c r="C2561" s="1" t="s">
        <v>13011</v>
      </c>
      <c r="D2561" s="1" t="s">
        <v>12801</v>
      </c>
      <c r="E2561" s="1" t="s">
        <v>12801</v>
      </c>
      <c r="G2561" s="1" t="s">
        <v>13012</v>
      </c>
      <c r="H2561" s="2" t="str">
        <f>Tabella1[[#This Row],[Denominazione]]&amp;" - "&amp;Tabella1[[#This Row],[Città]]</f>
        <v>BEBE MAR DEL PLATA - PORTO RECANATI</v>
      </c>
    </row>
    <row r="2562" spans="1:8" x14ac:dyDescent="0.25">
      <c r="A2562" s="1" t="s">
        <v>679</v>
      </c>
      <c r="B2562" s="1" t="s">
        <v>12926</v>
      </c>
      <c r="D2562" s="1" t="s">
        <v>12801</v>
      </c>
      <c r="E2562" s="1" t="s">
        <v>12801</v>
      </c>
      <c r="H2562" s="2" t="str">
        <f>Tabella1[[#This Row],[Denominazione]]&amp;" - "&amp;Tabella1[[#This Row],[Città]]</f>
        <v>BEBO'S - PORTO RECANATI</v>
      </c>
    </row>
    <row r="2563" spans="1:8" x14ac:dyDescent="0.25">
      <c r="A2563" s="1" t="s">
        <v>29</v>
      </c>
      <c r="B2563" s="1" t="s">
        <v>8700</v>
      </c>
      <c r="C2563" s="1" t="s">
        <v>8701</v>
      </c>
      <c r="D2563" s="1" t="s">
        <v>8683</v>
      </c>
      <c r="E2563" s="1" t="s">
        <v>8683</v>
      </c>
      <c r="G2563" s="1" t="s">
        <v>8702</v>
      </c>
      <c r="H2563" s="2" t="str">
        <f>Tabella1[[#This Row],[Denominazione]]&amp;" - "&amp;Tabella1[[#This Row],[Città]]</f>
        <v>BED &amp; BREAKFAST GAIA - OSTRA VETERE</v>
      </c>
    </row>
    <row r="2564" spans="1:8" x14ac:dyDescent="0.25">
      <c r="A2564" s="1" t="s">
        <v>29</v>
      </c>
      <c r="B2564" s="1" t="s">
        <v>16760</v>
      </c>
      <c r="D2564" s="1" t="s">
        <v>16714</v>
      </c>
      <c r="E2564" s="1" t="s">
        <v>16749</v>
      </c>
      <c r="H2564" s="2" t="str">
        <f>Tabella1[[#This Row],[Denominazione]]&amp;" - "&amp;Tabella1[[#This Row],[Città]]</f>
        <v>BED &amp; BREAKFAST I MASSI di SALVI PIETRO - ROCCAFLUVIONE</v>
      </c>
    </row>
    <row r="2565" spans="1:8" x14ac:dyDescent="0.25">
      <c r="A2565" s="1" t="s">
        <v>29</v>
      </c>
      <c r="B2565" s="1" t="s">
        <v>8742</v>
      </c>
      <c r="C2565" s="1" t="s">
        <v>8743</v>
      </c>
      <c r="D2565" s="1" t="s">
        <v>8731</v>
      </c>
      <c r="E2565" s="1" t="s">
        <v>8731</v>
      </c>
      <c r="F2565" s="1" t="s">
        <v>8744</v>
      </c>
      <c r="G2565" s="1" t="s">
        <v>8745</v>
      </c>
      <c r="H2565" s="2" t="str">
        <f>Tabella1[[#This Row],[Denominazione]]&amp;" - "&amp;Tabella1[[#This Row],[Città]]</f>
        <v>BED &amp; BREAKFAST IL DUCA - POLVERIGI</v>
      </c>
    </row>
    <row r="2566" spans="1:8" x14ac:dyDescent="0.25">
      <c r="A2566" s="1" t="s">
        <v>29</v>
      </c>
      <c r="B2566" s="1" t="s">
        <v>8505</v>
      </c>
      <c r="C2566" s="1" t="s">
        <v>8506</v>
      </c>
      <c r="D2566" s="1" t="s">
        <v>8454</v>
      </c>
      <c r="E2566" s="1" t="s">
        <v>8454</v>
      </c>
      <c r="F2566" s="1" t="s">
        <v>8507</v>
      </c>
      <c r="G2566" s="1" t="s">
        <v>8508</v>
      </c>
      <c r="H2566" s="2" t="str">
        <f>Tabella1[[#This Row],[Denominazione]]&amp;" - "&amp;Tabella1[[#This Row],[Città]]</f>
        <v>BED &amp; BREAKFAST POGGIO CAROLINA - OSIMO</v>
      </c>
    </row>
    <row r="2567" spans="1:8" x14ac:dyDescent="0.25">
      <c r="A2567" s="1" t="s">
        <v>29</v>
      </c>
      <c r="B2567" s="1" t="s">
        <v>12485</v>
      </c>
      <c r="C2567" s="1" t="s">
        <v>12486</v>
      </c>
      <c r="D2567" s="1" t="s">
        <v>12459</v>
      </c>
      <c r="E2567" s="1" t="s">
        <v>12459</v>
      </c>
      <c r="F2567" s="1" t="s">
        <v>12487</v>
      </c>
      <c r="G2567" s="1" t="s">
        <v>12488</v>
      </c>
      <c r="H2567" s="2" t="str">
        <f>Tabella1[[#This Row],[Denominazione]]&amp;" - "&amp;Tabella1[[#This Row],[Città]]</f>
        <v>BED &amp; BREAKFAST SAN FIRMANO - MONTELUPONE</v>
      </c>
    </row>
    <row r="2568" spans="1:8" x14ac:dyDescent="0.25">
      <c r="A2568" s="1" t="s">
        <v>29</v>
      </c>
      <c r="B2568" s="1" t="s">
        <v>16638</v>
      </c>
      <c r="C2568" s="1" t="s">
        <v>16639</v>
      </c>
      <c r="D2568" s="1" t="s">
        <v>16585</v>
      </c>
      <c r="E2568" s="1" t="s">
        <v>16640</v>
      </c>
      <c r="F2568" s="1" t="s">
        <v>16641</v>
      </c>
      <c r="G2568" s="1" t="s">
        <v>16642</v>
      </c>
      <c r="H2568" s="2" t="str">
        <f>Tabella1[[#This Row],[Denominazione]]&amp;" - "&amp;Tabella1[[#This Row],[Città]]</f>
        <v>BED &amp; BREAKFAST SILENT VALLEY - RIPATRANSONE</v>
      </c>
    </row>
    <row r="2569" spans="1:8" x14ac:dyDescent="0.25">
      <c r="A2569" s="1" t="s">
        <v>29</v>
      </c>
      <c r="B2569" s="1" t="s">
        <v>7273</v>
      </c>
      <c r="C2569" s="1" t="s">
        <v>7274</v>
      </c>
      <c r="D2569" s="1" t="s">
        <v>7254</v>
      </c>
      <c r="E2569" s="1" t="s">
        <v>7275</v>
      </c>
      <c r="F2569" s="1" t="s">
        <v>7276</v>
      </c>
      <c r="G2569" s="1" t="s">
        <v>7277</v>
      </c>
      <c r="H2569" s="2" t="str">
        <f>Tabella1[[#This Row],[Denominazione]]&amp;" - "&amp;Tabella1[[#This Row],[Città]]</f>
        <v>BED AND BREAKFAST LE CONCE - JESI</v>
      </c>
    </row>
    <row r="2570" spans="1:8" x14ac:dyDescent="0.25">
      <c r="A2570" s="1" t="s">
        <v>29</v>
      </c>
      <c r="B2570" s="1" t="s">
        <v>16970</v>
      </c>
      <c r="C2570" s="1" t="s">
        <v>16971</v>
      </c>
      <c r="D2570" s="1" t="s">
        <v>15819</v>
      </c>
      <c r="G2570" s="1" t="s">
        <v>16972</v>
      </c>
      <c r="H2570" s="2" t="str">
        <f>Tabella1[[#This Row],[Denominazione]]&amp;" - "&amp;Tabella1[[#This Row],[Città]]</f>
        <v>BED AND BREAKFAST SAN BENEDETTO DEL TRONTO - SAN BENEDETTO DEL TRONTO</v>
      </c>
    </row>
    <row r="2571" spans="1:8" x14ac:dyDescent="0.25">
      <c r="A2571" s="1" t="s">
        <v>29</v>
      </c>
      <c r="B2571" s="1" t="s">
        <v>16901</v>
      </c>
      <c r="C2571" s="1" t="s">
        <v>16902</v>
      </c>
      <c r="D2571" s="1" t="s">
        <v>15819</v>
      </c>
      <c r="G2571" s="1" t="s">
        <v>16903</v>
      </c>
      <c r="H2571" s="2" t="str">
        <f>Tabella1[[#This Row],[Denominazione]]&amp;" - "&amp;Tabella1[[#This Row],[Città]]</f>
        <v>BED AND BREAKFAST VITTORIO EMANUELE - SAN BENEDETTO DEL TRONTO</v>
      </c>
    </row>
    <row r="2572" spans="1:8" x14ac:dyDescent="0.25">
      <c r="A2572" s="1" t="s">
        <v>82</v>
      </c>
      <c r="B2572" s="1" t="s">
        <v>1443</v>
      </c>
      <c r="C2572" s="1" t="s">
        <v>1444</v>
      </c>
      <c r="D2572" s="1" t="s">
        <v>682</v>
      </c>
      <c r="E2572" s="1" t="s">
        <v>1445</v>
      </c>
      <c r="F2572" s="1" t="s">
        <v>1446</v>
      </c>
      <c r="G2572" s="1" t="s">
        <v>1447</v>
      </c>
      <c r="H2572" s="2" t="str">
        <f>Tabella1[[#This Row],[Denominazione]]&amp;" - "&amp;Tabella1[[#This Row],[Città]]</f>
        <v>BED BEACH &amp; BIKE DEI TALENTI - FANO</v>
      </c>
    </row>
    <row r="2573" spans="1:8" x14ac:dyDescent="0.25">
      <c r="A2573" s="1" t="s">
        <v>29</v>
      </c>
      <c r="B2573" s="1" t="s">
        <v>4472</v>
      </c>
      <c r="C2573" s="1" t="s">
        <v>4473</v>
      </c>
      <c r="D2573" s="1" t="s">
        <v>4465</v>
      </c>
      <c r="E2573" s="1" t="s">
        <v>4469</v>
      </c>
      <c r="F2573" s="1" t="s">
        <v>4474</v>
      </c>
      <c r="G2573" s="1" t="s">
        <v>4475</v>
      </c>
      <c r="H2573" s="2" t="str">
        <f>Tabella1[[#This Row],[Denominazione]]&amp;" - "&amp;Tabella1[[#This Row],[Città]]</f>
        <v>BED&amp;BREAKFAST I CIPRESSI EX VILLA MARONCELLI - SANT'IPPOLITO</v>
      </c>
    </row>
    <row r="2574" spans="1:8" x14ac:dyDescent="0.25">
      <c r="A2574" s="1" t="s">
        <v>29</v>
      </c>
      <c r="B2574" s="1" t="s">
        <v>12202</v>
      </c>
      <c r="C2574" s="1" t="s">
        <v>12203</v>
      </c>
      <c r="D2574" s="1" t="s">
        <v>12050</v>
      </c>
      <c r="E2574" s="1" t="s">
        <v>12050</v>
      </c>
      <c r="F2574" s="1" t="s">
        <v>12204</v>
      </c>
      <c r="G2574" s="1" t="s">
        <v>12205</v>
      </c>
      <c r="H2574" s="2" t="str">
        <f>Tabella1[[#This Row],[Denominazione]]&amp;" - "&amp;Tabella1[[#This Row],[Città]]</f>
        <v>BELCUORE - MACERATA</v>
      </c>
    </row>
    <row r="2575" spans="1:8" x14ac:dyDescent="0.25">
      <c r="A2575" s="1" t="s">
        <v>12</v>
      </c>
      <c r="B2575" s="1" t="s">
        <v>3612</v>
      </c>
      <c r="C2575" s="1" t="s">
        <v>3613</v>
      </c>
      <c r="D2575" s="1" t="s">
        <v>2386</v>
      </c>
      <c r="E2575" s="1" t="s">
        <v>2386</v>
      </c>
      <c r="G2575" s="1" t="s">
        <v>3614</v>
      </c>
      <c r="H2575" s="2" t="str">
        <f>Tabella1[[#This Row],[Denominazione]]&amp;" - "&amp;Tabella1[[#This Row],[Città]]</f>
        <v>BELIGOTTI EMANUELA - PESARO</v>
      </c>
    </row>
    <row r="2576" spans="1:8" x14ac:dyDescent="0.25">
      <c r="A2576" s="1" t="s">
        <v>82</v>
      </c>
      <c r="B2576" s="1" t="s">
        <v>13509</v>
      </c>
      <c r="D2576" s="1" t="s">
        <v>6072</v>
      </c>
      <c r="F2576" s="1" t="s">
        <v>13510</v>
      </c>
      <c r="G2576" s="1" t="s">
        <v>13511</v>
      </c>
      <c r="H2576" s="2" t="str">
        <f>Tabella1[[#This Row],[Denominazione]]&amp;" - "&amp;Tabella1[[#This Row],[Città]]</f>
        <v>BELLA VAL'LONE - SAN GINESIO</v>
      </c>
    </row>
    <row r="2577" spans="1:8" x14ac:dyDescent="0.25">
      <c r="A2577" s="1" t="s">
        <v>82</v>
      </c>
      <c r="B2577" s="1" t="s">
        <v>8592</v>
      </c>
      <c r="C2577" s="1" t="s">
        <v>8593</v>
      </c>
      <c r="D2577" s="1" t="s">
        <v>8454</v>
      </c>
      <c r="E2577" s="1" t="s">
        <v>8454</v>
      </c>
      <c r="F2577" s="1" t="s">
        <v>8594</v>
      </c>
      <c r="G2577" s="1" t="s">
        <v>8595</v>
      </c>
      <c r="H2577" s="2" t="str">
        <f>Tabella1[[#This Row],[Denominazione]]&amp;" - "&amp;Tabella1[[#This Row],[Città]]</f>
        <v>BELLAFIORA AFFITTACAMERE DI TONTI CINZIA - OSIMO</v>
      </c>
    </row>
    <row r="2578" spans="1:8" x14ac:dyDescent="0.25">
      <c r="A2578" s="1" t="s">
        <v>12</v>
      </c>
      <c r="B2578" s="1" t="s">
        <v>2970</v>
      </c>
      <c r="C2578" s="1" t="s">
        <v>2971</v>
      </c>
      <c r="D2578" s="1" t="s">
        <v>1605</v>
      </c>
      <c r="E2578" s="1" t="s">
        <v>2972</v>
      </c>
      <c r="H2578" s="2" t="str">
        <f>Tabella1[[#This Row],[Denominazione]]&amp;" - "&amp;Tabella1[[#This Row],[Città]]</f>
        <v>BELLAGAMBA LUCA - MONDOLFO</v>
      </c>
    </row>
    <row r="2579" spans="1:8" x14ac:dyDescent="0.25">
      <c r="A2579" s="1" t="s">
        <v>12</v>
      </c>
      <c r="B2579" s="1" t="s">
        <v>9297</v>
      </c>
      <c r="C2579" s="1" t="s">
        <v>9298</v>
      </c>
      <c r="D2579" s="1" t="s">
        <v>8949</v>
      </c>
      <c r="E2579" s="1" t="s">
        <v>8949</v>
      </c>
      <c r="G2579" s="1" t="s">
        <v>9299</v>
      </c>
      <c r="H2579" s="2" t="str">
        <f>Tabella1[[#This Row],[Denominazione]]&amp;" - "&amp;Tabella1[[#This Row],[Città]]</f>
        <v>BELLAGAMBA RITA - SENIGALLIA</v>
      </c>
    </row>
    <row r="2580" spans="1:8" x14ac:dyDescent="0.25">
      <c r="A2580" s="1" t="s">
        <v>571</v>
      </c>
      <c r="B2580" s="1" t="s">
        <v>12881</v>
      </c>
      <c r="C2580" s="1" t="s">
        <v>12882</v>
      </c>
      <c r="D2580" s="1" t="s">
        <v>12801</v>
      </c>
      <c r="E2580" s="1" t="s">
        <v>12801</v>
      </c>
      <c r="F2580" s="1" t="s">
        <v>12883</v>
      </c>
      <c r="G2580" s="1" t="s">
        <v>12884</v>
      </c>
      <c r="H2580" s="2" t="str">
        <f>Tabella1[[#This Row],[Denominazione]]&amp;" - "&amp;Tabella1[[#This Row],[Città]]</f>
        <v>BELLAMARE - PORTO RECANATI</v>
      </c>
    </row>
    <row r="2581" spans="1:8" x14ac:dyDescent="0.25">
      <c r="A2581" s="1" t="s">
        <v>679</v>
      </c>
      <c r="B2581" s="1" t="s">
        <v>8175</v>
      </c>
      <c r="C2581" s="1" t="s">
        <v>8176</v>
      </c>
      <c r="D2581" s="1" t="s">
        <v>7889</v>
      </c>
      <c r="E2581" s="1" t="s">
        <v>8177</v>
      </c>
      <c r="F2581" s="1" t="s">
        <v>8178</v>
      </c>
      <c r="H2581" s="2" t="str">
        <f>Tabella1[[#This Row],[Denominazione]]&amp;" - "&amp;Tabella1[[#This Row],[Città]]</f>
        <v>BELLARIVA - NUMANA</v>
      </c>
    </row>
    <row r="2582" spans="1:8" x14ac:dyDescent="0.25">
      <c r="A2582" s="1" t="s">
        <v>20</v>
      </c>
      <c r="B2582" s="1" t="s">
        <v>2104</v>
      </c>
      <c r="C2582" s="1" t="s">
        <v>2105</v>
      </c>
      <c r="D2582" s="1" t="s">
        <v>1907</v>
      </c>
      <c r="E2582" s="1" t="s">
        <v>1907</v>
      </c>
      <c r="F2582" s="1" t="s">
        <v>2106</v>
      </c>
      <c r="G2582" s="1" t="s">
        <v>2107</v>
      </c>
      <c r="H2582" s="2" t="str">
        <f>Tabella1[[#This Row],[Denominazione]]&amp;" - "&amp;Tabella1[[#This Row],[Città]]</f>
        <v>BELLAVISTA - GABICCE MARE</v>
      </c>
    </row>
    <row r="2583" spans="1:8" x14ac:dyDescent="0.25">
      <c r="A2583" s="1" t="s">
        <v>82</v>
      </c>
      <c r="B2583" s="1" t="s">
        <v>2104</v>
      </c>
      <c r="C2583" s="1" t="s">
        <v>6989</v>
      </c>
      <c r="D2583" s="1" t="s">
        <v>6790</v>
      </c>
      <c r="G2583" s="1" t="s">
        <v>6990</v>
      </c>
      <c r="H2583" s="2" t="str">
        <f>Tabella1[[#This Row],[Denominazione]]&amp;" - "&amp;Tabella1[[#This Row],[Città]]</f>
        <v>BELLAVISTA - FABRIANO</v>
      </c>
    </row>
    <row r="2584" spans="1:8" x14ac:dyDescent="0.25">
      <c r="A2584" s="1" t="s">
        <v>20</v>
      </c>
      <c r="B2584" s="1" t="s">
        <v>2104</v>
      </c>
      <c r="C2584" s="1" t="s">
        <v>10966</v>
      </c>
      <c r="D2584" s="1" t="s">
        <v>10932</v>
      </c>
      <c r="E2584" s="1" t="s">
        <v>10932</v>
      </c>
      <c r="F2584" s="1" t="s">
        <v>10967</v>
      </c>
      <c r="G2584" s="1" t="s">
        <v>10968</v>
      </c>
      <c r="H2584" s="2" t="str">
        <f>Tabella1[[#This Row],[Denominazione]]&amp;" - "&amp;Tabella1[[#This Row],[Città]]</f>
        <v>BELLAVISTA - CASTELRAIMONDO</v>
      </c>
    </row>
    <row r="2585" spans="1:8" x14ac:dyDescent="0.25">
      <c r="A2585" s="1" t="s">
        <v>20</v>
      </c>
      <c r="B2585" s="1" t="s">
        <v>2104</v>
      </c>
      <c r="C2585" s="1" t="s">
        <v>19144</v>
      </c>
      <c r="D2585" s="1" t="s">
        <v>18082</v>
      </c>
      <c r="E2585" s="1" t="s">
        <v>18082</v>
      </c>
      <c r="F2585" s="1" t="s">
        <v>19145</v>
      </c>
      <c r="G2585" s="1" t="s">
        <v>19146</v>
      </c>
      <c r="H2585" s="2" t="str">
        <f>Tabella1[[#This Row],[Denominazione]]&amp;" - "&amp;Tabella1[[#This Row],[Città]]</f>
        <v>BELLAVISTA - PORTO SAN GIORGIO</v>
      </c>
    </row>
    <row r="2586" spans="1:8" x14ac:dyDescent="0.25">
      <c r="A2586" s="1" t="s">
        <v>20</v>
      </c>
      <c r="B2586" s="1" t="s">
        <v>2118</v>
      </c>
      <c r="C2586" s="1" t="s">
        <v>2119</v>
      </c>
      <c r="D2586" s="1" t="s">
        <v>1907</v>
      </c>
      <c r="E2586" s="1" t="s">
        <v>1907</v>
      </c>
      <c r="H2586" s="2" t="str">
        <f>Tabella1[[#This Row],[Denominazione]]&amp;" - "&amp;Tabella1[[#This Row],[Città]]</f>
        <v>BELLAVISTA DIPENDENZA - GABICCE MARE</v>
      </c>
    </row>
    <row r="2587" spans="1:8" x14ac:dyDescent="0.25">
      <c r="A2587" s="1" t="s">
        <v>35</v>
      </c>
      <c r="B2587" s="1" t="s">
        <v>5155</v>
      </c>
      <c r="C2587" s="1" t="s">
        <v>5156</v>
      </c>
      <c r="D2587" s="1" t="s">
        <v>9</v>
      </c>
      <c r="E2587" s="1" t="s">
        <v>9</v>
      </c>
      <c r="H2587" s="2" t="str">
        <f>Tabella1[[#This Row],[Denominazione]]&amp;" - "&amp;Tabella1[[#This Row],[Città]]</f>
        <v>BELLAVISTA SAN EGIDIO - URBINO</v>
      </c>
    </row>
    <row r="2588" spans="1:8" x14ac:dyDescent="0.25">
      <c r="A2588" s="1" t="s">
        <v>35</v>
      </c>
      <c r="B2588" s="1" t="s">
        <v>13457</v>
      </c>
      <c r="C2588" s="1" t="s">
        <v>13458</v>
      </c>
      <c r="D2588" s="1" t="s">
        <v>6072</v>
      </c>
      <c r="E2588" s="1" t="s">
        <v>6072</v>
      </c>
      <c r="F2588" s="1" t="s">
        <v>13459</v>
      </c>
      <c r="G2588" s="1" t="s">
        <v>13460</v>
      </c>
      <c r="H2588" s="2" t="str">
        <f>Tabella1[[#This Row],[Denominazione]]&amp;" - "&amp;Tabella1[[#This Row],[Città]]</f>
        <v>BELLEBUONO - SAN GINESIO</v>
      </c>
    </row>
    <row r="2589" spans="1:8" x14ac:dyDescent="0.25">
      <c r="A2589" s="1" t="s">
        <v>403</v>
      </c>
      <c r="B2589" s="1" t="s">
        <v>2108</v>
      </c>
      <c r="C2589" s="1" t="s">
        <v>2109</v>
      </c>
      <c r="D2589" s="1" t="s">
        <v>1907</v>
      </c>
      <c r="E2589" s="1" t="s">
        <v>1907</v>
      </c>
      <c r="F2589" s="1" t="s">
        <v>2110</v>
      </c>
      <c r="G2589" s="1" t="s">
        <v>2111</v>
      </c>
      <c r="H2589" s="2" t="str">
        <f>Tabella1[[#This Row],[Denominazione]]&amp;" - "&amp;Tabella1[[#This Row],[Città]]</f>
        <v>BELLEVUE - GABICCE MARE</v>
      </c>
    </row>
    <row r="2590" spans="1:8" x14ac:dyDescent="0.25">
      <c r="A2590" s="1" t="s">
        <v>20</v>
      </c>
      <c r="B2590" s="1" t="s">
        <v>2108</v>
      </c>
      <c r="C2590" s="1" t="s">
        <v>3714</v>
      </c>
      <c r="D2590" s="1" t="s">
        <v>2386</v>
      </c>
      <c r="E2590" s="1" t="s">
        <v>2386</v>
      </c>
      <c r="F2590" s="1" t="s">
        <v>3715</v>
      </c>
      <c r="G2590" s="1" t="s">
        <v>3716</v>
      </c>
      <c r="H2590" s="2" t="str">
        <f>Tabella1[[#This Row],[Denominazione]]&amp;" - "&amp;Tabella1[[#This Row],[Città]]</f>
        <v>BELLEVUE - PESARO</v>
      </c>
    </row>
    <row r="2591" spans="1:8" x14ac:dyDescent="0.25">
      <c r="A2591" s="1" t="s">
        <v>20</v>
      </c>
      <c r="B2591" s="1" t="s">
        <v>6458</v>
      </c>
      <c r="C2591" s="1" t="s">
        <v>6459</v>
      </c>
      <c r="D2591" s="1" t="s">
        <v>6456</v>
      </c>
      <c r="E2591" s="1" t="s">
        <v>6456</v>
      </c>
      <c r="F2591" s="1" t="s">
        <v>6460</v>
      </c>
      <c r="G2591" s="1" t="s">
        <v>6461</v>
      </c>
      <c r="H2591" s="2" t="str">
        <f>Tabella1[[#This Row],[Denominazione]]&amp;" - "&amp;Tabella1[[#This Row],[Città]]</f>
        <v>BELLUCCI - CASTELLEONE DI SUASA</v>
      </c>
    </row>
    <row r="2592" spans="1:8" x14ac:dyDescent="0.25">
      <c r="A2592" s="1" t="s">
        <v>82</v>
      </c>
      <c r="B2592" s="1" t="s">
        <v>17832</v>
      </c>
      <c r="C2592" s="1" t="s">
        <v>17833</v>
      </c>
      <c r="D2592" s="1" t="s">
        <v>17823</v>
      </c>
      <c r="E2592" s="1" t="s">
        <v>17823</v>
      </c>
      <c r="H2592" s="2" t="str">
        <f>Tabella1[[#This Row],[Denominazione]]&amp;" - "&amp;Tabella1[[#This Row],[Città]]</f>
        <v>BELMONTE INN - BELMONTE PICENO</v>
      </c>
    </row>
    <row r="2593" spans="1:8" x14ac:dyDescent="0.25">
      <c r="A2593" s="1" t="s">
        <v>12</v>
      </c>
      <c r="B2593" s="1" t="s">
        <v>1558</v>
      </c>
      <c r="C2593" s="1" t="s">
        <v>1559</v>
      </c>
      <c r="D2593" s="1" t="s">
        <v>682</v>
      </c>
      <c r="G2593" s="1" t="s">
        <v>1560</v>
      </c>
      <c r="H2593" s="2" t="str">
        <f>Tabella1[[#This Row],[Denominazione]]&amp;" - "&amp;Tabella1[[#This Row],[Città]]</f>
        <v>BELOGI CARLO - FANO</v>
      </c>
    </row>
    <row r="2594" spans="1:8" x14ac:dyDescent="0.25">
      <c r="A2594" s="1" t="s">
        <v>82</v>
      </c>
      <c r="B2594" s="1" t="s">
        <v>12124</v>
      </c>
      <c r="C2594" s="1" t="s">
        <v>12125</v>
      </c>
      <c r="D2594" s="1" t="s">
        <v>12050</v>
      </c>
      <c r="E2594" s="1" t="s">
        <v>12050</v>
      </c>
      <c r="F2594" s="1" t="s">
        <v>12126</v>
      </c>
      <c r="G2594" s="1" t="s">
        <v>12127</v>
      </c>
      <c r="H2594" s="2" t="str">
        <f>Tabella1[[#This Row],[Denominazione]]&amp;" - "&amp;Tabella1[[#This Row],[Città]]</f>
        <v>BELOHORIZONTE - MACERATA</v>
      </c>
    </row>
    <row r="2595" spans="1:8" x14ac:dyDescent="0.25">
      <c r="A2595" s="1" t="s">
        <v>20</v>
      </c>
      <c r="B2595" s="1" t="s">
        <v>10506</v>
      </c>
      <c r="C2595" s="1" t="s">
        <v>10507</v>
      </c>
      <c r="D2595" s="1" t="s">
        <v>10488</v>
      </c>
      <c r="E2595" s="1" t="s">
        <v>10488</v>
      </c>
      <c r="F2595" s="1" t="s">
        <v>10508</v>
      </c>
      <c r="G2595" s="1" t="s">
        <v>10509</v>
      </c>
      <c r="H2595" s="2" t="str">
        <f>Tabella1[[#This Row],[Denominazione]]&amp;" - "&amp;Tabella1[[#This Row],[Città]]</f>
        <v>BELVEDERE - STAFFOLO</v>
      </c>
    </row>
    <row r="2596" spans="1:8" x14ac:dyDescent="0.25">
      <c r="A2596" s="1" t="s">
        <v>20</v>
      </c>
      <c r="B2596" s="1" t="s">
        <v>10506</v>
      </c>
      <c r="C2596" s="1" t="s">
        <v>16579</v>
      </c>
      <c r="D2596" s="1" t="s">
        <v>16580</v>
      </c>
      <c r="E2596" s="1" t="s">
        <v>16580</v>
      </c>
      <c r="F2596" s="1" t="s">
        <v>16581</v>
      </c>
      <c r="G2596" s="1" t="s">
        <v>16582</v>
      </c>
      <c r="H2596" s="2" t="str">
        <f>Tabella1[[#This Row],[Denominazione]]&amp;" - "&amp;Tabella1[[#This Row],[Città]]</f>
        <v>BELVEDERE - PALMIANO</v>
      </c>
    </row>
    <row r="2597" spans="1:8" x14ac:dyDescent="0.25">
      <c r="A2597" s="1" t="s">
        <v>6</v>
      </c>
      <c r="B2597" s="1" t="s">
        <v>10506</v>
      </c>
      <c r="C2597" s="1" t="s">
        <v>18176</v>
      </c>
      <c r="D2597" s="1" t="s">
        <v>17932</v>
      </c>
      <c r="E2597" s="1" t="s">
        <v>17932</v>
      </c>
      <c r="H2597" s="2" t="str">
        <f>Tabella1[[#This Row],[Denominazione]]&amp;" - "&amp;Tabella1[[#This Row],[Città]]</f>
        <v>BELVEDERE - FERMO</v>
      </c>
    </row>
    <row r="2598" spans="1:8" x14ac:dyDescent="0.25">
      <c r="A2598" s="1" t="s">
        <v>35</v>
      </c>
      <c r="B2598" s="1" t="s">
        <v>5686</v>
      </c>
      <c r="C2598" s="1" t="s">
        <v>5687</v>
      </c>
      <c r="D2598" s="1" t="s">
        <v>1864</v>
      </c>
      <c r="E2598" s="1" t="s">
        <v>1864</v>
      </c>
      <c r="F2598" s="1" t="s">
        <v>5688</v>
      </c>
      <c r="G2598" s="1" t="s">
        <v>5689</v>
      </c>
      <c r="H2598" s="2" t="str">
        <f>Tabella1[[#This Row],[Denominazione]]&amp;" - "&amp;Tabella1[[#This Row],[Città]]</f>
        <v>BENADDUCI E TAGLIARINI - ANCONA</v>
      </c>
    </row>
    <row r="2599" spans="1:8" x14ac:dyDescent="0.25">
      <c r="A2599" s="1" t="s">
        <v>12</v>
      </c>
      <c r="B2599" s="1" t="s">
        <v>834</v>
      </c>
      <c r="C2599" s="1" t="s">
        <v>835</v>
      </c>
      <c r="D2599" s="1" t="s">
        <v>682</v>
      </c>
      <c r="G2599" s="1" t="s">
        <v>836</v>
      </c>
      <c r="H2599" s="2" t="str">
        <f>Tabella1[[#This Row],[Denominazione]]&amp;" - "&amp;Tabella1[[#This Row],[Città]]</f>
        <v>BENCIVENNI CESARE - FANO</v>
      </c>
    </row>
    <row r="2600" spans="1:8" x14ac:dyDescent="0.25">
      <c r="A2600" s="1" t="s">
        <v>12</v>
      </c>
      <c r="B2600" s="1" t="s">
        <v>837</v>
      </c>
      <c r="C2600" s="1" t="s">
        <v>835</v>
      </c>
      <c r="D2600" s="1" t="s">
        <v>682</v>
      </c>
      <c r="G2600" s="1" t="s">
        <v>836</v>
      </c>
      <c r="H2600" s="2" t="str">
        <f>Tabella1[[#This Row],[Denominazione]]&amp;" - "&amp;Tabella1[[#This Row],[Città]]</f>
        <v>BENCIVENNI SOFIA - FANO</v>
      </c>
    </row>
    <row r="2601" spans="1:8" x14ac:dyDescent="0.25">
      <c r="A2601" s="1" t="s">
        <v>12</v>
      </c>
      <c r="B2601" s="1" t="s">
        <v>9133</v>
      </c>
      <c r="C2601" s="1" t="s">
        <v>9134</v>
      </c>
      <c r="D2601" s="1" t="s">
        <v>8949</v>
      </c>
      <c r="E2601" s="1" t="s">
        <v>8949</v>
      </c>
      <c r="G2601" s="1" t="s">
        <v>9135</v>
      </c>
      <c r="H2601" s="2" t="str">
        <f>Tabella1[[#This Row],[Denominazione]]&amp;" - "&amp;Tabella1[[#This Row],[Città]]</f>
        <v>BENELLI ANDREA - SENIGALLIA</v>
      </c>
    </row>
    <row r="2602" spans="1:8" x14ac:dyDescent="0.25">
      <c r="A2602" s="1" t="s">
        <v>12</v>
      </c>
      <c r="B2602" s="1" t="s">
        <v>9300</v>
      </c>
      <c r="C2602" s="1" t="s">
        <v>9301</v>
      </c>
      <c r="D2602" s="1" t="s">
        <v>8949</v>
      </c>
      <c r="E2602" s="1" t="s">
        <v>8949</v>
      </c>
      <c r="G2602" s="1" t="s">
        <v>9302</v>
      </c>
      <c r="H2602" s="2" t="str">
        <f>Tabella1[[#This Row],[Denominazione]]&amp;" - "&amp;Tabella1[[#This Row],[Città]]</f>
        <v>BENIGNI MICHELA - SENIGALLIA</v>
      </c>
    </row>
    <row r="2603" spans="1:8" x14ac:dyDescent="0.25">
      <c r="A2603" s="1" t="s">
        <v>29</v>
      </c>
      <c r="B2603" s="1" t="s">
        <v>12068</v>
      </c>
      <c r="C2603" s="1" t="s">
        <v>12069</v>
      </c>
      <c r="D2603" s="1" t="s">
        <v>12050</v>
      </c>
      <c r="E2603" s="1" t="s">
        <v>12050</v>
      </c>
      <c r="G2603" s="1" t="s">
        <v>12070</v>
      </c>
      <c r="H2603" s="2" t="str">
        <f>Tabella1[[#This Row],[Denominazione]]&amp;" - "&amp;Tabella1[[#This Row],[Città]]</f>
        <v>BERDINI SAURA - MACERATA</v>
      </c>
    </row>
    <row r="2604" spans="1:8" x14ac:dyDescent="0.25">
      <c r="A2604" s="1" t="s">
        <v>20</v>
      </c>
      <c r="B2604" s="1" t="s">
        <v>17277</v>
      </c>
      <c r="C2604" s="1" t="s">
        <v>17278</v>
      </c>
      <c r="D2604" s="1" t="s">
        <v>15819</v>
      </c>
      <c r="E2604" s="1" t="s">
        <v>15819</v>
      </c>
      <c r="F2604" s="1" t="s">
        <v>17279</v>
      </c>
      <c r="G2604" s="1" t="s">
        <v>17280</v>
      </c>
      <c r="H2604" s="2" t="str">
        <f>Tabella1[[#This Row],[Denominazione]]&amp;" - "&amp;Tabella1[[#This Row],[Città]]</f>
        <v>BERNARD - SAN BENEDETTO DEL TRONTO</v>
      </c>
    </row>
    <row r="2605" spans="1:8" x14ac:dyDescent="0.25">
      <c r="A2605" s="1" t="s">
        <v>82</v>
      </c>
      <c r="B2605" s="1" t="s">
        <v>5211</v>
      </c>
      <c r="C2605" s="1" t="s">
        <v>5212</v>
      </c>
      <c r="D2605" s="1" t="s">
        <v>9</v>
      </c>
      <c r="E2605" s="1" t="s">
        <v>9</v>
      </c>
      <c r="G2605" s="1" t="s">
        <v>5213</v>
      </c>
      <c r="H2605" s="2" t="str">
        <f>Tabella1[[#This Row],[Denominazione]]&amp;" - "&amp;Tabella1[[#This Row],[Città]]</f>
        <v>BERNARDINI AUTO SRL - URBINO</v>
      </c>
    </row>
    <row r="2606" spans="1:8" x14ac:dyDescent="0.25">
      <c r="A2606" s="1" t="s">
        <v>29</v>
      </c>
      <c r="B2606" s="1" t="s">
        <v>11411</v>
      </c>
      <c r="C2606" s="1" t="s">
        <v>11412</v>
      </c>
      <c r="D2606" s="1" t="s">
        <v>11244</v>
      </c>
      <c r="E2606" s="1" t="s">
        <v>11244</v>
      </c>
      <c r="G2606" s="1" t="s">
        <v>11410</v>
      </c>
      <c r="H2606" s="2" t="str">
        <f>Tabella1[[#This Row],[Denominazione]]&amp;" - "&amp;Tabella1[[#This Row],[Città]]</f>
        <v>BERTA CAMERE - CIVITANOVA MARCHE</v>
      </c>
    </row>
    <row r="2607" spans="1:8" x14ac:dyDescent="0.25">
      <c r="A2607" s="1" t="s">
        <v>12</v>
      </c>
      <c r="B2607" s="1" t="s">
        <v>16790</v>
      </c>
      <c r="C2607" s="1" t="s">
        <v>16791</v>
      </c>
      <c r="D2607" s="1" t="s">
        <v>15819</v>
      </c>
      <c r="H2607" s="2" t="str">
        <f>Tabella1[[#This Row],[Denominazione]]&amp;" - "&amp;Tabella1[[#This Row],[Città]]</f>
        <v>BERTOLOTTI LILIANA - SAN BENEDETTO DEL TRONTO</v>
      </c>
    </row>
    <row r="2608" spans="1:8" x14ac:dyDescent="0.25">
      <c r="A2608" s="1" t="s">
        <v>12</v>
      </c>
      <c r="B2608" s="1" t="s">
        <v>1430</v>
      </c>
      <c r="C2608" s="1" t="s">
        <v>1431</v>
      </c>
      <c r="D2608" s="1" t="s">
        <v>682</v>
      </c>
      <c r="E2608" s="1" t="s">
        <v>682</v>
      </c>
      <c r="G2608" s="1" t="s">
        <v>1432</v>
      </c>
      <c r="H2608" s="2" t="str">
        <f>Tabella1[[#This Row],[Denominazione]]&amp;" - "&amp;Tabella1[[#This Row],[Città]]</f>
        <v>BERTOZZI PATRIZIA - FANO</v>
      </c>
    </row>
    <row r="2609" spans="1:8" x14ac:dyDescent="0.25">
      <c r="A2609" s="1" t="s">
        <v>12</v>
      </c>
      <c r="B2609" s="1" t="s">
        <v>2050</v>
      </c>
      <c r="C2609" s="1" t="s">
        <v>2051</v>
      </c>
      <c r="D2609" s="1" t="s">
        <v>1907</v>
      </c>
      <c r="H2609" s="2" t="str">
        <f>Tabella1[[#This Row],[Denominazione]]&amp;" - "&amp;Tabella1[[#This Row],[Città]]</f>
        <v>BERTUCCIOLI LUCIANO - GABICCE MARE</v>
      </c>
    </row>
    <row r="2610" spans="1:8" x14ac:dyDescent="0.25">
      <c r="A2610" s="1" t="s">
        <v>12</v>
      </c>
      <c r="B2610" s="1" t="s">
        <v>1996</v>
      </c>
      <c r="C2610" s="1" t="s">
        <v>1997</v>
      </c>
      <c r="D2610" s="1" t="s">
        <v>1907</v>
      </c>
      <c r="H2610" s="2" t="str">
        <f>Tabella1[[#This Row],[Denominazione]]&amp;" - "&amp;Tabella1[[#This Row],[Città]]</f>
        <v>BERTUCCIOLI QUINTA - GABICCE MARE</v>
      </c>
    </row>
    <row r="2611" spans="1:8" x14ac:dyDescent="0.25">
      <c r="A2611" s="1" t="s">
        <v>12</v>
      </c>
      <c r="B2611" s="1" t="s">
        <v>2038</v>
      </c>
      <c r="C2611" s="1" t="s">
        <v>2039</v>
      </c>
      <c r="D2611" s="1" t="s">
        <v>1907</v>
      </c>
      <c r="H2611" s="2" t="str">
        <f>Tabella1[[#This Row],[Denominazione]]&amp;" - "&amp;Tabella1[[#This Row],[Città]]</f>
        <v>BERTUCCIOLI REMIGIO - GABICCE MARE</v>
      </c>
    </row>
    <row r="2612" spans="1:8" x14ac:dyDescent="0.25">
      <c r="A2612" s="1" t="s">
        <v>12</v>
      </c>
      <c r="B2612" s="1" t="s">
        <v>1937</v>
      </c>
      <c r="C2612" s="1" t="s">
        <v>1938</v>
      </c>
      <c r="D2612" s="1" t="s">
        <v>1907</v>
      </c>
      <c r="H2612" s="2" t="str">
        <f>Tabella1[[#This Row],[Denominazione]]&amp;" - "&amp;Tabella1[[#This Row],[Città]]</f>
        <v>BERTUCCIOLI SILVANO - GABICCE MARE</v>
      </c>
    </row>
    <row r="2613" spans="1:8" x14ac:dyDescent="0.25">
      <c r="A2613" s="1" t="s">
        <v>190</v>
      </c>
      <c r="B2613" s="1" t="s">
        <v>19650</v>
      </c>
      <c r="C2613" s="1" t="s">
        <v>19651</v>
      </c>
      <c r="D2613" s="1" t="s">
        <v>19649</v>
      </c>
      <c r="E2613" s="1" t="s">
        <v>19649</v>
      </c>
      <c r="G2613" s="1" t="s">
        <v>19652</v>
      </c>
      <c r="H2613" s="2" t="str">
        <f>Tabella1[[#This Row],[Denominazione]]&amp;" - "&amp;Tabella1[[#This Row],[Città]]</f>
        <v>BETEL - SMERILLO</v>
      </c>
    </row>
    <row r="2614" spans="1:8" x14ac:dyDescent="0.25">
      <c r="A2614" s="1" t="s">
        <v>12</v>
      </c>
      <c r="B2614" s="1" t="s">
        <v>80</v>
      </c>
      <c r="C2614" s="1" t="s">
        <v>81</v>
      </c>
      <c r="D2614" s="1" t="s">
        <v>15</v>
      </c>
      <c r="H2614" s="2" t="str">
        <f>Tabella1[[#This Row],[Denominazione]]&amp;" - "&amp;Tabella1[[#This Row],[Città]]</f>
        <v>BETTI VINCENZO - ACQUALAGNA</v>
      </c>
    </row>
    <row r="2615" spans="1:8" x14ac:dyDescent="0.25">
      <c r="A2615" s="1" t="s">
        <v>12</v>
      </c>
      <c r="B2615" s="1" t="s">
        <v>716</v>
      </c>
      <c r="C2615" s="1" t="s">
        <v>717</v>
      </c>
      <c r="D2615" s="1" t="s">
        <v>682</v>
      </c>
      <c r="E2615" s="1" t="s">
        <v>682</v>
      </c>
      <c r="G2615" s="1" t="s">
        <v>718</v>
      </c>
      <c r="H2615" s="2" t="str">
        <f>Tabella1[[#This Row],[Denominazione]]&amp;" - "&amp;Tabella1[[#This Row],[Città]]</f>
        <v>BETTINI MARIA LUISA - FANO</v>
      </c>
    </row>
    <row r="2616" spans="1:8" x14ac:dyDescent="0.25">
      <c r="A2616" s="1" t="s">
        <v>82</v>
      </c>
      <c r="B2616" s="1" t="s">
        <v>1941</v>
      </c>
      <c r="C2616" s="1" t="s">
        <v>1942</v>
      </c>
      <c r="D2616" s="1" t="s">
        <v>1907</v>
      </c>
      <c r="E2616" s="1" t="s">
        <v>1907</v>
      </c>
      <c r="F2616" s="1" t="s">
        <v>1943</v>
      </c>
      <c r="G2616" s="1" t="s">
        <v>1944</v>
      </c>
      <c r="H2616" s="2" t="str">
        <f>Tabella1[[#This Row],[Denominazione]]&amp;" - "&amp;Tabella1[[#This Row],[Città]]</f>
        <v>BETTY AFFITTACAMERE - GABICCE MARE</v>
      </c>
    </row>
    <row r="2617" spans="1:8" x14ac:dyDescent="0.25">
      <c r="A2617" s="1" t="s">
        <v>679</v>
      </c>
      <c r="B2617" s="1" t="s">
        <v>19118</v>
      </c>
      <c r="C2617" s="1" t="s">
        <v>19068</v>
      </c>
      <c r="D2617" s="1" t="s">
        <v>18082</v>
      </c>
      <c r="E2617" s="1" t="s">
        <v>19119</v>
      </c>
      <c r="H2617" s="2" t="str">
        <f>Tabella1[[#This Row],[Denominazione]]&amp;" - "&amp;Tabella1[[#This Row],[Città]]</f>
        <v>BETTY BOOP - PORTO SAN GIORGIO</v>
      </c>
    </row>
    <row r="2618" spans="1:8" x14ac:dyDescent="0.25">
      <c r="A2618" s="1" t="s">
        <v>12</v>
      </c>
      <c r="B2618" s="1" t="s">
        <v>9088</v>
      </c>
      <c r="C2618" s="1" t="s">
        <v>9089</v>
      </c>
      <c r="D2618" s="1" t="s">
        <v>8949</v>
      </c>
      <c r="E2618" s="1" t="s">
        <v>8949</v>
      </c>
      <c r="G2618" s="1" t="s">
        <v>9037</v>
      </c>
      <c r="H2618" s="2" t="str">
        <f>Tabella1[[#This Row],[Denominazione]]&amp;" - "&amp;Tabella1[[#This Row],[Città]]</f>
        <v>BEVILACQUA ALESSANDRA - SENIGALLIA</v>
      </c>
    </row>
    <row r="2619" spans="1:8" x14ac:dyDescent="0.25">
      <c r="A2619" s="1" t="s">
        <v>12</v>
      </c>
      <c r="B2619" s="1" t="s">
        <v>8356</v>
      </c>
      <c r="C2619" s="1" t="s">
        <v>8357</v>
      </c>
      <c r="D2619" s="1" t="s">
        <v>7889</v>
      </c>
      <c r="G2619" s="1" t="s">
        <v>8358</v>
      </c>
      <c r="H2619" s="2" t="str">
        <f>Tabella1[[#This Row],[Denominazione]]&amp;" - "&amp;Tabella1[[#This Row],[Città]]</f>
        <v>BIAGIOLI BRUNO - NUMANA</v>
      </c>
    </row>
    <row r="2620" spans="1:8" x14ac:dyDescent="0.25">
      <c r="A2620" s="1" t="s">
        <v>12</v>
      </c>
      <c r="B2620" s="1" t="s">
        <v>1493</v>
      </c>
      <c r="C2620" s="1" t="s">
        <v>881</v>
      </c>
      <c r="D2620" s="1" t="s">
        <v>682</v>
      </c>
      <c r="E2620" s="1" t="s">
        <v>682</v>
      </c>
      <c r="G2620" s="1" t="s">
        <v>886</v>
      </c>
      <c r="H2620" s="2" t="str">
        <f>Tabella1[[#This Row],[Denominazione]]&amp;" - "&amp;Tabella1[[#This Row],[Città]]</f>
        <v>BIAGIOTTI ENNIO (136/b) - FANO</v>
      </c>
    </row>
    <row r="2621" spans="1:8" x14ac:dyDescent="0.25">
      <c r="A2621" s="1" t="s">
        <v>12</v>
      </c>
      <c r="B2621" s="1" t="s">
        <v>796</v>
      </c>
      <c r="C2621" s="1" t="s">
        <v>797</v>
      </c>
      <c r="D2621" s="1" t="s">
        <v>682</v>
      </c>
      <c r="E2621" s="1" t="s">
        <v>682</v>
      </c>
      <c r="G2621" s="1" t="s">
        <v>798</v>
      </c>
      <c r="H2621" s="2" t="str">
        <f>Tabella1[[#This Row],[Denominazione]]&amp;" - "&amp;Tabella1[[#This Row],[Città]]</f>
        <v>BIAGIOTTI ENNIO (9/13) - FANO</v>
      </c>
    </row>
    <row r="2622" spans="1:8" x14ac:dyDescent="0.25">
      <c r="A2622" s="1" t="s">
        <v>12</v>
      </c>
      <c r="B2622" s="1" t="s">
        <v>1494</v>
      </c>
      <c r="D2622" s="1" t="s">
        <v>682</v>
      </c>
      <c r="E2622" s="1" t="s">
        <v>1495</v>
      </c>
      <c r="G2622" s="1" t="s">
        <v>886</v>
      </c>
      <c r="H2622" s="2" t="str">
        <f>Tabella1[[#This Row],[Denominazione]]&amp;" - "&amp;Tabella1[[#This Row],[Città]]</f>
        <v>BIAGIOTTI EUGENIO - FANO</v>
      </c>
    </row>
    <row r="2623" spans="1:8" x14ac:dyDescent="0.25">
      <c r="A2623" s="1" t="s">
        <v>12</v>
      </c>
      <c r="B2623" s="1" t="s">
        <v>885</v>
      </c>
      <c r="C2623" s="1" t="s">
        <v>881</v>
      </c>
      <c r="D2623" s="1" t="s">
        <v>682</v>
      </c>
      <c r="E2623" s="1" t="s">
        <v>682</v>
      </c>
      <c r="G2623" s="1" t="s">
        <v>886</v>
      </c>
      <c r="H2623" s="2" t="str">
        <f>Tabella1[[#This Row],[Denominazione]]&amp;" - "&amp;Tabella1[[#This Row],[Città]]</f>
        <v>BIAGIOTTI EUGENIO (136/b) - FANO</v>
      </c>
    </row>
    <row r="2624" spans="1:8" x14ac:dyDescent="0.25">
      <c r="A2624" s="1" t="s">
        <v>12</v>
      </c>
      <c r="B2624" s="1" t="s">
        <v>880</v>
      </c>
      <c r="C2624" s="1" t="s">
        <v>881</v>
      </c>
      <c r="D2624" s="1" t="s">
        <v>682</v>
      </c>
      <c r="E2624" s="1" t="s">
        <v>682</v>
      </c>
      <c r="H2624" s="2" t="str">
        <f>Tabella1[[#This Row],[Denominazione]]&amp;" - "&amp;Tabella1[[#This Row],[Città]]</f>
        <v>BIAGIOTTI EVELINA - FANO</v>
      </c>
    </row>
    <row r="2625" spans="1:8" x14ac:dyDescent="0.25">
      <c r="A2625" s="1" t="s">
        <v>12</v>
      </c>
      <c r="B2625" s="1" t="s">
        <v>722</v>
      </c>
      <c r="C2625" s="1" t="s">
        <v>723</v>
      </c>
      <c r="D2625" s="1" t="s">
        <v>682</v>
      </c>
      <c r="E2625" s="1" t="s">
        <v>682</v>
      </c>
      <c r="G2625" s="1" t="s">
        <v>724</v>
      </c>
      <c r="H2625" s="2" t="str">
        <f>Tabella1[[#This Row],[Denominazione]]&amp;" - "&amp;Tabella1[[#This Row],[Città]]</f>
        <v>BIAGIOTTI GIACOMO - FANO</v>
      </c>
    </row>
    <row r="2626" spans="1:8" x14ac:dyDescent="0.25">
      <c r="A2626" s="1" t="s">
        <v>12</v>
      </c>
      <c r="B2626" s="1" t="s">
        <v>1503</v>
      </c>
      <c r="C2626" s="1" t="s">
        <v>1504</v>
      </c>
      <c r="D2626" s="1" t="s">
        <v>682</v>
      </c>
      <c r="G2626" s="1" t="s">
        <v>1505</v>
      </c>
      <c r="H2626" s="2" t="str">
        <f>Tabella1[[#This Row],[Denominazione]]&amp;" - "&amp;Tabella1[[#This Row],[Città]]</f>
        <v>BIAGIOTTI GIULIANO - FANO</v>
      </c>
    </row>
    <row r="2627" spans="1:8" x14ac:dyDescent="0.25">
      <c r="A2627" s="1" t="s">
        <v>12</v>
      </c>
      <c r="B2627" s="1" t="s">
        <v>878</v>
      </c>
      <c r="C2627" s="1" t="s">
        <v>879</v>
      </c>
      <c r="D2627" s="1" t="s">
        <v>682</v>
      </c>
      <c r="E2627" s="1" t="s">
        <v>682</v>
      </c>
      <c r="G2627" s="1" t="s">
        <v>798</v>
      </c>
      <c r="H2627" s="2" t="str">
        <f>Tabella1[[#This Row],[Denominazione]]&amp;" - "&amp;Tabella1[[#This Row],[Città]]</f>
        <v>BIAGIOTTI PATRIZIA - FANO</v>
      </c>
    </row>
    <row r="2628" spans="1:8" x14ac:dyDescent="0.25">
      <c r="A2628" s="1" t="s">
        <v>12</v>
      </c>
      <c r="B2628" s="1" t="s">
        <v>1555</v>
      </c>
      <c r="C2628" s="1" t="s">
        <v>1556</v>
      </c>
      <c r="D2628" s="1" t="s">
        <v>682</v>
      </c>
      <c r="G2628" s="1" t="s">
        <v>1557</v>
      </c>
      <c r="H2628" s="2" t="str">
        <f>Tabella1[[#This Row],[Denominazione]]&amp;" - "&amp;Tabella1[[#This Row],[Città]]</f>
        <v>BIANCA MARIA LEONARDI - FANO</v>
      </c>
    </row>
    <row r="2629" spans="1:8" x14ac:dyDescent="0.25">
      <c r="A2629" s="1" t="s">
        <v>20</v>
      </c>
      <c r="B2629" s="1" t="s">
        <v>2897</v>
      </c>
      <c r="C2629" s="1" t="s">
        <v>2898</v>
      </c>
      <c r="D2629" s="1" t="s">
        <v>1605</v>
      </c>
      <c r="E2629" s="1" t="s">
        <v>1605</v>
      </c>
      <c r="F2629" s="1" t="s">
        <v>2899</v>
      </c>
      <c r="G2629" s="1" t="s">
        <v>2900</v>
      </c>
      <c r="H2629" s="2" t="str">
        <f>Tabella1[[#This Row],[Denominazione]]&amp;" - "&amp;Tabella1[[#This Row],[Città]]</f>
        <v>BIANCANEVE - MONDOLFO</v>
      </c>
    </row>
    <row r="2630" spans="1:8" x14ac:dyDescent="0.25">
      <c r="A2630" s="1" t="s">
        <v>12</v>
      </c>
      <c r="B2630" s="1" t="s">
        <v>18433</v>
      </c>
      <c r="C2630" s="1" t="s">
        <v>18434</v>
      </c>
      <c r="D2630" s="1" t="s">
        <v>18389</v>
      </c>
      <c r="G2630" s="1" t="s">
        <v>18435</v>
      </c>
      <c r="H2630" s="2" t="str">
        <f>Tabella1[[#This Row],[Denominazione]]&amp;" - "&amp;Tabella1[[#This Row],[Città]]</f>
        <v>BIANCONI ROSANNA - LAPEDONA</v>
      </c>
    </row>
    <row r="2631" spans="1:8" x14ac:dyDescent="0.25">
      <c r="A2631" s="1" t="s">
        <v>20</v>
      </c>
      <c r="B2631" s="1" t="s">
        <v>9493</v>
      </c>
      <c r="C2631" s="1" t="s">
        <v>9494</v>
      </c>
      <c r="D2631" s="1" t="s">
        <v>8949</v>
      </c>
      <c r="E2631" s="1" t="s">
        <v>8949</v>
      </c>
      <c r="F2631" s="1" t="s">
        <v>9495</v>
      </c>
      <c r="G2631" s="1" t="s">
        <v>9496</v>
      </c>
      <c r="H2631" s="2" t="str">
        <f>Tabella1[[#This Row],[Denominazione]]&amp;" - "&amp;Tabella1[[#This Row],[Città]]</f>
        <v>BICE - SENIGALLIA</v>
      </c>
    </row>
    <row r="2632" spans="1:8" x14ac:dyDescent="0.25">
      <c r="A2632" s="1" t="s">
        <v>35</v>
      </c>
      <c r="B2632" s="1" t="s">
        <v>8932</v>
      </c>
      <c r="C2632" s="1" t="s">
        <v>8933</v>
      </c>
      <c r="D2632" s="1" t="s">
        <v>8849</v>
      </c>
      <c r="E2632" s="1" t="s">
        <v>8849</v>
      </c>
      <c r="G2632" s="1" t="s">
        <v>8934</v>
      </c>
      <c r="H2632" s="2" t="str">
        <f>Tabella1[[#This Row],[Denominazione]]&amp;" - "&amp;Tabella1[[#This Row],[Città]]</f>
        <v>BIDUCCI AZIENDA AGRICOLA - SASSOFERRATO</v>
      </c>
    </row>
    <row r="2633" spans="1:8" x14ac:dyDescent="0.25">
      <c r="A2633" s="1" t="s">
        <v>12</v>
      </c>
      <c r="B2633" s="1" t="s">
        <v>9064</v>
      </c>
      <c r="C2633" s="1" t="s">
        <v>9065</v>
      </c>
      <c r="D2633" s="1" t="s">
        <v>8949</v>
      </c>
      <c r="E2633" s="1" t="s">
        <v>8949</v>
      </c>
      <c r="G2633" s="1" t="s">
        <v>9066</v>
      </c>
      <c r="H2633" s="2" t="str">
        <f>Tabella1[[#This Row],[Denominazione]]&amp;" - "&amp;Tabella1[[#This Row],[Città]]</f>
        <v>BIGELLI GIANCARLO - SENIGALLIA</v>
      </c>
    </row>
    <row r="2634" spans="1:8" x14ac:dyDescent="0.25">
      <c r="A2634" s="1" t="s">
        <v>12</v>
      </c>
      <c r="B2634" s="1" t="s">
        <v>11919</v>
      </c>
      <c r="C2634" s="1" t="s">
        <v>11920</v>
      </c>
      <c r="D2634" s="1" t="s">
        <v>11883</v>
      </c>
      <c r="G2634" s="1" t="s">
        <v>11921</v>
      </c>
      <c r="H2634" s="2" t="str">
        <f>Tabella1[[#This Row],[Denominazione]]&amp;" - "&amp;Tabella1[[#This Row],[Città]]</f>
        <v>BIGGAR PATRICIA ANNE - GUALDO</v>
      </c>
    </row>
    <row r="2635" spans="1:8" x14ac:dyDescent="0.25">
      <c r="A2635" s="1" t="s">
        <v>29</v>
      </c>
      <c r="B2635" s="1" t="s">
        <v>1274</v>
      </c>
      <c r="C2635" s="1" t="s">
        <v>1275</v>
      </c>
      <c r="D2635" s="1" t="s">
        <v>682</v>
      </c>
      <c r="E2635" s="1" t="s">
        <v>682</v>
      </c>
      <c r="F2635" s="1" t="s">
        <v>863</v>
      </c>
      <c r="G2635" s="1" t="s">
        <v>1276</v>
      </c>
      <c r="H2635" s="2" t="str">
        <f>Tabella1[[#This Row],[Denominazione]]&amp;" - "&amp;Tabella1[[#This Row],[Città]]</f>
        <v>BIGOTTI STEFANO - FANO</v>
      </c>
    </row>
    <row r="2636" spans="1:8" x14ac:dyDescent="0.25">
      <c r="A2636" s="1" t="s">
        <v>679</v>
      </c>
      <c r="B2636" s="1" t="s">
        <v>17110</v>
      </c>
      <c r="C2636" s="1" t="s">
        <v>17111</v>
      </c>
      <c r="D2636" s="1" t="s">
        <v>15819</v>
      </c>
      <c r="H2636" s="2" t="str">
        <f>Tabella1[[#This Row],[Denominazione]]&amp;" - "&amp;Tabella1[[#This Row],[Città]]</f>
        <v>BIJEOUX - SAN BENEDETTO DEL TRONTO</v>
      </c>
    </row>
    <row r="2637" spans="1:8" x14ac:dyDescent="0.25">
      <c r="A2637" s="1" t="s">
        <v>12</v>
      </c>
      <c r="B2637" s="1" t="s">
        <v>9082</v>
      </c>
      <c r="C2637" s="1" t="s">
        <v>9083</v>
      </c>
      <c r="D2637" s="1" t="s">
        <v>8949</v>
      </c>
      <c r="E2637" s="1" t="s">
        <v>8949</v>
      </c>
      <c r="G2637" s="1" t="s">
        <v>9037</v>
      </c>
      <c r="H2637" s="2" t="str">
        <f>Tabella1[[#This Row],[Denominazione]]&amp;" - "&amp;Tabella1[[#This Row],[Città]]</f>
        <v>BILEI MARIA TERESA - SENIGALLIA</v>
      </c>
    </row>
    <row r="2638" spans="1:8" x14ac:dyDescent="0.25">
      <c r="A2638" s="1" t="s">
        <v>12</v>
      </c>
      <c r="B2638" s="1" t="s">
        <v>831</v>
      </c>
      <c r="C2638" s="1" t="s">
        <v>832</v>
      </c>
      <c r="D2638" s="1" t="s">
        <v>682</v>
      </c>
      <c r="G2638" s="1" t="s">
        <v>833</v>
      </c>
      <c r="H2638" s="2" t="str">
        <f>Tabella1[[#This Row],[Denominazione]]&amp;" - "&amp;Tabella1[[#This Row],[Città]]</f>
        <v>BIONDI AGNESE - FANO</v>
      </c>
    </row>
    <row r="2639" spans="1:8" x14ac:dyDescent="0.25">
      <c r="A2639" s="1" t="s">
        <v>20</v>
      </c>
      <c r="B2639" s="1" t="s">
        <v>11560</v>
      </c>
      <c r="C2639" s="1" t="s">
        <v>11561</v>
      </c>
      <c r="D2639" s="1" t="s">
        <v>11244</v>
      </c>
      <c r="E2639" s="1" t="s">
        <v>11244</v>
      </c>
      <c r="F2639" s="1" t="s">
        <v>11562</v>
      </c>
      <c r="G2639" s="1" t="s">
        <v>11563</v>
      </c>
      <c r="H2639" s="2" t="str">
        <f>Tabella1[[#This Row],[Denominazione]]&amp;" - "&amp;Tabella1[[#This Row],[Città]]</f>
        <v>BIRILLI - CIVITANOVA MARCHE</v>
      </c>
    </row>
    <row r="2640" spans="1:8" x14ac:dyDescent="0.25">
      <c r="A2640" s="1" t="s">
        <v>20</v>
      </c>
      <c r="B2640" s="1" t="s">
        <v>42</v>
      </c>
      <c r="C2640" s="1" t="s">
        <v>43</v>
      </c>
      <c r="D2640" s="1" t="s">
        <v>15</v>
      </c>
      <c r="E2640" s="1" t="s">
        <v>15</v>
      </c>
      <c r="F2640" s="1" t="s">
        <v>44</v>
      </c>
      <c r="G2640" s="1" t="s">
        <v>45</v>
      </c>
      <c r="H2640" s="2" t="str">
        <f>Tabella1[[#This Row],[Denominazione]]&amp;" - "&amp;Tabella1[[#This Row],[Città]]</f>
        <v>BIRRA AL POZZO - ACQUALAGNA</v>
      </c>
    </row>
    <row r="2641" spans="1:8" x14ac:dyDescent="0.25">
      <c r="A2641" s="1" t="s">
        <v>679</v>
      </c>
      <c r="B2641" s="1" t="s">
        <v>7115</v>
      </c>
      <c r="C2641" s="1" t="s">
        <v>5708</v>
      </c>
      <c r="D2641" s="1" t="s">
        <v>5735</v>
      </c>
      <c r="E2641" s="1" t="s">
        <v>5735</v>
      </c>
      <c r="F2641" s="1" t="s">
        <v>7116</v>
      </c>
      <c r="H2641" s="2" t="str">
        <f>Tabella1[[#This Row],[Denominazione]]&amp;" - "&amp;Tabella1[[#This Row],[Città]]</f>
        <v>BLU - FALCONARA MARITTIMA</v>
      </c>
    </row>
    <row r="2642" spans="1:8" x14ac:dyDescent="0.25">
      <c r="A2642" s="1" t="s">
        <v>20</v>
      </c>
      <c r="B2642" s="1" t="s">
        <v>5389</v>
      </c>
      <c r="C2642" s="1" t="s">
        <v>5390</v>
      </c>
      <c r="D2642" s="1" t="s">
        <v>5358</v>
      </c>
      <c r="E2642" s="1" t="s">
        <v>5373</v>
      </c>
      <c r="F2642" s="1" t="s">
        <v>5391</v>
      </c>
      <c r="G2642" s="1" t="s">
        <v>5392</v>
      </c>
      <c r="H2642" s="2" t="str">
        <f>Tabella1[[#This Row],[Denominazione]]&amp;" - "&amp;Tabella1[[#This Row],[Città]]</f>
        <v>BLU ARENA HOTEL - VALLEFOGLIA</v>
      </c>
    </row>
    <row r="2643" spans="1:8" x14ac:dyDescent="0.25">
      <c r="A2643" s="1" t="s">
        <v>679</v>
      </c>
      <c r="B2643" s="1" t="s">
        <v>12982</v>
      </c>
      <c r="C2643" s="1" t="s">
        <v>12983</v>
      </c>
      <c r="D2643" s="1" t="s">
        <v>12801</v>
      </c>
      <c r="G2643" s="1" t="s">
        <v>12984</v>
      </c>
      <c r="H2643" s="2" t="str">
        <f>Tabella1[[#This Row],[Denominazione]]&amp;" - "&amp;Tabella1[[#This Row],[Città]]</f>
        <v>BLU' BAR - PORTO RECANATI</v>
      </c>
    </row>
    <row r="2644" spans="1:8" x14ac:dyDescent="0.25">
      <c r="A2644" s="1" t="s">
        <v>679</v>
      </c>
      <c r="B2644" s="1" t="s">
        <v>1065</v>
      </c>
      <c r="C2644" s="1" t="s">
        <v>1066</v>
      </c>
      <c r="D2644" s="1" t="s">
        <v>682</v>
      </c>
      <c r="E2644" s="1" t="s">
        <v>1040</v>
      </c>
      <c r="G2644" s="1" t="s">
        <v>1067</v>
      </c>
      <c r="H2644" s="2" t="str">
        <f>Tabella1[[#This Row],[Denominazione]]&amp;" - "&amp;Tabella1[[#This Row],[Città]]</f>
        <v>BLU BEACH - FANO</v>
      </c>
    </row>
    <row r="2645" spans="1:8" x14ac:dyDescent="0.25">
      <c r="A2645" s="1" t="s">
        <v>679</v>
      </c>
      <c r="B2645" s="1" t="s">
        <v>1065</v>
      </c>
      <c r="C2645" s="1" t="s">
        <v>2847</v>
      </c>
      <c r="D2645" s="1" t="s">
        <v>1605</v>
      </c>
      <c r="E2645" s="1" t="s">
        <v>1456</v>
      </c>
      <c r="F2645" s="1" t="s">
        <v>2848</v>
      </c>
      <c r="H2645" s="2" t="str">
        <f>Tabella1[[#This Row],[Denominazione]]&amp;" - "&amp;Tabella1[[#This Row],[Città]]</f>
        <v>BLU BEACH - MONDOLFO</v>
      </c>
    </row>
    <row r="2646" spans="1:8" x14ac:dyDescent="0.25">
      <c r="A2646" s="1" t="s">
        <v>679</v>
      </c>
      <c r="B2646" s="1" t="s">
        <v>13295</v>
      </c>
      <c r="D2646" s="1" t="s">
        <v>13026</v>
      </c>
      <c r="E2646" s="1" t="s">
        <v>13105</v>
      </c>
      <c r="H2646" s="2" t="str">
        <f>Tabella1[[#This Row],[Denominazione]]&amp;" - "&amp;Tabella1[[#This Row],[Città]]</f>
        <v>BLU DI LOLLO - POTENZA PICENA</v>
      </c>
    </row>
    <row r="2647" spans="1:8" x14ac:dyDescent="0.25">
      <c r="A2647" s="1" t="s">
        <v>20</v>
      </c>
      <c r="B2647" s="1" t="s">
        <v>2112</v>
      </c>
      <c r="C2647" s="1" t="s">
        <v>2113</v>
      </c>
      <c r="D2647" s="1" t="s">
        <v>1907</v>
      </c>
      <c r="E2647" s="1" t="s">
        <v>1907</v>
      </c>
      <c r="F2647" s="1" t="s">
        <v>2114</v>
      </c>
      <c r="G2647" s="1" t="s">
        <v>2115</v>
      </c>
      <c r="H2647" s="2" t="str">
        <f>Tabella1[[#This Row],[Denominazione]]&amp;" - "&amp;Tabella1[[#This Row],[Città]]</f>
        <v>BLU STAR HOTEL - GABICCE MARE</v>
      </c>
    </row>
    <row r="2648" spans="1:8" x14ac:dyDescent="0.25">
      <c r="A2648" s="1" t="s">
        <v>679</v>
      </c>
      <c r="B2648" s="1" t="s">
        <v>19452</v>
      </c>
      <c r="C2648" s="1" t="s">
        <v>19453</v>
      </c>
      <c r="D2648" s="1" t="s">
        <v>19283</v>
      </c>
      <c r="E2648" s="1" t="s">
        <v>19363</v>
      </c>
      <c r="H2648" s="2" t="str">
        <f>Tabella1[[#This Row],[Denominazione]]&amp;" - "&amp;Tabella1[[#This Row],[Città]]</f>
        <v>BLUB 37 - PORTO SANT'ELPIDIO</v>
      </c>
    </row>
    <row r="2649" spans="1:8" x14ac:dyDescent="0.25">
      <c r="A2649" s="1" t="s">
        <v>679</v>
      </c>
      <c r="B2649" s="1" t="s">
        <v>10052</v>
      </c>
      <c r="C2649" s="1" t="s">
        <v>10053</v>
      </c>
      <c r="D2649" s="1" t="s">
        <v>8949</v>
      </c>
      <c r="E2649" s="1" t="s">
        <v>8949</v>
      </c>
      <c r="H2649" s="2" t="str">
        <f>Tabella1[[#This Row],[Denominazione]]&amp;" - "&amp;Tabella1[[#This Row],[Città]]</f>
        <v>BLUE NOTE BEACH  N° 158 - SENIGALLIA</v>
      </c>
    </row>
    <row r="2650" spans="1:8" x14ac:dyDescent="0.25">
      <c r="A2650" s="1" t="s">
        <v>679</v>
      </c>
      <c r="B2650" s="1" t="s">
        <v>17247</v>
      </c>
      <c r="C2650" s="1" t="s">
        <v>9843</v>
      </c>
      <c r="D2650" s="1" t="s">
        <v>15819</v>
      </c>
      <c r="G2650" s="1" t="s">
        <v>17248</v>
      </c>
      <c r="H2650" s="2" t="str">
        <f>Tabella1[[#This Row],[Denominazione]]&amp;" - "&amp;Tabella1[[#This Row],[Città]]</f>
        <v>BLUMARINE  S.N.C . - SAN BENEDETTO DEL TRONTO</v>
      </c>
    </row>
    <row r="2651" spans="1:8" x14ac:dyDescent="0.25">
      <c r="A2651" s="1" t="s">
        <v>20</v>
      </c>
      <c r="B2651" s="1" t="s">
        <v>3717</v>
      </c>
      <c r="C2651" s="1" t="s">
        <v>3718</v>
      </c>
      <c r="D2651" s="1" t="s">
        <v>2386</v>
      </c>
      <c r="E2651" s="1" t="s">
        <v>2386</v>
      </c>
      <c r="G2651" s="1" t="s">
        <v>3719</v>
      </c>
      <c r="H2651" s="2" t="str">
        <f>Tabella1[[#This Row],[Denominazione]]&amp;" - "&amp;Tabella1[[#This Row],[Città]]</f>
        <v>BLUMEN - PESARO</v>
      </c>
    </row>
    <row r="2652" spans="1:8" x14ac:dyDescent="0.25">
      <c r="A2652" s="1" t="s">
        <v>20</v>
      </c>
      <c r="B2652" s="1" t="s">
        <v>3717</v>
      </c>
      <c r="C2652" s="1" t="s">
        <v>17467</v>
      </c>
      <c r="D2652" s="1" t="s">
        <v>15819</v>
      </c>
      <c r="E2652" s="1" t="s">
        <v>15819</v>
      </c>
      <c r="F2652" s="1" t="s">
        <v>17468</v>
      </c>
      <c r="G2652" s="1" t="s">
        <v>17469</v>
      </c>
      <c r="H2652" s="2" t="str">
        <f>Tabella1[[#This Row],[Denominazione]]&amp;" - "&amp;Tabella1[[#This Row],[Città]]</f>
        <v>BLUMEN - SAN BENEDETTO DEL TRONTO</v>
      </c>
    </row>
    <row r="2653" spans="1:8" x14ac:dyDescent="0.25">
      <c r="A2653" s="1" t="s">
        <v>12</v>
      </c>
      <c r="B2653" s="1" t="s">
        <v>6098</v>
      </c>
      <c r="C2653" s="1" t="s">
        <v>6099</v>
      </c>
      <c r="D2653" s="1" t="s">
        <v>6049</v>
      </c>
      <c r="E2653" s="1" t="s">
        <v>6100</v>
      </c>
      <c r="F2653" s="1" t="s">
        <v>6101</v>
      </c>
      <c r="G2653" s="1" t="s">
        <v>6102</v>
      </c>
      <c r="H2653" s="2" t="str">
        <f>Tabella1[[#This Row],[Denominazione]]&amp;" - "&amp;Tabella1[[#This Row],[Città]]</f>
        <v>BOCCA DI LUPO - ARCEVIA</v>
      </c>
    </row>
    <row r="2654" spans="1:8" x14ac:dyDescent="0.25">
      <c r="A2654" s="1" t="s">
        <v>12</v>
      </c>
      <c r="B2654" s="1" t="s">
        <v>10581</v>
      </c>
      <c r="C2654" s="1" t="s">
        <v>10582</v>
      </c>
      <c r="D2654" s="1" t="s">
        <v>10519</v>
      </c>
      <c r="E2654" s="1" t="s">
        <v>10519</v>
      </c>
      <c r="G2654" s="1" t="s">
        <v>10583</v>
      </c>
      <c r="H2654" s="2" t="str">
        <f>Tabella1[[#This Row],[Denominazione]]&amp;" - "&amp;Tabella1[[#This Row],[Città]]</f>
        <v>BOCCAROSSA SILVIA - TRECASTELLI</v>
      </c>
    </row>
    <row r="2655" spans="1:8" x14ac:dyDescent="0.25">
      <c r="A2655" s="1" t="s">
        <v>12</v>
      </c>
      <c r="B2655" s="1" t="s">
        <v>6667</v>
      </c>
      <c r="C2655" s="1" t="s">
        <v>6668</v>
      </c>
      <c r="D2655" s="1" t="s">
        <v>6652</v>
      </c>
      <c r="E2655" s="1" t="s">
        <v>6652</v>
      </c>
      <c r="G2655" s="1" t="s">
        <v>6669</v>
      </c>
      <c r="H2655" s="2" t="str">
        <f>Tabella1[[#This Row],[Denominazione]]&amp;" - "&amp;Tabella1[[#This Row],[Città]]</f>
        <v>BOCK BRITTA - CUPRAMONTANA</v>
      </c>
    </row>
    <row r="2656" spans="1:8" x14ac:dyDescent="0.25">
      <c r="A2656" s="1" t="s">
        <v>12</v>
      </c>
      <c r="B2656" s="1" t="s">
        <v>1573</v>
      </c>
      <c r="C2656" s="1" t="s">
        <v>1574</v>
      </c>
      <c r="D2656" s="1" t="s">
        <v>682</v>
      </c>
      <c r="H2656" s="2" t="str">
        <f>Tabella1[[#This Row],[Denominazione]]&amp;" - "&amp;Tabella1[[#This Row],[Città]]</f>
        <v>BODINI FRANCESCO - FANO</v>
      </c>
    </row>
    <row r="2657" spans="1:8" x14ac:dyDescent="0.25">
      <c r="A2657" s="1" t="s">
        <v>679</v>
      </c>
      <c r="B2657" s="1" t="s">
        <v>1070</v>
      </c>
      <c r="D2657" s="1" t="s">
        <v>682</v>
      </c>
      <c r="E2657" s="1" t="s">
        <v>1014</v>
      </c>
      <c r="H2657" s="2" t="str">
        <f>Tabella1[[#This Row],[Denominazione]]&amp;" - "&amp;Tabella1[[#This Row],[Città]]</f>
        <v>BOIANI BEACH DI BOIANI OMAR - FANO</v>
      </c>
    </row>
    <row r="2658" spans="1:8" x14ac:dyDescent="0.25">
      <c r="A2658" s="1" t="s">
        <v>20</v>
      </c>
      <c r="B2658" s="1" t="s">
        <v>17281</v>
      </c>
      <c r="C2658" s="1" t="s">
        <v>17282</v>
      </c>
      <c r="D2658" s="1" t="s">
        <v>15819</v>
      </c>
      <c r="E2658" s="1" t="s">
        <v>15819</v>
      </c>
      <c r="F2658" s="1" t="s">
        <v>17283</v>
      </c>
      <c r="G2658" s="1" t="s">
        <v>17284</v>
      </c>
      <c r="H2658" s="2" t="str">
        <f>Tabella1[[#This Row],[Denominazione]]&amp;" - "&amp;Tabella1[[#This Row],[Città]]</f>
        <v>BOLIVAR - SAN BENEDETTO DEL TRONTO</v>
      </c>
    </row>
    <row r="2659" spans="1:8" x14ac:dyDescent="0.25">
      <c r="A2659" s="1" t="s">
        <v>20</v>
      </c>
      <c r="B2659" s="1" t="s">
        <v>9697</v>
      </c>
      <c r="C2659" s="1" t="s">
        <v>9698</v>
      </c>
      <c r="D2659" s="1" t="s">
        <v>8949</v>
      </c>
      <c r="E2659" s="1" t="s">
        <v>8949</v>
      </c>
      <c r="F2659" s="1" t="s">
        <v>9699</v>
      </c>
      <c r="G2659" s="1" t="s">
        <v>9700</v>
      </c>
      <c r="H2659" s="2" t="str">
        <f>Tabella1[[#This Row],[Denominazione]]&amp;" - "&amp;Tabella1[[#This Row],[Città]]</f>
        <v>BOLOGNA - SENIGALLIA</v>
      </c>
    </row>
    <row r="2660" spans="1:8" x14ac:dyDescent="0.25">
      <c r="A2660" s="1" t="s">
        <v>20</v>
      </c>
      <c r="B2660" s="1" t="s">
        <v>9697</v>
      </c>
      <c r="C2660" s="1" t="s">
        <v>17588</v>
      </c>
      <c r="D2660" s="1" t="s">
        <v>15819</v>
      </c>
      <c r="E2660" s="1" t="s">
        <v>15819</v>
      </c>
      <c r="F2660" s="1" t="s">
        <v>17589</v>
      </c>
      <c r="G2660" s="1" t="s">
        <v>17590</v>
      </c>
      <c r="H2660" s="2" t="str">
        <f>Tabella1[[#This Row],[Denominazione]]&amp;" - "&amp;Tabella1[[#This Row],[Città]]</f>
        <v>BOLOGNA - SAN BENEDETTO DEL TRONTO</v>
      </c>
    </row>
    <row r="2661" spans="1:8" x14ac:dyDescent="0.25">
      <c r="A2661" s="1" t="s">
        <v>29</v>
      </c>
      <c r="B2661" s="1" t="s">
        <v>11678</v>
      </c>
      <c r="C2661" s="1" t="s">
        <v>11679</v>
      </c>
      <c r="D2661" s="1" t="s">
        <v>11244</v>
      </c>
      <c r="E2661" s="1" t="s">
        <v>11244</v>
      </c>
      <c r="G2661" s="1" t="s">
        <v>11680</v>
      </c>
      <c r="H2661" s="2" t="str">
        <f>Tabella1[[#This Row],[Denominazione]]&amp;" - "&amp;Tabella1[[#This Row],[Città]]</f>
        <v>BOMPADRE ANGELO - CIVITANOVA MARCHE</v>
      </c>
    </row>
    <row r="2662" spans="1:8" x14ac:dyDescent="0.25">
      <c r="A2662" s="1" t="s">
        <v>12</v>
      </c>
      <c r="B2662" s="1" t="s">
        <v>706</v>
      </c>
      <c r="C2662" s="1" t="s">
        <v>707</v>
      </c>
      <c r="D2662" s="1" t="s">
        <v>682</v>
      </c>
      <c r="E2662" s="1" t="s">
        <v>682</v>
      </c>
      <c r="G2662" s="1" t="s">
        <v>708</v>
      </c>
      <c r="H2662" s="2" t="str">
        <f>Tabella1[[#This Row],[Denominazione]]&amp;" - "&amp;Tabella1[[#This Row],[Città]]</f>
        <v>BONANOMI GRETA - FANO</v>
      </c>
    </row>
    <row r="2663" spans="1:8" x14ac:dyDescent="0.25">
      <c r="A2663" s="1" t="s">
        <v>82</v>
      </c>
      <c r="B2663" s="1" t="s">
        <v>430</v>
      </c>
      <c r="C2663" s="1" t="s">
        <v>431</v>
      </c>
      <c r="D2663" s="1" t="s">
        <v>316</v>
      </c>
      <c r="E2663" s="1" t="s">
        <v>316</v>
      </c>
      <c r="F2663" s="1" t="s">
        <v>432</v>
      </c>
      <c r="G2663" s="1" t="s">
        <v>433</v>
      </c>
      <c r="H2663" s="2" t="str">
        <f>Tabella1[[#This Row],[Denominazione]]&amp;" - "&amp;Tabella1[[#This Row],[Città]]</f>
        <v>BONCLERICI HOUSE - CAGLI</v>
      </c>
    </row>
    <row r="2664" spans="1:8" x14ac:dyDescent="0.25">
      <c r="A2664" s="1" t="s">
        <v>20</v>
      </c>
      <c r="B2664" s="1" t="s">
        <v>5085</v>
      </c>
      <c r="C2664" s="1" t="s">
        <v>5086</v>
      </c>
      <c r="D2664" s="1" t="s">
        <v>9</v>
      </c>
      <c r="E2664" s="1" t="s">
        <v>9</v>
      </c>
      <c r="F2664" s="1" t="s">
        <v>5087</v>
      </c>
      <c r="G2664" s="1" t="s">
        <v>5088</v>
      </c>
      <c r="H2664" s="2" t="str">
        <f>Tabella1[[#This Row],[Denominazione]]&amp;" - "&amp;Tabella1[[#This Row],[Città]]</f>
        <v>BONCONTE - URBINO</v>
      </c>
    </row>
    <row r="2665" spans="1:8" x14ac:dyDescent="0.25">
      <c r="A2665" s="1" t="s">
        <v>12</v>
      </c>
      <c r="B2665" s="1" t="s">
        <v>13106</v>
      </c>
      <c r="C2665" s="1" t="s">
        <v>13107</v>
      </c>
      <c r="D2665" s="1" t="s">
        <v>13026</v>
      </c>
      <c r="H2665" s="2" t="str">
        <f>Tabella1[[#This Row],[Denominazione]]&amp;" - "&amp;Tabella1[[#This Row],[Città]]</f>
        <v>BONIFACIO MARIO - POTENZA PICENA</v>
      </c>
    </row>
    <row r="2666" spans="1:8" x14ac:dyDescent="0.25">
      <c r="A2666" s="1" t="s">
        <v>679</v>
      </c>
      <c r="B2666" s="1" t="s">
        <v>17228</v>
      </c>
      <c r="C2666" s="1" t="s">
        <v>17229</v>
      </c>
      <c r="D2666" s="1" t="s">
        <v>15819</v>
      </c>
      <c r="H2666" s="2" t="str">
        <f>Tabella1[[#This Row],[Denominazione]]&amp;" - "&amp;Tabella1[[#This Row],[Città]]</f>
        <v>BOOBIE'S BAR - SAN BENEDETTO DEL TRONTO</v>
      </c>
    </row>
    <row r="2667" spans="1:8" x14ac:dyDescent="0.25">
      <c r="A2667" s="1" t="s">
        <v>6092</v>
      </c>
      <c r="B2667" s="1" t="s">
        <v>18117</v>
      </c>
      <c r="C2667" s="1" t="s">
        <v>18118</v>
      </c>
      <c r="D2667" s="1" t="s">
        <v>17932</v>
      </c>
      <c r="E2667" s="1" t="s">
        <v>17932</v>
      </c>
      <c r="F2667" s="1" t="s">
        <v>18119</v>
      </c>
      <c r="G2667" s="1" t="s">
        <v>18120</v>
      </c>
      <c r="H2667" s="2" t="str">
        <f>Tabella1[[#This Row],[Denominazione]]&amp;" - "&amp;Tabella1[[#This Row],[Città]]</f>
        <v>BOOMERANG - FERMO</v>
      </c>
    </row>
    <row r="2668" spans="1:8" x14ac:dyDescent="0.25">
      <c r="A2668" s="1" t="s">
        <v>679</v>
      </c>
      <c r="B2668" s="1" t="s">
        <v>12865</v>
      </c>
      <c r="D2668" s="1" t="s">
        <v>12801</v>
      </c>
      <c r="H2668" s="2" t="str">
        <f>Tabella1[[#This Row],[Denominazione]]&amp;" - "&amp;Tabella1[[#This Row],[Città]]</f>
        <v>BORA BORA BEACH - PORTO RECANATI</v>
      </c>
    </row>
    <row r="2669" spans="1:8" x14ac:dyDescent="0.25">
      <c r="A2669" s="1" t="s">
        <v>29</v>
      </c>
      <c r="B2669" s="1" t="s">
        <v>18157</v>
      </c>
      <c r="C2669" s="1" t="s">
        <v>18158</v>
      </c>
      <c r="D2669" s="1" t="s">
        <v>17932</v>
      </c>
      <c r="E2669" s="1" t="s">
        <v>17932</v>
      </c>
      <c r="H2669" s="2" t="str">
        <f>Tabella1[[#This Row],[Denominazione]]&amp;" - "&amp;Tabella1[[#This Row],[Città]]</f>
        <v>BORDONI PRIMO - FERMO</v>
      </c>
    </row>
    <row r="2670" spans="1:8" x14ac:dyDescent="0.25">
      <c r="A2670" s="1" t="s">
        <v>12</v>
      </c>
      <c r="B2670" s="1" t="s">
        <v>737</v>
      </c>
      <c r="C2670" s="1" t="s">
        <v>738</v>
      </c>
      <c r="D2670" s="1" t="s">
        <v>682</v>
      </c>
      <c r="E2670" s="1" t="s">
        <v>682</v>
      </c>
      <c r="G2670" s="1" t="s">
        <v>739</v>
      </c>
      <c r="H2670" s="2" t="str">
        <f>Tabella1[[#This Row],[Denominazione]]&amp;" - "&amp;Tabella1[[#This Row],[Città]]</f>
        <v>BORGHESI ELVIO - FANO</v>
      </c>
    </row>
    <row r="2671" spans="1:8" x14ac:dyDescent="0.25">
      <c r="A2671" s="1" t="s">
        <v>20</v>
      </c>
      <c r="B2671" s="1" t="s">
        <v>6944</v>
      </c>
      <c r="C2671" s="1" t="s">
        <v>6945</v>
      </c>
      <c r="D2671" s="1" t="s">
        <v>6790</v>
      </c>
      <c r="E2671" s="1" t="s">
        <v>6946</v>
      </c>
      <c r="F2671" s="1" t="s">
        <v>6947</v>
      </c>
      <c r="G2671" s="1" t="s">
        <v>6948</v>
      </c>
      <c r="H2671" s="2" t="str">
        <f>Tabella1[[#This Row],[Denominazione]]&amp;" - "&amp;Tabella1[[#This Row],[Città]]</f>
        <v>BORGO ANTICO - FABRIANO</v>
      </c>
    </row>
    <row r="2672" spans="1:8" x14ac:dyDescent="0.25">
      <c r="A2672" s="1" t="s">
        <v>29</v>
      </c>
      <c r="B2672" s="1" t="s">
        <v>6078</v>
      </c>
      <c r="C2672" s="1" t="s">
        <v>6079</v>
      </c>
      <c r="D2672" s="1" t="s">
        <v>6049</v>
      </c>
      <c r="E2672" s="1" t="s">
        <v>565</v>
      </c>
      <c r="H2672" s="2" t="str">
        <f>Tabella1[[#This Row],[Denominazione]]&amp;" - "&amp;Tabella1[[#This Row],[Città]]</f>
        <v>BORGO BELFIORE - ARCEVIA</v>
      </c>
    </row>
    <row r="2673" spans="1:8" x14ac:dyDescent="0.25">
      <c r="A2673" s="1" t="s">
        <v>6</v>
      </c>
      <c r="B2673" s="1" t="s">
        <v>6078</v>
      </c>
      <c r="C2673" s="1" t="s">
        <v>6079</v>
      </c>
      <c r="D2673" s="1" t="s">
        <v>6049</v>
      </c>
      <c r="E2673" s="1" t="s">
        <v>565</v>
      </c>
      <c r="F2673" s="1" t="s">
        <v>6108</v>
      </c>
      <c r="G2673" s="1" t="s">
        <v>6109</v>
      </c>
      <c r="H2673" s="2" t="str">
        <f>Tabella1[[#This Row],[Denominazione]]&amp;" - "&amp;Tabella1[[#This Row],[Città]]</f>
        <v>BORGO BELFIORE - ARCEVIA</v>
      </c>
    </row>
    <row r="2674" spans="1:8" x14ac:dyDescent="0.25">
      <c r="A2674" s="1" t="s">
        <v>12</v>
      </c>
      <c r="B2674" s="1" t="s">
        <v>10780</v>
      </c>
      <c r="C2674" s="1" t="s">
        <v>10781</v>
      </c>
      <c r="D2674" s="1" t="s">
        <v>10737</v>
      </c>
      <c r="E2674" s="1" t="s">
        <v>10737</v>
      </c>
      <c r="G2674" s="1" t="s">
        <v>10782</v>
      </c>
      <c r="H2674" s="2" t="str">
        <f>Tabella1[[#This Row],[Denominazione]]&amp;" - "&amp;Tabella1[[#This Row],[Città]]</f>
        <v>BORGO BELVEDERI - CAMERINO</v>
      </c>
    </row>
    <row r="2675" spans="1:8" x14ac:dyDescent="0.25">
      <c r="A2675" s="1" t="s">
        <v>29</v>
      </c>
      <c r="B2675" s="1" t="s">
        <v>6124</v>
      </c>
      <c r="C2675" s="1" t="s">
        <v>6125</v>
      </c>
      <c r="D2675" s="1" t="s">
        <v>6049</v>
      </c>
      <c r="E2675" s="1" t="s">
        <v>6067</v>
      </c>
      <c r="F2675" s="1" t="s">
        <v>6126</v>
      </c>
      <c r="G2675" s="1" t="s">
        <v>6127</v>
      </c>
      <c r="H2675" s="2" t="str">
        <f>Tabella1[[#This Row],[Denominazione]]&amp;" - "&amp;Tabella1[[#This Row],[Città]]</f>
        <v>BORGO BONAVENTURA - ARCEVIA</v>
      </c>
    </row>
    <row r="2676" spans="1:8" x14ac:dyDescent="0.25">
      <c r="A2676" s="1" t="s">
        <v>82</v>
      </c>
      <c r="B2676" s="1" t="s">
        <v>17743</v>
      </c>
      <c r="C2676" s="1" t="s">
        <v>17744</v>
      </c>
      <c r="D2676" s="1" t="s">
        <v>17745</v>
      </c>
      <c r="E2676" s="1" t="s">
        <v>17745</v>
      </c>
      <c r="G2676" s="1" t="s">
        <v>17746</v>
      </c>
      <c r="H2676" s="2" t="str">
        <f>Tabella1[[#This Row],[Denominazione]]&amp;" - "&amp;Tabella1[[#This Row],[Città]]</f>
        <v>BORGO DELLE FATE - AMANDOLA</v>
      </c>
    </row>
    <row r="2677" spans="1:8" x14ac:dyDescent="0.25">
      <c r="A2677" s="1" t="s">
        <v>82</v>
      </c>
      <c r="B2677" s="1" t="s">
        <v>10101</v>
      </c>
      <c r="C2677" s="1" t="s">
        <v>10102</v>
      </c>
      <c r="D2677" s="1" t="s">
        <v>10074</v>
      </c>
      <c r="E2677" s="1" t="s">
        <v>10103</v>
      </c>
      <c r="F2677" s="1" t="s">
        <v>10104</v>
      </c>
      <c r="G2677" s="1" t="s">
        <v>10105</v>
      </c>
      <c r="H2677" s="2" t="str">
        <f>Tabella1[[#This Row],[Denominazione]]&amp;" - "&amp;Tabella1[[#This Row],[Città]]</f>
        <v>BORGO FARNETO - SERRA DE' CONTI</v>
      </c>
    </row>
    <row r="2678" spans="1:8" x14ac:dyDescent="0.25">
      <c r="A2678" s="1" t="s">
        <v>403</v>
      </c>
      <c r="B2678" s="1" t="s">
        <v>413</v>
      </c>
      <c r="C2678" s="1" t="s">
        <v>414</v>
      </c>
      <c r="D2678" s="1" t="s">
        <v>316</v>
      </c>
      <c r="E2678" s="1" t="s">
        <v>415</v>
      </c>
      <c r="F2678" s="1" t="s">
        <v>383</v>
      </c>
      <c r="G2678" s="1" t="s">
        <v>384</v>
      </c>
      <c r="H2678" s="2" t="str">
        <f>Tabella1[[#This Row],[Denominazione]]&amp;" - "&amp;Tabella1[[#This Row],[Città]]</f>
        <v>BORGO FRESCINA - CAGLI</v>
      </c>
    </row>
    <row r="2679" spans="1:8" x14ac:dyDescent="0.25">
      <c r="A2679" s="1" t="s">
        <v>20</v>
      </c>
      <c r="B2679" s="1" t="s">
        <v>10984</v>
      </c>
      <c r="C2679" s="1" t="s">
        <v>10985</v>
      </c>
      <c r="D2679" s="1" t="s">
        <v>10932</v>
      </c>
      <c r="E2679" s="1" t="s">
        <v>10932</v>
      </c>
      <c r="F2679" s="1" t="s">
        <v>10986</v>
      </c>
      <c r="G2679" s="1" t="s">
        <v>10987</v>
      </c>
      <c r="H2679" s="2" t="str">
        <f>Tabella1[[#This Row],[Denominazione]]&amp;" - "&amp;Tabella1[[#This Row],[Città]]</f>
        <v>BORGO LANCIANO - CASTELRAIMONDO</v>
      </c>
    </row>
    <row r="2680" spans="1:8" x14ac:dyDescent="0.25">
      <c r="A2680" s="1" t="s">
        <v>29</v>
      </c>
      <c r="B2680" s="1" t="s">
        <v>15358</v>
      </c>
      <c r="C2680" s="1" t="s">
        <v>15359</v>
      </c>
      <c r="D2680" s="1" t="s">
        <v>15349</v>
      </c>
      <c r="E2680" s="1" t="s">
        <v>15349</v>
      </c>
      <c r="F2680" s="1" t="s">
        <v>15360</v>
      </c>
      <c r="G2680" s="1" t="s">
        <v>15361</v>
      </c>
      <c r="H2680" s="2" t="str">
        <f>Tabella1[[#This Row],[Denominazione]]&amp;" - "&amp;Tabella1[[#This Row],[Città]]</f>
        <v>BORGO MARANO - CUPRA MARITTIMA</v>
      </c>
    </row>
    <row r="2681" spans="1:8" x14ac:dyDescent="0.25">
      <c r="A2681" s="1" t="s">
        <v>6</v>
      </c>
      <c r="B2681" s="1" t="s">
        <v>4363</v>
      </c>
      <c r="C2681" s="1" t="s">
        <v>4364</v>
      </c>
      <c r="D2681" s="1" t="s">
        <v>4359</v>
      </c>
      <c r="E2681" s="1" t="s">
        <v>4359</v>
      </c>
      <c r="F2681" s="1" t="s">
        <v>4365</v>
      </c>
      <c r="G2681" s="1" t="s">
        <v>4366</v>
      </c>
      <c r="H2681" s="2" t="str">
        <f>Tabella1[[#This Row],[Denominazione]]&amp;" - "&amp;Tabella1[[#This Row],[Città]]</f>
        <v>BORGO RONCAGLIA - SAN LORENZO IN CAMPO</v>
      </c>
    </row>
    <row r="2682" spans="1:8" x14ac:dyDescent="0.25">
      <c r="A2682" s="1" t="s">
        <v>6</v>
      </c>
      <c r="B2682" s="1" t="s">
        <v>10332</v>
      </c>
      <c r="C2682" s="1" t="s">
        <v>10333</v>
      </c>
      <c r="D2682" s="1" t="s">
        <v>10206</v>
      </c>
      <c r="E2682" s="1" t="s">
        <v>10206</v>
      </c>
      <c r="F2682" s="1" t="s">
        <v>10334</v>
      </c>
      <c r="G2682" s="1" t="s">
        <v>10335</v>
      </c>
      <c r="H2682" s="2" t="str">
        <f>Tabella1[[#This Row],[Denominazione]]&amp;" - "&amp;Tabella1[[#This Row],[Città]]</f>
        <v>BORGO ROSSO - SIROLO</v>
      </c>
    </row>
    <row r="2683" spans="1:8" x14ac:dyDescent="0.25">
      <c r="A2683" s="1" t="s">
        <v>6</v>
      </c>
      <c r="B2683" s="1" t="s">
        <v>12037</v>
      </c>
      <c r="C2683" s="1" t="s">
        <v>12038</v>
      </c>
      <c r="D2683" s="1" t="s">
        <v>11981</v>
      </c>
      <c r="E2683" s="1" t="s">
        <v>11981</v>
      </c>
      <c r="F2683" s="1" t="s">
        <v>12039</v>
      </c>
      <c r="G2683" s="1" t="s">
        <v>12005</v>
      </c>
      <c r="H2683" s="2" t="str">
        <f>Tabella1[[#This Row],[Denominazione]]&amp;" - "&amp;Tabella1[[#This Row],[Città]]</f>
        <v>BORGO SORBATTI - LORO PICENO</v>
      </c>
    </row>
    <row r="2684" spans="1:8" x14ac:dyDescent="0.25">
      <c r="A2684" s="1" t="s">
        <v>6</v>
      </c>
      <c r="B2684" s="1" t="s">
        <v>15144</v>
      </c>
      <c r="C2684" s="1" t="s">
        <v>15145</v>
      </c>
      <c r="D2684" s="1" t="s">
        <v>15129</v>
      </c>
      <c r="E2684" s="1" t="s">
        <v>15146</v>
      </c>
      <c r="F2684" s="1" t="s">
        <v>15147</v>
      </c>
      <c r="G2684" s="1" t="s">
        <v>15148</v>
      </c>
      <c r="H2684" s="2" t="str">
        <f>Tabella1[[#This Row],[Denominazione]]&amp;" - "&amp;Tabella1[[#This Row],[Città]]</f>
        <v>BORGO STORICO SEGHETTI PANICHI - CASTEL DI LAMA</v>
      </c>
    </row>
    <row r="2685" spans="1:8" x14ac:dyDescent="0.25">
      <c r="A2685" s="1" t="s">
        <v>6</v>
      </c>
      <c r="B2685" s="1" t="s">
        <v>6137</v>
      </c>
      <c r="C2685" s="1" t="s">
        <v>6138</v>
      </c>
      <c r="D2685" s="1" t="s">
        <v>6049</v>
      </c>
      <c r="E2685" s="1" t="s">
        <v>6139</v>
      </c>
      <c r="F2685" s="1" t="s">
        <v>6140</v>
      </c>
      <c r="G2685" s="1" t="s">
        <v>6141</v>
      </c>
      <c r="H2685" s="2" t="str">
        <f>Tabella1[[#This Row],[Denominazione]]&amp;" - "&amp;Tabella1[[#This Row],[Città]]</f>
        <v>BORGO TRANQUILLO - ARCEVIA</v>
      </c>
    </row>
    <row r="2686" spans="1:8" x14ac:dyDescent="0.25">
      <c r="A2686" s="1" t="s">
        <v>12</v>
      </c>
      <c r="B2686" s="1" t="s">
        <v>719</v>
      </c>
      <c r="C2686" s="1" t="s">
        <v>720</v>
      </c>
      <c r="D2686" s="1" t="s">
        <v>682</v>
      </c>
      <c r="E2686" s="1" t="s">
        <v>682</v>
      </c>
      <c r="G2686" s="1" t="s">
        <v>721</v>
      </c>
      <c r="H2686" s="2" t="str">
        <f>Tabella1[[#This Row],[Denominazione]]&amp;" - "&amp;Tabella1[[#This Row],[Città]]</f>
        <v>BORGOGELLI OTTAVIANI MARCO - FANO</v>
      </c>
    </row>
    <row r="2687" spans="1:8" x14ac:dyDescent="0.25">
      <c r="A2687" s="1" t="s">
        <v>6</v>
      </c>
      <c r="B2687" s="1" t="s">
        <v>5950</v>
      </c>
      <c r="C2687" s="1" t="s">
        <v>5951</v>
      </c>
      <c r="D2687" s="1" t="s">
        <v>1864</v>
      </c>
      <c r="E2687" s="1" t="s">
        <v>5952</v>
      </c>
      <c r="F2687" s="1" t="s">
        <v>5953</v>
      </c>
      <c r="G2687" s="1" t="s">
        <v>5954</v>
      </c>
      <c r="H2687" s="2" t="str">
        <f>Tabella1[[#This Row],[Denominazione]]&amp;" - "&amp;Tabella1[[#This Row],[Città]]</f>
        <v>BORGOPARVO - ANCONA</v>
      </c>
    </row>
    <row r="2688" spans="1:8" x14ac:dyDescent="0.25">
      <c r="A2688" s="1" t="s">
        <v>82</v>
      </c>
      <c r="B2688" s="1" t="s">
        <v>13239</v>
      </c>
      <c r="C2688" s="1" t="s">
        <v>13240</v>
      </c>
      <c r="D2688" s="1" t="s">
        <v>13026</v>
      </c>
      <c r="E2688" s="1" t="s">
        <v>13026</v>
      </c>
      <c r="H2688" s="2" t="str">
        <f>Tabella1[[#This Row],[Denominazione]]&amp;" - "&amp;Tabella1[[#This Row],[Città]]</f>
        <v>BORRONI DANTE - POTENZA PICENA</v>
      </c>
    </row>
    <row r="2689" spans="1:8" x14ac:dyDescent="0.25">
      <c r="A2689" s="1" t="s">
        <v>12</v>
      </c>
      <c r="B2689" s="1" t="s">
        <v>3567</v>
      </c>
      <c r="C2689" s="1" t="s">
        <v>3568</v>
      </c>
      <c r="D2689" s="1" t="s">
        <v>2386</v>
      </c>
      <c r="E2689" s="1" t="s">
        <v>2386</v>
      </c>
      <c r="G2689" s="1" t="s">
        <v>3569</v>
      </c>
      <c r="H2689" s="2" t="str">
        <f>Tabella1[[#This Row],[Denominazione]]&amp;" - "&amp;Tabella1[[#This Row],[Città]]</f>
        <v>BORSELLA ANNA MARIA - PESARO</v>
      </c>
    </row>
    <row r="2690" spans="1:8" x14ac:dyDescent="0.25">
      <c r="A2690" s="1" t="s">
        <v>29</v>
      </c>
      <c r="B2690" s="1" t="s">
        <v>6065</v>
      </c>
      <c r="C2690" s="1" t="s">
        <v>6066</v>
      </c>
      <c r="D2690" s="1" t="s">
        <v>6049</v>
      </c>
      <c r="E2690" s="1" t="s">
        <v>6067</v>
      </c>
      <c r="F2690" s="1" t="s">
        <v>6068</v>
      </c>
      <c r="G2690" s="1" t="s">
        <v>6069</v>
      </c>
      <c r="H2690" s="2" t="str">
        <f>Tabella1[[#This Row],[Denominazione]]&amp;" - "&amp;Tabella1[[#This Row],[Città]]</f>
        <v>BOSIMANO - ARCEVIA</v>
      </c>
    </row>
    <row r="2691" spans="1:8" x14ac:dyDescent="0.25">
      <c r="A2691" s="1" t="s">
        <v>679</v>
      </c>
      <c r="B2691" s="1" t="s">
        <v>17313</v>
      </c>
      <c r="D2691" s="1" t="s">
        <v>15819</v>
      </c>
      <c r="H2691" s="2" t="str">
        <f>Tabella1[[#This Row],[Denominazione]]&amp;" - "&amp;Tabella1[[#This Row],[Città]]</f>
        <v>BOSSANOVA - SAN BENEDETTO DEL TRONTO</v>
      </c>
    </row>
    <row r="2692" spans="1:8" x14ac:dyDescent="0.25">
      <c r="A2692" s="1" t="s">
        <v>29</v>
      </c>
      <c r="B2692" s="1" t="s">
        <v>10981</v>
      </c>
      <c r="C2692" s="1" t="s">
        <v>10982</v>
      </c>
      <c r="D2692" s="1" t="s">
        <v>10932</v>
      </c>
      <c r="E2692" s="1" t="s">
        <v>10932</v>
      </c>
      <c r="G2692" s="1" t="s">
        <v>10983</v>
      </c>
      <c r="H2692" s="2" t="str">
        <f>Tabella1[[#This Row],[Denominazione]]&amp;" - "&amp;Tabella1[[#This Row],[Città]]</f>
        <v>BOVETTI LUCIANO - CASTELRAIMONDO</v>
      </c>
    </row>
    <row r="2693" spans="1:8" x14ac:dyDescent="0.25">
      <c r="A2693" s="1" t="s">
        <v>12</v>
      </c>
      <c r="B2693" s="1" t="s">
        <v>2019</v>
      </c>
      <c r="C2693" s="1" t="s">
        <v>2020</v>
      </c>
      <c r="D2693" s="1" t="s">
        <v>1907</v>
      </c>
      <c r="H2693" s="2" t="str">
        <f>Tabella1[[#This Row],[Denominazione]]&amp;" - "&amp;Tabella1[[#This Row],[Città]]</f>
        <v>BRAGAGNA QUINTO - GABICCE MARE</v>
      </c>
    </row>
    <row r="2694" spans="1:8" x14ac:dyDescent="0.25">
      <c r="A2694" s="1" t="s">
        <v>29</v>
      </c>
      <c r="B2694" s="1" t="s">
        <v>18874</v>
      </c>
      <c r="C2694" s="1" t="s">
        <v>18875</v>
      </c>
      <c r="D2694" s="1" t="s">
        <v>18876</v>
      </c>
      <c r="E2694" s="1" t="s">
        <v>18876</v>
      </c>
      <c r="H2694" s="2" t="str">
        <f>Tabella1[[#This Row],[Denominazione]]&amp;" - "&amp;Tabella1[[#This Row],[Città]]</f>
        <v>BRAGHIN ANNIE - MONTOTTONE</v>
      </c>
    </row>
    <row r="2695" spans="1:8" x14ac:dyDescent="0.25">
      <c r="A2695" s="1" t="s">
        <v>20</v>
      </c>
      <c r="B2695" s="1" t="s">
        <v>4823</v>
      </c>
      <c r="C2695" s="1" t="s">
        <v>4824</v>
      </c>
      <c r="D2695" s="1" t="s">
        <v>4735</v>
      </c>
      <c r="E2695" s="1" t="s">
        <v>4735</v>
      </c>
      <c r="G2695" s="1" t="s">
        <v>4825</v>
      </c>
      <c r="H2695" s="2" t="str">
        <f>Tabella1[[#This Row],[Denominazione]]&amp;" - "&amp;Tabella1[[#This Row],[Città]]</f>
        <v>BRAMANTE - URBANIA</v>
      </c>
    </row>
    <row r="2696" spans="1:8" x14ac:dyDescent="0.25">
      <c r="A2696" s="1" t="s">
        <v>12</v>
      </c>
      <c r="B2696" s="1" t="s">
        <v>11926</v>
      </c>
      <c r="C2696" s="1" t="s">
        <v>11927</v>
      </c>
      <c r="D2696" s="1" t="s">
        <v>11883</v>
      </c>
      <c r="G2696" s="1" t="s">
        <v>11928</v>
      </c>
      <c r="H2696" s="2" t="str">
        <f>Tabella1[[#This Row],[Denominazione]]&amp;" - "&amp;Tabella1[[#This Row],[Città]]</f>
        <v>BRAND PIERNITZKI DORIS HELGA BARBEL - GUALDO</v>
      </c>
    </row>
    <row r="2697" spans="1:8" x14ac:dyDescent="0.25">
      <c r="A2697" s="1" t="s">
        <v>679</v>
      </c>
      <c r="B2697" s="1" t="s">
        <v>17148</v>
      </c>
      <c r="C2697" s="1" t="s">
        <v>17149</v>
      </c>
      <c r="D2697" s="1" t="s">
        <v>15819</v>
      </c>
      <c r="F2697" s="1" t="s">
        <v>17150</v>
      </c>
      <c r="G2697" s="1" t="s">
        <v>17151</v>
      </c>
      <c r="H2697" s="2" t="str">
        <f>Tabella1[[#This Row],[Denominazione]]&amp;" - "&amp;Tabella1[[#This Row],[Città]]</f>
        <v>BRASIL - SAN BENEDETTO DEL TRONTO</v>
      </c>
    </row>
    <row r="2698" spans="1:8" x14ac:dyDescent="0.25">
      <c r="A2698" s="1" t="s">
        <v>12</v>
      </c>
      <c r="B2698" s="1" t="s">
        <v>13631</v>
      </c>
      <c r="D2698" s="1" t="s">
        <v>13548</v>
      </c>
      <c r="E2698" s="1" t="s">
        <v>13632</v>
      </c>
      <c r="G2698" s="1" t="s">
        <v>13633</v>
      </c>
      <c r="H2698" s="2" t="str">
        <f>Tabella1[[#This Row],[Denominazione]]&amp;" - "&amp;Tabella1[[#This Row],[Città]]</f>
        <v>BRAVI NORINA - SAN SEVERINO MARCHE</v>
      </c>
    </row>
    <row r="2699" spans="1:8" x14ac:dyDescent="0.25">
      <c r="A2699" s="1" t="s">
        <v>82</v>
      </c>
      <c r="B2699" s="1" t="s">
        <v>7720</v>
      </c>
      <c r="C2699" s="1" t="s">
        <v>7721</v>
      </c>
      <c r="D2699" s="1" t="s">
        <v>7718</v>
      </c>
      <c r="G2699" s="1" t="s">
        <v>7722</v>
      </c>
      <c r="H2699" s="2" t="str">
        <f>Tabella1[[#This Row],[Denominazione]]&amp;" - "&amp;Tabella1[[#This Row],[Città]]</f>
        <v>BREZZA - MONTEMARCIANO</v>
      </c>
    </row>
    <row r="2700" spans="1:8" x14ac:dyDescent="0.25">
      <c r="A2700" s="1" t="s">
        <v>29</v>
      </c>
      <c r="B2700" s="1" t="s">
        <v>16908</v>
      </c>
      <c r="C2700" s="1" t="s">
        <v>16909</v>
      </c>
      <c r="D2700" s="1" t="s">
        <v>15819</v>
      </c>
      <c r="E2700" s="1" t="s">
        <v>16910</v>
      </c>
      <c r="F2700" s="1" t="s">
        <v>16911</v>
      </c>
      <c r="G2700" s="1" t="s">
        <v>16912</v>
      </c>
      <c r="H2700" s="2" t="str">
        <f>Tabella1[[#This Row],[Denominazione]]&amp;" - "&amp;Tabella1[[#This Row],[Città]]</f>
        <v>BREZZA MARINA - SAN BENEDETTO DEL TRONTO</v>
      </c>
    </row>
    <row r="2701" spans="1:8" x14ac:dyDescent="0.25">
      <c r="A2701" s="1" t="s">
        <v>20</v>
      </c>
      <c r="B2701" s="1" t="s">
        <v>2116</v>
      </c>
      <c r="C2701" s="1" t="s">
        <v>2117</v>
      </c>
      <c r="D2701" s="1" t="s">
        <v>1907</v>
      </c>
      <c r="E2701" s="1" t="s">
        <v>1907</v>
      </c>
      <c r="H2701" s="2" t="str">
        <f>Tabella1[[#This Row],[Denominazione]]&amp;" - "&amp;Tabella1[[#This Row],[Città]]</f>
        <v>BREZZA MEUBLE' - GABICCE MARE</v>
      </c>
    </row>
    <row r="2702" spans="1:8" x14ac:dyDescent="0.25">
      <c r="A2702" s="1" t="s">
        <v>6</v>
      </c>
      <c r="B2702" s="1" t="s">
        <v>15672</v>
      </c>
      <c r="C2702" s="1" t="s">
        <v>15673</v>
      </c>
      <c r="D2702" s="1" t="s">
        <v>15585</v>
      </c>
      <c r="E2702" s="1" t="s">
        <v>15585</v>
      </c>
      <c r="F2702" s="1" t="s">
        <v>15674</v>
      </c>
      <c r="G2702" s="1" t="s">
        <v>15675</v>
      </c>
      <c r="H2702" s="2" t="str">
        <f>Tabella1[[#This Row],[Denominazione]]&amp;" - "&amp;Tabella1[[#This Row],[Città]]</f>
        <v>BRICIOLA DI SOLE - GROTTAMMARE</v>
      </c>
    </row>
    <row r="2703" spans="1:8" x14ac:dyDescent="0.25">
      <c r="A2703" s="1" t="s">
        <v>20</v>
      </c>
      <c r="B2703" s="1" t="s">
        <v>4014</v>
      </c>
      <c r="C2703" s="1" t="s">
        <v>4015</v>
      </c>
      <c r="D2703" s="1" t="s">
        <v>2386</v>
      </c>
      <c r="E2703" s="1" t="s">
        <v>3963</v>
      </c>
      <c r="F2703" s="1" t="s">
        <v>4016</v>
      </c>
      <c r="G2703" s="1" t="s">
        <v>4017</v>
      </c>
      <c r="H2703" s="2" t="str">
        <f>Tabella1[[#This Row],[Denominazione]]&amp;" - "&amp;Tabella1[[#This Row],[Città]]</f>
        <v>BRISTOL MEUBLE' - PESARO</v>
      </c>
    </row>
    <row r="2704" spans="1:8" x14ac:dyDescent="0.25">
      <c r="A2704" s="1" t="s">
        <v>12</v>
      </c>
      <c r="B2704" s="1" t="s">
        <v>9231</v>
      </c>
      <c r="C2704" s="1" t="s">
        <v>9232</v>
      </c>
      <c r="D2704" s="1" t="s">
        <v>8949</v>
      </c>
      <c r="E2704" s="1" t="s">
        <v>8949</v>
      </c>
      <c r="G2704" s="1" t="s">
        <v>9037</v>
      </c>
      <c r="H2704" s="2" t="str">
        <f>Tabella1[[#This Row],[Denominazione]]&amp;" - "&amp;Tabella1[[#This Row],[Città]]</f>
        <v>BRUN MARIA - SENIGALLIA</v>
      </c>
    </row>
    <row r="2705" spans="1:8" x14ac:dyDescent="0.25">
      <c r="A2705" s="1" t="s">
        <v>12</v>
      </c>
      <c r="B2705" s="1" t="s">
        <v>13073</v>
      </c>
      <c r="C2705" s="1" t="s">
        <v>13074</v>
      </c>
      <c r="D2705" s="1" t="s">
        <v>13026</v>
      </c>
      <c r="E2705" s="1" t="s">
        <v>13026</v>
      </c>
      <c r="H2705" s="2" t="str">
        <f>Tabella1[[#This Row],[Denominazione]]&amp;" - "&amp;Tabella1[[#This Row],[Città]]</f>
        <v>BRUNATI AURELIO - POTENZA PICENA</v>
      </c>
    </row>
    <row r="2706" spans="1:8" x14ac:dyDescent="0.25">
      <c r="A2706" s="1" t="s">
        <v>35</v>
      </c>
      <c r="B2706" s="1" t="s">
        <v>3401</v>
      </c>
      <c r="D2706" s="1" t="s">
        <v>3305</v>
      </c>
      <c r="E2706" s="1" t="s">
        <v>3402</v>
      </c>
      <c r="F2706" s="1" t="s">
        <v>3403</v>
      </c>
      <c r="G2706" s="1" t="s">
        <v>3404</v>
      </c>
      <c r="H2706" s="2" t="str">
        <f>Tabella1[[#This Row],[Denominazione]]&amp;" - "&amp;Tabella1[[#This Row],[Città]]</f>
        <v>BRUNELLA CARLA - PERGOLA</v>
      </c>
    </row>
    <row r="2707" spans="1:8" x14ac:dyDescent="0.25">
      <c r="A2707" s="1" t="s">
        <v>12</v>
      </c>
      <c r="B2707" s="1" t="s">
        <v>9233</v>
      </c>
      <c r="C2707" s="1" t="s">
        <v>9234</v>
      </c>
      <c r="D2707" s="1" t="s">
        <v>8949</v>
      </c>
      <c r="E2707" s="1" t="s">
        <v>8949</v>
      </c>
      <c r="G2707" s="1" t="s">
        <v>9235</v>
      </c>
      <c r="H2707" s="2" t="str">
        <f>Tabella1[[#This Row],[Denominazione]]&amp;" - "&amp;Tabella1[[#This Row],[Città]]</f>
        <v>BRUSCHI LEONELLO - SENIGALLIA</v>
      </c>
    </row>
    <row r="2708" spans="1:8" x14ac:dyDescent="0.25">
      <c r="A2708" s="1" t="s">
        <v>35</v>
      </c>
      <c r="B2708" s="1" t="s">
        <v>11041</v>
      </c>
      <c r="C2708" s="1" t="s">
        <v>11042</v>
      </c>
      <c r="D2708" s="1" t="s">
        <v>11022</v>
      </c>
      <c r="E2708" s="1" t="s">
        <v>11022</v>
      </c>
      <c r="H2708" s="2" t="str">
        <f>Tabella1[[#This Row],[Denominazione]]&amp;" - "&amp;Tabella1[[#This Row],[Città]]</f>
        <v>BUCOSSI PATRIZIA - CESSAPALOMBO</v>
      </c>
    </row>
    <row r="2709" spans="1:8" x14ac:dyDescent="0.25">
      <c r="A2709" s="1" t="s">
        <v>12</v>
      </c>
      <c r="B2709" s="1" t="s">
        <v>9084</v>
      </c>
      <c r="C2709" s="1" t="s">
        <v>9085</v>
      </c>
      <c r="D2709" s="1" t="s">
        <v>8949</v>
      </c>
      <c r="E2709" s="1" t="s">
        <v>8949</v>
      </c>
      <c r="G2709" s="1" t="s">
        <v>9037</v>
      </c>
      <c r="H2709" s="2" t="str">
        <f>Tabella1[[#This Row],[Denominazione]]&amp;" - "&amp;Tabella1[[#This Row],[Città]]</f>
        <v>BURATTINI NAZZARENO - SENIGALLIA</v>
      </c>
    </row>
    <row r="2710" spans="1:8" x14ac:dyDescent="0.25">
      <c r="A2710" s="1" t="s">
        <v>12</v>
      </c>
      <c r="B2710" s="1" t="s">
        <v>1611</v>
      </c>
      <c r="C2710" s="1" t="s">
        <v>1612</v>
      </c>
      <c r="D2710" s="1" t="s">
        <v>682</v>
      </c>
      <c r="G2710" s="1" t="s">
        <v>1613</v>
      </c>
      <c r="H2710" s="2" t="str">
        <f>Tabella1[[#This Row],[Denominazione]]&amp;" - "&amp;Tabella1[[#This Row],[Città]]</f>
        <v>BUSCA MARIA DEA - FANO</v>
      </c>
    </row>
    <row r="2711" spans="1:8" x14ac:dyDescent="0.25">
      <c r="A2711" s="1" t="s">
        <v>12</v>
      </c>
      <c r="B2711" s="1" t="s">
        <v>3558</v>
      </c>
      <c r="C2711" s="1" t="s">
        <v>3559</v>
      </c>
      <c r="D2711" s="1" t="s">
        <v>2386</v>
      </c>
      <c r="E2711" s="1" t="s">
        <v>2386</v>
      </c>
      <c r="G2711" s="1" t="s">
        <v>3527</v>
      </c>
      <c r="H2711" s="2" t="str">
        <f>Tabella1[[#This Row],[Denominazione]]&amp;" - "&amp;Tabella1[[#This Row],[Città]]</f>
        <v>BUSCAGLIA SERGIO - PESARO</v>
      </c>
    </row>
    <row r="2712" spans="1:8" x14ac:dyDescent="0.25">
      <c r="A2712" s="1" t="s">
        <v>12</v>
      </c>
      <c r="B2712" s="1" t="s">
        <v>2814</v>
      </c>
      <c r="C2712" s="1" t="s">
        <v>2815</v>
      </c>
      <c r="D2712" s="1" t="s">
        <v>1605</v>
      </c>
      <c r="E2712" s="1" t="s">
        <v>2816</v>
      </c>
      <c r="G2712" s="1" t="s">
        <v>2817</v>
      </c>
      <c r="H2712" s="2" t="str">
        <f>Tabella1[[#This Row],[Denominazione]]&amp;" - "&amp;Tabella1[[#This Row],[Città]]</f>
        <v>BUTIRRONI DONATELLA - MONDOLFO</v>
      </c>
    </row>
    <row r="2713" spans="1:8" x14ac:dyDescent="0.25">
      <c r="A2713" s="1" t="s">
        <v>82</v>
      </c>
      <c r="B2713" s="1" t="s">
        <v>12935</v>
      </c>
      <c r="C2713" s="1" t="s">
        <v>12936</v>
      </c>
      <c r="D2713" s="1" t="s">
        <v>12801</v>
      </c>
      <c r="E2713" s="1" t="s">
        <v>12801</v>
      </c>
      <c r="H2713" s="2" t="str">
        <f>Tabella1[[#This Row],[Denominazione]]&amp;" - "&amp;Tabella1[[#This Row],[Città]]</f>
        <v>BUTTERFLY'S HOUSE - PORTO RECANATI</v>
      </c>
    </row>
    <row r="2714" spans="1:8" x14ac:dyDescent="0.25">
      <c r="A2714" s="1" t="s">
        <v>29</v>
      </c>
      <c r="B2714" s="1" t="s">
        <v>5295</v>
      </c>
      <c r="C2714" s="1" t="s">
        <v>5296</v>
      </c>
      <c r="D2714" s="1" t="s">
        <v>9</v>
      </c>
      <c r="E2714" s="1" t="s">
        <v>9</v>
      </c>
      <c r="F2714" s="1" t="s">
        <v>5297</v>
      </c>
      <c r="G2714" s="1" t="s">
        <v>5298</v>
      </c>
      <c r="H2714" s="2" t="str">
        <f>Tabella1[[#This Row],[Denominazione]]&amp;" - "&amp;Tabella1[[#This Row],[Città]]</f>
        <v>CA'  LAJALA - URBINO</v>
      </c>
    </row>
    <row r="2715" spans="1:8" x14ac:dyDescent="0.25">
      <c r="A2715" s="1" t="s">
        <v>12</v>
      </c>
      <c r="B2715" s="1" t="s">
        <v>3301</v>
      </c>
      <c r="C2715" s="1" t="s">
        <v>3302</v>
      </c>
      <c r="D2715" s="1" t="s">
        <v>3282</v>
      </c>
      <c r="E2715" s="1" t="s">
        <v>3282</v>
      </c>
      <c r="G2715" s="1" t="s">
        <v>3300</v>
      </c>
      <c r="H2715" s="2" t="str">
        <f>Tabella1[[#This Row],[Denominazione]]&amp;" - "&amp;Tabella1[[#This Row],[Città]]</f>
        <v>CA ' MINCELLO - PEGLIO</v>
      </c>
    </row>
    <row r="2716" spans="1:8" x14ac:dyDescent="0.25">
      <c r="A2716" s="1" t="s">
        <v>35</v>
      </c>
      <c r="B2716" s="1" t="s">
        <v>3641</v>
      </c>
      <c r="C2716" s="1" t="s">
        <v>3642</v>
      </c>
      <c r="D2716" s="1" t="s">
        <v>2386</v>
      </c>
      <c r="E2716" s="1" t="s">
        <v>2386</v>
      </c>
      <c r="G2716" s="1" t="s">
        <v>3643</v>
      </c>
      <c r="H2716" s="2" t="str">
        <f>Tabella1[[#This Row],[Denominazione]]&amp;" - "&amp;Tabella1[[#This Row],[Città]]</f>
        <v>CA'  TUREN di bartoli francesco - PESARO</v>
      </c>
    </row>
    <row r="2717" spans="1:8" x14ac:dyDescent="0.25">
      <c r="A2717" s="1" t="s">
        <v>35</v>
      </c>
      <c r="B2717" s="1" t="s">
        <v>5157</v>
      </c>
      <c r="C2717" s="1" t="s">
        <v>5158</v>
      </c>
      <c r="D2717" s="1" t="s">
        <v>9</v>
      </c>
      <c r="E2717" s="1" t="s">
        <v>9</v>
      </c>
      <c r="F2717" s="1" t="s">
        <v>5159</v>
      </c>
      <c r="G2717" s="1" t="s">
        <v>5160</v>
      </c>
      <c r="H2717" s="2" t="str">
        <f>Tabella1[[#This Row],[Denominazione]]&amp;" - "&amp;Tabella1[[#This Row],[Città]]</f>
        <v>CA' ANDREANA - URBINO</v>
      </c>
    </row>
    <row r="2718" spans="1:8" x14ac:dyDescent="0.25">
      <c r="A2718" s="1" t="s">
        <v>12</v>
      </c>
      <c r="B2718" s="1" t="s">
        <v>4912</v>
      </c>
      <c r="C2718" s="1" t="s">
        <v>4913</v>
      </c>
      <c r="D2718" s="1" t="s">
        <v>9</v>
      </c>
      <c r="H2718" s="2" t="str">
        <f>Tabella1[[#This Row],[Denominazione]]&amp;" - "&amp;Tabella1[[#This Row],[Città]]</f>
        <v>CA' AURORA - URBINO</v>
      </c>
    </row>
    <row r="2719" spans="1:8" x14ac:dyDescent="0.25">
      <c r="A2719" s="1" t="s">
        <v>35</v>
      </c>
      <c r="B2719" s="1" t="s">
        <v>377</v>
      </c>
      <c r="C2719" s="1" t="s">
        <v>378</v>
      </c>
      <c r="D2719" s="1" t="s">
        <v>316</v>
      </c>
      <c r="E2719" s="1" t="s">
        <v>316</v>
      </c>
      <c r="F2719" s="1" t="s">
        <v>379</v>
      </c>
      <c r="G2719" s="1" t="s">
        <v>380</v>
      </c>
      <c r="H2719" s="2" t="str">
        <f>Tabella1[[#This Row],[Denominazione]]&amp;" - "&amp;Tabella1[[#This Row],[Città]]</f>
        <v>CA' BELVEDERE - CAGLI</v>
      </c>
    </row>
    <row r="2720" spans="1:8" x14ac:dyDescent="0.25">
      <c r="A2720" s="1" t="s">
        <v>12</v>
      </c>
      <c r="B2720" s="1" t="s">
        <v>2698</v>
      </c>
      <c r="C2720" s="1" t="s">
        <v>2699</v>
      </c>
      <c r="D2720" s="1" t="s">
        <v>2678</v>
      </c>
      <c r="E2720" s="1" t="s">
        <v>2678</v>
      </c>
      <c r="G2720" s="1" t="s">
        <v>2700</v>
      </c>
      <c r="H2720" s="2" t="str">
        <f>Tabella1[[#This Row],[Denominazione]]&amp;" - "&amp;Tabella1[[#This Row],[Città]]</f>
        <v>CA' BONI - MOMBAROCCIO</v>
      </c>
    </row>
    <row r="2721" spans="1:8" x14ac:dyDescent="0.25">
      <c r="A2721" s="1" t="s">
        <v>35</v>
      </c>
      <c r="B2721" s="1" t="s">
        <v>4819</v>
      </c>
      <c r="C2721" s="1" t="s">
        <v>4820</v>
      </c>
      <c r="D2721" s="1" t="s">
        <v>4735</v>
      </c>
      <c r="E2721" s="1" t="s">
        <v>4735</v>
      </c>
      <c r="F2721" s="1" t="s">
        <v>4821</v>
      </c>
      <c r="G2721" s="1" t="s">
        <v>4822</v>
      </c>
      <c r="H2721" s="2" t="str">
        <f>Tabella1[[#This Row],[Denominazione]]&amp;" - "&amp;Tabella1[[#This Row],[Città]]</f>
        <v>CA' BOSCARINI - URBANIA</v>
      </c>
    </row>
    <row r="2722" spans="1:8" x14ac:dyDescent="0.25">
      <c r="A2722" s="1" t="s">
        <v>12</v>
      </c>
      <c r="B2722" s="1" t="s">
        <v>4508</v>
      </c>
      <c r="C2722" s="1" t="s">
        <v>4509</v>
      </c>
      <c r="D2722" s="1" t="s">
        <v>4493</v>
      </c>
      <c r="E2722" s="1" t="s">
        <v>4510</v>
      </c>
      <c r="F2722" s="1" t="s">
        <v>4511</v>
      </c>
      <c r="G2722" s="1" t="s">
        <v>4512</v>
      </c>
      <c r="H2722" s="2" t="str">
        <f>Tabella1[[#This Row],[Denominazione]]&amp;" - "&amp;Tabella1[[#This Row],[Città]]</f>
        <v>Ca' Cellino - SASSOCORVARO</v>
      </c>
    </row>
    <row r="2723" spans="1:8" x14ac:dyDescent="0.25">
      <c r="A2723" s="1" t="s">
        <v>35</v>
      </c>
      <c r="B2723" s="1" t="s">
        <v>176</v>
      </c>
      <c r="C2723" s="1" t="s">
        <v>177</v>
      </c>
      <c r="D2723" s="1" t="s">
        <v>102</v>
      </c>
      <c r="E2723" s="1" t="s">
        <v>178</v>
      </c>
      <c r="F2723" s="1" t="s">
        <v>179</v>
      </c>
      <c r="G2723" s="1" t="s">
        <v>180</v>
      </c>
      <c r="H2723" s="2" t="str">
        <f>Tabella1[[#This Row],[Denominazione]]&amp;" - "&amp;Tabella1[[#This Row],[Città]]</f>
        <v>CA' CIRIGIOLO - APECCHIO</v>
      </c>
    </row>
    <row r="2724" spans="1:8" x14ac:dyDescent="0.25">
      <c r="A2724" s="1" t="s">
        <v>29</v>
      </c>
      <c r="B2724" s="1" t="s">
        <v>3036</v>
      </c>
      <c r="C2724" s="1" t="s">
        <v>3037</v>
      </c>
      <c r="D2724" s="1" t="s">
        <v>3038</v>
      </c>
      <c r="E2724" s="1" t="s">
        <v>3038</v>
      </c>
      <c r="F2724" s="1" t="s">
        <v>3039</v>
      </c>
      <c r="G2724" s="1" t="s">
        <v>3040</v>
      </c>
      <c r="H2724" s="2" t="str">
        <f>Tabella1[[#This Row],[Denominazione]]&amp;" - "&amp;Tabella1[[#This Row],[Città]]</f>
        <v>CA' DELL'OLMO - MONTECICCARDO</v>
      </c>
    </row>
    <row r="2725" spans="1:8" x14ac:dyDescent="0.25">
      <c r="A2725" s="1" t="s">
        <v>35</v>
      </c>
      <c r="B2725" s="1" t="s">
        <v>961</v>
      </c>
      <c r="C2725" s="1" t="s">
        <v>962</v>
      </c>
      <c r="D2725" s="1" t="s">
        <v>682</v>
      </c>
      <c r="E2725" s="1" t="s">
        <v>682</v>
      </c>
      <c r="F2725" s="1" t="s">
        <v>963</v>
      </c>
      <c r="G2725" s="1" t="s">
        <v>964</v>
      </c>
      <c r="H2725" s="2" t="str">
        <f>Tabella1[[#This Row],[Denominazione]]&amp;" - "&amp;Tabella1[[#This Row],[Città]]</f>
        <v>CA' DORALE - FANO</v>
      </c>
    </row>
    <row r="2726" spans="1:8" x14ac:dyDescent="0.25">
      <c r="A2726" s="1" t="s">
        <v>6</v>
      </c>
      <c r="B2726" s="1" t="s">
        <v>4832</v>
      </c>
      <c r="C2726" s="1" t="s">
        <v>4833</v>
      </c>
      <c r="D2726" s="1" t="s">
        <v>4735</v>
      </c>
      <c r="E2726" s="1" t="s">
        <v>4735</v>
      </c>
      <c r="F2726" s="1" t="s">
        <v>4834</v>
      </c>
      <c r="G2726" s="1" t="s">
        <v>4835</v>
      </c>
      <c r="H2726" s="2" t="str">
        <f>Tabella1[[#This Row],[Denominazione]]&amp;" - "&amp;Tabella1[[#This Row],[Città]]</f>
        <v>CA' FEDE COUNTRY HOUSE - URBANIA</v>
      </c>
    </row>
    <row r="2727" spans="1:8" x14ac:dyDescent="0.25">
      <c r="A2727" s="1" t="s">
        <v>35</v>
      </c>
      <c r="B2727" s="1" t="s">
        <v>4946</v>
      </c>
      <c r="C2727" s="1" t="s">
        <v>4947</v>
      </c>
      <c r="D2727" s="1" t="s">
        <v>9</v>
      </c>
      <c r="E2727" s="1" t="s">
        <v>4948</v>
      </c>
      <c r="F2727" s="1" t="s">
        <v>4949</v>
      </c>
      <c r="G2727" s="1" t="s">
        <v>4950</v>
      </c>
      <c r="H2727" s="2" t="str">
        <f>Tabella1[[#This Row],[Denominazione]]&amp;" - "&amp;Tabella1[[#This Row],[Città]]</f>
        <v>CA' FERRO - URBINO</v>
      </c>
    </row>
    <row r="2728" spans="1:8" x14ac:dyDescent="0.25">
      <c r="A2728" s="1" t="s">
        <v>12</v>
      </c>
      <c r="B2728" s="1" t="s">
        <v>2653</v>
      </c>
      <c r="D2728" s="1" t="s">
        <v>2594</v>
      </c>
      <c r="E2728" s="1" t="s">
        <v>2638</v>
      </c>
      <c r="F2728" s="1" t="s">
        <v>2654</v>
      </c>
      <c r="G2728" s="1" t="s">
        <v>2655</v>
      </c>
      <c r="H2728" s="2" t="str">
        <f>Tabella1[[#This Row],[Denominazione]]&amp;" - "&amp;Tabella1[[#This Row],[Città]]</f>
        <v>CA' FRANCESCHINO, THE GREEN HOUSE - MERCATELLO SUL METAURO</v>
      </c>
    </row>
    <row r="2729" spans="1:8" x14ac:dyDescent="0.25">
      <c r="A2729" s="1" t="s">
        <v>6</v>
      </c>
      <c r="B2729" s="1" t="s">
        <v>61</v>
      </c>
      <c r="C2729" s="1" t="s">
        <v>62</v>
      </c>
      <c r="D2729" s="1" t="s">
        <v>15</v>
      </c>
      <c r="E2729" s="1" t="s">
        <v>15</v>
      </c>
      <c r="F2729" s="1" t="s">
        <v>63</v>
      </c>
      <c r="G2729" s="1" t="s">
        <v>64</v>
      </c>
      <c r="H2729" s="2" t="str">
        <f>Tabella1[[#This Row],[Denominazione]]&amp;" - "&amp;Tabella1[[#This Row],[Città]]</f>
        <v>CA' GARAVANO - ACQUALAGNA</v>
      </c>
    </row>
    <row r="2730" spans="1:8" x14ac:dyDescent="0.25">
      <c r="A2730" s="1" t="s">
        <v>12</v>
      </c>
      <c r="B2730" s="1" t="s">
        <v>4597</v>
      </c>
      <c r="C2730" s="1" t="s">
        <v>4598</v>
      </c>
      <c r="D2730" s="1" t="s">
        <v>4578</v>
      </c>
      <c r="F2730" s="1" t="s">
        <v>4599</v>
      </c>
      <c r="G2730" s="1" t="s">
        <v>4600</v>
      </c>
      <c r="H2730" s="2" t="str">
        <f>Tabella1[[#This Row],[Denominazione]]&amp;" - "&amp;Tabella1[[#This Row],[Città]]</f>
        <v>CA' GINESTRA - SERRUNGARINA</v>
      </c>
    </row>
    <row r="2731" spans="1:8" x14ac:dyDescent="0.25">
      <c r="A2731" s="1" t="s">
        <v>29</v>
      </c>
      <c r="B2731" s="1" t="s">
        <v>5168</v>
      </c>
      <c r="C2731" s="1" t="s">
        <v>5169</v>
      </c>
      <c r="D2731" s="1" t="s">
        <v>9</v>
      </c>
      <c r="E2731" s="1" t="s">
        <v>9</v>
      </c>
      <c r="F2731" s="1" t="s">
        <v>5170</v>
      </c>
      <c r="G2731" s="1" t="s">
        <v>5171</v>
      </c>
      <c r="H2731" s="2" t="str">
        <f>Tabella1[[#This Row],[Denominazione]]&amp;" - "&amp;Tabella1[[#This Row],[Città]]</f>
        <v>CA' LA PACINA - URBINO</v>
      </c>
    </row>
    <row r="2732" spans="1:8" x14ac:dyDescent="0.25">
      <c r="A2732" s="1" t="s">
        <v>35</v>
      </c>
      <c r="B2732" s="1" t="s">
        <v>385</v>
      </c>
      <c r="C2732" s="1" t="s">
        <v>386</v>
      </c>
      <c r="D2732" s="1" t="s">
        <v>316</v>
      </c>
      <c r="E2732" s="1" t="s">
        <v>316</v>
      </c>
      <c r="F2732" s="1" t="s">
        <v>387</v>
      </c>
      <c r="G2732" s="1" t="s">
        <v>388</v>
      </c>
      <c r="H2732" s="2" t="str">
        <f>Tabella1[[#This Row],[Denominazione]]&amp;" - "&amp;Tabella1[[#This Row],[Città]]</f>
        <v>CA' LE SUORE - CAGLI</v>
      </c>
    </row>
    <row r="2733" spans="1:8" x14ac:dyDescent="0.25">
      <c r="A2733" s="1" t="s">
        <v>12</v>
      </c>
      <c r="B2733" s="1" t="s">
        <v>5311</v>
      </c>
      <c r="D2733" s="1" t="s">
        <v>9</v>
      </c>
      <c r="G2733" s="1" t="s">
        <v>5312</v>
      </c>
      <c r="H2733" s="2" t="str">
        <f>Tabella1[[#This Row],[Denominazione]]&amp;" - "&amp;Tabella1[[#This Row],[Città]]</f>
        <v>CA' LONDEI - URBINO</v>
      </c>
    </row>
    <row r="2734" spans="1:8" x14ac:dyDescent="0.25">
      <c r="A2734" s="1" t="s">
        <v>35</v>
      </c>
      <c r="B2734" s="1" t="s">
        <v>4898</v>
      </c>
      <c r="C2734" s="1" t="s">
        <v>4899</v>
      </c>
      <c r="D2734" s="1" t="s">
        <v>9</v>
      </c>
      <c r="F2734" s="1" t="s">
        <v>4900</v>
      </c>
      <c r="G2734" s="1" t="s">
        <v>4901</v>
      </c>
      <c r="H2734" s="2" t="str">
        <f>Tabella1[[#This Row],[Denominazione]]&amp;" - "&amp;Tabella1[[#This Row],[Città]]</f>
        <v>CA' LUPINO - URBINO</v>
      </c>
    </row>
    <row r="2735" spans="1:8" x14ac:dyDescent="0.25">
      <c r="A2735" s="1" t="s">
        <v>82</v>
      </c>
      <c r="B2735" s="1" t="s">
        <v>491</v>
      </c>
      <c r="C2735" s="1" t="s">
        <v>468</v>
      </c>
      <c r="D2735" s="1" t="s">
        <v>316</v>
      </c>
      <c r="E2735" s="1" t="s">
        <v>316</v>
      </c>
      <c r="F2735" s="1" t="s">
        <v>469</v>
      </c>
      <c r="G2735" s="1" t="s">
        <v>470</v>
      </c>
      <c r="H2735" s="2" t="str">
        <f>Tabella1[[#This Row],[Denominazione]]&amp;" - "&amp;Tabella1[[#This Row],[Città]]</f>
        <v>CA' MAGGIO NUOVO - CAGLI</v>
      </c>
    </row>
    <row r="2736" spans="1:8" x14ac:dyDescent="0.25">
      <c r="A2736" s="1" t="s">
        <v>35</v>
      </c>
      <c r="B2736" s="1" t="s">
        <v>5052</v>
      </c>
      <c r="C2736" s="1" t="s">
        <v>5053</v>
      </c>
      <c r="D2736" s="1" t="s">
        <v>9</v>
      </c>
      <c r="G2736" s="1" t="s">
        <v>5054</v>
      </c>
      <c r="H2736" s="2" t="str">
        <f>Tabella1[[#This Row],[Denominazione]]&amp;" - "&amp;Tabella1[[#This Row],[Città]]</f>
        <v>CA' MIGNONE - URBINO</v>
      </c>
    </row>
    <row r="2737" spans="1:8" x14ac:dyDescent="0.25">
      <c r="A2737" s="1" t="s">
        <v>12</v>
      </c>
      <c r="B2737" s="1" t="s">
        <v>3297</v>
      </c>
      <c r="C2737" s="1" t="s">
        <v>3298</v>
      </c>
      <c r="D2737" s="1" t="s">
        <v>3282</v>
      </c>
      <c r="E2737" s="1" t="s">
        <v>3299</v>
      </c>
      <c r="G2737" s="1" t="s">
        <v>3300</v>
      </c>
      <c r="H2737" s="2" t="str">
        <f>Tabella1[[#This Row],[Denominazione]]&amp;" - "&amp;Tabella1[[#This Row],[Città]]</f>
        <v>CA' MINCELLO - PEGLIO</v>
      </c>
    </row>
    <row r="2738" spans="1:8" x14ac:dyDescent="0.25">
      <c r="A2738" s="1" t="s">
        <v>12</v>
      </c>
      <c r="B2738" s="1" t="s">
        <v>3942</v>
      </c>
      <c r="C2738" s="1" t="s">
        <v>3943</v>
      </c>
      <c r="D2738" s="1" t="s">
        <v>2386</v>
      </c>
      <c r="G2738" s="1" t="s">
        <v>3944</v>
      </c>
      <c r="H2738" s="2" t="str">
        <f>Tabella1[[#This Row],[Denominazione]]&amp;" - "&amp;Tabella1[[#This Row],[Città]]</f>
        <v>CA' NAPOLEON di LA ROTA LORETTA - PESARO</v>
      </c>
    </row>
    <row r="2739" spans="1:8" x14ac:dyDescent="0.25">
      <c r="A2739" s="1" t="s">
        <v>82</v>
      </c>
      <c r="B2739" s="1" t="s">
        <v>3419</v>
      </c>
      <c r="C2739" s="1" t="s">
        <v>3420</v>
      </c>
      <c r="D2739" s="1" t="s">
        <v>3305</v>
      </c>
      <c r="F2739" s="1" t="s">
        <v>3421</v>
      </c>
      <c r="G2739" s="1" t="s">
        <v>3422</v>
      </c>
      <c r="H2739" s="2" t="str">
        <f>Tabella1[[#This Row],[Denominazione]]&amp;" - "&amp;Tabella1[[#This Row],[Città]]</f>
        <v>CA' PALAZZO - PERGOLA</v>
      </c>
    </row>
    <row r="2740" spans="1:8" x14ac:dyDescent="0.25">
      <c r="A2740" s="1" t="s">
        <v>6</v>
      </c>
      <c r="B2740" s="1" t="s">
        <v>549</v>
      </c>
      <c r="C2740" s="1" t="s">
        <v>545</v>
      </c>
      <c r="D2740" s="1" t="s">
        <v>535</v>
      </c>
      <c r="E2740" s="1" t="s">
        <v>546</v>
      </c>
      <c r="F2740" s="1" t="s">
        <v>547</v>
      </c>
      <c r="G2740" s="1" t="s">
        <v>548</v>
      </c>
      <c r="H2740" s="2" t="str">
        <f>Tabella1[[#This Row],[Denominazione]]&amp;" - "&amp;Tabella1[[#This Row],[Città]]</f>
        <v>CA' PARAVENTO COUNTRY HOUSE - CANTIANO</v>
      </c>
    </row>
    <row r="2741" spans="1:8" x14ac:dyDescent="0.25">
      <c r="A2741" s="1" t="s">
        <v>35</v>
      </c>
      <c r="B2741" s="1" t="s">
        <v>3970</v>
      </c>
      <c r="C2741" s="1" t="s">
        <v>3971</v>
      </c>
      <c r="D2741" s="1" t="s">
        <v>2386</v>
      </c>
      <c r="E2741" s="1" t="s">
        <v>3972</v>
      </c>
      <c r="F2741" s="1" t="s">
        <v>3973</v>
      </c>
      <c r="G2741" s="1" t="s">
        <v>3974</v>
      </c>
      <c r="H2741" s="2" t="str">
        <f>Tabella1[[#This Row],[Denominazione]]&amp;" - "&amp;Tabella1[[#This Row],[Città]]</f>
        <v>CA' PRINCIVALLE - PESARO</v>
      </c>
    </row>
    <row r="2742" spans="1:8" x14ac:dyDescent="0.25">
      <c r="A2742" s="1" t="s">
        <v>35</v>
      </c>
      <c r="B2742" s="1" t="s">
        <v>156</v>
      </c>
      <c r="C2742" s="1" t="s">
        <v>157</v>
      </c>
      <c r="D2742" s="1" t="s">
        <v>102</v>
      </c>
      <c r="E2742" s="1" t="s">
        <v>102</v>
      </c>
      <c r="H2742" s="2" t="str">
        <f>Tabella1[[#This Row],[Denominazione]]&amp;" - "&amp;Tabella1[[#This Row],[Città]]</f>
        <v>CA' QUATTROCCHI - APECCHIO</v>
      </c>
    </row>
    <row r="2743" spans="1:8" x14ac:dyDescent="0.25">
      <c r="A2743" s="1" t="s">
        <v>35</v>
      </c>
      <c r="B2743" s="1" t="s">
        <v>1224</v>
      </c>
      <c r="C2743" s="1" t="s">
        <v>1225</v>
      </c>
      <c r="D2743" s="1" t="s">
        <v>682</v>
      </c>
      <c r="E2743" s="1" t="s">
        <v>682</v>
      </c>
      <c r="G2743" s="1" t="s">
        <v>1226</v>
      </c>
      <c r="H2743" s="2" t="str">
        <f>Tabella1[[#This Row],[Denominazione]]&amp;" - "&amp;Tabella1[[#This Row],[Città]]</f>
        <v>CA' RAMARRA - FANO</v>
      </c>
    </row>
    <row r="2744" spans="1:8" x14ac:dyDescent="0.25">
      <c r="A2744" s="1" t="s">
        <v>82</v>
      </c>
      <c r="B2744" s="1" t="s">
        <v>1716</v>
      </c>
      <c r="C2744" s="1" t="s">
        <v>1717</v>
      </c>
      <c r="D2744" s="1" t="s">
        <v>1653</v>
      </c>
      <c r="G2744" s="1" t="s">
        <v>1718</v>
      </c>
      <c r="H2744" s="2" t="str">
        <f>Tabella1[[#This Row],[Denominazione]]&amp;" - "&amp;Tabella1[[#This Row],[Città]]</f>
        <v>CA' SA BARTOCCIO - FERMIGNANO</v>
      </c>
    </row>
    <row r="2745" spans="1:8" x14ac:dyDescent="0.25">
      <c r="A2745" s="1" t="s">
        <v>12</v>
      </c>
      <c r="B2745" s="1" t="s">
        <v>4455</v>
      </c>
      <c r="C2745" s="1" t="s">
        <v>4456</v>
      </c>
      <c r="D2745" s="1" t="s">
        <v>4397</v>
      </c>
      <c r="E2745" s="1" t="s">
        <v>4457</v>
      </c>
      <c r="G2745" s="1" t="s">
        <v>4458</v>
      </c>
      <c r="H2745" s="2" t="str">
        <f>Tabella1[[#This Row],[Denominazione]]&amp;" - "&amp;Tabella1[[#This Row],[Città]]</f>
        <v>CA' SALVATORE - SANT'ANGELO IN VADO</v>
      </c>
    </row>
    <row r="2746" spans="1:8" x14ac:dyDescent="0.25">
      <c r="A2746" s="1" t="s">
        <v>35</v>
      </c>
      <c r="B2746" s="1" t="s">
        <v>4806</v>
      </c>
      <c r="C2746" s="1" t="s">
        <v>4807</v>
      </c>
      <c r="D2746" s="1" t="s">
        <v>4735</v>
      </c>
      <c r="E2746" s="1" t="s">
        <v>4808</v>
      </c>
      <c r="F2746" s="1" t="s">
        <v>4809</v>
      </c>
      <c r="G2746" s="1" t="s">
        <v>4810</v>
      </c>
      <c r="H2746" s="2" t="str">
        <f>Tabella1[[#This Row],[Denominazione]]&amp;" - "&amp;Tabella1[[#This Row],[Città]]</f>
        <v>CA' SERRANTONIO - URBANIA</v>
      </c>
    </row>
    <row r="2747" spans="1:8" x14ac:dyDescent="0.25">
      <c r="A2747" s="1" t="s">
        <v>29</v>
      </c>
      <c r="B2747" s="1" t="s">
        <v>3619</v>
      </c>
      <c r="C2747" s="1" t="s">
        <v>3620</v>
      </c>
      <c r="D2747" s="1" t="s">
        <v>2386</v>
      </c>
      <c r="E2747" s="1" t="s">
        <v>3464</v>
      </c>
      <c r="H2747" s="2" t="str">
        <f>Tabella1[[#This Row],[Denominazione]]&amp;" - "&amp;Tabella1[[#This Row],[Città]]</f>
        <v>CA' SIDERIA - PESARO</v>
      </c>
    </row>
    <row r="2748" spans="1:8" x14ac:dyDescent="0.25">
      <c r="A2748" s="1" t="s">
        <v>35</v>
      </c>
      <c r="B2748" s="1" t="s">
        <v>3323</v>
      </c>
      <c r="C2748" s="1" t="s">
        <v>3324</v>
      </c>
      <c r="D2748" s="1" t="s">
        <v>3305</v>
      </c>
      <c r="F2748" s="1" t="s">
        <v>3325</v>
      </c>
      <c r="G2748" s="1" t="s">
        <v>3326</v>
      </c>
      <c r="H2748" s="2" t="str">
        <f>Tabella1[[#This Row],[Denominazione]]&amp;" - "&amp;Tabella1[[#This Row],[Città]]</f>
        <v>CA' SORCI - PERGOLA</v>
      </c>
    </row>
    <row r="2749" spans="1:8" x14ac:dyDescent="0.25">
      <c r="A2749" s="1" t="s">
        <v>35</v>
      </c>
      <c r="B2749" s="1" t="s">
        <v>4080</v>
      </c>
      <c r="C2749" s="1" t="s">
        <v>4081</v>
      </c>
      <c r="D2749" s="1" t="s">
        <v>2386</v>
      </c>
      <c r="E2749" s="1" t="s">
        <v>2386</v>
      </c>
      <c r="F2749" s="1" t="s">
        <v>4082</v>
      </c>
      <c r="G2749" s="1" t="s">
        <v>4083</v>
      </c>
      <c r="H2749" s="2" t="str">
        <f>Tabella1[[#This Row],[Denominazione]]&amp;" - "&amp;Tabella1[[#This Row],[Città]]</f>
        <v>CA' VERDE - PESARO</v>
      </c>
    </row>
    <row r="2750" spans="1:8" x14ac:dyDescent="0.25">
      <c r="A2750" s="1" t="s">
        <v>6</v>
      </c>
      <c r="B2750" s="1" t="s">
        <v>3005</v>
      </c>
      <c r="C2750" s="1" t="s">
        <v>3006</v>
      </c>
      <c r="D2750" s="1" t="s">
        <v>2994</v>
      </c>
      <c r="E2750" s="1" t="s">
        <v>3007</v>
      </c>
      <c r="F2750" s="1" t="s">
        <v>3008</v>
      </c>
      <c r="G2750" s="1" t="s">
        <v>3009</v>
      </c>
      <c r="H2750" s="2" t="str">
        <f>Tabella1[[#This Row],[Denominazione]]&amp;" - "&amp;Tabella1[[#This Row],[Città]]</f>
        <v>CA' VIRGINIA COUNTRY HOUSE WELLNESS - MONTECALVO IN FOGLIA</v>
      </c>
    </row>
    <row r="2751" spans="1:8" x14ac:dyDescent="0.25">
      <c r="A2751" s="1" t="s">
        <v>82</v>
      </c>
      <c r="B2751" s="1" t="s">
        <v>1083</v>
      </c>
      <c r="C2751" s="1" t="s">
        <v>1084</v>
      </c>
      <c r="D2751" s="1" t="s">
        <v>682</v>
      </c>
      <c r="E2751" s="1" t="s">
        <v>682</v>
      </c>
      <c r="G2751" s="1" t="s">
        <v>1085</v>
      </c>
      <c r="H2751" s="2" t="str">
        <f>Tabella1[[#This Row],[Denominazione]]&amp;" - "&amp;Tabella1[[#This Row],[Città]]</f>
        <v>CAFE' &amp; RESTAURANT BUENA VISTA - FANO</v>
      </c>
    </row>
    <row r="2752" spans="1:8" x14ac:dyDescent="0.25">
      <c r="A2752" s="1" t="s">
        <v>20</v>
      </c>
      <c r="B2752" s="1" t="s">
        <v>9479</v>
      </c>
      <c r="C2752" s="1" t="s">
        <v>9480</v>
      </c>
      <c r="D2752" s="1" t="s">
        <v>8949</v>
      </c>
      <c r="E2752" s="1" t="s">
        <v>8949</v>
      </c>
      <c r="F2752" s="1" t="s">
        <v>9481</v>
      </c>
      <c r="G2752" s="1" t="s">
        <v>9482</v>
      </c>
      <c r="H2752" s="2" t="str">
        <f>Tabella1[[#This Row],[Denominazione]]&amp;" - "&amp;Tabella1[[#This Row],[Città]]</f>
        <v>CAGGIARI - SENIGALLIA</v>
      </c>
    </row>
    <row r="2753" spans="1:8" x14ac:dyDescent="0.25">
      <c r="A2753" s="1" t="s">
        <v>679</v>
      </c>
      <c r="B2753" s="1" t="s">
        <v>6014</v>
      </c>
      <c r="C2753" s="1" t="s">
        <v>6015</v>
      </c>
      <c r="D2753" s="1" t="s">
        <v>1864</v>
      </c>
      <c r="E2753" s="1" t="s">
        <v>5712</v>
      </c>
      <c r="F2753" s="1" t="s">
        <v>6016</v>
      </c>
      <c r="H2753" s="2" t="str">
        <f>Tabella1[[#This Row],[Denominazione]]&amp;" - "&amp;Tabella1[[#This Row],[Città]]</f>
        <v>CAKAO BEACH - ANCONA</v>
      </c>
    </row>
    <row r="2754" spans="1:8" x14ac:dyDescent="0.25">
      <c r="A2754" s="1" t="s">
        <v>35</v>
      </c>
      <c r="B2754" s="1" t="s">
        <v>254</v>
      </c>
      <c r="C2754" s="1" t="s">
        <v>255</v>
      </c>
      <c r="D2754" s="1" t="s">
        <v>256</v>
      </c>
      <c r="G2754" s="1" t="s">
        <v>257</v>
      </c>
      <c r="H2754" s="2" t="str">
        <f>Tabella1[[#This Row],[Denominazione]]&amp;" - "&amp;Tabella1[[#This Row],[Città]]</f>
        <v>CAL FATTORE - BELFORTE ALL'ISAURO</v>
      </c>
    </row>
    <row r="2755" spans="1:8" x14ac:dyDescent="0.25">
      <c r="A2755" s="1" t="s">
        <v>35</v>
      </c>
      <c r="B2755" s="1" t="s">
        <v>4750</v>
      </c>
      <c r="C2755" s="1" t="s">
        <v>4751</v>
      </c>
      <c r="D2755" s="1" t="s">
        <v>4735</v>
      </c>
      <c r="G2755" s="1" t="s">
        <v>4752</v>
      </c>
      <c r="H2755" s="2" t="str">
        <f>Tabella1[[#This Row],[Denominazione]]&amp;" - "&amp;Tabella1[[#This Row],[Città]]</f>
        <v>CAL TERRAZZANO - URBANIA</v>
      </c>
    </row>
    <row r="2756" spans="1:8" x14ac:dyDescent="0.25">
      <c r="A2756" s="1" t="s">
        <v>20</v>
      </c>
      <c r="B2756" s="1" t="s">
        <v>17439</v>
      </c>
      <c r="C2756" s="1" t="s">
        <v>17440</v>
      </c>
      <c r="D2756" s="1" t="s">
        <v>15819</v>
      </c>
      <c r="E2756" s="1" t="s">
        <v>15819</v>
      </c>
      <c r="F2756" s="1" t="s">
        <v>17441</v>
      </c>
      <c r="G2756" s="1" t="s">
        <v>17442</v>
      </c>
      <c r="H2756" s="2" t="str">
        <f>Tabella1[[#This Row],[Denominazione]]&amp;" - "&amp;Tabella1[[#This Row],[Città]]</f>
        <v>CALABRESI - SAN BENEDETTO DEL TRONTO</v>
      </c>
    </row>
    <row r="2757" spans="1:8" x14ac:dyDescent="0.25">
      <c r="A2757" s="1" t="s">
        <v>35</v>
      </c>
      <c r="B2757" s="1" t="s">
        <v>3397</v>
      </c>
      <c r="C2757" s="1" t="s">
        <v>3398</v>
      </c>
      <c r="D2757" s="1" t="s">
        <v>3305</v>
      </c>
      <c r="E2757" s="1" t="s">
        <v>3305</v>
      </c>
      <c r="F2757" s="1" t="s">
        <v>3399</v>
      </c>
      <c r="G2757" s="1" t="s">
        <v>3400</v>
      </c>
      <c r="H2757" s="2" t="str">
        <f>Tabella1[[#This Row],[Denominazione]]&amp;" - "&amp;Tabella1[[#This Row],[Città]]</f>
        <v>CALAMELLO - PERGOLA</v>
      </c>
    </row>
    <row r="2758" spans="1:8" x14ac:dyDescent="0.25">
      <c r="A2758" s="1" t="s">
        <v>35</v>
      </c>
      <c r="B2758" s="1" t="s">
        <v>5135</v>
      </c>
      <c r="C2758" s="1" t="s">
        <v>5136</v>
      </c>
      <c r="D2758" s="1" t="s">
        <v>9</v>
      </c>
      <c r="E2758" s="1" t="s">
        <v>9</v>
      </c>
      <c r="G2758" s="1" t="s">
        <v>5137</v>
      </c>
      <c r="H2758" s="2" t="str">
        <f>Tabella1[[#This Row],[Denominazione]]&amp;" - "&amp;Tabella1[[#This Row],[Città]]</f>
        <v>CALBERTARO - URBINO</v>
      </c>
    </row>
    <row r="2759" spans="1:8" x14ac:dyDescent="0.25">
      <c r="A2759" s="1" t="s">
        <v>12</v>
      </c>
      <c r="B2759" s="1" t="s">
        <v>2661</v>
      </c>
      <c r="C2759" s="1" t="s">
        <v>2662</v>
      </c>
      <c r="D2759" s="1" t="s">
        <v>2594</v>
      </c>
      <c r="E2759" s="1" t="s">
        <v>2663</v>
      </c>
      <c r="F2759" s="1" t="s">
        <v>2664</v>
      </c>
      <c r="G2759" s="1" t="s">
        <v>2665</v>
      </c>
      <c r="H2759" s="2" t="str">
        <f>Tabella1[[#This Row],[Denominazione]]&amp;" - "&amp;Tabella1[[#This Row],[Città]]</f>
        <v>CALBERTONE - MERCATELLO SUL METAURO</v>
      </c>
    </row>
    <row r="2760" spans="1:8" x14ac:dyDescent="0.25">
      <c r="A2760" s="1" t="s">
        <v>82</v>
      </c>
      <c r="B2760" s="1" t="s">
        <v>8335</v>
      </c>
      <c r="C2760" s="1" t="s">
        <v>8336</v>
      </c>
      <c r="D2760" s="1" t="s">
        <v>7889</v>
      </c>
      <c r="E2760" s="1" t="s">
        <v>8177</v>
      </c>
      <c r="F2760" s="1" t="s">
        <v>8337</v>
      </c>
      <c r="G2760" s="1" t="s">
        <v>8338</v>
      </c>
      <c r="H2760" s="2" t="str">
        <f>Tabella1[[#This Row],[Denominazione]]&amp;" - "&amp;Tabella1[[#This Row],[Città]]</f>
        <v>CALETTA DEL CONERO - NUMANA</v>
      </c>
    </row>
    <row r="2761" spans="1:8" x14ac:dyDescent="0.25">
      <c r="A2761" s="1" t="s">
        <v>82</v>
      </c>
      <c r="B2761" s="1" t="s">
        <v>1849</v>
      </c>
      <c r="D2761" s="1" t="s">
        <v>1810</v>
      </c>
      <c r="E2761" s="1" t="s">
        <v>1850</v>
      </c>
      <c r="H2761" s="2" t="str">
        <f>Tabella1[[#This Row],[Denominazione]]&amp;" - "&amp;Tabella1[[#This Row],[Città]]</f>
        <v>CALIENDI CORRADO - FRONTINO</v>
      </c>
    </row>
    <row r="2762" spans="1:8" x14ac:dyDescent="0.25">
      <c r="A2762" s="1" t="s">
        <v>82</v>
      </c>
      <c r="B2762" s="1" t="s">
        <v>1858</v>
      </c>
      <c r="D2762" s="1" t="s">
        <v>1810</v>
      </c>
      <c r="E2762" s="1" t="s">
        <v>1846</v>
      </c>
      <c r="H2762" s="2" t="str">
        <f>Tabella1[[#This Row],[Denominazione]]&amp;" - "&amp;Tabella1[[#This Row],[Città]]</f>
        <v>CALIENDI CORRADO 1 - FRONTINO</v>
      </c>
    </row>
    <row r="2763" spans="1:8" x14ac:dyDescent="0.25">
      <c r="A2763" s="1" t="s">
        <v>679</v>
      </c>
      <c r="B2763" s="1" t="s">
        <v>15870</v>
      </c>
      <c r="C2763" s="1" t="s">
        <v>2811</v>
      </c>
      <c r="D2763" s="1" t="s">
        <v>15585</v>
      </c>
      <c r="H2763" s="2" t="str">
        <f>Tabella1[[#This Row],[Denominazione]]&amp;" - "&amp;Tabella1[[#This Row],[Città]]</f>
        <v>CALIFORNIA - GROTTAMMARE</v>
      </c>
    </row>
    <row r="2764" spans="1:8" x14ac:dyDescent="0.25">
      <c r="A2764" s="1" t="s">
        <v>12</v>
      </c>
      <c r="B2764" s="1" t="s">
        <v>18824</v>
      </c>
      <c r="C2764" s="1" t="s">
        <v>18825</v>
      </c>
      <c r="D2764" s="1" t="s">
        <v>18783</v>
      </c>
      <c r="E2764" s="1" t="s">
        <v>18783</v>
      </c>
      <c r="G2764" s="1" t="s">
        <v>18826</v>
      </c>
      <c r="H2764" s="2" t="str">
        <f>Tabella1[[#This Row],[Denominazione]]&amp;" - "&amp;Tabella1[[#This Row],[Città]]</f>
        <v>CALLARA' ALESSANDRA - MONTERUBBIANO</v>
      </c>
    </row>
    <row r="2765" spans="1:8" x14ac:dyDescent="0.25">
      <c r="A2765" s="1" t="s">
        <v>29</v>
      </c>
      <c r="B2765" s="1" t="s">
        <v>5353</v>
      </c>
      <c r="C2765" s="1" t="s">
        <v>5354</v>
      </c>
      <c r="D2765" s="1" t="s">
        <v>9</v>
      </c>
      <c r="E2765" s="1" t="s">
        <v>9</v>
      </c>
      <c r="G2765" s="1" t="s">
        <v>5355</v>
      </c>
      <c r="H2765" s="2" t="str">
        <f>Tabella1[[#This Row],[Denominazione]]&amp;" - "&amp;Tabella1[[#This Row],[Città]]</f>
        <v>CALMANCINO DELLE SELVE - URBINO</v>
      </c>
    </row>
    <row r="2766" spans="1:8" x14ac:dyDescent="0.25">
      <c r="A2766" s="1" t="s">
        <v>29</v>
      </c>
      <c r="B2766" s="1" t="s">
        <v>9307</v>
      </c>
      <c r="C2766" s="1" t="s">
        <v>9308</v>
      </c>
      <c r="D2766" s="1" t="s">
        <v>8949</v>
      </c>
      <c r="E2766" s="1" t="s">
        <v>8949</v>
      </c>
      <c r="G2766" s="1" t="s">
        <v>9309</v>
      </c>
      <c r="H2766" s="2" t="str">
        <f>Tabella1[[#This Row],[Denominazione]]&amp;" - "&amp;Tabella1[[#This Row],[Città]]</f>
        <v>CALVINO BROZZESI - SENIGALLIA</v>
      </c>
    </row>
    <row r="2767" spans="1:8" x14ac:dyDescent="0.25">
      <c r="A2767" s="1" t="s">
        <v>571</v>
      </c>
      <c r="B2767" s="1" t="s">
        <v>15474</v>
      </c>
      <c r="C2767" s="1" t="s">
        <v>15475</v>
      </c>
      <c r="D2767" s="1" t="s">
        <v>15349</v>
      </c>
      <c r="E2767" s="1" t="s">
        <v>15349</v>
      </c>
      <c r="F2767" s="1" t="s">
        <v>15476</v>
      </c>
      <c r="G2767" s="1" t="s">
        <v>15477</v>
      </c>
      <c r="H2767" s="2" t="str">
        <f>Tabella1[[#This Row],[Denominazione]]&amp;" - "&amp;Tabella1[[#This Row],[Città]]</f>
        <v>CALYPSO - CUPRA MARITTIMA</v>
      </c>
    </row>
    <row r="2768" spans="1:8" x14ac:dyDescent="0.25">
      <c r="A2768" s="1" t="s">
        <v>679</v>
      </c>
      <c r="B2768" s="1" t="s">
        <v>15474</v>
      </c>
      <c r="C2768" s="1" t="s">
        <v>17354</v>
      </c>
      <c r="D2768" s="1" t="s">
        <v>15819</v>
      </c>
      <c r="F2768" s="1" t="s">
        <v>17355</v>
      </c>
      <c r="H2768" s="2" t="str">
        <f>Tabella1[[#This Row],[Denominazione]]&amp;" - "&amp;Tabella1[[#This Row],[Città]]</f>
        <v>CALYPSO - SAN BENEDETTO DEL TRONTO</v>
      </c>
    </row>
    <row r="2769" spans="1:8" x14ac:dyDescent="0.25">
      <c r="A2769" s="1" t="s">
        <v>679</v>
      </c>
      <c r="B2769" s="1" t="s">
        <v>15474</v>
      </c>
      <c r="C2769" s="1" t="s">
        <v>19048</v>
      </c>
      <c r="D2769" s="1" t="s">
        <v>18082</v>
      </c>
      <c r="E2769" s="1" t="s">
        <v>18082</v>
      </c>
      <c r="F2769" s="1" t="s">
        <v>19125</v>
      </c>
      <c r="H2769" s="2" t="str">
        <f>Tabella1[[#This Row],[Denominazione]]&amp;" - "&amp;Tabella1[[#This Row],[Città]]</f>
        <v>CALYPSO - PORTO SAN GIORGIO</v>
      </c>
    </row>
    <row r="2770" spans="1:8" x14ac:dyDescent="0.25">
      <c r="A2770" s="1" t="s">
        <v>20</v>
      </c>
      <c r="B2770" s="1" t="s">
        <v>14566</v>
      </c>
      <c r="C2770" s="1" t="s">
        <v>14567</v>
      </c>
      <c r="D2770" s="1" t="s">
        <v>14510</v>
      </c>
      <c r="E2770" s="1" t="s">
        <v>14510</v>
      </c>
      <c r="F2770" s="1" t="s">
        <v>14568</v>
      </c>
      <c r="G2770" s="1" t="s">
        <v>14569</v>
      </c>
      <c r="H2770" s="2" t="str">
        <f>Tabella1[[#This Row],[Denominazione]]&amp;" - "&amp;Tabella1[[#This Row],[Città]]</f>
        <v>CAMARTINA - ARQUATA DEL TRONTO</v>
      </c>
    </row>
    <row r="2771" spans="1:8" x14ac:dyDescent="0.25">
      <c r="A2771" s="1" t="s">
        <v>29</v>
      </c>
      <c r="B2771" s="1" t="s">
        <v>5538</v>
      </c>
      <c r="C2771" s="1" t="s">
        <v>5539</v>
      </c>
      <c r="D2771" s="1" t="s">
        <v>1864</v>
      </c>
      <c r="E2771" s="1" t="s">
        <v>1864</v>
      </c>
      <c r="G2771" s="1" t="s">
        <v>5540</v>
      </c>
      <c r="H2771" s="2" t="str">
        <f>Tabella1[[#This Row],[Denominazione]]&amp;" - "&amp;Tabella1[[#This Row],[Città]]</f>
        <v>CAMERA CON VISTA - ANCONA</v>
      </c>
    </row>
    <row r="2772" spans="1:8" x14ac:dyDescent="0.25">
      <c r="A2772" s="1" t="s">
        <v>82</v>
      </c>
      <c r="B2772" s="1" t="s">
        <v>10357</v>
      </c>
      <c r="C2772" s="1" t="s">
        <v>10348</v>
      </c>
      <c r="D2772" s="1" t="s">
        <v>10206</v>
      </c>
      <c r="G2772" s="1" t="s">
        <v>10289</v>
      </c>
      <c r="H2772" s="2" t="str">
        <f>Tabella1[[#This Row],[Denominazione]]&amp;" - "&amp;Tabella1[[#This Row],[Città]]</f>
        <v>CAMERA CON VISTA...MARE (BLU PANORAMIC) - SIROLO</v>
      </c>
    </row>
    <row r="2773" spans="1:8" x14ac:dyDescent="0.25">
      <c r="A2773" s="1" t="s">
        <v>82</v>
      </c>
      <c r="B2773" s="1" t="s">
        <v>10279</v>
      </c>
      <c r="C2773" s="1" t="s">
        <v>10280</v>
      </c>
      <c r="D2773" s="1" t="s">
        <v>10206</v>
      </c>
      <c r="E2773" s="1" t="s">
        <v>10206</v>
      </c>
      <c r="G2773" s="1" t="s">
        <v>10281</v>
      </c>
      <c r="H2773" s="2" t="str">
        <f>Tabella1[[#This Row],[Denominazione]]&amp;" - "&amp;Tabella1[[#This Row],[Città]]</f>
        <v>CAMERE ALISA - SIROLO</v>
      </c>
    </row>
    <row r="2774" spans="1:8" x14ac:dyDescent="0.25">
      <c r="A2774" s="1" t="s">
        <v>82</v>
      </c>
      <c r="B2774" s="1" t="s">
        <v>10286</v>
      </c>
      <c r="C2774" s="1" t="s">
        <v>10287</v>
      </c>
      <c r="D2774" s="1" t="s">
        <v>10206</v>
      </c>
      <c r="E2774" s="1" t="s">
        <v>10206</v>
      </c>
      <c r="F2774" s="1" t="s">
        <v>10288</v>
      </c>
      <c r="G2774" s="1" t="s">
        <v>10289</v>
      </c>
      <c r="H2774" s="2" t="str">
        <f>Tabella1[[#This Row],[Denominazione]]&amp;" - "&amp;Tabella1[[#This Row],[Città]]</f>
        <v>CAMERE DA ALDO - SIROLO</v>
      </c>
    </row>
    <row r="2775" spans="1:8" x14ac:dyDescent="0.25">
      <c r="A2775" s="1" t="s">
        <v>82</v>
      </c>
      <c r="B2775" s="1" t="s">
        <v>10319</v>
      </c>
      <c r="C2775" s="1" t="s">
        <v>10320</v>
      </c>
      <c r="D2775" s="1" t="s">
        <v>10206</v>
      </c>
      <c r="E2775" s="1" t="s">
        <v>10206</v>
      </c>
      <c r="F2775" s="1" t="s">
        <v>10257</v>
      </c>
      <c r="G2775" s="1" t="s">
        <v>10258</v>
      </c>
      <c r="H2775" s="2" t="str">
        <f>Tabella1[[#This Row],[Denominazione]]&amp;" - "&amp;Tabella1[[#This Row],[Città]]</f>
        <v>CAMERE IL PARCO - SIROLO</v>
      </c>
    </row>
    <row r="2776" spans="1:8" x14ac:dyDescent="0.25">
      <c r="A2776" s="1" t="s">
        <v>82</v>
      </c>
      <c r="B2776" s="1" t="s">
        <v>965</v>
      </c>
      <c r="C2776" s="1" t="s">
        <v>966</v>
      </c>
      <c r="D2776" s="1" t="s">
        <v>682</v>
      </c>
      <c r="E2776" s="1" t="s">
        <v>967</v>
      </c>
      <c r="G2776" s="1" t="s">
        <v>968</v>
      </c>
      <c r="H2776" s="2" t="str">
        <f>Tabella1[[#This Row],[Denominazione]]&amp;" - "&amp;Tabella1[[#This Row],[Città]]</f>
        <v>CAMERE IN AFFITTO DA FARINA - FANO</v>
      </c>
    </row>
    <row r="2777" spans="1:8" x14ac:dyDescent="0.25">
      <c r="A2777" s="1" t="s">
        <v>82</v>
      </c>
      <c r="B2777" s="1" t="s">
        <v>965</v>
      </c>
      <c r="C2777" s="1" t="s">
        <v>1623</v>
      </c>
      <c r="D2777" s="1" t="s">
        <v>682</v>
      </c>
      <c r="E2777" s="1" t="s">
        <v>967</v>
      </c>
      <c r="G2777" s="1" t="s">
        <v>968</v>
      </c>
      <c r="H2777" s="2" t="str">
        <f>Tabella1[[#This Row],[Denominazione]]&amp;" - "&amp;Tabella1[[#This Row],[Città]]</f>
        <v>CAMERE IN AFFITTO DA FARINA - FANO</v>
      </c>
    </row>
    <row r="2778" spans="1:8" x14ac:dyDescent="0.25">
      <c r="A2778" s="1" t="s">
        <v>82</v>
      </c>
      <c r="B2778" s="1" t="s">
        <v>10290</v>
      </c>
      <c r="C2778" s="1" t="s">
        <v>10291</v>
      </c>
      <c r="D2778" s="1" t="s">
        <v>10206</v>
      </c>
      <c r="E2778" s="1" t="s">
        <v>10206</v>
      </c>
      <c r="G2778" s="1" t="s">
        <v>10292</v>
      </c>
      <c r="H2778" s="2" t="str">
        <f>Tabella1[[#This Row],[Denominazione]]&amp;" - "&amp;Tabella1[[#This Row],[Città]]</f>
        <v>CAMERE LA FONTE - SIROLO</v>
      </c>
    </row>
    <row r="2779" spans="1:8" x14ac:dyDescent="0.25">
      <c r="A2779" s="1" t="s">
        <v>82</v>
      </c>
      <c r="B2779" s="1" t="s">
        <v>6918</v>
      </c>
      <c r="C2779" s="1" t="s">
        <v>6919</v>
      </c>
      <c r="D2779" s="1" t="s">
        <v>6790</v>
      </c>
      <c r="E2779" s="1" t="s">
        <v>6790</v>
      </c>
      <c r="F2779" s="1" t="s">
        <v>6920</v>
      </c>
      <c r="G2779" s="1" t="s">
        <v>6921</v>
      </c>
      <c r="H2779" s="2" t="str">
        <f>Tabella1[[#This Row],[Denominazione]]&amp;" - "&amp;Tabella1[[#This Row],[Città]]</f>
        <v>Camere VILLA DEI TIGLI Ristorante - FABRIANO</v>
      </c>
    </row>
    <row r="2780" spans="1:8" x14ac:dyDescent="0.25">
      <c r="A2780" s="1" t="s">
        <v>82</v>
      </c>
      <c r="B2780" s="1" t="s">
        <v>6925</v>
      </c>
      <c r="C2780" s="1" t="s">
        <v>6919</v>
      </c>
      <c r="D2780" s="1" t="s">
        <v>6790</v>
      </c>
      <c r="E2780" s="1" t="s">
        <v>6790</v>
      </c>
      <c r="F2780" s="1" t="s">
        <v>6920</v>
      </c>
      <c r="G2780" s="1" t="s">
        <v>6921</v>
      </c>
      <c r="H2780" s="2" t="str">
        <f>Tabella1[[#This Row],[Denominazione]]&amp;" - "&amp;Tabella1[[#This Row],[Città]]</f>
        <v>camere VILLA DEI TIGLI ristorante - FABRIANO</v>
      </c>
    </row>
    <row r="2781" spans="1:8" x14ac:dyDescent="0.25">
      <c r="A2781" s="1" t="s">
        <v>82</v>
      </c>
      <c r="B2781" s="1" t="s">
        <v>10282</v>
      </c>
      <c r="C2781" s="1" t="s">
        <v>10283</v>
      </c>
      <c r="D2781" s="1" t="s">
        <v>10206</v>
      </c>
      <c r="E2781" s="1" t="s">
        <v>10206</v>
      </c>
      <c r="F2781" s="1" t="s">
        <v>10284</v>
      </c>
      <c r="G2781" s="1" t="s">
        <v>10285</v>
      </c>
      <c r="H2781" s="2" t="str">
        <f>Tabella1[[#This Row],[Denominazione]]&amp;" - "&amp;Tabella1[[#This Row],[Città]]</f>
        <v>CAMERE ZIMMER SIROLO - SIROLO</v>
      </c>
    </row>
    <row r="2782" spans="1:8" x14ac:dyDescent="0.25">
      <c r="A2782" s="1" t="s">
        <v>12</v>
      </c>
      <c r="B2782" s="1" t="s">
        <v>7238</v>
      </c>
      <c r="C2782" s="1" t="s">
        <v>7235</v>
      </c>
      <c r="D2782" s="1" t="s">
        <v>7200</v>
      </c>
      <c r="E2782" s="1" t="s">
        <v>7236</v>
      </c>
      <c r="G2782" s="1" t="s">
        <v>7237</v>
      </c>
      <c r="H2782" s="2" t="str">
        <f>Tabella1[[#This Row],[Denominazione]]&amp;" - "&amp;Tabella1[[#This Row],[Città]]</f>
        <v>CAMOMILLA - GENGA</v>
      </c>
    </row>
    <row r="2783" spans="1:8" x14ac:dyDescent="0.25">
      <c r="A2783" s="1" t="s">
        <v>29</v>
      </c>
      <c r="B2783" s="1" t="s">
        <v>19203</v>
      </c>
      <c r="C2783" s="1" t="s">
        <v>19204</v>
      </c>
      <c r="D2783" s="1" t="s">
        <v>18082</v>
      </c>
      <c r="E2783" s="1" t="s">
        <v>18082</v>
      </c>
      <c r="F2783" s="1" t="s">
        <v>19205</v>
      </c>
      <c r="G2783" s="1" t="s">
        <v>19206</v>
      </c>
      <c r="H2783" s="2" t="str">
        <f>Tabella1[[#This Row],[Denominazione]]&amp;" - "&amp;Tabella1[[#This Row],[Città]]</f>
        <v>CAMPANELLI BED&amp;BREAKFAST - PORTO SAN GIORGIO</v>
      </c>
    </row>
    <row r="2784" spans="1:8" x14ac:dyDescent="0.25">
      <c r="A2784" s="1" t="s">
        <v>12</v>
      </c>
      <c r="B2784" s="1" t="s">
        <v>4327</v>
      </c>
      <c r="C2784" s="1" t="s">
        <v>4328</v>
      </c>
      <c r="D2784" s="1" t="s">
        <v>4272</v>
      </c>
      <c r="E2784" s="1" t="s">
        <v>4272</v>
      </c>
      <c r="H2784" s="2" t="str">
        <f>Tabella1[[#This Row],[Denominazione]]&amp;" - "&amp;Tabella1[[#This Row],[Città]]</f>
        <v>CAMPANELLI GIACOMO - SAN COSTANZO</v>
      </c>
    </row>
    <row r="2785" spans="1:8" x14ac:dyDescent="0.25">
      <c r="A2785" s="1" t="s">
        <v>12</v>
      </c>
      <c r="B2785" s="1" t="s">
        <v>16792</v>
      </c>
      <c r="C2785" s="1" t="s">
        <v>16793</v>
      </c>
      <c r="D2785" s="1" t="s">
        <v>15819</v>
      </c>
      <c r="H2785" s="2" t="str">
        <f>Tabella1[[#This Row],[Denominazione]]&amp;" - "&amp;Tabella1[[#This Row],[Città]]</f>
        <v>CAMPANELLI TIZIANO - SAN BENEDETTO DEL TRONTO</v>
      </c>
    </row>
    <row r="2786" spans="1:8" x14ac:dyDescent="0.25">
      <c r="A2786" s="1" t="s">
        <v>88</v>
      </c>
      <c r="B2786" s="1" t="s">
        <v>17033</v>
      </c>
      <c r="D2786" s="1" t="s">
        <v>15819</v>
      </c>
      <c r="E2786" s="1" t="s">
        <v>17034</v>
      </c>
      <c r="F2786" s="1" t="s">
        <v>17035</v>
      </c>
      <c r="H2786" s="2" t="str">
        <f>Tabella1[[#This Row],[Denominazione]]&amp;" - "&amp;Tabella1[[#This Row],[Città]]</f>
        <v>CAMPEGGIO CLUB RIVIERA PICENA - SAN BENEDETTO DEL TRONTO</v>
      </c>
    </row>
    <row r="2787" spans="1:8" x14ac:dyDescent="0.25">
      <c r="A2787" s="1" t="s">
        <v>571</v>
      </c>
      <c r="B2787" s="1" t="s">
        <v>13575</v>
      </c>
      <c r="C2787" s="1" t="s">
        <v>13576</v>
      </c>
      <c r="D2787" s="1" t="s">
        <v>13548</v>
      </c>
      <c r="E2787" s="1" t="s">
        <v>13577</v>
      </c>
      <c r="G2787" s="1" t="s">
        <v>13578</v>
      </c>
      <c r="H2787" s="2" t="str">
        <f>Tabella1[[#This Row],[Denominazione]]&amp;" - "&amp;Tabella1[[#This Row],[Città]]</f>
        <v>CAMPEGGIO DEL POGGIO - SAN SEVERINO MARCHE</v>
      </c>
    </row>
    <row r="2788" spans="1:8" x14ac:dyDescent="0.25">
      <c r="A2788" s="1" t="s">
        <v>571</v>
      </c>
      <c r="B2788" s="1" t="s">
        <v>5993</v>
      </c>
      <c r="C2788" s="1" t="s">
        <v>5453</v>
      </c>
      <c r="D2788" s="1" t="s">
        <v>1864</v>
      </c>
      <c r="E2788" s="1" t="s">
        <v>5994</v>
      </c>
      <c r="G2788" s="1" t="s">
        <v>5995</v>
      </c>
      <c r="H2788" s="2" t="str">
        <f>Tabella1[[#This Row],[Denominazione]]&amp;" - "&amp;Tabella1[[#This Row],[Città]]</f>
        <v>CAMPEGGIO LA TORRE - ANCONA</v>
      </c>
    </row>
    <row r="2789" spans="1:8" x14ac:dyDescent="0.25">
      <c r="A2789" s="1" t="s">
        <v>571</v>
      </c>
      <c r="B2789" s="1" t="s">
        <v>8330</v>
      </c>
      <c r="C2789" s="1" t="s">
        <v>8331</v>
      </c>
      <c r="D2789" s="1" t="s">
        <v>7889</v>
      </c>
      <c r="E2789" s="1" t="s">
        <v>8332</v>
      </c>
      <c r="F2789" s="1" t="s">
        <v>8333</v>
      </c>
      <c r="G2789" s="1" t="s">
        <v>8334</v>
      </c>
      <c r="H2789" s="2" t="str">
        <f>Tabella1[[#This Row],[Denominazione]]&amp;" - "&amp;Tabella1[[#This Row],[Città]]</f>
        <v>CAMPEGGIO NUMANA BLU - NUMANA</v>
      </c>
    </row>
    <row r="2790" spans="1:8" x14ac:dyDescent="0.25">
      <c r="A2790" s="1" t="s">
        <v>571</v>
      </c>
      <c r="B2790" s="1" t="s">
        <v>11205</v>
      </c>
      <c r="D2790" s="1" t="s">
        <v>11058</v>
      </c>
      <c r="G2790" s="1" t="s">
        <v>11206</v>
      </c>
      <c r="H2790" s="2" t="str">
        <f>Tabella1[[#This Row],[Denominazione]]&amp;" - "&amp;Tabella1[[#This Row],[Città]]</f>
        <v>CAMPEGGIO SPARACETO DI FALAPPA JACOPO - CINGOLI</v>
      </c>
    </row>
    <row r="2791" spans="1:8" x14ac:dyDescent="0.25">
      <c r="A2791" s="1" t="s">
        <v>571</v>
      </c>
      <c r="B2791" s="1" t="s">
        <v>1234</v>
      </c>
      <c r="C2791" s="1" t="s">
        <v>1235</v>
      </c>
      <c r="D2791" s="1" t="s">
        <v>682</v>
      </c>
      <c r="E2791" s="1" t="s">
        <v>682</v>
      </c>
      <c r="F2791" s="1" t="s">
        <v>1236</v>
      </c>
      <c r="G2791" s="1" t="s">
        <v>1237</v>
      </c>
      <c r="H2791" s="2" t="str">
        <f>Tabella1[[#This Row],[Denominazione]]&amp;" - "&amp;Tabella1[[#This Row],[Città]]</f>
        <v>CAMPEGGIO-CENTRO VACANZE VERDE LUNA - FANO</v>
      </c>
    </row>
    <row r="2792" spans="1:8" x14ac:dyDescent="0.25">
      <c r="A2792" s="1" t="s">
        <v>571</v>
      </c>
      <c r="B2792" s="1" t="s">
        <v>9641</v>
      </c>
      <c r="C2792" s="1" t="s">
        <v>9642</v>
      </c>
      <c r="D2792" s="1" t="s">
        <v>8949</v>
      </c>
      <c r="E2792" s="1" t="s">
        <v>9643</v>
      </c>
      <c r="F2792" s="1" t="s">
        <v>9644</v>
      </c>
      <c r="G2792" s="1" t="s">
        <v>9645</v>
      </c>
      <c r="H2792" s="2" t="str">
        <f>Tabella1[[#This Row],[Denominazione]]&amp;" - "&amp;Tabella1[[#This Row],[Città]]</f>
        <v>CAMPING ADRIATICO - SENIGALLIA</v>
      </c>
    </row>
    <row r="2793" spans="1:8" x14ac:dyDescent="0.25">
      <c r="A2793" s="1" t="s">
        <v>571</v>
      </c>
      <c r="B2793" s="1" t="s">
        <v>11814</v>
      </c>
      <c r="C2793" s="1" t="s">
        <v>11815</v>
      </c>
      <c r="D2793" s="1" t="s">
        <v>11792</v>
      </c>
      <c r="E2793" s="1" t="s">
        <v>11792</v>
      </c>
      <c r="F2793" s="1" t="s">
        <v>11816</v>
      </c>
      <c r="G2793" s="1" t="s">
        <v>11817</v>
      </c>
      <c r="H2793" s="2" t="str">
        <f>Tabella1[[#This Row],[Denominazione]]&amp;" - "&amp;Tabella1[[#This Row],[Città]]</f>
        <v>CAMPING AL LAGO - FIASTRA</v>
      </c>
    </row>
    <row r="2794" spans="1:8" x14ac:dyDescent="0.25">
      <c r="A2794" s="1" t="s">
        <v>571</v>
      </c>
      <c r="B2794" s="1" t="s">
        <v>2835</v>
      </c>
      <c r="C2794" s="1" t="s">
        <v>2836</v>
      </c>
      <c r="D2794" s="1" t="s">
        <v>1605</v>
      </c>
      <c r="E2794" s="1" t="s">
        <v>1456</v>
      </c>
      <c r="F2794" s="1" t="s">
        <v>2837</v>
      </c>
      <c r="G2794" s="1" t="s">
        <v>2838</v>
      </c>
      <c r="H2794" s="2" t="str">
        <f>Tabella1[[#This Row],[Denominazione]]&amp;" - "&amp;Tabella1[[#This Row],[Città]]</f>
        <v>CAMPING CESANO - MONDOLFO</v>
      </c>
    </row>
    <row r="2795" spans="1:8" x14ac:dyDescent="0.25">
      <c r="A2795" s="1" t="s">
        <v>679</v>
      </c>
      <c r="B2795" s="1" t="s">
        <v>2864</v>
      </c>
      <c r="C2795" s="1" t="s">
        <v>2865</v>
      </c>
      <c r="D2795" s="1" t="s">
        <v>1605</v>
      </c>
      <c r="E2795" s="1" t="s">
        <v>1605</v>
      </c>
      <c r="F2795" s="1" t="s">
        <v>2866</v>
      </c>
      <c r="G2795" s="1" t="s">
        <v>2867</v>
      </c>
      <c r="H2795" s="2" t="str">
        <f>Tabella1[[#This Row],[Denominazione]]&amp;" - "&amp;Tabella1[[#This Row],[Città]]</f>
        <v>CAMPING DEL GABBIANO - MONDOLFO</v>
      </c>
    </row>
    <row r="2796" spans="1:8" x14ac:dyDescent="0.25">
      <c r="A2796" s="1" t="s">
        <v>571</v>
      </c>
      <c r="B2796" s="1" t="s">
        <v>14263</v>
      </c>
      <c r="C2796" s="1" t="s">
        <v>14264</v>
      </c>
      <c r="D2796" s="1" t="s">
        <v>14213</v>
      </c>
      <c r="E2796" s="1" t="s">
        <v>14213</v>
      </c>
      <c r="G2796" s="1" t="s">
        <v>14265</v>
      </c>
      <c r="H2796" s="2" t="str">
        <f>Tabella1[[#This Row],[Denominazione]]&amp;" - "&amp;Tabella1[[#This Row],[Città]]</f>
        <v>CAMPING ESTATE INVERNO - USSITA</v>
      </c>
    </row>
    <row r="2797" spans="1:8" x14ac:dyDescent="0.25">
      <c r="A2797" s="1" t="s">
        <v>571</v>
      </c>
      <c r="B2797" s="1" t="s">
        <v>1945</v>
      </c>
      <c r="D2797" s="1" t="s">
        <v>1907</v>
      </c>
      <c r="E2797" s="1" t="s">
        <v>1907</v>
      </c>
      <c r="G2797" s="1" t="s">
        <v>1946</v>
      </c>
      <c r="H2797" s="2" t="str">
        <f>Tabella1[[#This Row],[Denominazione]]&amp;" - "&amp;Tabella1[[#This Row],[Città]]</f>
        <v>CAMPING GABICCE MONTE - GABICCE MARE</v>
      </c>
    </row>
    <row r="2798" spans="1:8" x14ac:dyDescent="0.25">
      <c r="A2798" s="1" t="s">
        <v>6092</v>
      </c>
      <c r="B2798" s="1" t="s">
        <v>18132</v>
      </c>
      <c r="C2798" s="1" t="s">
        <v>18133</v>
      </c>
      <c r="D2798" s="1" t="s">
        <v>17932</v>
      </c>
      <c r="E2798" s="1" t="s">
        <v>17932</v>
      </c>
      <c r="F2798" s="1" t="s">
        <v>18134</v>
      </c>
      <c r="G2798" s="1" t="s">
        <v>18135</v>
      </c>
      <c r="H2798" s="2" t="str">
        <f>Tabella1[[#This Row],[Denominazione]]&amp;" - "&amp;Tabella1[[#This Row],[Città]]</f>
        <v>CAMPING GEMMA - FERMO</v>
      </c>
    </row>
    <row r="2799" spans="1:8" x14ac:dyDescent="0.25">
      <c r="A2799" s="1" t="s">
        <v>571</v>
      </c>
      <c r="B2799" s="1" t="s">
        <v>10300</v>
      </c>
      <c r="C2799" s="1" t="s">
        <v>10301</v>
      </c>
      <c r="D2799" s="1" t="s">
        <v>10206</v>
      </c>
      <c r="E2799" s="1" t="s">
        <v>10206</v>
      </c>
      <c r="F2799" s="1" t="s">
        <v>10302</v>
      </c>
      <c r="G2799" s="1" t="s">
        <v>10303</v>
      </c>
      <c r="H2799" s="2" t="str">
        <f>Tabella1[[#This Row],[Denominazione]]&amp;" - "&amp;Tabella1[[#This Row],[Città]]</f>
        <v>CAMPING INTERNAZIONALE - SIROLO</v>
      </c>
    </row>
    <row r="2800" spans="1:8" x14ac:dyDescent="0.25">
      <c r="A2800" s="1" t="s">
        <v>571</v>
      </c>
      <c r="B2800" s="1" t="s">
        <v>572</v>
      </c>
      <c r="C2800" s="1" t="s">
        <v>573</v>
      </c>
      <c r="D2800" s="1" t="s">
        <v>535</v>
      </c>
      <c r="E2800" s="1" t="s">
        <v>574</v>
      </c>
      <c r="F2800" s="1" t="s">
        <v>575</v>
      </c>
      <c r="G2800" s="1" t="s">
        <v>576</v>
      </c>
      <c r="H2800" s="2" t="str">
        <f>Tabella1[[#This Row],[Denominazione]]&amp;" - "&amp;Tabella1[[#This Row],[Città]]</f>
        <v>CAMPING LE GINESTRE DEL CATRIA - CANTIANO</v>
      </c>
    </row>
    <row r="2801" spans="1:8" x14ac:dyDescent="0.25">
      <c r="A2801" s="1" t="s">
        <v>571</v>
      </c>
      <c r="B2801" s="1" t="s">
        <v>821</v>
      </c>
      <c r="C2801" s="1" t="s">
        <v>822</v>
      </c>
      <c r="D2801" s="1" t="s">
        <v>682</v>
      </c>
      <c r="E2801" s="1" t="s">
        <v>682</v>
      </c>
      <c r="F2801" s="1" t="s">
        <v>823</v>
      </c>
      <c r="G2801" s="1" t="s">
        <v>824</v>
      </c>
      <c r="H2801" s="2" t="str">
        <f>Tabella1[[#This Row],[Denominazione]]&amp;" - "&amp;Tabella1[[#This Row],[Città]]</f>
        <v>CAMPING MADONNA PONTE - FANO</v>
      </c>
    </row>
    <row r="2802" spans="1:8" x14ac:dyDescent="0.25">
      <c r="A2802" s="1" t="s">
        <v>571</v>
      </c>
      <c r="B2802" s="1" t="s">
        <v>1079</v>
      </c>
      <c r="C2802" s="1" t="s">
        <v>1080</v>
      </c>
      <c r="D2802" s="1" t="s">
        <v>682</v>
      </c>
      <c r="E2802" s="1" t="s">
        <v>682</v>
      </c>
      <c r="F2802" s="1" t="s">
        <v>1081</v>
      </c>
      <c r="G2802" s="1" t="s">
        <v>1082</v>
      </c>
      <c r="H2802" s="2" t="str">
        <f>Tabella1[[#This Row],[Denominazione]]&amp;" - "&amp;Tabella1[[#This Row],[Città]]</f>
        <v>CAMPING METAURO - FANO</v>
      </c>
    </row>
    <row r="2803" spans="1:8" x14ac:dyDescent="0.25">
      <c r="A2803" s="1" t="s">
        <v>571</v>
      </c>
      <c r="B2803" s="1" t="s">
        <v>18550</v>
      </c>
      <c r="C2803" s="1" t="s">
        <v>18551</v>
      </c>
      <c r="D2803" s="1" t="s">
        <v>18522</v>
      </c>
      <c r="E2803" s="1" t="s">
        <v>18522</v>
      </c>
      <c r="G2803" s="1" t="s">
        <v>18552</v>
      </c>
      <c r="H2803" s="2" t="str">
        <f>Tabella1[[#This Row],[Denominazione]]&amp;" - "&amp;Tabella1[[#This Row],[Città]]</f>
        <v>CAMPING MONTESPINO - MONTEFORTINO</v>
      </c>
    </row>
    <row r="2804" spans="1:8" x14ac:dyDescent="0.25">
      <c r="A2804" s="1" t="s">
        <v>571</v>
      </c>
      <c r="B2804" s="1" t="s">
        <v>11834</v>
      </c>
      <c r="D2804" s="1" t="s">
        <v>11792</v>
      </c>
      <c r="E2804" s="1" t="s">
        <v>11835</v>
      </c>
      <c r="F2804" s="1" t="s">
        <v>11836</v>
      </c>
      <c r="G2804" s="1" t="s">
        <v>11837</v>
      </c>
      <c r="H2804" s="2" t="str">
        <f>Tabella1[[#This Row],[Denominazione]]&amp;" - "&amp;Tabella1[[#This Row],[Città]]</f>
        <v>CAMPING NATURALISTICO BELVEDERE RUFELLA - FIASTRA</v>
      </c>
    </row>
    <row r="2805" spans="1:8" x14ac:dyDescent="0.25">
      <c r="A2805" s="1" t="s">
        <v>571</v>
      </c>
      <c r="B2805" s="1" t="s">
        <v>3765</v>
      </c>
      <c r="C2805" s="1" t="s">
        <v>3766</v>
      </c>
      <c r="D2805" s="1" t="s">
        <v>2386</v>
      </c>
      <c r="E2805" s="1" t="s">
        <v>2386</v>
      </c>
      <c r="F2805" s="1" t="s">
        <v>3767</v>
      </c>
      <c r="G2805" s="1" t="s">
        <v>3768</v>
      </c>
      <c r="H2805" s="2" t="str">
        <f>Tabella1[[#This Row],[Denominazione]]&amp;" - "&amp;Tabella1[[#This Row],[Città]]</f>
        <v>CAMPING NORINA - PESARO</v>
      </c>
    </row>
    <row r="2806" spans="1:8" x14ac:dyDescent="0.25">
      <c r="A2806" s="1" t="s">
        <v>571</v>
      </c>
      <c r="B2806" s="1" t="s">
        <v>15523</v>
      </c>
      <c r="C2806" s="1" t="s">
        <v>15524</v>
      </c>
      <c r="D2806" s="1" t="s">
        <v>15349</v>
      </c>
      <c r="E2806" s="1" t="s">
        <v>15349</v>
      </c>
      <c r="H2806" s="2" t="str">
        <f>Tabella1[[#This Row],[Denominazione]]&amp;" - "&amp;Tabella1[[#This Row],[Città]]</f>
        <v>CAMPING OASI - CUPRA MARITTIMA</v>
      </c>
    </row>
    <row r="2807" spans="1:8" x14ac:dyDescent="0.25">
      <c r="A2807" s="1" t="s">
        <v>571</v>
      </c>
      <c r="B2807" s="1" t="s">
        <v>3045</v>
      </c>
      <c r="C2807" s="1" t="s">
        <v>3046</v>
      </c>
      <c r="D2807" s="1" t="s">
        <v>3038</v>
      </c>
      <c r="E2807" s="1" t="s">
        <v>3038</v>
      </c>
      <c r="F2807" s="1" t="s">
        <v>3047</v>
      </c>
      <c r="G2807" s="1" t="s">
        <v>3048</v>
      </c>
      <c r="H2807" s="2" t="str">
        <f>Tabella1[[#This Row],[Denominazione]]&amp;" - "&amp;Tabella1[[#This Row],[Città]]</f>
        <v>CAMPING PODERE SEI POORTE - MONTECICCARDO</v>
      </c>
    </row>
    <row r="2808" spans="1:8" x14ac:dyDescent="0.25">
      <c r="A2808" s="1" t="s">
        <v>6092</v>
      </c>
      <c r="B2808" s="1" t="s">
        <v>8103</v>
      </c>
      <c r="C2808" s="1" t="s">
        <v>8104</v>
      </c>
      <c r="D2808" s="1" t="s">
        <v>7889</v>
      </c>
      <c r="E2808" s="1" t="s">
        <v>7889</v>
      </c>
      <c r="F2808" s="1" t="s">
        <v>8105</v>
      </c>
      <c r="G2808" s="1" t="s">
        <v>8106</v>
      </c>
      <c r="H2808" s="2" t="str">
        <f>Tabella1[[#This Row],[Denominazione]]&amp;" - "&amp;Tabella1[[#This Row],[Città]]</f>
        <v>CAMPING RIVIERA VILLAGE - NUMANA</v>
      </c>
    </row>
    <row r="2809" spans="1:8" x14ac:dyDescent="0.25">
      <c r="A2809" s="1" t="s">
        <v>571</v>
      </c>
      <c r="B2809" s="1" t="s">
        <v>18860</v>
      </c>
      <c r="C2809" s="1" t="s">
        <v>18861</v>
      </c>
      <c r="D2809" s="1" t="s">
        <v>18862</v>
      </c>
      <c r="E2809" s="1" t="s">
        <v>18862</v>
      </c>
      <c r="G2809" s="1" t="s">
        <v>18863</v>
      </c>
      <c r="H2809" s="2" t="str">
        <f>Tabella1[[#This Row],[Denominazione]]&amp;" - "&amp;Tabella1[[#This Row],[Città]]</f>
        <v>CAMPING SAN PROCOLO - MONTE VIDON COMBATTE</v>
      </c>
    </row>
    <row r="2810" spans="1:8" x14ac:dyDescent="0.25">
      <c r="A2810" s="1" t="s">
        <v>571</v>
      </c>
      <c r="B2810" s="1" t="s">
        <v>17417</v>
      </c>
      <c r="C2810" s="1" t="s">
        <v>17418</v>
      </c>
      <c r="D2810" s="1" t="s">
        <v>15819</v>
      </c>
      <c r="E2810" s="1" t="s">
        <v>15819</v>
      </c>
      <c r="G2810" s="1" t="s">
        <v>17419</v>
      </c>
      <c r="H2810" s="2" t="str">
        <f>Tabella1[[#This Row],[Denominazione]]&amp;" - "&amp;Tabella1[[#This Row],[Città]]</f>
        <v>CAMPING SEASIDE - SAN BENEDETTO DEL TRONTO</v>
      </c>
    </row>
    <row r="2811" spans="1:8" x14ac:dyDescent="0.25">
      <c r="A2811" s="1" t="s">
        <v>571</v>
      </c>
      <c r="B2811" s="1" t="s">
        <v>18585</v>
      </c>
      <c r="C2811" s="1" t="s">
        <v>18586</v>
      </c>
      <c r="D2811" s="1" t="s">
        <v>18522</v>
      </c>
      <c r="E2811" s="1" t="s">
        <v>18587</v>
      </c>
      <c r="G2811" s="1" t="s">
        <v>18561</v>
      </c>
      <c r="H2811" s="2" t="str">
        <f>Tabella1[[#This Row],[Denominazione]]&amp;" - "&amp;Tabella1[[#This Row],[Città]]</f>
        <v>CAMPING SIBILLA - MONTEFORTINO</v>
      </c>
    </row>
    <row r="2812" spans="1:8" x14ac:dyDescent="0.25">
      <c r="A2812" s="1" t="s">
        <v>679</v>
      </c>
      <c r="B2812" s="1" t="s">
        <v>1069</v>
      </c>
      <c r="C2812" s="1" t="s">
        <v>1026</v>
      </c>
      <c r="D2812" s="1" t="s">
        <v>682</v>
      </c>
      <c r="E2812" s="1" t="s">
        <v>682</v>
      </c>
      <c r="H2812" s="2" t="str">
        <f>Tabella1[[#This Row],[Denominazione]]&amp;" - "&amp;Tabella1[[#This Row],[Città]]</f>
        <v>CAMPING STELLA MARIS DI TARSI AMEDEO - FANO</v>
      </c>
    </row>
    <row r="2813" spans="1:8" x14ac:dyDescent="0.25">
      <c r="A2813" s="1" t="s">
        <v>571</v>
      </c>
      <c r="B2813" s="1" t="s">
        <v>1198</v>
      </c>
      <c r="C2813" s="1" t="s">
        <v>1199</v>
      </c>
      <c r="D2813" s="1" t="s">
        <v>682</v>
      </c>
      <c r="E2813" s="1" t="s">
        <v>682</v>
      </c>
      <c r="H2813" s="2" t="str">
        <f>Tabella1[[#This Row],[Denominazione]]&amp;" - "&amp;Tabella1[[#This Row],[Città]]</f>
        <v>CAMPING TORRETTE - FANO</v>
      </c>
    </row>
    <row r="2814" spans="1:8" x14ac:dyDescent="0.25">
      <c r="A2814" s="1" t="s">
        <v>571</v>
      </c>
      <c r="B2814" s="1" t="s">
        <v>13230</v>
      </c>
      <c r="C2814" s="1" t="s">
        <v>13231</v>
      </c>
      <c r="D2814" s="1" t="s">
        <v>13026</v>
      </c>
      <c r="E2814" s="1" t="s">
        <v>13026</v>
      </c>
      <c r="F2814" s="1" t="s">
        <v>13232</v>
      </c>
      <c r="G2814" s="1" t="s">
        <v>13233</v>
      </c>
      <c r="H2814" s="2" t="str">
        <f>Tabella1[[#This Row],[Denominazione]]&amp;" - "&amp;Tabella1[[#This Row],[Città]]</f>
        <v>CAMPING VILLAGE COSTA VERDE - POTENZA PICENA</v>
      </c>
    </row>
    <row r="2815" spans="1:8" x14ac:dyDescent="0.25">
      <c r="A2815" s="1" t="s">
        <v>35</v>
      </c>
      <c r="B2815" s="1" t="s">
        <v>2531</v>
      </c>
      <c r="C2815" s="1" t="s">
        <v>2532</v>
      </c>
      <c r="D2815" s="1" t="s">
        <v>2529</v>
      </c>
      <c r="E2815" s="1" t="s">
        <v>2529</v>
      </c>
      <c r="F2815" s="1" t="s">
        <v>2533</v>
      </c>
      <c r="G2815" s="1" t="s">
        <v>2534</v>
      </c>
      <c r="H2815" s="2" t="str">
        <f>Tabella1[[#This Row],[Denominazione]]&amp;" - "&amp;Tabella1[[#This Row],[Città]]</f>
        <v>CAMPO DEGLI OLIVI - ISOLA DEL PIANO</v>
      </c>
    </row>
    <row r="2816" spans="1:8" x14ac:dyDescent="0.25">
      <c r="A2816" s="1" t="s">
        <v>35</v>
      </c>
      <c r="B2816" s="1" t="s">
        <v>11807</v>
      </c>
      <c r="C2816" s="1" t="s">
        <v>11808</v>
      </c>
      <c r="D2816" s="1" t="s">
        <v>11792</v>
      </c>
      <c r="G2816" s="1" t="s">
        <v>11809</v>
      </c>
      <c r="H2816" s="2" t="str">
        <f>Tabella1[[#This Row],[Denominazione]]&amp;" - "&amp;Tabella1[[#This Row],[Città]]</f>
        <v>CAMPO DEL RIO - FIASTRA</v>
      </c>
    </row>
    <row r="2817" spans="1:8" x14ac:dyDescent="0.25">
      <c r="A2817" s="1" t="s">
        <v>571</v>
      </c>
      <c r="B2817" s="1" t="s">
        <v>1322</v>
      </c>
      <c r="C2817" s="1" t="s">
        <v>1323</v>
      </c>
      <c r="D2817" s="1" t="s">
        <v>682</v>
      </c>
      <c r="F2817" s="1" t="s">
        <v>1324</v>
      </c>
      <c r="G2817" s="1" t="s">
        <v>1325</v>
      </c>
      <c r="H2817" s="2" t="str">
        <f>Tabella1[[#This Row],[Denominazione]]&amp;" - "&amp;Tabella1[[#This Row],[Città]]</f>
        <v>CAMPO NUNZIA - FANO</v>
      </c>
    </row>
    <row r="2818" spans="1:8" x14ac:dyDescent="0.25">
      <c r="A2818" s="1" t="s">
        <v>35</v>
      </c>
      <c r="B2818" s="1" t="s">
        <v>11577</v>
      </c>
      <c r="C2818" s="1" t="s">
        <v>11578</v>
      </c>
      <c r="D2818" s="1" t="s">
        <v>11244</v>
      </c>
      <c r="E2818" s="1" t="s">
        <v>11244</v>
      </c>
      <c r="G2818" s="1" t="s">
        <v>11579</v>
      </c>
      <c r="H2818" s="2" t="str">
        <f>Tabella1[[#This Row],[Denominazione]]&amp;" - "&amp;Tabella1[[#This Row],[Città]]</f>
        <v>CAMPOLUNGO - CIVITANOVA MARCHE</v>
      </c>
    </row>
    <row r="2819" spans="1:8" x14ac:dyDescent="0.25">
      <c r="A2819" s="1" t="s">
        <v>82</v>
      </c>
      <c r="B2819" s="1" t="s">
        <v>13439</v>
      </c>
      <c r="D2819" s="1" t="s">
        <v>6072</v>
      </c>
      <c r="H2819" s="2" t="str">
        <f>Tabella1[[#This Row],[Denominazione]]&amp;" - "&amp;Tabella1[[#This Row],[Città]]</f>
        <v>CAMPUGIANI GIAMMARIO - SAN GINESIO</v>
      </c>
    </row>
    <row r="2820" spans="1:8" x14ac:dyDescent="0.25">
      <c r="A2820" s="1" t="s">
        <v>82</v>
      </c>
      <c r="B2820" s="1" t="s">
        <v>13385</v>
      </c>
      <c r="D2820" s="1" t="s">
        <v>13298</v>
      </c>
      <c r="F2820" s="1" t="s">
        <v>13386</v>
      </c>
      <c r="G2820" s="1" t="s">
        <v>13387</v>
      </c>
      <c r="H2820" s="2" t="str">
        <f>Tabella1[[#This Row],[Denominazione]]&amp;" - "&amp;Tabella1[[#This Row],[Città]]</f>
        <v>CAMPUS L'INFINITO - RECANATI</v>
      </c>
    </row>
    <row r="2821" spans="1:8" x14ac:dyDescent="0.25">
      <c r="A2821" s="1" t="s">
        <v>35</v>
      </c>
      <c r="B2821" s="1" t="s">
        <v>4796</v>
      </c>
      <c r="C2821" s="1" t="s">
        <v>4797</v>
      </c>
      <c r="D2821" s="1" t="s">
        <v>4735</v>
      </c>
      <c r="E2821" s="1" t="s">
        <v>4798</v>
      </c>
      <c r="G2821" s="1" t="s">
        <v>4799</v>
      </c>
      <c r="H2821" s="2" t="str">
        <f>Tabella1[[#This Row],[Denominazione]]&amp;" - "&amp;Tabella1[[#This Row],[Città]]</f>
        <v>CANDIANACCIO - URBANIA</v>
      </c>
    </row>
    <row r="2822" spans="1:8" x14ac:dyDescent="0.25">
      <c r="A2822" s="1" t="s">
        <v>12</v>
      </c>
      <c r="B2822" s="1" t="s">
        <v>799</v>
      </c>
      <c r="C2822" s="1" t="s">
        <v>800</v>
      </c>
      <c r="D2822" s="1" t="s">
        <v>682</v>
      </c>
      <c r="E2822" s="1" t="s">
        <v>682</v>
      </c>
      <c r="G2822" s="1" t="s">
        <v>801</v>
      </c>
      <c r="H2822" s="2" t="str">
        <f>Tabella1[[#This Row],[Denominazione]]&amp;" - "&amp;Tabella1[[#This Row],[Città]]</f>
        <v>CANESTRARI FRANCO - FANO</v>
      </c>
    </row>
    <row r="2823" spans="1:8" x14ac:dyDescent="0.25">
      <c r="A2823" s="1" t="s">
        <v>20</v>
      </c>
      <c r="B2823" s="1" t="s">
        <v>17470</v>
      </c>
      <c r="C2823" s="1" t="s">
        <v>17471</v>
      </c>
      <c r="D2823" s="1" t="s">
        <v>15819</v>
      </c>
      <c r="E2823" s="1" t="s">
        <v>15819</v>
      </c>
      <c r="F2823" s="1" t="s">
        <v>17472</v>
      </c>
      <c r="G2823" s="1" t="s">
        <v>17473</v>
      </c>
      <c r="H2823" s="2" t="str">
        <f>Tabella1[[#This Row],[Denominazione]]&amp;" - "&amp;Tabella1[[#This Row],[Città]]</f>
        <v>CANGURO - SAN BENEDETTO DEL TRONTO</v>
      </c>
    </row>
    <row r="2824" spans="1:8" x14ac:dyDescent="0.25">
      <c r="A2824" s="1" t="s">
        <v>35</v>
      </c>
      <c r="B2824" s="1" t="s">
        <v>18762</v>
      </c>
      <c r="C2824" s="1" t="s">
        <v>18763</v>
      </c>
      <c r="D2824" s="1" t="s">
        <v>18757</v>
      </c>
      <c r="F2824" s="1" t="s">
        <v>18764</v>
      </c>
      <c r="G2824" s="1" t="s">
        <v>18765</v>
      </c>
      <c r="H2824" s="2" t="str">
        <f>Tabella1[[#This Row],[Denominazione]]&amp;" - "&amp;Tabella1[[#This Row],[Città]]</f>
        <v>CANTINA DEI MONTI "Casa Sacciofa" - MONTE RINALDO</v>
      </c>
    </row>
    <row r="2825" spans="1:8" x14ac:dyDescent="0.25">
      <c r="A2825" s="1" t="s">
        <v>20</v>
      </c>
      <c r="B2825" s="1" t="s">
        <v>14618</v>
      </c>
      <c r="C2825" s="1" t="s">
        <v>14619</v>
      </c>
      <c r="D2825" s="1" t="s">
        <v>14576</v>
      </c>
      <c r="E2825" s="1" t="s">
        <v>14576</v>
      </c>
      <c r="F2825" s="1" t="s">
        <v>14620</v>
      </c>
      <c r="G2825" s="1" t="s">
        <v>14621</v>
      </c>
      <c r="H2825" s="2" t="str">
        <f>Tabella1[[#This Row],[Denominazione]]&amp;" - "&amp;Tabella1[[#This Row],[Città]]</f>
        <v>CANTINA DELL'ARTE - ASCOLI PICENO</v>
      </c>
    </row>
    <row r="2826" spans="1:8" x14ac:dyDescent="0.25">
      <c r="A2826" s="1" t="s">
        <v>82</v>
      </c>
      <c r="B2826" s="1" t="s">
        <v>14618</v>
      </c>
      <c r="C2826" s="1" t="s">
        <v>14619</v>
      </c>
      <c r="D2826" s="1" t="s">
        <v>14576</v>
      </c>
      <c r="G2826" s="1" t="s">
        <v>14728</v>
      </c>
      <c r="H2826" s="2" t="str">
        <f>Tabella1[[#This Row],[Denominazione]]&amp;" - "&amp;Tabella1[[#This Row],[Città]]</f>
        <v>CANTINA DELL'ARTE - ASCOLI PICENO</v>
      </c>
    </row>
    <row r="2827" spans="1:8" x14ac:dyDescent="0.25">
      <c r="A2827" s="1" t="s">
        <v>6</v>
      </c>
      <c r="B2827" s="1" t="s">
        <v>6534</v>
      </c>
      <c r="C2827" s="1" t="s">
        <v>6535</v>
      </c>
      <c r="D2827" s="1" t="s">
        <v>6536</v>
      </c>
      <c r="F2827" s="1" t="s">
        <v>6537</v>
      </c>
      <c r="G2827" s="1" t="s">
        <v>6538</v>
      </c>
      <c r="H2827" s="2" t="str">
        <f>Tabella1[[#This Row],[Denominazione]]&amp;" - "&amp;Tabella1[[#This Row],[Città]]</f>
        <v>CANTINA LANGELINA - CORINALDO</v>
      </c>
    </row>
    <row r="2828" spans="1:8" x14ac:dyDescent="0.25">
      <c r="A2828" s="1" t="s">
        <v>679</v>
      </c>
      <c r="B2828" s="1" t="s">
        <v>19106</v>
      </c>
      <c r="C2828" s="1" t="s">
        <v>19068</v>
      </c>
      <c r="D2828" s="1" t="s">
        <v>18082</v>
      </c>
      <c r="E2828" s="1" t="s">
        <v>18082</v>
      </c>
      <c r="F2828" s="1" t="s">
        <v>19107</v>
      </c>
      <c r="H2828" s="2" t="str">
        <f>Tabella1[[#This Row],[Denominazione]]&amp;" - "&amp;Tabella1[[#This Row],[Città]]</f>
        <v>CANTO DO MAR BAGNI ENZO - PORTO SAN GIORGIO</v>
      </c>
    </row>
    <row r="2829" spans="1:8" x14ac:dyDescent="0.25">
      <c r="A2829" s="1" t="s">
        <v>679</v>
      </c>
      <c r="B2829" s="1" t="s">
        <v>19106</v>
      </c>
      <c r="C2829" s="1" t="s">
        <v>19068</v>
      </c>
      <c r="D2829" s="1" t="s">
        <v>18082</v>
      </c>
      <c r="E2829" s="1" t="s">
        <v>18082</v>
      </c>
      <c r="F2829" s="1" t="s">
        <v>19107</v>
      </c>
      <c r="H2829" s="2" t="str">
        <f>Tabella1[[#This Row],[Denominazione]]&amp;" - "&amp;Tabella1[[#This Row],[Città]]</f>
        <v>CANTO DO MAR BAGNI ENZO - PORTO SAN GIORGIO</v>
      </c>
    </row>
    <row r="2830" spans="1:8" x14ac:dyDescent="0.25">
      <c r="A2830" s="1" t="s">
        <v>679</v>
      </c>
      <c r="B2830" s="1" t="s">
        <v>15865</v>
      </c>
      <c r="C2830" s="1" t="s">
        <v>15866</v>
      </c>
      <c r="D2830" s="1" t="s">
        <v>15585</v>
      </c>
      <c r="E2830" s="1" t="s">
        <v>15819</v>
      </c>
      <c r="H2830" s="2" t="str">
        <f>Tabella1[[#This Row],[Denominazione]]&amp;" - "&amp;Tabella1[[#This Row],[Città]]</f>
        <v>CANTU' - GROTTAMMARE</v>
      </c>
    </row>
    <row r="2831" spans="1:8" x14ac:dyDescent="0.25">
      <c r="A2831" s="1" t="s">
        <v>12</v>
      </c>
      <c r="B2831" s="1" t="s">
        <v>12604</v>
      </c>
      <c r="C2831" s="1" t="s">
        <v>12605</v>
      </c>
      <c r="D2831" s="1" t="s">
        <v>12546</v>
      </c>
      <c r="E2831" s="1" t="s">
        <v>12546</v>
      </c>
      <c r="G2831" s="1" t="s">
        <v>12606</v>
      </c>
      <c r="H2831" s="2" t="str">
        <f>Tabella1[[#This Row],[Denominazione]]&amp;" - "&amp;Tabella1[[#This Row],[Città]]</f>
        <v>CAPINERA ANTONIETTA - MORROVALLE</v>
      </c>
    </row>
    <row r="2832" spans="1:8" x14ac:dyDescent="0.25">
      <c r="A2832" s="1" t="s">
        <v>679</v>
      </c>
      <c r="B2832" s="1" t="s">
        <v>19108</v>
      </c>
      <c r="C2832" s="1" t="s">
        <v>19048</v>
      </c>
      <c r="D2832" s="1" t="s">
        <v>18082</v>
      </c>
      <c r="E2832" s="1" t="s">
        <v>18082</v>
      </c>
      <c r="H2832" s="2" t="str">
        <f>Tabella1[[#This Row],[Denominazione]]&amp;" - "&amp;Tabella1[[#This Row],[Città]]</f>
        <v>CAPITAN HARLOCK - PORTO SAN GIORGIO</v>
      </c>
    </row>
    <row r="2833" spans="1:8" x14ac:dyDescent="0.25">
      <c r="A2833" s="1" t="s">
        <v>20</v>
      </c>
      <c r="B2833" s="1" t="s">
        <v>2120</v>
      </c>
      <c r="C2833" s="1" t="s">
        <v>2121</v>
      </c>
      <c r="D2833" s="1" t="s">
        <v>1907</v>
      </c>
      <c r="E2833" s="1" t="s">
        <v>1907</v>
      </c>
      <c r="F2833" s="1" t="s">
        <v>2122</v>
      </c>
      <c r="G2833" s="1" t="s">
        <v>2123</v>
      </c>
      <c r="H2833" s="2" t="str">
        <f>Tabella1[[#This Row],[Denominazione]]&amp;" - "&amp;Tabella1[[#This Row],[Città]]</f>
        <v>CAPO EST - GABICCE MARE</v>
      </c>
    </row>
    <row r="2834" spans="1:8" x14ac:dyDescent="0.25">
      <c r="A2834" s="1" t="s">
        <v>82</v>
      </c>
      <c r="B2834" s="1" t="s">
        <v>395</v>
      </c>
      <c r="C2834" s="1" t="s">
        <v>396</v>
      </c>
      <c r="D2834" s="1" t="s">
        <v>316</v>
      </c>
      <c r="E2834" s="1" t="s">
        <v>316</v>
      </c>
      <c r="H2834" s="2" t="str">
        <f>Tabella1[[#This Row],[Denominazione]]&amp;" - "&amp;Tabella1[[#This Row],[Città]]</f>
        <v>CAPOCCIA LUIGINA - CAGLI</v>
      </c>
    </row>
    <row r="2835" spans="1:8" x14ac:dyDescent="0.25">
      <c r="A2835" s="1" t="s">
        <v>12</v>
      </c>
      <c r="B2835" s="1" t="s">
        <v>3522</v>
      </c>
      <c r="C2835" s="1" t="s">
        <v>3523</v>
      </c>
      <c r="D2835" s="1" t="s">
        <v>2386</v>
      </c>
      <c r="E2835" s="1" t="s">
        <v>2386</v>
      </c>
      <c r="G2835" s="1" t="s">
        <v>3524</v>
      </c>
      <c r="H2835" s="2" t="str">
        <f>Tabella1[[#This Row],[Denominazione]]&amp;" - "&amp;Tabella1[[#This Row],[Città]]</f>
        <v>CAPODAGLI ANNA - PESARO</v>
      </c>
    </row>
    <row r="2836" spans="1:8" x14ac:dyDescent="0.25">
      <c r="A2836" s="1" t="s">
        <v>679</v>
      </c>
      <c r="B2836" s="1" t="s">
        <v>11650</v>
      </c>
      <c r="C2836" s="1" t="s">
        <v>11651</v>
      </c>
      <c r="D2836" s="1" t="s">
        <v>11244</v>
      </c>
      <c r="E2836" s="1" t="s">
        <v>11244</v>
      </c>
      <c r="F2836" s="1" t="s">
        <v>11652</v>
      </c>
      <c r="H2836" s="2" t="str">
        <f>Tabella1[[#This Row],[Denominazione]]&amp;" - "&amp;Tabella1[[#This Row],[Città]]</f>
        <v>CAPOLINEA - CIVITANOVA MARCHE</v>
      </c>
    </row>
    <row r="2837" spans="1:8" x14ac:dyDescent="0.25">
      <c r="A2837" s="1" t="s">
        <v>12</v>
      </c>
      <c r="B2837" s="1" t="s">
        <v>16879</v>
      </c>
      <c r="C2837" s="1" t="s">
        <v>16880</v>
      </c>
      <c r="D2837" s="1" t="s">
        <v>15819</v>
      </c>
      <c r="E2837" s="1" t="s">
        <v>15819</v>
      </c>
      <c r="G2837" s="1" t="s">
        <v>16846</v>
      </c>
      <c r="H2837" s="2" t="str">
        <f>Tabella1[[#This Row],[Denominazione]]&amp;" - "&amp;Tabella1[[#This Row],[Città]]</f>
        <v>CAPOLLI GIAMPIETRO - APP.TO VIA FANFULLA - SAN BENEDETTO DEL TRONTO</v>
      </c>
    </row>
    <row r="2838" spans="1:8" x14ac:dyDescent="0.25">
      <c r="A2838" s="1" t="s">
        <v>12</v>
      </c>
      <c r="B2838" s="1" t="s">
        <v>16844</v>
      </c>
      <c r="C2838" s="1" t="s">
        <v>16845</v>
      </c>
      <c r="D2838" s="1" t="s">
        <v>15819</v>
      </c>
      <c r="E2838" s="1" t="s">
        <v>15819</v>
      </c>
      <c r="G2838" s="1" t="s">
        <v>16846</v>
      </c>
      <c r="H2838" s="2" t="str">
        <f>Tabella1[[#This Row],[Denominazione]]&amp;" - "&amp;Tabella1[[#This Row],[Città]]</f>
        <v>CAPOLLI GIAMPIETRO - APP.TO VIA FOSSE ARDEATINE - SAN BENEDETTO DEL TRONTO</v>
      </c>
    </row>
    <row r="2839" spans="1:8" x14ac:dyDescent="0.25">
      <c r="A2839" s="1" t="s">
        <v>12</v>
      </c>
      <c r="B2839" s="1" t="s">
        <v>9164</v>
      </c>
      <c r="C2839" s="1" t="s">
        <v>9165</v>
      </c>
      <c r="D2839" s="1" t="s">
        <v>8949</v>
      </c>
      <c r="E2839" s="1" t="s">
        <v>8949</v>
      </c>
      <c r="G2839" s="1" t="s">
        <v>9037</v>
      </c>
      <c r="H2839" s="2" t="str">
        <f>Tabella1[[#This Row],[Denominazione]]&amp;" - "&amp;Tabella1[[#This Row],[Città]]</f>
        <v>CAPPELLETTI ELSA - SENIGALLIA</v>
      </c>
    </row>
    <row r="2840" spans="1:8" x14ac:dyDescent="0.25">
      <c r="A2840" s="1" t="s">
        <v>20</v>
      </c>
      <c r="B2840" s="1" t="s">
        <v>17611</v>
      </c>
      <c r="C2840" s="1" t="s">
        <v>17612</v>
      </c>
      <c r="D2840" s="1" t="s">
        <v>15819</v>
      </c>
      <c r="E2840" s="1" t="s">
        <v>15819</v>
      </c>
      <c r="F2840" s="1" t="s">
        <v>17613</v>
      </c>
      <c r="G2840" s="1" t="s">
        <v>17614</v>
      </c>
      <c r="H2840" s="2" t="str">
        <f>Tabella1[[#This Row],[Denominazione]]&amp;" - "&amp;Tabella1[[#This Row],[Città]]</f>
        <v>CAPRETTI - SAN BENEDETTO DEL TRONTO</v>
      </c>
    </row>
    <row r="2841" spans="1:8" x14ac:dyDescent="0.25">
      <c r="A2841" s="1" t="s">
        <v>20</v>
      </c>
      <c r="B2841" s="1" t="s">
        <v>2124</v>
      </c>
      <c r="C2841" s="1" t="s">
        <v>2125</v>
      </c>
      <c r="D2841" s="1" t="s">
        <v>1907</v>
      </c>
      <c r="E2841" s="1" t="s">
        <v>1907</v>
      </c>
      <c r="F2841" s="1" t="s">
        <v>2126</v>
      </c>
      <c r="G2841" s="1" t="s">
        <v>2127</v>
      </c>
      <c r="H2841" s="2" t="str">
        <f>Tabella1[[#This Row],[Denominazione]]&amp;" - "&amp;Tabella1[[#This Row],[Città]]</f>
        <v>CAPRI - GABICCE MARE</v>
      </c>
    </row>
    <row r="2842" spans="1:8" x14ac:dyDescent="0.25">
      <c r="A2842" s="1" t="s">
        <v>20</v>
      </c>
      <c r="B2842" s="1" t="s">
        <v>17720</v>
      </c>
      <c r="C2842" s="1" t="s">
        <v>17721</v>
      </c>
      <c r="D2842" s="1" t="s">
        <v>17703</v>
      </c>
      <c r="E2842" s="1" t="s">
        <v>17703</v>
      </c>
      <c r="H2842" s="2" t="str">
        <f>Tabella1[[#This Row],[Denominazione]]&amp;" - "&amp;Tabella1[[#This Row],[Città]]</f>
        <v>CAPRICE - ALTIDONA</v>
      </c>
    </row>
    <row r="2843" spans="1:8" x14ac:dyDescent="0.25">
      <c r="A2843" s="1" t="s">
        <v>679</v>
      </c>
      <c r="B2843" s="1" t="s">
        <v>11693</v>
      </c>
      <c r="C2843" s="1" t="s">
        <v>11694</v>
      </c>
      <c r="D2843" s="1" t="s">
        <v>11244</v>
      </c>
      <c r="E2843" s="1" t="s">
        <v>11244</v>
      </c>
      <c r="H2843" s="2" t="str">
        <f>Tabella1[[#This Row],[Denominazione]]&amp;" - "&amp;Tabella1[[#This Row],[Città]]</f>
        <v>CARACOLES - CIVITANOVA MARCHE</v>
      </c>
    </row>
    <row r="2844" spans="1:8" x14ac:dyDescent="0.25">
      <c r="A2844" s="1" t="s">
        <v>20</v>
      </c>
      <c r="B2844" s="1" t="s">
        <v>9745</v>
      </c>
      <c r="C2844" s="1" t="s">
        <v>9746</v>
      </c>
      <c r="D2844" s="1" t="s">
        <v>8949</v>
      </c>
      <c r="E2844" s="1" t="s">
        <v>9170</v>
      </c>
      <c r="F2844" s="1" t="s">
        <v>9747</v>
      </c>
      <c r="G2844" s="1" t="s">
        <v>9748</v>
      </c>
      <c r="H2844" s="2" t="str">
        <f>Tabella1[[#This Row],[Denominazione]]&amp;" - "&amp;Tabella1[[#This Row],[Città]]</f>
        <v>CARAIBI - SENIGALLIA</v>
      </c>
    </row>
    <row r="2845" spans="1:8" x14ac:dyDescent="0.25">
      <c r="A2845" s="1" t="s">
        <v>20</v>
      </c>
      <c r="B2845" s="1" t="s">
        <v>9745</v>
      </c>
      <c r="C2845" s="1" t="s">
        <v>15722</v>
      </c>
      <c r="D2845" s="1" t="s">
        <v>15585</v>
      </c>
      <c r="E2845" s="1" t="s">
        <v>15585</v>
      </c>
      <c r="F2845" s="1" t="s">
        <v>15723</v>
      </c>
      <c r="G2845" s="1" t="s">
        <v>15724</v>
      </c>
      <c r="H2845" s="2" t="str">
        <f>Tabella1[[#This Row],[Denominazione]]&amp;" - "&amp;Tabella1[[#This Row],[Città]]</f>
        <v>CARAIBI - GROTTAMMARE</v>
      </c>
    </row>
    <row r="2846" spans="1:8" x14ac:dyDescent="0.25">
      <c r="A2846" s="1" t="s">
        <v>12</v>
      </c>
      <c r="B2846" s="1" t="s">
        <v>13030</v>
      </c>
      <c r="C2846" s="1" t="s">
        <v>13031</v>
      </c>
      <c r="D2846" s="1" t="s">
        <v>13026</v>
      </c>
      <c r="E2846" s="1" t="s">
        <v>13026</v>
      </c>
      <c r="H2846" s="2" t="str">
        <f>Tabella1[[#This Row],[Denominazione]]&amp;" - "&amp;Tabella1[[#This Row],[Città]]</f>
        <v>CARASSAI GIANCARLO - POTENZA PICENA</v>
      </c>
    </row>
    <row r="2847" spans="1:8" x14ac:dyDescent="0.25">
      <c r="A2847" s="1" t="s">
        <v>20</v>
      </c>
      <c r="B2847" s="1" t="s">
        <v>3720</v>
      </c>
      <c r="C2847" s="1" t="s">
        <v>3721</v>
      </c>
      <c r="D2847" s="1" t="s">
        <v>2386</v>
      </c>
      <c r="E2847" s="1" t="s">
        <v>2386</v>
      </c>
      <c r="F2847" s="1" t="s">
        <v>3722</v>
      </c>
      <c r="G2847" s="1" t="s">
        <v>3723</v>
      </c>
      <c r="H2847" s="2" t="str">
        <f>Tabella1[[#This Row],[Denominazione]]&amp;" - "&amp;Tabella1[[#This Row],[Città]]</f>
        <v>CARAVAN - PESARO</v>
      </c>
    </row>
    <row r="2848" spans="1:8" x14ac:dyDescent="0.25">
      <c r="A2848" s="1" t="s">
        <v>35</v>
      </c>
      <c r="B2848" s="1" t="s">
        <v>13915</v>
      </c>
      <c r="C2848" s="1" t="s">
        <v>13916</v>
      </c>
      <c r="D2848" s="1" t="s">
        <v>13894</v>
      </c>
      <c r="E2848" s="1" t="s">
        <v>13894</v>
      </c>
      <c r="F2848" s="1" t="s">
        <v>13917</v>
      </c>
      <c r="G2848" s="1" t="s">
        <v>13918</v>
      </c>
      <c r="H2848" s="2" t="str">
        <f>Tabella1[[#This Row],[Denominazione]]&amp;" - "&amp;Tabella1[[#This Row],[Città]]</f>
        <v>CARAVANSERRAGLIO - SERRAPETRONA</v>
      </c>
    </row>
    <row r="2849" spans="1:8" x14ac:dyDescent="0.25">
      <c r="A2849" s="1" t="s">
        <v>82</v>
      </c>
      <c r="B2849" s="1" t="s">
        <v>13540</v>
      </c>
      <c r="C2849" s="1" t="s">
        <v>13541</v>
      </c>
      <c r="D2849" s="1" t="s">
        <v>6072</v>
      </c>
      <c r="G2849" s="1" t="s">
        <v>13542</v>
      </c>
      <c r="H2849" s="2" t="str">
        <f>Tabella1[[#This Row],[Denominazione]]&amp;" - "&amp;Tabella1[[#This Row],[Città]]</f>
        <v>CARAVANSERRAGLIO L'ANTICO MILIARIO - SAN GINESIO</v>
      </c>
    </row>
    <row r="2850" spans="1:8" x14ac:dyDescent="0.25">
      <c r="A2850" s="1" t="s">
        <v>20</v>
      </c>
      <c r="B2850" s="1" t="s">
        <v>1187</v>
      </c>
      <c r="C2850" s="1" t="s">
        <v>1188</v>
      </c>
      <c r="D2850" s="1" t="s">
        <v>682</v>
      </c>
      <c r="E2850" s="1" t="s">
        <v>1189</v>
      </c>
      <c r="F2850" s="1" t="s">
        <v>1033</v>
      </c>
      <c r="G2850" s="1" t="s">
        <v>1032</v>
      </c>
      <c r="H2850" s="2" t="str">
        <f>Tabella1[[#This Row],[Denominazione]]&amp;" - "&amp;Tabella1[[#This Row],[Città]]</f>
        <v>CARAVEL - FANO</v>
      </c>
    </row>
    <row r="2851" spans="1:8" x14ac:dyDescent="0.25">
      <c r="A2851" s="1" t="s">
        <v>12</v>
      </c>
      <c r="B2851" s="1" t="s">
        <v>15011</v>
      </c>
      <c r="C2851" s="1" t="s">
        <v>15012</v>
      </c>
      <c r="D2851" s="1" t="s">
        <v>14576</v>
      </c>
      <c r="E2851" s="1" t="s">
        <v>14582</v>
      </c>
      <c r="F2851" s="1" t="s">
        <v>15013</v>
      </c>
      <c r="G2851" s="1" t="s">
        <v>15014</v>
      </c>
      <c r="H2851" s="2" t="str">
        <f>Tabella1[[#This Row],[Denominazione]]&amp;" - "&amp;Tabella1[[#This Row],[Città]]</f>
        <v>CARBONE DANIELA - ASCOLI PICENO</v>
      </c>
    </row>
    <row r="2852" spans="1:8" x14ac:dyDescent="0.25">
      <c r="A2852" s="1" t="s">
        <v>35</v>
      </c>
      <c r="B2852" s="1" t="s">
        <v>12025</v>
      </c>
      <c r="C2852" s="1" t="s">
        <v>12026</v>
      </c>
      <c r="D2852" s="1" t="s">
        <v>11981</v>
      </c>
      <c r="E2852" s="1" t="s">
        <v>11981</v>
      </c>
      <c r="F2852" s="1" t="s">
        <v>12027</v>
      </c>
      <c r="G2852" s="1" t="s">
        <v>12028</v>
      </c>
      <c r="H2852" s="2" t="str">
        <f>Tabella1[[#This Row],[Denominazione]]&amp;" - "&amp;Tabella1[[#This Row],[Città]]</f>
        <v>CARDARELLI MIRYAM - LORO PICENO</v>
      </c>
    </row>
    <row r="2853" spans="1:8" x14ac:dyDescent="0.25">
      <c r="A2853" s="1" t="s">
        <v>35</v>
      </c>
      <c r="B2853" s="1" t="s">
        <v>12540</v>
      </c>
      <c r="C2853" s="1" t="s">
        <v>12518</v>
      </c>
      <c r="D2853" s="1" t="s">
        <v>12519</v>
      </c>
      <c r="E2853" s="1" t="s">
        <v>12519</v>
      </c>
      <c r="H2853" s="2" t="str">
        <f>Tabella1[[#This Row],[Denominazione]]&amp;" - "&amp;Tabella1[[#This Row],[Città]]</f>
        <v>CARDUCCI GIUSEPPE - MONTE SAN MARTINO</v>
      </c>
    </row>
    <row r="2854" spans="1:8" x14ac:dyDescent="0.25">
      <c r="A2854" s="1" t="s">
        <v>679</v>
      </c>
      <c r="B2854" s="1" t="s">
        <v>19438</v>
      </c>
      <c r="D2854" s="1" t="s">
        <v>19283</v>
      </c>
      <c r="H2854" s="2" t="str">
        <f>Tabella1[[#This Row],[Denominazione]]&amp;" - "&amp;Tabella1[[#This Row],[Città]]</f>
        <v>CARIBE SNC - PORTO SANT'ELPIDIO</v>
      </c>
    </row>
    <row r="2855" spans="1:8" x14ac:dyDescent="0.25">
      <c r="A2855" s="1" t="s">
        <v>679</v>
      </c>
      <c r="B2855" s="1" t="s">
        <v>11609</v>
      </c>
      <c r="C2855" s="1" t="s">
        <v>11610</v>
      </c>
      <c r="D2855" s="1" t="s">
        <v>11244</v>
      </c>
      <c r="E2855" s="1" t="s">
        <v>11244</v>
      </c>
      <c r="F2855" s="1" t="s">
        <v>11611</v>
      </c>
      <c r="H2855" s="2" t="str">
        <f>Tabella1[[#This Row],[Denominazione]]&amp;" - "&amp;Tabella1[[#This Row],[Città]]</f>
        <v>CARIBEAN - CIVITANOVA MARCHE</v>
      </c>
    </row>
    <row r="2856" spans="1:8" x14ac:dyDescent="0.25">
      <c r="A2856" s="1" t="s">
        <v>12</v>
      </c>
      <c r="B2856" s="1" t="s">
        <v>2002</v>
      </c>
      <c r="C2856" s="1" t="s">
        <v>2003</v>
      </c>
      <c r="D2856" s="1" t="s">
        <v>1907</v>
      </c>
      <c r="H2856" s="2" t="str">
        <f>Tabella1[[#This Row],[Denominazione]]&amp;" - "&amp;Tabella1[[#This Row],[Città]]</f>
        <v>CARICATO GIOVANNI - GABICCE MARE</v>
      </c>
    </row>
    <row r="2857" spans="1:8" x14ac:dyDescent="0.25">
      <c r="A2857" s="1" t="s">
        <v>35</v>
      </c>
      <c r="B2857" s="1" t="s">
        <v>3327</v>
      </c>
      <c r="C2857" s="1" t="s">
        <v>3328</v>
      </c>
      <c r="D2857" s="1" t="s">
        <v>3305</v>
      </c>
      <c r="E2857" s="1" t="s">
        <v>3329</v>
      </c>
      <c r="F2857" s="1" t="s">
        <v>3330</v>
      </c>
      <c r="G2857" s="1" t="s">
        <v>3331</v>
      </c>
      <c r="H2857" s="2" t="str">
        <f>Tabella1[[#This Row],[Denominazione]]&amp;" - "&amp;Tabella1[[#This Row],[Città]]</f>
        <v>CARINCONE DI HEEMAN NANJA LISENKA - PERGOLA</v>
      </c>
    </row>
    <row r="2858" spans="1:8" x14ac:dyDescent="0.25">
      <c r="A2858" s="1" t="s">
        <v>12</v>
      </c>
      <c r="B2858" s="1" t="s">
        <v>11929</v>
      </c>
      <c r="C2858" s="1" t="s">
        <v>11930</v>
      </c>
      <c r="D2858" s="1" t="s">
        <v>11883</v>
      </c>
      <c r="H2858" s="2" t="str">
        <f>Tabella1[[#This Row],[Denominazione]]&amp;" - "&amp;Tabella1[[#This Row],[Città]]</f>
        <v>CARLETTI GIOVANNA - GUALDO</v>
      </c>
    </row>
    <row r="2859" spans="1:8" x14ac:dyDescent="0.25">
      <c r="A2859" s="1" t="s">
        <v>12</v>
      </c>
      <c r="B2859" s="1" t="s">
        <v>11929</v>
      </c>
      <c r="C2859" s="1" t="s">
        <v>11934</v>
      </c>
      <c r="D2859" s="1" t="s">
        <v>11883</v>
      </c>
      <c r="H2859" s="2" t="str">
        <f>Tabella1[[#This Row],[Denominazione]]&amp;" - "&amp;Tabella1[[#This Row],[Città]]</f>
        <v>CARLETTI GIOVANNA - GUALDO</v>
      </c>
    </row>
    <row r="2860" spans="1:8" x14ac:dyDescent="0.25">
      <c r="A2860" s="1" t="s">
        <v>679</v>
      </c>
      <c r="B2860" s="1" t="s">
        <v>12835</v>
      </c>
      <c r="D2860" s="1" t="s">
        <v>12801</v>
      </c>
      <c r="H2860" s="2" t="str">
        <f>Tabella1[[#This Row],[Denominazione]]&amp;" - "&amp;Tabella1[[#This Row],[Città]]</f>
        <v>CARLO E DOMENICO - PORTO RECANATI</v>
      </c>
    </row>
    <row r="2861" spans="1:8" x14ac:dyDescent="0.25">
      <c r="A2861" s="1" t="s">
        <v>12</v>
      </c>
      <c r="B2861" s="1" t="s">
        <v>3528</v>
      </c>
      <c r="C2861" s="1" t="s">
        <v>3529</v>
      </c>
      <c r="D2861" s="1" t="s">
        <v>2386</v>
      </c>
      <c r="E2861" s="1" t="s">
        <v>2386</v>
      </c>
      <c r="G2861" s="1" t="s">
        <v>3527</v>
      </c>
      <c r="H2861" s="2" t="str">
        <f>Tabella1[[#This Row],[Denominazione]]&amp;" - "&amp;Tabella1[[#This Row],[Città]]</f>
        <v>CARNALI FRANCESCO - PESARO</v>
      </c>
    </row>
    <row r="2862" spans="1:8" x14ac:dyDescent="0.25">
      <c r="A2862" s="1" t="s">
        <v>20</v>
      </c>
      <c r="B2862" s="1" t="s">
        <v>12624</v>
      </c>
      <c r="C2862" s="1" t="s">
        <v>12625</v>
      </c>
      <c r="D2862" s="1" t="s">
        <v>12612</v>
      </c>
      <c r="E2862" s="1" t="s">
        <v>12612</v>
      </c>
      <c r="F2862" s="1" t="s">
        <v>12626</v>
      </c>
      <c r="G2862" s="1" t="s">
        <v>12627</v>
      </c>
      <c r="H2862" s="2" t="str">
        <f>Tabella1[[#This Row],[Denominazione]]&amp;" - "&amp;Tabella1[[#This Row],[Città]]</f>
        <v>CARNEVALI - MUCCIA</v>
      </c>
    </row>
    <row r="2863" spans="1:8" x14ac:dyDescent="0.25">
      <c r="A2863" s="1" t="s">
        <v>12</v>
      </c>
      <c r="B2863" s="1" t="s">
        <v>2773</v>
      </c>
      <c r="C2863" s="1" t="s">
        <v>2774</v>
      </c>
      <c r="D2863" s="1" t="s">
        <v>1605</v>
      </c>
      <c r="H2863" s="2" t="str">
        <f>Tabella1[[#This Row],[Denominazione]]&amp;" - "&amp;Tabella1[[#This Row],[Città]]</f>
        <v>CAROBI PAOLA - MONDOLFO</v>
      </c>
    </row>
    <row r="2864" spans="1:8" x14ac:dyDescent="0.25">
      <c r="A2864" s="1" t="s">
        <v>12</v>
      </c>
      <c r="B2864" s="1" t="s">
        <v>2778</v>
      </c>
      <c r="C2864" s="1" t="s">
        <v>2779</v>
      </c>
      <c r="D2864" s="1" t="s">
        <v>1605</v>
      </c>
      <c r="G2864" s="1" t="s">
        <v>2780</v>
      </c>
      <c r="H2864" s="2" t="str">
        <f>Tabella1[[#This Row],[Denominazione]]&amp;" - "&amp;Tabella1[[#This Row],[Città]]</f>
        <v>CARONTI EMANUELA - MONDOLFO</v>
      </c>
    </row>
    <row r="2865" spans="1:8" x14ac:dyDescent="0.25">
      <c r="A2865" s="1" t="s">
        <v>12</v>
      </c>
      <c r="B2865" s="1" t="s">
        <v>13655</v>
      </c>
      <c r="C2865" s="1" t="s">
        <v>13656</v>
      </c>
      <c r="D2865" s="1" t="s">
        <v>13548</v>
      </c>
      <c r="E2865" s="1" t="s">
        <v>13657</v>
      </c>
      <c r="H2865" s="2" t="str">
        <f>Tabella1[[#This Row],[Denominazione]]&amp;" - "&amp;Tabella1[[#This Row],[Città]]</f>
        <v>CARRUTHERS JOCELJN JUNE  MITFORD - SAN SEVERINO MARCHE</v>
      </c>
    </row>
    <row r="2866" spans="1:8" x14ac:dyDescent="0.25">
      <c r="A2866" s="1" t="s">
        <v>190</v>
      </c>
      <c r="B2866" s="1" t="s">
        <v>7478</v>
      </c>
      <c r="C2866" s="1" t="s">
        <v>7479</v>
      </c>
      <c r="D2866" s="1" t="s">
        <v>7385</v>
      </c>
      <c r="E2866" s="1" t="s">
        <v>7385</v>
      </c>
      <c r="F2866" s="1" t="s">
        <v>7456</v>
      </c>
      <c r="G2866" s="1" t="s">
        <v>7480</v>
      </c>
      <c r="H2866" s="2" t="str">
        <f>Tabella1[[#This Row],[Denominazione]]&amp;" - "&amp;Tabella1[[#This Row],[Città]]</f>
        <v>CASA ACCOGLIENZA MALATI E PELLEGRINI - LORETO</v>
      </c>
    </row>
    <row r="2867" spans="1:8" x14ac:dyDescent="0.25">
      <c r="A2867" s="1" t="s">
        <v>190</v>
      </c>
      <c r="B2867" s="1" t="s">
        <v>7481</v>
      </c>
      <c r="C2867" s="1" t="s">
        <v>7482</v>
      </c>
      <c r="D2867" s="1" t="s">
        <v>7385</v>
      </c>
      <c r="E2867" s="1" t="s">
        <v>7385</v>
      </c>
      <c r="F2867" s="1" t="s">
        <v>7483</v>
      </c>
      <c r="G2867" s="1" t="s">
        <v>7484</v>
      </c>
      <c r="H2867" s="2" t="str">
        <f>Tabella1[[#This Row],[Denominazione]]&amp;" - "&amp;Tabella1[[#This Row],[Città]]</f>
        <v>CASA ACCOGLIENZA PER PELLEGRINI - LORETO</v>
      </c>
    </row>
    <row r="2868" spans="1:8" x14ac:dyDescent="0.25">
      <c r="A2868" s="1" t="s">
        <v>190</v>
      </c>
      <c r="B2868" s="1" t="s">
        <v>7500</v>
      </c>
      <c r="C2868" s="1" t="s">
        <v>7501</v>
      </c>
      <c r="D2868" s="1" t="s">
        <v>7385</v>
      </c>
      <c r="E2868" s="1" t="s">
        <v>7385</v>
      </c>
      <c r="G2868" s="1" t="s">
        <v>7502</v>
      </c>
      <c r="H2868" s="2" t="str">
        <f>Tabella1[[#This Row],[Denominazione]]&amp;" - "&amp;Tabella1[[#This Row],[Città]]</f>
        <v>CASA ACCOGLIENZA SACRA FAMIGLIA DI NAZARETH - LORETO</v>
      </c>
    </row>
    <row r="2869" spans="1:8" x14ac:dyDescent="0.25">
      <c r="A2869" s="1" t="s">
        <v>190</v>
      </c>
      <c r="B2869" s="1" t="s">
        <v>7485</v>
      </c>
      <c r="C2869" s="1" t="s">
        <v>7486</v>
      </c>
      <c r="D2869" s="1" t="s">
        <v>7385</v>
      </c>
      <c r="E2869" s="1" t="s">
        <v>7385</v>
      </c>
      <c r="F2869" s="1" t="s">
        <v>7487</v>
      </c>
      <c r="G2869" s="1" t="s">
        <v>7488</v>
      </c>
      <c r="H2869" s="2" t="str">
        <f>Tabella1[[#This Row],[Denominazione]]&amp;" - "&amp;Tabella1[[#This Row],[Città]]</f>
        <v>CASA ACCOGLIENZA SAN GIUSEPPE - LORETO</v>
      </c>
    </row>
    <row r="2870" spans="1:8" x14ac:dyDescent="0.25">
      <c r="A2870" s="1" t="s">
        <v>29</v>
      </c>
      <c r="B2870" s="1" t="s">
        <v>16398</v>
      </c>
      <c r="C2870" s="1" t="s">
        <v>16399</v>
      </c>
      <c r="D2870" s="1" t="s">
        <v>16396</v>
      </c>
      <c r="E2870" s="1" t="s">
        <v>16396</v>
      </c>
      <c r="F2870" s="1" t="s">
        <v>16400</v>
      </c>
      <c r="G2870" s="1" t="s">
        <v>16401</v>
      </c>
      <c r="H2870" s="2" t="str">
        <f>Tabella1[[#This Row],[Denominazione]]&amp;" - "&amp;Tabella1[[#This Row],[Città]]</f>
        <v>CASA ADRIATICA - MONTEPRANDONE</v>
      </c>
    </row>
    <row r="2871" spans="1:8" x14ac:dyDescent="0.25">
      <c r="A2871" s="1" t="s">
        <v>29</v>
      </c>
      <c r="B2871" s="1" t="s">
        <v>15351</v>
      </c>
      <c r="C2871" s="1" t="s">
        <v>15352</v>
      </c>
      <c r="D2871" s="1" t="s">
        <v>15349</v>
      </c>
      <c r="E2871" s="1" t="s">
        <v>15349</v>
      </c>
      <c r="F2871" s="1" t="s">
        <v>15353</v>
      </c>
      <c r="G2871" s="1" t="s">
        <v>15354</v>
      </c>
      <c r="H2871" s="2" t="str">
        <f>Tabella1[[#This Row],[Denominazione]]&amp;" - "&amp;Tabella1[[#This Row],[Città]]</f>
        <v>CASA ALEXIS B&amp;B AND WEDDING LOCATION - CUPRA MARITTIMA</v>
      </c>
    </row>
    <row r="2872" spans="1:8" x14ac:dyDescent="0.25">
      <c r="A2872" s="1" t="s">
        <v>29</v>
      </c>
      <c r="B2872" s="1" t="s">
        <v>12737</v>
      </c>
      <c r="C2872" s="1" t="s">
        <v>12738</v>
      </c>
      <c r="D2872" s="1" t="s">
        <v>12730</v>
      </c>
      <c r="E2872" s="1" t="s">
        <v>12730</v>
      </c>
      <c r="F2872" s="1" t="s">
        <v>12739</v>
      </c>
      <c r="G2872" s="1" t="s">
        <v>12740</v>
      </c>
      <c r="H2872" s="2" t="str">
        <f>Tabella1[[#This Row],[Denominazione]]&amp;" - "&amp;Tabella1[[#This Row],[Città]]</f>
        <v>CASA AMARENA - PIEVE TORINA</v>
      </c>
    </row>
    <row r="2873" spans="1:8" x14ac:dyDescent="0.25">
      <c r="A2873" s="1" t="s">
        <v>29</v>
      </c>
      <c r="B2873" s="1" t="s">
        <v>19290</v>
      </c>
      <c r="C2873" s="1" t="s">
        <v>19291</v>
      </c>
      <c r="D2873" s="1" t="s">
        <v>19283</v>
      </c>
      <c r="E2873" s="1" t="s">
        <v>19283</v>
      </c>
      <c r="G2873" s="1" t="s">
        <v>19292</v>
      </c>
      <c r="H2873" s="2" t="str">
        <f>Tabella1[[#This Row],[Denominazione]]&amp;" - "&amp;Tabella1[[#This Row],[Città]]</f>
        <v>CASA ANNA MARIA - PORTO SANT'ELPIDIO</v>
      </c>
    </row>
    <row r="2874" spans="1:8" x14ac:dyDescent="0.25">
      <c r="A2874" s="1" t="s">
        <v>29</v>
      </c>
      <c r="B2874" s="1" t="s">
        <v>17096</v>
      </c>
      <c r="C2874" s="1" t="s">
        <v>17097</v>
      </c>
      <c r="D2874" s="1" t="s">
        <v>15819</v>
      </c>
      <c r="E2874" s="1" t="s">
        <v>15819</v>
      </c>
      <c r="H2874" s="2" t="str">
        <f>Tabella1[[#This Row],[Denominazione]]&amp;" - "&amp;Tabella1[[#This Row],[Città]]</f>
        <v>CASA ANTONELLA - SAN BENEDETTO DEL TRONTO</v>
      </c>
    </row>
    <row r="2875" spans="1:8" x14ac:dyDescent="0.25">
      <c r="A2875" s="1" t="s">
        <v>82</v>
      </c>
      <c r="B2875" s="1" t="s">
        <v>1313</v>
      </c>
      <c r="C2875" s="1" t="s">
        <v>1314</v>
      </c>
      <c r="D2875" s="1" t="s">
        <v>682</v>
      </c>
      <c r="E2875" s="1" t="s">
        <v>1315</v>
      </c>
      <c r="F2875" s="1" t="s">
        <v>1316</v>
      </c>
      <c r="G2875" s="1" t="s">
        <v>1317</v>
      </c>
      <c r="H2875" s="2" t="str">
        <f>Tabella1[[#This Row],[Denominazione]]&amp;" - "&amp;Tabella1[[#This Row],[Città]]</f>
        <v>CASA AURORA - FANO</v>
      </c>
    </row>
    <row r="2876" spans="1:8" x14ac:dyDescent="0.25">
      <c r="A2876" s="1" t="s">
        <v>1200</v>
      </c>
      <c r="B2876" s="1" t="s">
        <v>1313</v>
      </c>
      <c r="C2876" s="1" t="s">
        <v>6742</v>
      </c>
      <c r="D2876" s="1" t="s">
        <v>6652</v>
      </c>
      <c r="E2876" s="1" t="s">
        <v>6652</v>
      </c>
      <c r="F2876" s="1" t="s">
        <v>6745</v>
      </c>
      <c r="G2876" s="1" t="s">
        <v>6744</v>
      </c>
      <c r="H2876" s="2" t="str">
        <f>Tabella1[[#This Row],[Denominazione]]&amp;" - "&amp;Tabella1[[#This Row],[Città]]</f>
        <v>CASA AURORA - CUPRAMONTANA</v>
      </c>
    </row>
    <row r="2877" spans="1:8" x14ac:dyDescent="0.25">
      <c r="A2877" s="1" t="s">
        <v>6</v>
      </c>
      <c r="B2877" s="1" t="s">
        <v>12029</v>
      </c>
      <c r="C2877" s="1" t="s">
        <v>12030</v>
      </c>
      <c r="D2877" s="1" t="s">
        <v>11981</v>
      </c>
      <c r="E2877" s="1" t="s">
        <v>11981</v>
      </c>
      <c r="F2877" s="1" t="s">
        <v>12031</v>
      </c>
      <c r="G2877" s="1" t="s">
        <v>12032</v>
      </c>
      <c r="H2877" s="2" t="str">
        <f>Tabella1[[#This Row],[Denominazione]]&amp;" - "&amp;Tabella1[[#This Row],[Città]]</f>
        <v>CASA AZZURRA - LORO PICENO</v>
      </c>
    </row>
    <row r="2878" spans="1:8" x14ac:dyDescent="0.25">
      <c r="A2878" s="1" t="s">
        <v>29</v>
      </c>
      <c r="B2878" s="1" t="s">
        <v>12077</v>
      </c>
      <c r="C2878" s="1" t="s">
        <v>12078</v>
      </c>
      <c r="D2878" s="1" t="s">
        <v>12050</v>
      </c>
      <c r="E2878" s="1" t="s">
        <v>12079</v>
      </c>
      <c r="G2878" s="1" t="s">
        <v>12080</v>
      </c>
      <c r="H2878" s="2" t="str">
        <f>Tabella1[[#This Row],[Denominazione]]&amp;" - "&amp;Tabella1[[#This Row],[Città]]</f>
        <v>CASA BATA - MACERATA</v>
      </c>
    </row>
    <row r="2879" spans="1:8" x14ac:dyDescent="0.25">
      <c r="A2879" s="1" t="s">
        <v>12</v>
      </c>
      <c r="B2879" s="1" t="s">
        <v>13595</v>
      </c>
      <c r="C2879" s="1" t="s">
        <v>13596</v>
      </c>
      <c r="D2879" s="1" t="s">
        <v>13548</v>
      </c>
      <c r="E2879" s="1" t="s">
        <v>13597</v>
      </c>
      <c r="H2879" s="2" t="str">
        <f>Tabella1[[#This Row],[Denominazione]]&amp;" - "&amp;Tabella1[[#This Row],[Città]]</f>
        <v>CASA BENESSERE - SAN SEVERINO MARCHE</v>
      </c>
    </row>
    <row r="2880" spans="1:8" x14ac:dyDescent="0.25">
      <c r="A2880" s="1" t="s">
        <v>12</v>
      </c>
      <c r="B2880" s="1" t="s">
        <v>4253</v>
      </c>
      <c r="C2880" s="1" t="s">
        <v>4254</v>
      </c>
      <c r="D2880" s="1" t="s">
        <v>4242</v>
      </c>
      <c r="E2880" s="1" t="s">
        <v>4255</v>
      </c>
      <c r="F2880" s="1" t="s">
        <v>4256</v>
      </c>
      <c r="G2880" s="1" t="s">
        <v>4257</v>
      </c>
      <c r="H2880" s="2" t="str">
        <f>Tabella1[[#This Row],[Denominazione]]&amp;" - "&amp;Tabella1[[#This Row],[Città]]</f>
        <v>CASA BORGACCIO - SALTARA</v>
      </c>
    </row>
    <row r="2881" spans="1:8" x14ac:dyDescent="0.25">
      <c r="A2881" s="1" t="s">
        <v>12</v>
      </c>
      <c r="B2881" s="1" t="s">
        <v>4253</v>
      </c>
      <c r="C2881" s="1" t="s">
        <v>4258</v>
      </c>
      <c r="D2881" s="1" t="s">
        <v>4242</v>
      </c>
      <c r="E2881" s="1" t="s">
        <v>4255</v>
      </c>
      <c r="F2881" s="1" t="s">
        <v>4256</v>
      </c>
      <c r="G2881" s="1" t="s">
        <v>4257</v>
      </c>
      <c r="H2881" s="2" t="str">
        <f>Tabella1[[#This Row],[Denominazione]]&amp;" - "&amp;Tabella1[[#This Row],[Città]]</f>
        <v>CASA BORGACCIO - SALTARA</v>
      </c>
    </row>
    <row r="2882" spans="1:8" x14ac:dyDescent="0.25">
      <c r="A2882" s="1" t="s">
        <v>12</v>
      </c>
      <c r="B2882" s="1" t="s">
        <v>4253</v>
      </c>
      <c r="C2882" s="1" t="s">
        <v>4259</v>
      </c>
      <c r="D2882" s="1" t="s">
        <v>4242</v>
      </c>
      <c r="E2882" s="1" t="s">
        <v>4260</v>
      </c>
      <c r="F2882" s="1" t="s">
        <v>4256</v>
      </c>
      <c r="G2882" s="1" t="s">
        <v>4261</v>
      </c>
      <c r="H2882" s="2" t="str">
        <f>Tabella1[[#This Row],[Denominazione]]&amp;" - "&amp;Tabella1[[#This Row],[Città]]</f>
        <v>CASA BORGACCIO - SALTARA</v>
      </c>
    </row>
    <row r="2883" spans="1:8" x14ac:dyDescent="0.25">
      <c r="A2883" s="1" t="s">
        <v>6</v>
      </c>
      <c r="B2883" s="1" t="s">
        <v>4166</v>
      </c>
      <c r="C2883" s="1" t="s">
        <v>4167</v>
      </c>
      <c r="D2883" s="1" t="s">
        <v>4151</v>
      </c>
      <c r="E2883" s="1" t="s">
        <v>4151</v>
      </c>
      <c r="F2883" s="1" t="s">
        <v>4168</v>
      </c>
      <c r="G2883" s="1" t="s">
        <v>4169</v>
      </c>
      <c r="H2883" s="2" t="str">
        <f>Tabella1[[#This Row],[Denominazione]]&amp;" - "&amp;Tabella1[[#This Row],[Città]]</f>
        <v>CASA BRACCI - PIETRARUBBIA</v>
      </c>
    </row>
    <row r="2884" spans="1:8" x14ac:dyDescent="0.25">
      <c r="A2884" s="1" t="s">
        <v>82</v>
      </c>
      <c r="B2884" s="1" t="s">
        <v>6733</v>
      </c>
      <c r="C2884" s="1" t="s">
        <v>6734</v>
      </c>
      <c r="D2884" s="1" t="s">
        <v>6652</v>
      </c>
      <c r="F2884" s="1" t="s">
        <v>6735</v>
      </c>
      <c r="G2884" s="1" t="s">
        <v>6736</v>
      </c>
      <c r="H2884" s="2" t="str">
        <f>Tabella1[[#This Row],[Denominazione]]&amp;" - "&amp;Tabella1[[#This Row],[Città]]</f>
        <v>CASA CANTALUPO - CUPRAMONTANA</v>
      </c>
    </row>
    <row r="2885" spans="1:8" x14ac:dyDescent="0.25">
      <c r="A2885" s="1" t="s">
        <v>82</v>
      </c>
      <c r="B2885" s="1" t="s">
        <v>13523</v>
      </c>
      <c r="C2885" s="1" t="s">
        <v>13524</v>
      </c>
      <c r="D2885" s="1" t="s">
        <v>6072</v>
      </c>
      <c r="F2885" s="1" t="s">
        <v>13525</v>
      </c>
      <c r="G2885" s="1" t="s">
        <v>13526</v>
      </c>
      <c r="H2885" s="2" t="str">
        <f>Tabella1[[#This Row],[Denominazione]]&amp;" - "&amp;Tabella1[[#This Row],[Città]]</f>
        <v>CASA CAROTONDO DI FOULKES VANESSA TRINA - SAN GINESIO</v>
      </c>
    </row>
    <row r="2886" spans="1:8" x14ac:dyDescent="0.25">
      <c r="A2886" s="1" t="s">
        <v>35</v>
      </c>
      <c r="B2886" s="1" t="s">
        <v>16250</v>
      </c>
      <c r="C2886" s="1" t="s">
        <v>16251</v>
      </c>
      <c r="D2886" s="1" t="s">
        <v>16202</v>
      </c>
      <c r="E2886" s="1" t="s">
        <v>16203</v>
      </c>
      <c r="F2886" s="1" t="s">
        <v>16252</v>
      </c>
      <c r="G2886" s="1" t="s">
        <v>16253</v>
      </c>
      <c r="H2886" s="2" t="str">
        <f>Tabella1[[#This Row],[Denominazione]]&amp;" - "&amp;Tabella1[[#This Row],[Città]]</f>
        <v>CASA CENTANNI - MONTEFIORE DELL'ASO</v>
      </c>
    </row>
    <row r="2887" spans="1:8" x14ac:dyDescent="0.25">
      <c r="A2887" s="1" t="s">
        <v>29</v>
      </c>
      <c r="B2887" s="1" t="s">
        <v>12071</v>
      </c>
      <c r="C2887" s="1" t="s">
        <v>12072</v>
      </c>
      <c r="D2887" s="1" t="s">
        <v>12050</v>
      </c>
      <c r="E2887" s="1" t="s">
        <v>12050</v>
      </c>
      <c r="G2887" s="1" t="s">
        <v>12073</v>
      </c>
      <c r="H2887" s="2" t="str">
        <f>Tabella1[[#This Row],[Denominazione]]&amp;" - "&amp;Tabella1[[#This Row],[Città]]</f>
        <v>CASA CORNETO - MACERATA</v>
      </c>
    </row>
    <row r="2888" spans="1:8" x14ac:dyDescent="0.25">
      <c r="A2888" s="1" t="s">
        <v>12</v>
      </c>
      <c r="B2888" s="1" t="s">
        <v>6621</v>
      </c>
      <c r="C2888" s="1" t="s">
        <v>6622</v>
      </c>
      <c r="D2888" s="1" t="s">
        <v>6536</v>
      </c>
      <c r="E2888" s="1" t="s">
        <v>6536</v>
      </c>
      <c r="G2888" s="1" t="s">
        <v>6623</v>
      </c>
      <c r="H2888" s="2" t="str">
        <f>Tabella1[[#This Row],[Denominazione]]&amp;" - "&amp;Tabella1[[#This Row],[Città]]</f>
        <v>CASA DA BIANCA - CORINALDO</v>
      </c>
    </row>
    <row r="2889" spans="1:8" x14ac:dyDescent="0.25">
      <c r="A2889" s="1" t="s">
        <v>29</v>
      </c>
      <c r="B2889" s="1" t="s">
        <v>8686</v>
      </c>
      <c r="C2889" s="1" t="s">
        <v>8687</v>
      </c>
      <c r="D2889" s="1" t="s">
        <v>8683</v>
      </c>
      <c r="G2889" s="1" t="s">
        <v>8688</v>
      </c>
      <c r="H2889" s="2" t="str">
        <f>Tabella1[[#This Row],[Denominazione]]&amp;" - "&amp;Tabella1[[#This Row],[Città]]</f>
        <v>CASA D'AMBRA BED &amp; BREAKFAST - OSTRA VETERE</v>
      </c>
    </row>
    <row r="2890" spans="1:8" x14ac:dyDescent="0.25">
      <c r="A2890" s="1" t="s">
        <v>82</v>
      </c>
      <c r="B2890" s="1" t="s">
        <v>18685</v>
      </c>
      <c r="C2890" s="1" t="s">
        <v>18686</v>
      </c>
      <c r="D2890" s="1" t="s">
        <v>18653</v>
      </c>
      <c r="E2890" s="1" t="s">
        <v>18653</v>
      </c>
      <c r="G2890" s="1" t="s">
        <v>18687</v>
      </c>
      <c r="H2890" s="2" t="str">
        <f>Tabella1[[#This Row],[Denominazione]]&amp;" - "&amp;Tabella1[[#This Row],[Città]]</f>
        <v>CASA DE CAMPO - MONTEGRANARO</v>
      </c>
    </row>
    <row r="2891" spans="1:8" x14ac:dyDescent="0.25">
      <c r="A2891" s="1" t="s">
        <v>679</v>
      </c>
      <c r="B2891" s="1" t="s">
        <v>17855</v>
      </c>
      <c r="C2891" s="1" t="s">
        <v>17856</v>
      </c>
      <c r="D2891" s="1" t="s">
        <v>17839</v>
      </c>
      <c r="E2891" s="1" t="s">
        <v>17857</v>
      </c>
      <c r="F2891" s="1" t="s">
        <v>17858</v>
      </c>
      <c r="G2891" s="1" t="s">
        <v>17859</v>
      </c>
      <c r="H2891" s="2" t="str">
        <f>Tabella1[[#This Row],[Denominazione]]&amp;" - "&amp;Tabella1[[#This Row],[Città]]</f>
        <v>CASA DE MAR - CAMPOFILONE</v>
      </c>
    </row>
    <row r="2892" spans="1:8" x14ac:dyDescent="0.25">
      <c r="A2892" s="1" t="s">
        <v>29</v>
      </c>
      <c r="B2892" s="1" t="s">
        <v>11233</v>
      </c>
      <c r="C2892" s="1" t="s">
        <v>11234</v>
      </c>
      <c r="D2892" s="1" t="s">
        <v>11058</v>
      </c>
      <c r="E2892" s="1" t="s">
        <v>11058</v>
      </c>
      <c r="H2892" s="2" t="str">
        <f>Tabella1[[#This Row],[Denominazione]]&amp;" - "&amp;Tabella1[[#This Row],[Città]]</f>
        <v>CASA DE NONNA PEPPA - CINGOLI</v>
      </c>
    </row>
    <row r="2893" spans="1:8" x14ac:dyDescent="0.25">
      <c r="A2893" s="1" t="s">
        <v>35</v>
      </c>
      <c r="B2893" s="1" t="s">
        <v>18405</v>
      </c>
      <c r="C2893" s="1" t="s">
        <v>18406</v>
      </c>
      <c r="D2893" s="1" t="s">
        <v>18389</v>
      </c>
      <c r="E2893" s="1" t="s">
        <v>18389</v>
      </c>
      <c r="F2893" s="1" t="s">
        <v>18407</v>
      </c>
      <c r="G2893" s="1" t="s">
        <v>18408</v>
      </c>
      <c r="H2893" s="2" t="str">
        <f>Tabella1[[#This Row],[Denominazione]]&amp;" - "&amp;Tabella1[[#This Row],[Città]]</f>
        <v>CASA DEGLI ARCHI - LAPEDONA</v>
      </c>
    </row>
    <row r="2894" spans="1:8" x14ac:dyDescent="0.25">
      <c r="A2894" s="1" t="s">
        <v>12</v>
      </c>
      <c r="B2894" s="1" t="s">
        <v>8658</v>
      </c>
      <c r="C2894" s="1" t="s">
        <v>8659</v>
      </c>
      <c r="D2894" s="1" t="s">
        <v>8608</v>
      </c>
      <c r="G2894" s="1" t="s">
        <v>8660</v>
      </c>
      <c r="H2894" s="2" t="str">
        <f>Tabella1[[#This Row],[Denominazione]]&amp;" - "&amp;Tabella1[[#This Row],[Città]]</f>
        <v>CASA dei CARLI - OSTRA</v>
      </c>
    </row>
    <row r="2895" spans="1:8" x14ac:dyDescent="0.25">
      <c r="A2895" s="1" t="s">
        <v>29</v>
      </c>
      <c r="B2895" s="1" t="s">
        <v>15795</v>
      </c>
      <c r="C2895" s="1" t="s">
        <v>15796</v>
      </c>
      <c r="D2895" s="1" t="s">
        <v>15585</v>
      </c>
      <c r="E2895" s="1" t="s">
        <v>15585</v>
      </c>
      <c r="G2895" s="1" t="s">
        <v>15678</v>
      </c>
      <c r="H2895" s="2" t="str">
        <f>Tabella1[[#This Row],[Denominazione]]&amp;" - "&amp;Tabella1[[#This Row],[Città]]</f>
        <v>CASA DEI PESCI - GROTTAMMARE</v>
      </c>
    </row>
    <row r="2896" spans="1:8" x14ac:dyDescent="0.25">
      <c r="A2896" s="1" t="s">
        <v>35</v>
      </c>
      <c r="B2896" s="1" t="s">
        <v>12277</v>
      </c>
      <c r="C2896" s="1" t="s">
        <v>12278</v>
      </c>
      <c r="D2896" s="1" t="s">
        <v>12208</v>
      </c>
      <c r="F2896" s="1" t="s">
        <v>12279</v>
      </c>
      <c r="G2896" s="1" t="s">
        <v>12280</v>
      </c>
      <c r="H2896" s="2" t="str">
        <f>Tabella1[[#This Row],[Denominazione]]&amp;" - "&amp;Tabella1[[#This Row],[Città]]</f>
        <v>CASA DEIMAR - MATELICA</v>
      </c>
    </row>
    <row r="2897" spans="1:8" x14ac:dyDescent="0.25">
      <c r="A2897" s="1" t="s">
        <v>82</v>
      </c>
      <c r="B2897" s="1" t="s">
        <v>5570</v>
      </c>
      <c r="D2897" s="1" t="s">
        <v>1864</v>
      </c>
      <c r="E2897" s="1" t="s">
        <v>1864</v>
      </c>
      <c r="G2897" s="1" t="s">
        <v>5571</v>
      </c>
      <c r="H2897" s="2" t="str">
        <f>Tabella1[[#This Row],[Denominazione]]&amp;" - "&amp;Tabella1[[#This Row],[Città]]</f>
        <v>CASA DEL DARDA - ANCONA</v>
      </c>
    </row>
    <row r="2898" spans="1:8" x14ac:dyDescent="0.25">
      <c r="A2898" s="1" t="s">
        <v>82</v>
      </c>
      <c r="B2898" s="1" t="s">
        <v>15676</v>
      </c>
      <c r="C2898" s="1" t="s">
        <v>15677</v>
      </c>
      <c r="D2898" s="1" t="s">
        <v>15585</v>
      </c>
      <c r="E2898" s="1" t="s">
        <v>15585</v>
      </c>
      <c r="G2898" s="1" t="s">
        <v>15678</v>
      </c>
      <c r="H2898" s="2" t="str">
        <f>Tabella1[[#This Row],[Denominazione]]&amp;" - "&amp;Tabella1[[#This Row],[Città]]</f>
        <v>CASA DEL MARE - GROTTAMMARE</v>
      </c>
    </row>
    <row r="2899" spans="1:8" x14ac:dyDescent="0.25">
      <c r="A2899" s="1" t="s">
        <v>35</v>
      </c>
      <c r="B2899" s="1" t="s">
        <v>3165</v>
      </c>
      <c r="C2899" s="1" t="s">
        <v>3166</v>
      </c>
      <c r="D2899" s="1" t="s">
        <v>3160</v>
      </c>
      <c r="E2899" s="1" t="s">
        <v>3160</v>
      </c>
      <c r="F2899" s="1" t="s">
        <v>3167</v>
      </c>
      <c r="G2899" s="1" t="s">
        <v>3168</v>
      </c>
      <c r="H2899" s="2" t="str">
        <f>Tabella1[[#This Row],[Denominazione]]&amp;" - "&amp;Tabella1[[#This Row],[Città]]</f>
        <v>CASA DEL SOLE - MONTELABBATE</v>
      </c>
    </row>
    <row r="2900" spans="1:8" x14ac:dyDescent="0.25">
      <c r="A2900" s="1" t="s">
        <v>190</v>
      </c>
      <c r="B2900" s="1" t="s">
        <v>10775</v>
      </c>
      <c r="C2900" s="1" t="s">
        <v>10776</v>
      </c>
      <c r="D2900" s="1" t="s">
        <v>10737</v>
      </c>
      <c r="E2900" s="1" t="s">
        <v>10737</v>
      </c>
      <c r="G2900" s="1" t="s">
        <v>10777</v>
      </c>
      <c r="H2900" s="2" t="str">
        <f>Tabella1[[#This Row],[Denominazione]]&amp;" - "&amp;Tabella1[[#This Row],[Città]]</f>
        <v>CASA DELLA GIOVENTU' - CAMERINO</v>
      </c>
    </row>
    <row r="2901" spans="1:8" x14ac:dyDescent="0.25">
      <c r="A2901" s="1" t="s">
        <v>12</v>
      </c>
      <c r="B2901" s="1" t="s">
        <v>11941</v>
      </c>
      <c r="C2901" s="1" t="s">
        <v>11942</v>
      </c>
      <c r="D2901" s="1" t="s">
        <v>11883</v>
      </c>
      <c r="G2901" s="1" t="s">
        <v>11943</v>
      </c>
      <c r="H2901" s="2" t="str">
        <f>Tabella1[[#This Row],[Denominazione]]&amp;" - "&amp;Tabella1[[#This Row],[Città]]</f>
        <v>CASA DELLE ARTI - GUALDO</v>
      </c>
    </row>
    <row r="2902" spans="1:8" x14ac:dyDescent="0.25">
      <c r="A2902" s="1" t="s">
        <v>82</v>
      </c>
      <c r="B2902" s="1" t="s">
        <v>145</v>
      </c>
      <c r="D2902" s="1" t="s">
        <v>102</v>
      </c>
      <c r="E2902" s="1" t="s">
        <v>102</v>
      </c>
      <c r="F2902" s="1" t="s">
        <v>146</v>
      </c>
      <c r="G2902" s="1" t="s">
        <v>147</v>
      </c>
      <c r="H2902" s="2" t="str">
        <f>Tabella1[[#This Row],[Denominazione]]&amp;" - "&amp;Tabella1[[#This Row],[Città]]</f>
        <v>CASA DELLE ROSE - APECCHIO</v>
      </c>
    </row>
    <row r="2903" spans="1:8" x14ac:dyDescent="0.25">
      <c r="A2903" s="1" t="s">
        <v>29</v>
      </c>
      <c r="B2903" s="1" t="s">
        <v>3587</v>
      </c>
      <c r="C2903" s="1" t="s">
        <v>3588</v>
      </c>
      <c r="D2903" s="1" t="s">
        <v>2386</v>
      </c>
      <c r="E2903" s="1" t="s">
        <v>2386</v>
      </c>
      <c r="G2903" s="1" t="s">
        <v>3589</v>
      </c>
      <c r="H2903" s="2" t="str">
        <f>Tabella1[[#This Row],[Denominazione]]&amp;" - "&amp;Tabella1[[#This Row],[Città]]</f>
        <v>CASA DELLE VIOLE - PESARO</v>
      </c>
    </row>
    <row r="2904" spans="1:8" x14ac:dyDescent="0.25">
      <c r="A2904" s="1" t="s">
        <v>190</v>
      </c>
      <c r="B2904" s="1" t="s">
        <v>7490</v>
      </c>
      <c r="C2904" s="1" t="s">
        <v>7491</v>
      </c>
      <c r="D2904" s="1" t="s">
        <v>7385</v>
      </c>
      <c r="E2904" s="1" t="s">
        <v>7385</v>
      </c>
      <c r="H2904" s="2" t="str">
        <f>Tabella1[[#This Row],[Denominazione]]&amp;" - "&amp;Tabella1[[#This Row],[Città]]</f>
        <v>CASA DI ACCOGLIENZA DOMUS PACIS - LORETO</v>
      </c>
    </row>
    <row r="2905" spans="1:8" x14ac:dyDescent="0.25">
      <c r="A2905" s="1" t="s">
        <v>190</v>
      </c>
      <c r="B2905" s="1" t="s">
        <v>7559</v>
      </c>
      <c r="C2905" s="1" t="s">
        <v>7560</v>
      </c>
      <c r="D2905" s="1" t="s">
        <v>7385</v>
      </c>
      <c r="F2905" s="1" t="s">
        <v>7561</v>
      </c>
      <c r="G2905" s="1" t="s">
        <v>7562</v>
      </c>
      <c r="H2905" s="2" t="str">
        <f>Tabella1[[#This Row],[Denominazione]]&amp;" - "&amp;Tabella1[[#This Row],[Città]]</f>
        <v>CASA DI ACCOGLIENZA SAN SERAFINO - LORETO</v>
      </c>
    </row>
    <row r="2906" spans="1:8" x14ac:dyDescent="0.25">
      <c r="A2906" s="1" t="s">
        <v>190</v>
      </c>
      <c r="B2906" s="1" t="s">
        <v>7466</v>
      </c>
      <c r="C2906" s="1" t="s">
        <v>7467</v>
      </c>
      <c r="D2906" s="1" t="s">
        <v>7385</v>
      </c>
      <c r="E2906" s="1" t="s">
        <v>7385</v>
      </c>
      <c r="G2906" s="1" t="s">
        <v>7468</v>
      </c>
      <c r="H2906" s="2" t="str">
        <f>Tabella1[[#This Row],[Denominazione]]&amp;" - "&amp;Tabella1[[#This Row],[Città]]</f>
        <v>CASA DI ALBENGA CONG. ORSOLINE DI GESU' - LORETO</v>
      </c>
    </row>
    <row r="2907" spans="1:8" x14ac:dyDescent="0.25">
      <c r="A2907" s="1" t="s">
        <v>29</v>
      </c>
      <c r="B2907" s="1" t="s">
        <v>13116</v>
      </c>
      <c r="C2907" s="1" t="s">
        <v>13117</v>
      </c>
      <c r="D2907" s="1" t="s">
        <v>13026</v>
      </c>
      <c r="E2907" s="1" t="s">
        <v>13026</v>
      </c>
      <c r="G2907" s="1" t="s">
        <v>13118</v>
      </c>
      <c r="H2907" s="2" t="str">
        <f>Tabella1[[#This Row],[Denominazione]]&amp;" - "&amp;Tabella1[[#This Row],[Città]]</f>
        <v>CASA DI ALE - POTENZA PICENA</v>
      </c>
    </row>
    <row r="2908" spans="1:8" x14ac:dyDescent="0.25">
      <c r="A2908" s="1" t="s">
        <v>12</v>
      </c>
      <c r="B2908" s="1" t="s">
        <v>12404</v>
      </c>
      <c r="C2908" s="1" t="s">
        <v>12405</v>
      </c>
      <c r="D2908" s="1" t="s">
        <v>12382</v>
      </c>
      <c r="E2908" s="1" t="s">
        <v>12382</v>
      </c>
      <c r="H2908" s="2" t="str">
        <f>Tabella1[[#This Row],[Denominazione]]&amp;" - "&amp;Tabella1[[#This Row],[Città]]</f>
        <v>CASA DI CHIARA - MONTECOSARO</v>
      </c>
    </row>
    <row r="2909" spans="1:8" x14ac:dyDescent="0.25">
      <c r="A2909" s="1" t="s">
        <v>6</v>
      </c>
      <c r="B2909" s="1" t="s">
        <v>15973</v>
      </c>
      <c r="C2909" s="1" t="s">
        <v>15974</v>
      </c>
      <c r="D2909" s="1" t="s">
        <v>5692</v>
      </c>
      <c r="E2909" s="1" t="s">
        <v>5692</v>
      </c>
      <c r="F2909" s="1" t="s">
        <v>15975</v>
      </c>
      <c r="G2909" s="1" t="s">
        <v>15976</v>
      </c>
      <c r="H2909" s="2" t="str">
        <f>Tabella1[[#This Row],[Denominazione]]&amp;" - "&amp;Tabella1[[#This Row],[Città]]</f>
        <v>CASA DI GINO - MASSIGNANO</v>
      </c>
    </row>
    <row r="2910" spans="1:8" x14ac:dyDescent="0.25">
      <c r="A2910" s="1" t="s">
        <v>12</v>
      </c>
      <c r="B2910" s="1" t="s">
        <v>2957</v>
      </c>
      <c r="C2910" s="1" t="s">
        <v>2958</v>
      </c>
      <c r="D2910" s="1" t="s">
        <v>1605</v>
      </c>
      <c r="E2910" s="1" t="s">
        <v>2959</v>
      </c>
      <c r="F2910" s="1" t="s">
        <v>2960</v>
      </c>
      <c r="G2910" s="1" t="s">
        <v>2961</v>
      </c>
      <c r="H2910" s="2" t="str">
        <f>Tabella1[[#This Row],[Denominazione]]&amp;" - "&amp;Tabella1[[#This Row],[Città]]</f>
        <v>CASA DI MAX - MONDOLFO</v>
      </c>
    </row>
    <row r="2911" spans="1:8" x14ac:dyDescent="0.25">
      <c r="A2911" s="1" t="s">
        <v>6</v>
      </c>
      <c r="B2911" s="1" t="s">
        <v>4576</v>
      </c>
      <c r="C2911" s="1" t="s">
        <v>4577</v>
      </c>
      <c r="D2911" s="1" t="s">
        <v>4578</v>
      </c>
      <c r="G2911" s="1" t="s">
        <v>4579</v>
      </c>
      <c r="H2911" s="2" t="str">
        <f>Tabella1[[#This Row],[Denominazione]]&amp;" - "&amp;Tabella1[[#This Row],[Città]]</f>
        <v>CASA DI MI - SERRUNGARINA</v>
      </c>
    </row>
    <row r="2912" spans="1:8" x14ac:dyDescent="0.25">
      <c r="A2912" s="1" t="s">
        <v>29</v>
      </c>
      <c r="B2912" s="1" t="s">
        <v>18583</v>
      </c>
      <c r="D2912" s="1" t="s">
        <v>18522</v>
      </c>
      <c r="G2912" s="1" t="s">
        <v>18584</v>
      </c>
      <c r="H2912" s="2" t="str">
        <f>Tabella1[[#This Row],[Denominazione]]&amp;" - "&amp;Tabella1[[#This Row],[Città]]</f>
        <v>CASA DI PIETRA - MONTEFORTINO</v>
      </c>
    </row>
    <row r="2913" spans="1:8" x14ac:dyDescent="0.25">
      <c r="A2913" s="1" t="s">
        <v>190</v>
      </c>
      <c r="B2913" s="1" t="s">
        <v>1238</v>
      </c>
      <c r="C2913" s="1" t="s">
        <v>1239</v>
      </c>
      <c r="D2913" s="1" t="s">
        <v>682</v>
      </c>
      <c r="E2913" s="1" t="s">
        <v>682</v>
      </c>
      <c r="H2913" s="2" t="str">
        <f>Tabella1[[#This Row],[Denominazione]]&amp;" - "&amp;Tabella1[[#This Row],[Città]]</f>
        <v>CASA DI SOGGIORNO ENAM - CONVITTO VITTORIO COLONNA - FANO</v>
      </c>
    </row>
    <row r="2914" spans="1:8" x14ac:dyDescent="0.25">
      <c r="A2914" s="1" t="s">
        <v>190</v>
      </c>
      <c r="B2914" s="1" t="s">
        <v>1617</v>
      </c>
      <c r="C2914" s="1" t="s">
        <v>1618</v>
      </c>
      <c r="D2914" s="1" t="s">
        <v>682</v>
      </c>
      <c r="G2914" s="1" t="s">
        <v>1619</v>
      </c>
      <c r="H2914" s="2" t="str">
        <f>Tabella1[[#This Row],[Denominazione]]&amp;" - "&amp;Tabella1[[#This Row],[Città]]</f>
        <v>CASA DI SPIRITUALITA' VILLA SAN BIAGIO - FANO</v>
      </c>
    </row>
    <row r="2915" spans="1:8" x14ac:dyDescent="0.25">
      <c r="A2915" s="1" t="s">
        <v>12</v>
      </c>
      <c r="B2915" s="1" t="s">
        <v>6554</v>
      </c>
      <c r="C2915" s="1" t="s">
        <v>6555</v>
      </c>
      <c r="D2915" s="1" t="s">
        <v>6536</v>
      </c>
      <c r="H2915" s="2" t="str">
        <f>Tabella1[[#This Row],[Denominazione]]&amp;" - "&amp;Tabella1[[#This Row],[Città]]</f>
        <v>CASA DI VENTUROLI - CORINALDO</v>
      </c>
    </row>
    <row r="2916" spans="1:8" x14ac:dyDescent="0.25">
      <c r="A2916" s="1" t="s">
        <v>29</v>
      </c>
      <c r="B2916" s="1" t="s">
        <v>5347</v>
      </c>
      <c r="C2916" s="1" t="s">
        <v>5348</v>
      </c>
      <c r="D2916" s="1" t="s">
        <v>9</v>
      </c>
      <c r="E2916" s="1" t="s">
        <v>9</v>
      </c>
      <c r="G2916" s="1" t="s">
        <v>5349</v>
      </c>
      <c r="H2916" s="2" t="str">
        <f>Tabella1[[#This Row],[Denominazione]]&amp;" - "&amp;Tabella1[[#This Row],[Città]]</f>
        <v>CASA DISMA URBINO - URBINO</v>
      </c>
    </row>
    <row r="2917" spans="1:8" x14ac:dyDescent="0.25">
      <c r="A2917" s="1" t="s">
        <v>82</v>
      </c>
      <c r="B2917" s="1" t="s">
        <v>14131</v>
      </c>
      <c r="C2917" s="1" t="s">
        <v>14132</v>
      </c>
      <c r="D2917" s="1" t="s">
        <v>14065</v>
      </c>
      <c r="H2917" s="2" t="str">
        <f>Tabella1[[#This Row],[Denominazione]]&amp;" - "&amp;Tabella1[[#This Row],[Città]]</f>
        <v>CASA ED APPARTAMENTI PER VACANZE VALCERASA SAS - TREIA</v>
      </c>
    </row>
    <row r="2918" spans="1:8" x14ac:dyDescent="0.25">
      <c r="A2918" s="1" t="s">
        <v>29</v>
      </c>
      <c r="B2918" s="1" t="s">
        <v>19613</v>
      </c>
      <c r="C2918" s="1" t="s">
        <v>19614</v>
      </c>
      <c r="D2918" s="1" t="s">
        <v>19541</v>
      </c>
      <c r="E2918" s="1" t="s">
        <v>19615</v>
      </c>
      <c r="G2918" s="1" t="s">
        <v>19616</v>
      </c>
      <c r="H2918" s="2" t="str">
        <f>Tabella1[[#This Row],[Denominazione]]&amp;" - "&amp;Tabella1[[#This Row],[Città]]</f>
        <v>CASA ELVEZIA B&amp;B - SANT'ELPIDIO A MARE</v>
      </c>
    </row>
    <row r="2919" spans="1:8" x14ac:dyDescent="0.25">
      <c r="A2919" s="1" t="s">
        <v>190</v>
      </c>
      <c r="B2919" s="1" t="s">
        <v>7473</v>
      </c>
      <c r="C2919" s="1" t="s">
        <v>7474</v>
      </c>
      <c r="D2919" s="1" t="s">
        <v>7385</v>
      </c>
      <c r="E2919" s="1" t="s">
        <v>7475</v>
      </c>
      <c r="F2919" s="1" t="s">
        <v>7476</v>
      </c>
      <c r="G2919" s="1" t="s">
        <v>7477</v>
      </c>
      <c r="H2919" s="2" t="str">
        <f>Tabella1[[#This Row],[Denominazione]]&amp;" - "&amp;Tabella1[[#This Row],[Città]]</f>
        <v>CASA FAMIGLIA DI NAZARETH - LORETO</v>
      </c>
    </row>
    <row r="2920" spans="1:8" x14ac:dyDescent="0.25">
      <c r="A2920" s="1" t="s">
        <v>12</v>
      </c>
      <c r="B2920" s="1" t="s">
        <v>3193</v>
      </c>
      <c r="C2920" s="1" t="s">
        <v>3194</v>
      </c>
      <c r="D2920" s="1" t="s">
        <v>3182</v>
      </c>
      <c r="G2920" s="1" t="s">
        <v>1807</v>
      </c>
      <c r="H2920" s="2" t="str">
        <f>Tabella1[[#This Row],[Denominazione]]&amp;" - "&amp;Tabella1[[#This Row],[Città]]</f>
        <v>CASA FIORENZUOLA - MONTEMAGGIORE AL METAURO</v>
      </c>
    </row>
    <row r="2921" spans="1:8" x14ac:dyDescent="0.25">
      <c r="A2921" s="1" t="s">
        <v>12</v>
      </c>
      <c r="B2921" s="1" t="s">
        <v>14157</v>
      </c>
      <c r="C2921" s="1" t="s">
        <v>14158</v>
      </c>
      <c r="D2921" s="1" t="s">
        <v>14065</v>
      </c>
      <c r="G2921" s="1" t="s">
        <v>14159</v>
      </c>
      <c r="H2921" s="2" t="str">
        <f>Tabella1[[#This Row],[Denominazione]]&amp;" - "&amp;Tabella1[[#This Row],[Città]]</f>
        <v>CASA GEMMA - TREIA</v>
      </c>
    </row>
    <row r="2922" spans="1:8" x14ac:dyDescent="0.25">
      <c r="A2922" s="1" t="s">
        <v>12</v>
      </c>
      <c r="B2922" s="1" t="s">
        <v>6366</v>
      </c>
      <c r="C2922" s="1" t="s">
        <v>6367</v>
      </c>
      <c r="D2922" s="1" t="s">
        <v>6357</v>
      </c>
      <c r="G2922" s="1" t="s">
        <v>6368</v>
      </c>
      <c r="H2922" s="2" t="str">
        <f>Tabella1[[#This Row],[Denominazione]]&amp;" - "&amp;Tabella1[[#This Row],[Città]]</f>
        <v>CASA GHIBELLINA - CASTELBELLINO</v>
      </c>
    </row>
    <row r="2923" spans="1:8" x14ac:dyDescent="0.25">
      <c r="A2923" s="1" t="s">
        <v>6</v>
      </c>
      <c r="B2923" s="1" t="s">
        <v>2763</v>
      </c>
      <c r="C2923" s="1" t="s">
        <v>2764</v>
      </c>
      <c r="D2923" s="1" t="s">
        <v>2729</v>
      </c>
      <c r="F2923" s="1" t="s">
        <v>2765</v>
      </c>
      <c r="G2923" s="1" t="s">
        <v>2766</v>
      </c>
      <c r="H2923" s="2" t="str">
        <f>Tabella1[[#This Row],[Denominazione]]&amp;" - "&amp;Tabella1[[#This Row],[Città]]</f>
        <v>CASA GINEVRI - MONDAVIO</v>
      </c>
    </row>
    <row r="2924" spans="1:8" x14ac:dyDescent="0.25">
      <c r="A2924" s="1" t="s">
        <v>190</v>
      </c>
      <c r="B2924" s="1" t="s">
        <v>16374</v>
      </c>
      <c r="D2924" s="1" t="s">
        <v>16312</v>
      </c>
      <c r="H2924" s="2" t="str">
        <f>Tabella1[[#This Row],[Denominazione]]&amp;" - "&amp;Tabella1[[#This Row],[Città]]</f>
        <v>CASA GIOIOSA - MONTEMONACO</v>
      </c>
    </row>
    <row r="2925" spans="1:8" x14ac:dyDescent="0.25">
      <c r="A2925" s="1" t="s">
        <v>35</v>
      </c>
      <c r="B2925" s="1" t="s">
        <v>12283</v>
      </c>
      <c r="C2925" s="1" t="s">
        <v>12284</v>
      </c>
      <c r="D2925" s="1" t="s">
        <v>12208</v>
      </c>
      <c r="E2925" s="1" t="s">
        <v>12285</v>
      </c>
      <c r="F2925" s="1" t="s">
        <v>12286</v>
      </c>
      <c r="G2925" s="1" t="s">
        <v>12287</v>
      </c>
      <c r="H2925" s="2" t="str">
        <f>Tabella1[[#This Row],[Denominazione]]&amp;" - "&amp;Tabella1[[#This Row],[Città]]</f>
        <v>CASA GRIMALDI - MATELICA</v>
      </c>
    </row>
    <row r="2926" spans="1:8" x14ac:dyDescent="0.25">
      <c r="A2926" s="1" t="s">
        <v>12</v>
      </c>
      <c r="B2926" s="1" t="s">
        <v>19003</v>
      </c>
      <c r="D2926" s="1" t="s">
        <v>18971</v>
      </c>
      <c r="G2926" s="1" t="s">
        <v>19004</v>
      </c>
      <c r="H2926" s="2" t="str">
        <f>Tabella1[[#This Row],[Denominazione]]&amp;" - "&amp;Tabella1[[#This Row],[Città]]</f>
        <v>CASA IRIS - PETRITOLI</v>
      </c>
    </row>
    <row r="2927" spans="1:8" x14ac:dyDescent="0.25">
      <c r="A2927" s="1" t="s">
        <v>29</v>
      </c>
      <c r="B2927" s="1" t="s">
        <v>1295</v>
      </c>
      <c r="C2927" s="1" t="s">
        <v>1296</v>
      </c>
      <c r="D2927" s="1" t="s">
        <v>682</v>
      </c>
      <c r="E2927" s="1" t="s">
        <v>1297</v>
      </c>
      <c r="G2927" s="1" t="s">
        <v>1298</v>
      </c>
      <c r="H2927" s="2" t="str">
        <f>Tabella1[[#This Row],[Denominazione]]&amp;" - "&amp;Tabella1[[#This Row],[Città]]</f>
        <v>CASA JOLANDA - FANO</v>
      </c>
    </row>
    <row r="2928" spans="1:8" x14ac:dyDescent="0.25">
      <c r="A2928" s="1" t="s">
        <v>12</v>
      </c>
      <c r="B2928" s="1" t="s">
        <v>4582</v>
      </c>
      <c r="C2928" s="1" t="s">
        <v>4583</v>
      </c>
      <c r="D2928" s="1" t="s">
        <v>4578</v>
      </c>
      <c r="F2928" s="1" t="s">
        <v>4584</v>
      </c>
      <c r="G2928" s="1" t="s">
        <v>4585</v>
      </c>
      <c r="H2928" s="2" t="str">
        <f>Tabella1[[#This Row],[Denominazione]]&amp;" - "&amp;Tabella1[[#This Row],[Città]]</f>
        <v>CASA LA CIVETTA E FALCO - SERRUNGARINA</v>
      </c>
    </row>
    <row r="2929" spans="1:8" x14ac:dyDescent="0.25">
      <c r="A2929" s="1" t="s">
        <v>29</v>
      </c>
      <c r="B2929" s="1" t="s">
        <v>14207</v>
      </c>
      <c r="C2929" s="1" t="s">
        <v>14208</v>
      </c>
      <c r="D2929" s="1" t="s">
        <v>14195</v>
      </c>
      <c r="F2929" s="1" t="s">
        <v>14209</v>
      </c>
      <c r="G2929" s="1" t="s">
        <v>14210</v>
      </c>
      <c r="H2929" s="2" t="str">
        <f>Tabella1[[#This Row],[Denominazione]]&amp;" - "&amp;Tabella1[[#This Row],[Città]]</f>
        <v>CASA LEONI B&amp;B - URBISAGLIA</v>
      </c>
    </row>
    <row r="2930" spans="1:8" x14ac:dyDescent="0.25">
      <c r="A2930" s="1" t="s">
        <v>12</v>
      </c>
      <c r="B2930" s="1" t="s">
        <v>12300</v>
      </c>
      <c r="C2930" s="1" t="s">
        <v>12301</v>
      </c>
      <c r="D2930" s="1" t="s">
        <v>12290</v>
      </c>
      <c r="E2930" s="1" t="s">
        <v>12290</v>
      </c>
      <c r="G2930" s="1" t="s">
        <v>12302</v>
      </c>
      <c r="H2930" s="2" t="str">
        <f>Tabella1[[#This Row],[Denominazione]]&amp;" - "&amp;Tabella1[[#This Row],[Città]]</f>
        <v>CASA LUCCIOLA di ZOE ANDERSON - MOGLIANO</v>
      </c>
    </row>
    <row r="2931" spans="1:8" x14ac:dyDescent="0.25">
      <c r="A2931" s="1" t="s">
        <v>35</v>
      </c>
      <c r="B2931" s="1" t="s">
        <v>11825</v>
      </c>
      <c r="C2931" s="1" t="s">
        <v>11826</v>
      </c>
      <c r="D2931" s="1" t="s">
        <v>11792</v>
      </c>
      <c r="E2931" s="1" t="s">
        <v>11792</v>
      </c>
      <c r="H2931" s="2" t="str">
        <f>Tabella1[[#This Row],[Denominazione]]&amp;" - "&amp;Tabella1[[#This Row],[Città]]</f>
        <v>CASA MAMELI - FIASTRA</v>
      </c>
    </row>
    <row r="2932" spans="1:8" x14ac:dyDescent="0.25">
      <c r="A2932" s="1" t="s">
        <v>82</v>
      </c>
      <c r="B2932" s="1" t="s">
        <v>6670</v>
      </c>
      <c r="C2932" s="1" t="s">
        <v>6671</v>
      </c>
      <c r="D2932" s="1" t="s">
        <v>6652</v>
      </c>
      <c r="E2932" s="1" t="s">
        <v>6652</v>
      </c>
      <c r="G2932" s="1" t="s">
        <v>6672</v>
      </c>
      <c r="H2932" s="2" t="str">
        <f>Tabella1[[#This Row],[Denominazione]]&amp;" - "&amp;Tabella1[[#This Row],[Città]]</f>
        <v>CASA MANCIANO - CUPRAMONTANA</v>
      </c>
    </row>
    <row r="2933" spans="1:8" x14ac:dyDescent="0.25">
      <c r="A2933" s="1" t="s">
        <v>12</v>
      </c>
      <c r="B2933" s="1" t="s">
        <v>12582</v>
      </c>
      <c r="D2933" s="1" t="s">
        <v>12546</v>
      </c>
      <c r="G2933" s="1" t="s">
        <v>12583</v>
      </c>
      <c r="H2933" s="2" t="str">
        <f>Tabella1[[#This Row],[Denominazione]]&amp;" - "&amp;Tabella1[[#This Row],[Città]]</f>
        <v>CASA MANZI - MORROVALLE</v>
      </c>
    </row>
    <row r="2934" spans="1:8" x14ac:dyDescent="0.25">
      <c r="A2934" s="1" t="s">
        <v>82</v>
      </c>
      <c r="B2934" s="1" t="s">
        <v>3163</v>
      </c>
      <c r="C2934" s="1" t="s">
        <v>3164</v>
      </c>
      <c r="D2934" s="1" t="s">
        <v>3160</v>
      </c>
      <c r="E2934" s="1" t="s">
        <v>3160</v>
      </c>
      <c r="H2934" s="2" t="str">
        <f>Tabella1[[#This Row],[Denominazione]]&amp;" - "&amp;Tabella1[[#This Row],[Città]]</f>
        <v>CASA MARCUCCI - MONTELABBATE</v>
      </c>
    </row>
    <row r="2935" spans="1:8" x14ac:dyDescent="0.25">
      <c r="A2935" s="1" t="s">
        <v>29</v>
      </c>
      <c r="B2935" s="1" t="s">
        <v>9260</v>
      </c>
      <c r="C2935" s="1" t="s">
        <v>9261</v>
      </c>
      <c r="D2935" s="1" t="s">
        <v>8949</v>
      </c>
      <c r="E2935" s="1" t="s">
        <v>8949</v>
      </c>
      <c r="G2935" s="1" t="s">
        <v>9262</v>
      </c>
      <c r="H2935" s="2" t="str">
        <f>Tabella1[[#This Row],[Denominazione]]&amp;" - "&amp;Tabella1[[#This Row],[Città]]</f>
        <v>CASA MARGHERITA - SENIGALLIA</v>
      </c>
    </row>
    <row r="2936" spans="1:8" x14ac:dyDescent="0.25">
      <c r="A2936" s="1" t="s">
        <v>12</v>
      </c>
      <c r="B2936" s="1" t="s">
        <v>358</v>
      </c>
      <c r="C2936" s="1" t="s">
        <v>359</v>
      </c>
      <c r="D2936" s="1" t="s">
        <v>316</v>
      </c>
      <c r="E2936" s="1" t="s">
        <v>316</v>
      </c>
      <c r="F2936" s="1" t="s">
        <v>360</v>
      </c>
      <c r="G2936" s="1" t="s">
        <v>361</v>
      </c>
      <c r="H2936" s="2" t="str">
        <f>Tabella1[[#This Row],[Denominazione]]&amp;" - "&amp;Tabella1[[#This Row],[Città]]</f>
        <v>CASA MARIAA - CAGLI</v>
      </c>
    </row>
    <row r="2937" spans="1:8" x14ac:dyDescent="0.25">
      <c r="A2937" s="1" t="s">
        <v>29</v>
      </c>
      <c r="B2937" s="1" t="s">
        <v>7282</v>
      </c>
      <c r="C2937" s="1" t="s">
        <v>7283</v>
      </c>
      <c r="D2937" s="1" t="s">
        <v>7254</v>
      </c>
      <c r="E2937" s="1" t="s">
        <v>7254</v>
      </c>
      <c r="G2937" s="1" t="s">
        <v>7284</v>
      </c>
      <c r="H2937" s="2" t="str">
        <f>Tabella1[[#This Row],[Denominazione]]&amp;" - "&amp;Tabella1[[#This Row],[Città]]</f>
        <v>CASA MATILDA - JESI</v>
      </c>
    </row>
    <row r="2938" spans="1:8" x14ac:dyDescent="0.25">
      <c r="A2938" s="1" t="s">
        <v>6</v>
      </c>
      <c r="B2938" s="1" t="s">
        <v>6260</v>
      </c>
      <c r="C2938" s="1" t="s">
        <v>6261</v>
      </c>
      <c r="D2938" s="1" t="s">
        <v>6262</v>
      </c>
      <c r="E2938" s="1" t="s">
        <v>6262</v>
      </c>
      <c r="F2938" s="1" t="s">
        <v>6263</v>
      </c>
      <c r="G2938" s="1" t="s">
        <v>6264</v>
      </c>
      <c r="H2938" s="2" t="str">
        <f>Tabella1[[#This Row],[Denominazione]]&amp;" - "&amp;Tabella1[[#This Row],[Città]]</f>
        <v>CASA MC QUEENS DI ERCOLE MORONI - BELVEDERE OSTRENSE</v>
      </c>
    </row>
    <row r="2939" spans="1:8" x14ac:dyDescent="0.25">
      <c r="A2939" s="1" t="s">
        <v>35</v>
      </c>
      <c r="B2939" s="1" t="s">
        <v>2737</v>
      </c>
      <c r="C2939" s="1" t="s">
        <v>2738</v>
      </c>
      <c r="D2939" s="1" t="s">
        <v>2729</v>
      </c>
      <c r="E2939" s="1" t="s">
        <v>2729</v>
      </c>
      <c r="F2939" s="1" t="s">
        <v>2739</v>
      </c>
      <c r="G2939" s="1" t="s">
        <v>2740</v>
      </c>
      <c r="H2939" s="2" t="str">
        <f>Tabella1[[#This Row],[Denominazione]]&amp;" - "&amp;Tabella1[[#This Row],[Città]]</f>
        <v>CASA MERLARO - MONDAVIO</v>
      </c>
    </row>
    <row r="2940" spans="1:8" x14ac:dyDescent="0.25">
      <c r="A2940" s="1" t="s">
        <v>82</v>
      </c>
      <c r="B2940" s="1" t="s">
        <v>16836</v>
      </c>
      <c r="C2940" s="1" t="s">
        <v>16837</v>
      </c>
      <c r="D2940" s="1" t="s">
        <v>15819</v>
      </c>
      <c r="G2940" s="1" t="s">
        <v>16838</v>
      </c>
      <c r="H2940" s="2" t="str">
        <f>Tabella1[[#This Row],[Denominazione]]&amp;" - "&amp;Tabella1[[#This Row],[Città]]</f>
        <v>CASA MIA di ATTRICE ANDREA - SAN BENEDETTO DEL TRONTO</v>
      </c>
    </row>
    <row r="2941" spans="1:8" x14ac:dyDescent="0.25">
      <c r="A2941" s="1" t="s">
        <v>12</v>
      </c>
      <c r="B2941" s="1" t="s">
        <v>11953</v>
      </c>
      <c r="C2941" s="1" t="s">
        <v>11954</v>
      </c>
      <c r="D2941" s="1" t="s">
        <v>11883</v>
      </c>
      <c r="G2941" s="1" t="s">
        <v>11955</v>
      </c>
      <c r="H2941" s="2" t="str">
        <f>Tabella1[[#This Row],[Denominazione]]&amp;" - "&amp;Tabella1[[#This Row],[Città]]</f>
        <v>CASA MILLIE - GUALDO</v>
      </c>
    </row>
    <row r="2942" spans="1:8" x14ac:dyDescent="0.25">
      <c r="A2942" s="1" t="s">
        <v>29</v>
      </c>
      <c r="B2942" s="1" t="s">
        <v>6061</v>
      </c>
      <c r="C2942" s="1" t="s">
        <v>6062</v>
      </c>
      <c r="D2942" s="1" t="s">
        <v>6049</v>
      </c>
      <c r="E2942" s="1" t="s">
        <v>6063</v>
      </c>
      <c r="G2942" s="1" t="s">
        <v>6064</v>
      </c>
      <c r="H2942" s="2" t="str">
        <f>Tabella1[[#This Row],[Denominazione]]&amp;" - "&amp;Tabella1[[#This Row],[Città]]</f>
        <v>CASA MIRABELLA - ARCEVIA</v>
      </c>
    </row>
    <row r="2943" spans="1:8" x14ac:dyDescent="0.25">
      <c r="A2943" s="1" t="s">
        <v>29</v>
      </c>
      <c r="B2943" s="1" t="s">
        <v>655</v>
      </c>
      <c r="C2943" s="1" t="s">
        <v>656</v>
      </c>
      <c r="D2943" s="1" t="s">
        <v>634</v>
      </c>
      <c r="E2943" s="1" t="s">
        <v>634</v>
      </c>
      <c r="F2943" s="1" t="s">
        <v>657</v>
      </c>
      <c r="G2943" s="1" t="s">
        <v>658</v>
      </c>
      <c r="H2943" s="2" t="str">
        <f>Tabella1[[#This Row],[Denominazione]]&amp;" - "&amp;Tabella1[[#This Row],[Città]]</f>
        <v>CASA MONTEFIORE - CARTOCETO</v>
      </c>
    </row>
    <row r="2944" spans="1:8" x14ac:dyDescent="0.25">
      <c r="A2944" s="1" t="s">
        <v>29</v>
      </c>
      <c r="B2944" s="1" t="s">
        <v>674</v>
      </c>
      <c r="C2944" s="1" t="s">
        <v>656</v>
      </c>
      <c r="D2944" s="1" t="s">
        <v>634</v>
      </c>
      <c r="E2944" s="1" t="s">
        <v>634</v>
      </c>
      <c r="G2944" s="1" t="s">
        <v>658</v>
      </c>
      <c r="H2944" s="2" t="str">
        <f>Tabella1[[#This Row],[Denominazione]]&amp;" - "&amp;Tabella1[[#This Row],[Città]]</f>
        <v>CASA MONTEFIORE II - CARTOCETO</v>
      </c>
    </row>
    <row r="2945" spans="1:8" x14ac:dyDescent="0.25">
      <c r="A2945" s="1" t="s">
        <v>82</v>
      </c>
      <c r="B2945" s="1" t="s">
        <v>8039</v>
      </c>
      <c r="C2945" s="1" t="s">
        <v>8040</v>
      </c>
      <c r="D2945" s="1" t="s">
        <v>7889</v>
      </c>
      <c r="E2945" s="1" t="s">
        <v>7895</v>
      </c>
      <c r="F2945" s="1" t="s">
        <v>8041</v>
      </c>
      <c r="G2945" s="1" t="s">
        <v>8042</v>
      </c>
      <c r="H2945" s="2" t="str">
        <f>Tabella1[[#This Row],[Denominazione]]&amp;" - "&amp;Tabella1[[#This Row],[Città]]</f>
        <v>CASA MONTIRONI - NUMANA</v>
      </c>
    </row>
    <row r="2946" spans="1:8" x14ac:dyDescent="0.25">
      <c r="A2946" s="1" t="s">
        <v>82</v>
      </c>
      <c r="B2946" s="1" t="s">
        <v>7640</v>
      </c>
      <c r="C2946" s="1" t="s">
        <v>7641</v>
      </c>
      <c r="D2946" s="1" t="s">
        <v>7611</v>
      </c>
      <c r="G2946" s="1" t="s">
        <v>7642</v>
      </c>
      <c r="H2946" s="2" t="str">
        <f>Tabella1[[#This Row],[Denominazione]]&amp;" - "&amp;Tabella1[[#This Row],[Città]]</f>
        <v>CASA NOCI - MERGO</v>
      </c>
    </row>
    <row r="2947" spans="1:8" x14ac:dyDescent="0.25">
      <c r="A2947" s="1" t="s">
        <v>20</v>
      </c>
      <c r="B2947" s="1" t="s">
        <v>4620</v>
      </c>
      <c r="C2947" s="1" t="s">
        <v>4621</v>
      </c>
      <c r="D2947" s="1" t="s">
        <v>4578</v>
      </c>
      <c r="E2947" s="1" t="s">
        <v>4578</v>
      </c>
      <c r="F2947" s="1" t="s">
        <v>4622</v>
      </c>
      <c r="G2947" s="1" t="s">
        <v>4623</v>
      </c>
      <c r="H2947" s="2" t="str">
        <f>Tabella1[[#This Row],[Denominazione]]&amp;" - "&amp;Tabella1[[#This Row],[Città]]</f>
        <v>CASA OLIVA - SERRUNGARINA</v>
      </c>
    </row>
    <row r="2948" spans="1:8" x14ac:dyDescent="0.25">
      <c r="A2948" s="1" t="s">
        <v>6</v>
      </c>
      <c r="B2948" s="1" t="s">
        <v>9409</v>
      </c>
      <c r="C2948" s="1" t="s">
        <v>9410</v>
      </c>
      <c r="D2948" s="1" t="s">
        <v>8949</v>
      </c>
      <c r="E2948" s="1" t="s">
        <v>9411</v>
      </c>
      <c r="F2948" s="1" t="s">
        <v>9412</v>
      </c>
      <c r="G2948" s="1" t="s">
        <v>9413</v>
      </c>
      <c r="H2948" s="2" t="str">
        <f>Tabella1[[#This Row],[Denominazione]]&amp;" - "&amp;Tabella1[[#This Row],[Città]]</f>
        <v>CASA ONDA - SENIGALLIA</v>
      </c>
    </row>
    <row r="2949" spans="1:8" x14ac:dyDescent="0.25">
      <c r="A2949" s="1" t="s">
        <v>190</v>
      </c>
      <c r="B2949" s="1" t="s">
        <v>16748</v>
      </c>
      <c r="D2949" s="1" t="s">
        <v>16714</v>
      </c>
      <c r="E2949" s="1" t="s">
        <v>16749</v>
      </c>
      <c r="H2949" s="2" t="str">
        <f>Tabella1[[#This Row],[Denominazione]]&amp;" - "&amp;Tabella1[[#This Row],[Città]]</f>
        <v>CASA PAOLA RENATA CARBONI - ROCCAFLUVIONE</v>
      </c>
    </row>
    <row r="2950" spans="1:8" x14ac:dyDescent="0.25">
      <c r="A2950" s="1" t="s">
        <v>20</v>
      </c>
      <c r="B2950" s="1" t="s">
        <v>7603</v>
      </c>
      <c r="C2950" s="1" t="s">
        <v>7604</v>
      </c>
      <c r="D2950" s="1" t="s">
        <v>7571</v>
      </c>
      <c r="E2950" s="1" t="s">
        <v>7571</v>
      </c>
      <c r="H2950" s="2" t="str">
        <f>Tabella1[[#This Row],[Denominazione]]&amp;" - "&amp;Tabella1[[#This Row],[Città]]</f>
        <v>CASA PAOLO VI - MAIOLATI SPONTINI</v>
      </c>
    </row>
    <row r="2951" spans="1:8" x14ac:dyDescent="0.25">
      <c r="A2951" s="1" t="s">
        <v>82</v>
      </c>
      <c r="B2951" s="1" t="s">
        <v>15807</v>
      </c>
      <c r="C2951" s="1" t="s">
        <v>15808</v>
      </c>
      <c r="D2951" s="1" t="s">
        <v>15585</v>
      </c>
      <c r="E2951" s="1" t="s">
        <v>15585</v>
      </c>
      <c r="F2951" s="1" t="s">
        <v>15809</v>
      </c>
      <c r="G2951" s="1" t="s">
        <v>15810</v>
      </c>
      <c r="H2951" s="2" t="str">
        <f>Tabella1[[#This Row],[Denominazione]]&amp;" - "&amp;Tabella1[[#This Row],[Città]]</f>
        <v>CASA PAZZI - GROTTAMMARE</v>
      </c>
    </row>
    <row r="2952" spans="1:8" x14ac:dyDescent="0.25">
      <c r="A2952" s="1" t="s">
        <v>190</v>
      </c>
      <c r="B2952" s="1" t="s">
        <v>16319</v>
      </c>
      <c r="C2952" s="1" t="s">
        <v>16318</v>
      </c>
      <c r="D2952" s="1" t="s">
        <v>16312</v>
      </c>
      <c r="E2952" s="1" t="s">
        <v>16312</v>
      </c>
      <c r="F2952" s="1" t="s">
        <v>16320</v>
      </c>
      <c r="G2952" s="1" t="s">
        <v>16321</v>
      </c>
      <c r="H2952" s="2" t="str">
        <f>Tabella1[[#This Row],[Denominazione]]&amp;" - "&amp;Tabella1[[#This Row],[Città]]</f>
        <v>CASA PER FERIE ALTINO - MONTEMONACO</v>
      </c>
    </row>
    <row r="2953" spans="1:8" x14ac:dyDescent="0.25">
      <c r="A2953" s="1" t="s">
        <v>190</v>
      </c>
      <c r="B2953" s="1" t="s">
        <v>17824</v>
      </c>
      <c r="C2953" s="1" t="s">
        <v>17825</v>
      </c>
      <c r="D2953" s="1" t="s">
        <v>17823</v>
      </c>
      <c r="E2953" s="1" t="s">
        <v>17823</v>
      </c>
      <c r="G2953" s="1" t="s">
        <v>17826</v>
      </c>
      <c r="H2953" s="2" t="str">
        <f>Tabella1[[#This Row],[Denominazione]]&amp;" - "&amp;Tabella1[[#This Row],[Città]]</f>
        <v>CASA PER FERIE BELMONTE PICENO - BELMONTE PICENO</v>
      </c>
    </row>
    <row r="2954" spans="1:8" x14ac:dyDescent="0.25">
      <c r="A2954" s="1" t="s">
        <v>190</v>
      </c>
      <c r="B2954" s="1" t="s">
        <v>7791</v>
      </c>
      <c r="C2954" s="1" t="s">
        <v>7792</v>
      </c>
      <c r="D2954" s="1" t="s">
        <v>7718</v>
      </c>
      <c r="E2954" s="1" t="s">
        <v>7718</v>
      </c>
      <c r="F2954" s="1" t="s">
        <v>7793</v>
      </c>
      <c r="G2954" s="1" t="s">
        <v>7794</v>
      </c>
      <c r="H2954" s="2" t="str">
        <f>Tabella1[[#This Row],[Denominazione]]&amp;" - "&amp;Tabella1[[#This Row],[Città]]</f>
        <v>CASA PER FERIE COLLE SERENO - MONTEMARCIANO</v>
      </c>
    </row>
    <row r="2955" spans="1:8" x14ac:dyDescent="0.25">
      <c r="A2955" s="1" t="s">
        <v>186</v>
      </c>
      <c r="B2955" s="1" t="s">
        <v>10177</v>
      </c>
      <c r="C2955" s="1" t="s">
        <v>10178</v>
      </c>
      <c r="D2955" s="1" t="s">
        <v>10117</v>
      </c>
      <c r="E2955" s="1" t="s">
        <v>10117</v>
      </c>
      <c r="F2955" s="1" t="s">
        <v>10179</v>
      </c>
      <c r="H2955" s="2" t="str">
        <f>Tabella1[[#This Row],[Denominazione]]&amp;" - "&amp;Tabella1[[#This Row],[Città]]</f>
        <v>CASA PER FERIE CRUCIANI - SERRA SAN QUIRICO</v>
      </c>
    </row>
    <row r="2956" spans="1:8" x14ac:dyDescent="0.25">
      <c r="A2956" s="1" t="s">
        <v>190</v>
      </c>
      <c r="B2956" s="1" t="s">
        <v>12618</v>
      </c>
      <c r="C2956" s="1" t="s">
        <v>12619</v>
      </c>
      <c r="D2956" s="1" t="s">
        <v>12612</v>
      </c>
      <c r="E2956" s="1" t="s">
        <v>12612</v>
      </c>
      <c r="F2956" s="1" t="s">
        <v>12620</v>
      </c>
      <c r="G2956" s="1" t="s">
        <v>12621</v>
      </c>
      <c r="H2956" s="2" t="str">
        <f>Tabella1[[#This Row],[Denominazione]]&amp;" - "&amp;Tabella1[[#This Row],[Città]]</f>
        <v>CASA PER FERIE EREMO BEATO RIZZERIO - MUCCIA</v>
      </c>
    </row>
    <row r="2957" spans="1:8" x14ac:dyDescent="0.25">
      <c r="A2957" s="1" t="s">
        <v>190</v>
      </c>
      <c r="B2957" s="1" t="s">
        <v>11167</v>
      </c>
      <c r="C2957" s="1" t="s">
        <v>11168</v>
      </c>
      <c r="D2957" s="1" t="s">
        <v>11058</v>
      </c>
      <c r="E2957" s="1" t="s">
        <v>11058</v>
      </c>
      <c r="G2957" s="1" t="s">
        <v>11169</v>
      </c>
      <c r="H2957" s="2" t="str">
        <f>Tabella1[[#This Row],[Denominazione]]&amp;" - "&amp;Tabella1[[#This Row],[Città]]</f>
        <v>CASA PER FERIE IN VIA S. ESUPERANZIO - CINGOLI</v>
      </c>
    </row>
    <row r="2958" spans="1:8" x14ac:dyDescent="0.25">
      <c r="A2958" s="1" t="s">
        <v>190</v>
      </c>
      <c r="B2958" s="1" t="s">
        <v>10141</v>
      </c>
      <c r="C2958" s="1" t="s">
        <v>10142</v>
      </c>
      <c r="D2958" s="1" t="s">
        <v>10117</v>
      </c>
      <c r="E2958" s="1" t="s">
        <v>10117</v>
      </c>
      <c r="F2958" s="1" t="s">
        <v>10143</v>
      </c>
      <c r="G2958" s="1" t="s">
        <v>10144</v>
      </c>
      <c r="H2958" s="2" t="str">
        <f>Tabella1[[#This Row],[Denominazione]]&amp;" - "&amp;Tabella1[[#This Row],[Città]]</f>
        <v>CASA PER FERIE PALAZZO MENARINI - SERRA SAN QUIRICO</v>
      </c>
    </row>
    <row r="2959" spans="1:8" x14ac:dyDescent="0.25">
      <c r="A2959" s="1" t="s">
        <v>190</v>
      </c>
      <c r="B2959" s="1" t="s">
        <v>1425</v>
      </c>
      <c r="C2959" s="1" t="s">
        <v>1426</v>
      </c>
      <c r="D2959" s="1" t="s">
        <v>682</v>
      </c>
      <c r="E2959" s="1" t="s">
        <v>682</v>
      </c>
      <c r="G2959" s="1" t="s">
        <v>1427</v>
      </c>
      <c r="H2959" s="2" t="str">
        <f>Tabella1[[#This Row],[Denominazione]]&amp;" - "&amp;Tabella1[[#This Row],[Città]]</f>
        <v>CASA PER FERIE PARROCCHIA OSSANESGA - FANO</v>
      </c>
    </row>
    <row r="2960" spans="1:8" x14ac:dyDescent="0.25">
      <c r="A2960" s="1" t="s">
        <v>190</v>
      </c>
      <c r="B2960" s="1" t="s">
        <v>16322</v>
      </c>
      <c r="D2960" s="1" t="s">
        <v>16312</v>
      </c>
      <c r="E2960" s="1" t="s">
        <v>16323</v>
      </c>
      <c r="G2960" s="1" t="s">
        <v>16324</v>
      </c>
      <c r="H2960" s="2" t="str">
        <f>Tabella1[[#This Row],[Denominazione]]&amp;" - "&amp;Tabella1[[#This Row],[Città]]</f>
        <v>CASA PER FERIE SAN GIORGIO ALL' ISOLA - MONTEMONACO</v>
      </c>
    </row>
    <row r="2961" spans="1:8" x14ac:dyDescent="0.25">
      <c r="A2961" s="1" t="s">
        <v>82</v>
      </c>
      <c r="B2961" s="1" t="s">
        <v>4437</v>
      </c>
      <c r="C2961" s="1" t="s">
        <v>4438</v>
      </c>
      <c r="D2961" s="1" t="s">
        <v>4397</v>
      </c>
      <c r="E2961" s="1" t="s">
        <v>4439</v>
      </c>
      <c r="G2961" s="1" t="s">
        <v>4428</v>
      </c>
      <c r="H2961" s="2" t="str">
        <f>Tabella1[[#This Row],[Denominazione]]&amp;" - "&amp;Tabella1[[#This Row],[Città]]</f>
        <v>CASA PER VACANZE CARESTO - SANT'ANGELO IN VADO</v>
      </c>
    </row>
    <row r="2962" spans="1:8" x14ac:dyDescent="0.25">
      <c r="A2962" s="1" t="s">
        <v>82</v>
      </c>
      <c r="B2962" s="1" t="s">
        <v>2747</v>
      </c>
      <c r="C2962" s="1" t="s">
        <v>2748</v>
      </c>
      <c r="D2962" s="1" t="s">
        <v>2729</v>
      </c>
      <c r="F2962" s="1" t="s">
        <v>2749</v>
      </c>
      <c r="G2962" s="1" t="s">
        <v>2750</v>
      </c>
      <c r="H2962" s="2" t="str">
        <f>Tabella1[[#This Row],[Denominazione]]&amp;" - "&amp;Tabella1[[#This Row],[Città]]</f>
        <v>CASA PER VACANZE LA ROCCA - MONDAVIO</v>
      </c>
    </row>
    <row r="2963" spans="1:8" x14ac:dyDescent="0.25">
      <c r="A2963" s="1" t="s">
        <v>12</v>
      </c>
      <c r="B2963" s="1" t="s">
        <v>6760</v>
      </c>
      <c r="C2963" s="1" t="s">
        <v>6761</v>
      </c>
      <c r="D2963" s="1" t="s">
        <v>6652</v>
      </c>
      <c r="E2963" s="1" t="s">
        <v>6762</v>
      </c>
      <c r="F2963" s="1" t="s">
        <v>6763</v>
      </c>
      <c r="G2963" s="1" t="s">
        <v>6764</v>
      </c>
      <c r="H2963" s="2" t="str">
        <f>Tabella1[[#This Row],[Denominazione]]&amp;" - "&amp;Tabella1[[#This Row],[Città]]</f>
        <v>CASA PIETRONE di MARIO DELLA SCHIAVA - CUPRAMONTANA</v>
      </c>
    </row>
    <row r="2964" spans="1:8" x14ac:dyDescent="0.25">
      <c r="A2964" s="1" t="s">
        <v>82</v>
      </c>
      <c r="B2964" s="1" t="s">
        <v>15679</v>
      </c>
      <c r="C2964" s="1" t="s">
        <v>15680</v>
      </c>
      <c r="D2964" s="1" t="s">
        <v>15585</v>
      </c>
      <c r="E2964" s="1" t="s">
        <v>15585</v>
      </c>
      <c r="F2964" s="1" t="s">
        <v>15681</v>
      </c>
      <c r="G2964" s="1" t="s">
        <v>15682</v>
      </c>
      <c r="H2964" s="2" t="str">
        <f>Tabella1[[#This Row],[Denominazione]]&amp;" - "&amp;Tabella1[[#This Row],[Città]]</f>
        <v>CASA PREZIOSA - GROTTAMMARE</v>
      </c>
    </row>
    <row r="2965" spans="1:8" x14ac:dyDescent="0.25">
      <c r="A2965" s="1" t="s">
        <v>82</v>
      </c>
      <c r="B2965" s="1" t="s">
        <v>1636</v>
      </c>
      <c r="C2965" s="1" t="s">
        <v>1637</v>
      </c>
      <c r="D2965" s="1" t="s">
        <v>682</v>
      </c>
      <c r="F2965" s="1" t="s">
        <v>1638</v>
      </c>
      <c r="G2965" s="1" t="s">
        <v>1639</v>
      </c>
      <c r="H2965" s="2" t="str">
        <f>Tabella1[[#This Row],[Denominazione]]&amp;" - "&amp;Tabella1[[#This Row],[Città]]</f>
        <v>CASA REGINA - FANO</v>
      </c>
    </row>
    <row r="2966" spans="1:8" x14ac:dyDescent="0.25">
      <c r="A2966" s="1" t="s">
        <v>190</v>
      </c>
      <c r="B2966" s="1" t="s">
        <v>4347</v>
      </c>
      <c r="C2966" s="1" t="s">
        <v>4348</v>
      </c>
      <c r="D2966" s="1" t="s">
        <v>4341</v>
      </c>
      <c r="G2966" s="1" t="s">
        <v>4349</v>
      </c>
      <c r="H2966" s="2" t="str">
        <f>Tabella1[[#This Row],[Denominazione]]&amp;" - "&amp;Tabella1[[#This Row],[Città]]</f>
        <v>CASA RELIGIOSA DI OSPITALITA' DON STEFANO LAMERA - SAN GIORGIO DI PESARO</v>
      </c>
    </row>
    <row r="2967" spans="1:8" x14ac:dyDescent="0.25">
      <c r="A2967" s="1" t="s">
        <v>190</v>
      </c>
      <c r="B2967" s="1" t="s">
        <v>785</v>
      </c>
      <c r="C2967" s="1" t="s">
        <v>786</v>
      </c>
      <c r="D2967" s="1" t="s">
        <v>682</v>
      </c>
      <c r="G2967" s="1" t="s">
        <v>787</v>
      </c>
      <c r="H2967" s="2" t="str">
        <f>Tabella1[[#This Row],[Denominazione]]&amp;" - "&amp;Tabella1[[#This Row],[Città]]</f>
        <v>CASA RELIGIOSA DI OSPITALITA' MAESTRE PIE VENERINI - FANO</v>
      </c>
    </row>
    <row r="2968" spans="1:8" x14ac:dyDescent="0.25">
      <c r="A2968" s="1" t="s">
        <v>29</v>
      </c>
      <c r="B2968" s="1" t="s">
        <v>2488</v>
      </c>
      <c r="C2968" s="1" t="s">
        <v>2489</v>
      </c>
      <c r="D2968" s="1" t="s">
        <v>2425</v>
      </c>
      <c r="E2968" s="1" t="s">
        <v>2425</v>
      </c>
      <c r="G2968" s="1" t="s">
        <v>2490</v>
      </c>
      <c r="H2968" s="2" t="str">
        <f>Tabella1[[#This Row],[Denominazione]]&amp;" - "&amp;Tabella1[[#This Row],[Città]]</f>
        <v>CASA RENALDA - GRADARA</v>
      </c>
    </row>
    <row r="2969" spans="1:8" x14ac:dyDescent="0.25">
      <c r="A2969" s="1" t="s">
        <v>35</v>
      </c>
      <c r="B2969" s="1" t="s">
        <v>4049</v>
      </c>
      <c r="C2969" s="1" t="s">
        <v>4050</v>
      </c>
      <c r="D2969" s="1" t="s">
        <v>2386</v>
      </c>
      <c r="E2969" s="1" t="s">
        <v>3464</v>
      </c>
      <c r="F2969" s="1" t="s">
        <v>4051</v>
      </c>
      <c r="G2969" s="1" t="s">
        <v>4052</v>
      </c>
      <c r="H2969" s="2" t="str">
        <f>Tabella1[[#This Row],[Denominazione]]&amp;" - "&amp;Tabella1[[#This Row],[Città]]</f>
        <v>CASA RENILI - PESARO</v>
      </c>
    </row>
    <row r="2970" spans="1:8" x14ac:dyDescent="0.25">
      <c r="A2970" s="1" t="s">
        <v>82</v>
      </c>
      <c r="B2970" s="1" t="s">
        <v>6776</v>
      </c>
      <c r="C2970" s="1" t="s">
        <v>6777</v>
      </c>
      <c r="D2970" s="1" t="s">
        <v>6652</v>
      </c>
      <c r="E2970" s="1" t="s">
        <v>6652</v>
      </c>
      <c r="F2970" s="1" t="s">
        <v>6778</v>
      </c>
      <c r="G2970" s="1" t="s">
        <v>6779</v>
      </c>
      <c r="H2970" s="2" t="str">
        <f>Tabella1[[#This Row],[Denominazione]]&amp;" - "&amp;Tabella1[[#This Row],[Città]]</f>
        <v>CASA RIPA - CUPRAMONTANA</v>
      </c>
    </row>
    <row r="2971" spans="1:8" x14ac:dyDescent="0.25">
      <c r="A2971" s="1" t="s">
        <v>12</v>
      </c>
      <c r="B2971" s="1" t="s">
        <v>15251</v>
      </c>
      <c r="D2971" s="1" t="s">
        <v>15249</v>
      </c>
      <c r="E2971" s="1" t="s">
        <v>15252</v>
      </c>
      <c r="H2971" s="2" t="str">
        <f>Tabella1[[#This Row],[Denominazione]]&amp;" - "&amp;Tabella1[[#This Row],[Città]]</f>
        <v>CASA ROME' - COMUNANZA</v>
      </c>
    </row>
    <row r="2972" spans="1:8" x14ac:dyDescent="0.25">
      <c r="A2972" s="1" t="s">
        <v>6</v>
      </c>
      <c r="B2972" s="1" t="s">
        <v>3202</v>
      </c>
      <c r="C2972" s="1" t="s">
        <v>3203</v>
      </c>
      <c r="D2972" s="1" t="s">
        <v>3182</v>
      </c>
      <c r="E2972" s="1" t="s">
        <v>3182</v>
      </c>
      <c r="F2972" s="1" t="s">
        <v>3204</v>
      </c>
      <c r="G2972" s="1" t="s">
        <v>3205</v>
      </c>
      <c r="H2972" s="2" t="str">
        <f>Tabella1[[#This Row],[Denominazione]]&amp;" - "&amp;Tabella1[[#This Row],[Città]]</f>
        <v>CASA RONCAGLIA - MONTEMAGGIORE AL METAURO</v>
      </c>
    </row>
    <row r="2973" spans="1:8" x14ac:dyDescent="0.25">
      <c r="A2973" s="1" t="s">
        <v>12</v>
      </c>
      <c r="B2973" s="1" t="s">
        <v>12325</v>
      </c>
      <c r="C2973" s="1" t="s">
        <v>12326</v>
      </c>
      <c r="D2973" s="1" t="s">
        <v>12290</v>
      </c>
      <c r="G2973" s="1" t="s">
        <v>12327</v>
      </c>
      <c r="H2973" s="2" t="str">
        <f>Tabella1[[#This Row],[Denominazione]]&amp;" - "&amp;Tabella1[[#This Row],[Città]]</f>
        <v>CASA RONDINI di DAVID JOHN WILKINSON - MOGLIANO</v>
      </c>
    </row>
    <row r="2974" spans="1:8" x14ac:dyDescent="0.25">
      <c r="A2974" s="1" t="s">
        <v>12</v>
      </c>
      <c r="B2974" s="1" t="s">
        <v>14163</v>
      </c>
      <c r="C2974" s="1" t="s">
        <v>14164</v>
      </c>
      <c r="D2974" s="1" t="s">
        <v>14065</v>
      </c>
      <c r="G2974" s="1" t="s">
        <v>14165</v>
      </c>
      <c r="H2974" s="2" t="str">
        <f>Tabella1[[#This Row],[Denominazione]]&amp;" - "&amp;Tabella1[[#This Row],[Città]]</f>
        <v>CASA RUFFINI MAGGIOLINI - TREIA</v>
      </c>
    </row>
    <row r="2975" spans="1:8" x14ac:dyDescent="0.25">
      <c r="A2975" s="1" t="s">
        <v>12</v>
      </c>
      <c r="B2975" s="1" t="s">
        <v>6251</v>
      </c>
      <c r="D2975" s="1" t="s">
        <v>6049</v>
      </c>
      <c r="E2975" s="1" t="s">
        <v>6063</v>
      </c>
      <c r="G2975" s="1" t="s">
        <v>6252</v>
      </c>
      <c r="H2975" s="2" t="str">
        <f>Tabella1[[#This Row],[Denominazione]]&amp;" - "&amp;Tabella1[[#This Row],[Città]]</f>
        <v>CASA SAN MARTINO - ARCEVIA</v>
      </c>
    </row>
    <row r="2976" spans="1:8" x14ac:dyDescent="0.25">
      <c r="A2976" s="1" t="s">
        <v>12</v>
      </c>
      <c r="B2976" s="1" t="s">
        <v>6251</v>
      </c>
      <c r="D2976" s="1" t="s">
        <v>6049</v>
      </c>
      <c r="E2976" s="1" t="s">
        <v>6063</v>
      </c>
      <c r="G2976" s="1" t="s">
        <v>6252</v>
      </c>
      <c r="H2976" s="2" t="str">
        <f>Tabella1[[#This Row],[Denominazione]]&amp;" - "&amp;Tabella1[[#This Row],[Città]]</f>
        <v>CASA SAN MARTINO - ARCEVIA</v>
      </c>
    </row>
    <row r="2977" spans="1:8" x14ac:dyDescent="0.25">
      <c r="A2977" s="1" t="s">
        <v>6</v>
      </c>
      <c r="B2977" s="1" t="s">
        <v>18627</v>
      </c>
      <c r="C2977" s="1" t="s">
        <v>18628</v>
      </c>
      <c r="D2977" s="1" t="s">
        <v>18618</v>
      </c>
      <c r="E2977" s="1" t="s">
        <v>18619</v>
      </c>
      <c r="F2977" s="1" t="s">
        <v>18629</v>
      </c>
      <c r="G2977" s="1" t="s">
        <v>18630</v>
      </c>
      <c r="H2977" s="2" t="str">
        <f>Tabella1[[#This Row],[Denominazione]]&amp;" - "&amp;Tabella1[[#This Row],[Città]]</f>
        <v>CASA SAN RUFFINO - MONTEGIORGIO</v>
      </c>
    </row>
    <row r="2978" spans="1:8" x14ac:dyDescent="0.25">
      <c r="A2978" s="1" t="s">
        <v>12</v>
      </c>
      <c r="B2978" s="1" t="s">
        <v>12322</v>
      </c>
      <c r="C2978" s="1" t="s">
        <v>12323</v>
      </c>
      <c r="D2978" s="1" t="s">
        <v>12290</v>
      </c>
      <c r="G2978" s="1" t="s">
        <v>12324</v>
      </c>
      <c r="H2978" s="2" t="str">
        <f>Tabella1[[#This Row],[Denominazione]]&amp;" - "&amp;Tabella1[[#This Row],[Città]]</f>
        <v>CASA SANTA LUCIA di SIMON ANDREW PILKINGTON - MOGLIANO</v>
      </c>
    </row>
    <row r="2979" spans="1:8" x14ac:dyDescent="0.25">
      <c r="A2979" s="1" t="s">
        <v>12</v>
      </c>
      <c r="B2979" s="1" t="s">
        <v>11038</v>
      </c>
      <c r="C2979" s="1" t="s">
        <v>11039</v>
      </c>
      <c r="D2979" s="1" t="s">
        <v>11022</v>
      </c>
      <c r="G2979" s="1" t="s">
        <v>11040</v>
      </c>
      <c r="H2979" s="2" t="str">
        <f>Tabella1[[#This Row],[Denominazione]]&amp;" - "&amp;Tabella1[[#This Row],[Città]]</f>
        <v>CASA SANTANCINI di DAWN COLCLOUGH - CESSAPALOMBO</v>
      </c>
    </row>
    <row r="2980" spans="1:8" x14ac:dyDescent="0.25">
      <c r="A2980" s="1" t="s">
        <v>29</v>
      </c>
      <c r="B2980" s="1" t="s">
        <v>675</v>
      </c>
      <c r="C2980" s="1" t="s">
        <v>676</v>
      </c>
      <c r="D2980" s="1" t="s">
        <v>634</v>
      </c>
      <c r="E2980" s="1" t="s">
        <v>677</v>
      </c>
      <c r="G2980" s="1" t="s">
        <v>678</v>
      </c>
      <c r="H2980" s="2" t="str">
        <f>Tabella1[[#This Row],[Denominazione]]&amp;" - "&amp;Tabella1[[#This Row],[Città]]</f>
        <v>CASA SGARZI'N - CARTOCETO</v>
      </c>
    </row>
    <row r="2981" spans="1:8" x14ac:dyDescent="0.25">
      <c r="A2981" s="1" t="s">
        <v>29</v>
      </c>
      <c r="B2981" s="1" t="s">
        <v>8409</v>
      </c>
      <c r="C2981" s="1" t="s">
        <v>8410</v>
      </c>
      <c r="D2981" s="1" t="s">
        <v>8411</v>
      </c>
      <c r="E2981" s="1" t="s">
        <v>8411</v>
      </c>
      <c r="F2981" s="1" t="s">
        <v>8412</v>
      </c>
      <c r="G2981" s="1" t="s">
        <v>8413</v>
      </c>
      <c r="H2981" s="2" t="str">
        <f>Tabella1[[#This Row],[Denominazione]]&amp;" - "&amp;Tabella1[[#This Row],[Città]]</f>
        <v>CASA SORESINA - OFFAGNA</v>
      </c>
    </row>
    <row r="2982" spans="1:8" x14ac:dyDescent="0.25">
      <c r="A2982" s="1" t="s">
        <v>6</v>
      </c>
      <c r="B2982" s="1" t="s">
        <v>18574</v>
      </c>
      <c r="C2982" s="1" t="s">
        <v>18575</v>
      </c>
      <c r="D2982" s="1" t="s">
        <v>18522</v>
      </c>
      <c r="E2982" s="1" t="s">
        <v>18522</v>
      </c>
      <c r="F2982" s="1" t="s">
        <v>18576</v>
      </c>
      <c r="G2982" s="1" t="s">
        <v>18577</v>
      </c>
      <c r="H2982" s="2" t="str">
        <f>Tabella1[[#This Row],[Denominazione]]&amp;" - "&amp;Tabella1[[#This Row],[Città]]</f>
        <v>CASA SULLA VALLE - MONTEFORTINO</v>
      </c>
    </row>
    <row r="2983" spans="1:8" x14ac:dyDescent="0.25">
      <c r="A2983" s="1" t="s">
        <v>29</v>
      </c>
      <c r="B2983" s="1" t="s">
        <v>18459</v>
      </c>
      <c r="C2983" s="1" t="s">
        <v>18460</v>
      </c>
      <c r="D2983" s="1" t="s">
        <v>18389</v>
      </c>
      <c r="H2983" s="2" t="str">
        <f>Tabella1[[#This Row],[Denominazione]]&amp;" - "&amp;Tabella1[[#This Row],[Città]]</f>
        <v>CASA SVEZIA - LAPEDONA</v>
      </c>
    </row>
    <row r="2984" spans="1:8" x14ac:dyDescent="0.25">
      <c r="A2984" s="1" t="s">
        <v>571</v>
      </c>
      <c r="B2984" s="1" t="s">
        <v>8919</v>
      </c>
      <c r="C2984" s="1" t="s">
        <v>8920</v>
      </c>
      <c r="D2984" s="1" t="s">
        <v>8849</v>
      </c>
      <c r="F2984" s="1" t="s">
        <v>8921</v>
      </c>
      <c r="G2984" s="1" t="s">
        <v>8884</v>
      </c>
      <c r="H2984" s="2" t="str">
        <f>Tabella1[[#This Row],[Denominazione]]&amp;" - "&amp;Tabella1[[#This Row],[Città]]</f>
        <v>CASA TARTUFO - SASSOFERRATO</v>
      </c>
    </row>
    <row r="2985" spans="1:8" x14ac:dyDescent="0.25">
      <c r="A2985" s="1" t="s">
        <v>12</v>
      </c>
      <c r="B2985" s="1" t="s">
        <v>17891</v>
      </c>
      <c r="C2985" s="1" t="s">
        <v>17892</v>
      </c>
      <c r="D2985" s="1" t="s">
        <v>17839</v>
      </c>
      <c r="E2985" s="1" t="s">
        <v>17659</v>
      </c>
      <c r="F2985" s="1" t="s">
        <v>17893</v>
      </c>
      <c r="G2985" s="1" t="s">
        <v>17894</v>
      </c>
      <c r="H2985" s="2" t="str">
        <f>Tabella1[[#This Row],[Denominazione]]&amp;" - "&amp;Tabella1[[#This Row],[Città]]</f>
        <v>CASA ULIVETO - CAMPOFILONE</v>
      </c>
    </row>
    <row r="2986" spans="1:8" x14ac:dyDescent="0.25">
      <c r="A2986" s="1" t="s">
        <v>12</v>
      </c>
      <c r="B2986" s="1" t="s">
        <v>10921</v>
      </c>
      <c r="C2986" s="1" t="s">
        <v>10922</v>
      </c>
      <c r="D2986" s="1" t="s">
        <v>10912</v>
      </c>
      <c r="G2986" s="1" t="s">
        <v>10923</v>
      </c>
      <c r="H2986" s="2" t="str">
        <f>Tabella1[[#This Row],[Denominazione]]&amp;" - "&amp;Tabella1[[#This Row],[Città]]</f>
        <v>CASA VACANZA BORGO VECCHIO - CAMPOROTONDO DI FIASTRONE</v>
      </c>
    </row>
    <row r="2987" spans="1:8" x14ac:dyDescent="0.25">
      <c r="A2987" s="1" t="s">
        <v>12</v>
      </c>
      <c r="B2987" s="1" t="s">
        <v>4580</v>
      </c>
      <c r="C2987" s="1" t="s">
        <v>4581</v>
      </c>
      <c r="D2987" s="1" t="s">
        <v>4578</v>
      </c>
      <c r="H2987" s="2" t="str">
        <f>Tabella1[[#This Row],[Denominazione]]&amp;" - "&amp;Tabella1[[#This Row],[Città]]</f>
        <v>CASA VACANZE - SERRUNGARINA</v>
      </c>
    </row>
    <row r="2988" spans="1:8" x14ac:dyDescent="0.25">
      <c r="A2988" s="1" t="s">
        <v>82</v>
      </c>
      <c r="B2988" s="1" t="s">
        <v>4580</v>
      </c>
      <c r="C2988" s="1" t="s">
        <v>8299</v>
      </c>
      <c r="D2988" s="1" t="s">
        <v>7889</v>
      </c>
      <c r="E2988" s="1" t="s">
        <v>7889</v>
      </c>
      <c r="F2988" s="1" t="s">
        <v>8300</v>
      </c>
      <c r="G2988" s="1" t="s">
        <v>8301</v>
      </c>
      <c r="H2988" s="2" t="str">
        <f>Tabella1[[#This Row],[Denominazione]]&amp;" - "&amp;Tabella1[[#This Row],[Città]]</f>
        <v>CASA VACANZE - NUMANA</v>
      </c>
    </row>
    <row r="2989" spans="1:8" x14ac:dyDescent="0.25">
      <c r="A2989" s="1" t="s">
        <v>82</v>
      </c>
      <c r="B2989" s="1" t="s">
        <v>3637</v>
      </c>
      <c r="C2989" s="1" t="s">
        <v>3638</v>
      </c>
      <c r="D2989" s="1" t="s">
        <v>2386</v>
      </c>
      <c r="E2989" s="1" t="s">
        <v>3639</v>
      </c>
      <c r="G2989" s="1" t="s">
        <v>3640</v>
      </c>
      <c r="H2989" s="2" t="str">
        <f>Tabella1[[#This Row],[Denominazione]]&amp;" - "&amp;Tabella1[[#This Row],[Città]]</f>
        <v>CASA VACANZE ABBAZIA - PESARO</v>
      </c>
    </row>
    <row r="2990" spans="1:8" x14ac:dyDescent="0.25">
      <c r="A2990" s="1" t="s">
        <v>82</v>
      </c>
      <c r="B2990" s="1" t="s">
        <v>12942</v>
      </c>
      <c r="C2990" s="1" t="s">
        <v>12943</v>
      </c>
      <c r="D2990" s="1" t="s">
        <v>12801</v>
      </c>
      <c r="E2990" s="1" t="s">
        <v>12801</v>
      </c>
      <c r="G2990" s="1" t="s">
        <v>12944</v>
      </c>
      <c r="H2990" s="2" t="str">
        <f>Tabella1[[#This Row],[Denominazione]]&amp;" - "&amp;Tabella1[[#This Row],[Città]]</f>
        <v>CASA VACANZE ALBA CHIARA - PORTO RECANATI</v>
      </c>
    </row>
    <row r="2991" spans="1:8" x14ac:dyDescent="0.25">
      <c r="A2991" s="1" t="s">
        <v>82</v>
      </c>
      <c r="B2991" s="1" t="s">
        <v>17997</v>
      </c>
      <c r="C2991" s="1" t="s">
        <v>17998</v>
      </c>
      <c r="D2991" s="1" t="s">
        <v>17932</v>
      </c>
      <c r="E2991" s="1" t="s">
        <v>17995</v>
      </c>
      <c r="F2991" s="1" t="s">
        <v>17999</v>
      </c>
      <c r="G2991" s="1" t="s">
        <v>18000</v>
      </c>
      <c r="H2991" s="2" t="str">
        <f>Tabella1[[#This Row],[Denominazione]]&amp;" - "&amp;Tabella1[[#This Row],[Città]]</f>
        <v>CASA VACANZE BORGO CASAL CRISTIANA - FERMO</v>
      </c>
    </row>
    <row r="2992" spans="1:8" x14ac:dyDescent="0.25">
      <c r="A2992" s="1" t="s">
        <v>12</v>
      </c>
      <c r="B2992" s="1" t="s">
        <v>13810</v>
      </c>
      <c r="C2992" s="1" t="s">
        <v>13811</v>
      </c>
      <c r="D2992" s="1" t="s">
        <v>13756</v>
      </c>
      <c r="E2992" s="1" t="s">
        <v>13812</v>
      </c>
      <c r="F2992" s="1" t="s">
        <v>13813</v>
      </c>
      <c r="G2992" s="1" t="s">
        <v>13814</v>
      </c>
      <c r="H2992" s="2" t="str">
        <f>Tabella1[[#This Row],[Denominazione]]&amp;" - "&amp;Tabella1[[#This Row],[Città]]</f>
        <v>CASA VACANZE DUCA SCHITO - SARNANO</v>
      </c>
    </row>
    <row r="2993" spans="1:8" x14ac:dyDescent="0.25">
      <c r="A2993" s="1" t="s">
        <v>82</v>
      </c>
      <c r="B2993" s="1" t="s">
        <v>1900</v>
      </c>
      <c r="C2993" s="1" t="s">
        <v>1901</v>
      </c>
      <c r="D2993" s="1" t="s">
        <v>356</v>
      </c>
      <c r="E2993" s="1" t="s">
        <v>356</v>
      </c>
      <c r="H2993" s="2" t="str">
        <f>Tabella1[[#This Row],[Denominazione]]&amp;" - "&amp;Tabella1[[#This Row],[Città]]</f>
        <v>CASA VACANZE EDILFRONTONE - FRONTONE</v>
      </c>
    </row>
    <row r="2994" spans="1:8" x14ac:dyDescent="0.25">
      <c r="A2994" s="1" t="s">
        <v>12</v>
      </c>
      <c r="B2994" s="1" t="s">
        <v>3186</v>
      </c>
      <c r="C2994" s="1" t="s">
        <v>3187</v>
      </c>
      <c r="D2994" s="1" t="s">
        <v>3182</v>
      </c>
      <c r="F2994" s="1" t="s">
        <v>3188</v>
      </c>
      <c r="G2994" s="1" t="s">
        <v>3189</v>
      </c>
      <c r="H2994" s="2" t="str">
        <f>Tabella1[[#This Row],[Denominazione]]&amp;" - "&amp;Tabella1[[#This Row],[Città]]</f>
        <v>CASA VACANZE ELSA - MONTEMAGGIORE AL METAURO</v>
      </c>
    </row>
    <row r="2995" spans="1:8" x14ac:dyDescent="0.25">
      <c r="A2995" s="1" t="s">
        <v>12</v>
      </c>
      <c r="B2995" s="1" t="s">
        <v>7202</v>
      </c>
      <c r="C2995" s="1" t="s">
        <v>7203</v>
      </c>
      <c r="D2995" s="1" t="s">
        <v>7200</v>
      </c>
      <c r="F2995" s="1" t="s">
        <v>7204</v>
      </c>
      <c r="G2995" s="1" t="s">
        <v>7205</v>
      </c>
      <c r="H2995" s="2" t="str">
        <f>Tabella1[[#This Row],[Denominazione]]&amp;" - "&amp;Tabella1[[#This Row],[Città]]</f>
        <v>CASA VACANZE GAROFOLI - GENGA</v>
      </c>
    </row>
    <row r="2996" spans="1:8" x14ac:dyDescent="0.25">
      <c r="A2996" s="1" t="s">
        <v>82</v>
      </c>
      <c r="B2996" s="1" t="s">
        <v>8065</v>
      </c>
      <c r="C2996" s="1" t="s">
        <v>8066</v>
      </c>
      <c r="D2996" s="1" t="s">
        <v>7889</v>
      </c>
      <c r="E2996" s="1" t="s">
        <v>7889</v>
      </c>
      <c r="F2996" s="1" t="s">
        <v>8067</v>
      </c>
      <c r="G2996" s="1" t="s">
        <v>8068</v>
      </c>
      <c r="H2996" s="2" t="str">
        <f>Tabella1[[#This Row],[Denominazione]]&amp;" - "&amp;Tabella1[[#This Row],[Città]]</f>
        <v>CASA VACANZE GIULIA - NUMANA</v>
      </c>
    </row>
    <row r="2997" spans="1:8" x14ac:dyDescent="0.25">
      <c r="A2997" s="1" t="s">
        <v>82</v>
      </c>
      <c r="B2997" s="1" t="s">
        <v>1889</v>
      </c>
      <c r="D2997" s="1" t="s">
        <v>356</v>
      </c>
      <c r="E2997" s="1" t="s">
        <v>1890</v>
      </c>
      <c r="F2997" s="1" t="s">
        <v>1891</v>
      </c>
      <c r="G2997" s="1" t="s">
        <v>1892</v>
      </c>
      <c r="H2997" s="2" t="str">
        <f>Tabella1[[#This Row],[Denominazione]]&amp;" - "&amp;Tabella1[[#This Row],[Città]]</f>
        <v>CASA VACANZE IL CAPRILE - FRONTONE</v>
      </c>
    </row>
    <row r="2998" spans="1:8" x14ac:dyDescent="0.25">
      <c r="A2998" s="1" t="s">
        <v>82</v>
      </c>
      <c r="B2998" s="1" t="s">
        <v>8881</v>
      </c>
      <c r="C2998" s="1" t="s">
        <v>8882</v>
      </c>
      <c r="D2998" s="1" t="s">
        <v>8849</v>
      </c>
      <c r="E2998" s="1" t="s">
        <v>8883</v>
      </c>
      <c r="G2998" s="1" t="s">
        <v>8884</v>
      </c>
      <c r="H2998" s="2" t="str">
        <f>Tabella1[[#This Row],[Denominazione]]&amp;" - "&amp;Tabella1[[#This Row],[Città]]</f>
        <v>CASA VACANZE IL TARTUFO di STROO BENJAMIN - SASSOFERRATO</v>
      </c>
    </row>
    <row r="2999" spans="1:8" x14ac:dyDescent="0.25">
      <c r="A2999" s="1" t="s">
        <v>82</v>
      </c>
      <c r="B2999" s="1" t="s">
        <v>16575</v>
      </c>
      <c r="C2999" s="1" t="s">
        <v>16576</v>
      </c>
      <c r="D2999" s="1" t="s">
        <v>16440</v>
      </c>
      <c r="E2999" s="1" t="s">
        <v>16440</v>
      </c>
      <c r="G2999" s="1" t="s">
        <v>16577</v>
      </c>
      <c r="H2999" s="2" t="str">
        <f>Tabella1[[#This Row],[Denominazione]]&amp;" - "&amp;Tabella1[[#This Row],[Città]]</f>
        <v>CASA VACANZE MADONNA DELLA SANTITA' - OFFIDA</v>
      </c>
    </row>
    <row r="3000" spans="1:8" x14ac:dyDescent="0.25">
      <c r="A3000" s="1" t="s">
        <v>82</v>
      </c>
      <c r="B3000" s="1" t="s">
        <v>1876</v>
      </c>
      <c r="C3000" s="1" t="s">
        <v>1877</v>
      </c>
      <c r="D3000" s="1" t="s">
        <v>356</v>
      </c>
      <c r="E3000" s="1" t="s">
        <v>1878</v>
      </c>
      <c r="F3000" s="1" t="s">
        <v>1879</v>
      </c>
      <c r="G3000" s="1" t="s">
        <v>1880</v>
      </c>
      <c r="H3000" s="2" t="str">
        <f>Tabella1[[#This Row],[Denominazione]]&amp;" - "&amp;Tabella1[[#This Row],[Città]]</f>
        <v>CASA VACANZE OSTERIACCIO - FRONTONE</v>
      </c>
    </row>
    <row r="3001" spans="1:8" x14ac:dyDescent="0.25">
      <c r="A3001" s="1" t="s">
        <v>82</v>
      </c>
      <c r="B3001" s="1" t="s">
        <v>17058</v>
      </c>
      <c r="C3001" s="1" t="s">
        <v>17059</v>
      </c>
      <c r="D3001" s="1" t="s">
        <v>15819</v>
      </c>
      <c r="E3001" s="1" t="s">
        <v>15819</v>
      </c>
      <c r="F3001" s="1" t="s">
        <v>17060</v>
      </c>
      <c r="G3001" s="1" t="s">
        <v>17061</v>
      </c>
      <c r="H3001" s="2" t="str">
        <f>Tabella1[[#This Row],[Denominazione]]&amp;" - "&amp;Tabella1[[#This Row],[Città]]</f>
        <v>CASA VACANZE VALENTINA - SAN BENEDETTO DEL TRONTO</v>
      </c>
    </row>
    <row r="3002" spans="1:8" x14ac:dyDescent="0.25">
      <c r="A3002" s="1" t="s">
        <v>12</v>
      </c>
      <c r="B3002" s="1" t="s">
        <v>12006</v>
      </c>
      <c r="C3002" s="1" t="s">
        <v>12007</v>
      </c>
      <c r="D3002" s="1" t="s">
        <v>11981</v>
      </c>
      <c r="G3002" s="1" t="s">
        <v>12008</v>
      </c>
      <c r="H3002" s="2" t="str">
        <f>Tabella1[[#This Row],[Denominazione]]&amp;" - "&amp;Tabella1[[#This Row],[Città]]</f>
        <v>CASA VALENTINA di MOODY BARRY - LORO PICENO</v>
      </c>
    </row>
    <row r="3003" spans="1:8" x14ac:dyDescent="0.25">
      <c r="A3003" s="1" t="s">
        <v>82</v>
      </c>
      <c r="B3003" s="1" t="s">
        <v>16512</v>
      </c>
      <c r="C3003" s="1" t="s">
        <v>16513</v>
      </c>
      <c r="D3003" s="1" t="s">
        <v>16440</v>
      </c>
      <c r="G3003" s="1" t="s">
        <v>16514</v>
      </c>
      <c r="H3003" s="2" t="str">
        <f>Tabella1[[#This Row],[Denominazione]]&amp;" - "&amp;Tabella1[[#This Row],[Città]]</f>
        <v>CASA VANNICOLA - OFFIDA</v>
      </c>
    </row>
    <row r="3004" spans="1:8" x14ac:dyDescent="0.25">
      <c r="A3004" s="1" t="s">
        <v>35</v>
      </c>
      <c r="B3004" s="1" t="s">
        <v>18397</v>
      </c>
      <c r="C3004" s="1" t="s">
        <v>18398</v>
      </c>
      <c r="D3004" s="1" t="s">
        <v>18389</v>
      </c>
      <c r="E3004" s="1" t="s">
        <v>18389</v>
      </c>
      <c r="F3004" s="1" t="s">
        <v>18399</v>
      </c>
      <c r="G3004" s="1" t="s">
        <v>18400</v>
      </c>
      <c r="H3004" s="2" t="str">
        <f>Tabella1[[#This Row],[Denominazione]]&amp;" - "&amp;Tabella1[[#This Row],[Città]]</f>
        <v>CASA VECCHIA - LAPEDONA</v>
      </c>
    </row>
    <row r="3005" spans="1:8" x14ac:dyDescent="0.25">
      <c r="A3005" s="1" t="s">
        <v>12</v>
      </c>
      <c r="B3005" s="1" t="s">
        <v>6248</v>
      </c>
      <c r="C3005" s="1" t="s">
        <v>6249</v>
      </c>
      <c r="D3005" s="1" t="s">
        <v>6049</v>
      </c>
      <c r="E3005" s="1" t="s">
        <v>6063</v>
      </c>
      <c r="G3005" s="1" t="s">
        <v>6250</v>
      </c>
      <c r="H3005" s="2" t="str">
        <f>Tabella1[[#This Row],[Denominazione]]&amp;" - "&amp;Tabella1[[#This Row],[Città]]</f>
        <v>CASA VENTURA - ARCEVIA</v>
      </c>
    </row>
    <row r="3006" spans="1:8" x14ac:dyDescent="0.25">
      <c r="A3006" s="1" t="s">
        <v>12</v>
      </c>
      <c r="B3006" s="1" t="s">
        <v>6440</v>
      </c>
      <c r="C3006" s="1" t="s">
        <v>6441</v>
      </c>
      <c r="D3006" s="1" t="s">
        <v>6371</v>
      </c>
      <c r="G3006" s="1" t="s">
        <v>6442</v>
      </c>
      <c r="H3006" s="2" t="str">
        <f>Tabella1[[#This Row],[Denominazione]]&amp;" - "&amp;Tabella1[[#This Row],[Città]]</f>
        <v>CASA VERDECONERO - CASTELFIDARDO</v>
      </c>
    </row>
    <row r="3007" spans="1:8" x14ac:dyDescent="0.25">
      <c r="A3007" s="1" t="s">
        <v>12</v>
      </c>
      <c r="B3007" s="1" t="s">
        <v>9122</v>
      </c>
      <c r="C3007" s="1" t="s">
        <v>9123</v>
      </c>
      <c r="D3007" s="1" t="s">
        <v>8949</v>
      </c>
      <c r="E3007" s="1" t="s">
        <v>8949</v>
      </c>
      <c r="G3007" s="1" t="s">
        <v>9124</v>
      </c>
      <c r="H3007" s="2" t="str">
        <f>Tabella1[[#This Row],[Denominazione]]&amp;" - "&amp;Tabella1[[#This Row],[Città]]</f>
        <v>CASABIANCA PAOLA - SENIGALLIA</v>
      </c>
    </row>
    <row r="3008" spans="1:8" x14ac:dyDescent="0.25">
      <c r="A3008" s="1" t="s">
        <v>29</v>
      </c>
      <c r="B3008" s="1" t="s">
        <v>10576</v>
      </c>
      <c r="C3008" s="1" t="s">
        <v>10577</v>
      </c>
      <c r="D3008" s="1" t="s">
        <v>10519</v>
      </c>
      <c r="E3008" s="1" t="s">
        <v>10578</v>
      </c>
      <c r="F3008" s="1" t="s">
        <v>10579</v>
      </c>
      <c r="G3008" s="1" t="s">
        <v>10580</v>
      </c>
      <c r="H3008" s="2" t="str">
        <f>Tabella1[[#This Row],[Denominazione]]&amp;" - "&amp;Tabella1[[#This Row],[Città]]</f>
        <v>CASACHIARA - TRECASTELLI</v>
      </c>
    </row>
    <row r="3009" spans="1:8" x14ac:dyDescent="0.25">
      <c r="A3009" s="1" t="s">
        <v>82</v>
      </c>
      <c r="B3009" s="1" t="s">
        <v>8093</v>
      </c>
      <c r="C3009" s="1" t="s">
        <v>8094</v>
      </c>
      <c r="D3009" s="1" t="s">
        <v>7889</v>
      </c>
      <c r="E3009" s="1" t="s">
        <v>7889</v>
      </c>
      <c r="F3009" s="1" t="s">
        <v>8095</v>
      </c>
      <c r="G3009" s="1" t="s">
        <v>8096</v>
      </c>
      <c r="H3009" s="2" t="str">
        <f>Tabella1[[#This Row],[Denominazione]]&amp;" - "&amp;Tabella1[[#This Row],[Città]]</f>
        <v>CASACONERO.IT - NUMANA</v>
      </c>
    </row>
    <row r="3010" spans="1:8" x14ac:dyDescent="0.25">
      <c r="A3010" s="1" t="s">
        <v>20</v>
      </c>
      <c r="B3010" s="1" t="s">
        <v>1159</v>
      </c>
      <c r="C3010" s="1" t="s">
        <v>1160</v>
      </c>
      <c r="D3010" s="1" t="s">
        <v>682</v>
      </c>
      <c r="E3010" s="1" t="s">
        <v>682</v>
      </c>
      <c r="F3010" s="1" t="s">
        <v>1161</v>
      </c>
      <c r="G3010" s="1" t="s">
        <v>1162</v>
      </c>
      <c r="H3010" s="2" t="str">
        <f>Tabella1[[#This Row],[Denominazione]]&amp;" - "&amp;Tabella1[[#This Row],[Città]]</f>
        <v>CASADEI - FANO</v>
      </c>
    </row>
    <row r="3011" spans="1:8" x14ac:dyDescent="0.25">
      <c r="A3011" s="1" t="s">
        <v>12</v>
      </c>
      <c r="B3011" s="1" t="s">
        <v>4553</v>
      </c>
      <c r="D3011" s="1" t="s">
        <v>4550</v>
      </c>
      <c r="G3011" s="1" t="s">
        <v>4554</v>
      </c>
      <c r="H3011" s="2" t="str">
        <f>Tabella1[[#This Row],[Denominazione]]&amp;" - "&amp;Tabella1[[#This Row],[Città]]</f>
        <v>CASADEI ERICA - SERRA SANT'ABBONDIO</v>
      </c>
    </row>
    <row r="3012" spans="1:8" x14ac:dyDescent="0.25">
      <c r="A3012" s="1" t="s">
        <v>12</v>
      </c>
      <c r="B3012" s="1" t="s">
        <v>9035</v>
      </c>
      <c r="C3012" s="1" t="s">
        <v>9036</v>
      </c>
      <c r="D3012" s="1" t="s">
        <v>8949</v>
      </c>
      <c r="E3012" s="1" t="s">
        <v>8949</v>
      </c>
      <c r="G3012" s="1" t="s">
        <v>9037</v>
      </c>
      <c r="H3012" s="2" t="str">
        <f>Tabella1[[#This Row],[Denominazione]]&amp;" - "&amp;Tabella1[[#This Row],[Città]]</f>
        <v>CASAGRANDE ALBANO CARLA - SENIGALLIA</v>
      </c>
    </row>
    <row r="3013" spans="1:8" x14ac:dyDescent="0.25">
      <c r="A3013" s="1" t="s">
        <v>12</v>
      </c>
      <c r="B3013" s="1" t="s">
        <v>9273</v>
      </c>
      <c r="C3013" s="1" t="s">
        <v>9274</v>
      </c>
      <c r="D3013" s="1" t="s">
        <v>8949</v>
      </c>
      <c r="E3013" s="1" t="s">
        <v>8949</v>
      </c>
      <c r="G3013" s="1" t="s">
        <v>9275</v>
      </c>
      <c r="H3013" s="2" t="str">
        <f>Tabella1[[#This Row],[Denominazione]]&amp;" - "&amp;Tabella1[[#This Row],[Città]]</f>
        <v>CASAGRANDE GIGLIOLA - SENIGALLIA</v>
      </c>
    </row>
    <row r="3014" spans="1:8" x14ac:dyDescent="0.25">
      <c r="A3014" s="1" t="s">
        <v>6</v>
      </c>
      <c r="B3014" s="1" t="s">
        <v>18365</v>
      </c>
      <c r="C3014" s="1" t="s">
        <v>18366</v>
      </c>
      <c r="D3014" s="1" t="s">
        <v>18362</v>
      </c>
      <c r="E3014" s="1" t="s">
        <v>18367</v>
      </c>
      <c r="F3014" s="1" t="s">
        <v>18368</v>
      </c>
      <c r="G3014" s="1" t="s">
        <v>18369</v>
      </c>
      <c r="H3014" s="2" t="str">
        <f>Tabella1[[#This Row],[Denominazione]]&amp;" - "&amp;Tabella1[[#This Row],[Città]]</f>
        <v>CASAL DEI FICHI - FRANCAVILLA D'ETE</v>
      </c>
    </row>
    <row r="3015" spans="1:8" x14ac:dyDescent="0.25">
      <c r="A3015" s="1" t="s">
        <v>12</v>
      </c>
      <c r="B3015" s="1" t="s">
        <v>11753</v>
      </c>
      <c r="C3015" s="1" t="s">
        <v>11754</v>
      </c>
      <c r="D3015" s="1" t="s">
        <v>11728</v>
      </c>
      <c r="G3015" s="1" t="s">
        <v>11755</v>
      </c>
      <c r="H3015" s="2" t="str">
        <f>Tabella1[[#This Row],[Denominazione]]&amp;" - "&amp;Tabella1[[#This Row],[Città]]</f>
        <v>CASAL GABBI - CORRIDONIA</v>
      </c>
    </row>
    <row r="3016" spans="1:8" x14ac:dyDescent="0.25">
      <c r="A3016" s="1" t="s">
        <v>35</v>
      </c>
      <c r="B3016" s="1" t="s">
        <v>1770</v>
      </c>
      <c r="C3016" s="1" t="s">
        <v>1771</v>
      </c>
      <c r="D3016" s="1" t="s">
        <v>1724</v>
      </c>
      <c r="F3016" s="1" t="s">
        <v>1772</v>
      </c>
      <c r="G3016" s="1" t="s">
        <v>1773</v>
      </c>
      <c r="H3016" s="2" t="str">
        <f>Tabella1[[#This Row],[Denominazione]]&amp;" - "&amp;Tabella1[[#This Row],[Città]]</f>
        <v>CASAL SAN SERGIO - FOSSOMBRONE</v>
      </c>
    </row>
    <row r="3017" spans="1:8" x14ac:dyDescent="0.25">
      <c r="A3017" s="1" t="s">
        <v>35</v>
      </c>
      <c r="B3017" s="1" t="s">
        <v>4138</v>
      </c>
      <c r="D3017" s="1" t="s">
        <v>4130</v>
      </c>
      <c r="E3017" s="1" t="s">
        <v>4139</v>
      </c>
      <c r="G3017" s="1" t="s">
        <v>4140</v>
      </c>
      <c r="H3017" s="2" t="str">
        <f>Tabella1[[#This Row],[Denominazione]]&amp;" - "&amp;Tabella1[[#This Row],[Città]]</f>
        <v>CASAL VAL D'ALTO - PIANDIMELETO</v>
      </c>
    </row>
    <row r="3018" spans="1:8" x14ac:dyDescent="0.25">
      <c r="A3018" s="1" t="s">
        <v>6</v>
      </c>
      <c r="B3018" s="1" t="s">
        <v>13688</v>
      </c>
      <c r="C3018" s="1" t="s">
        <v>13689</v>
      </c>
      <c r="D3018" s="1" t="s">
        <v>13548</v>
      </c>
      <c r="E3018" s="1" t="s">
        <v>13548</v>
      </c>
      <c r="G3018" s="1" t="s">
        <v>13690</v>
      </c>
      <c r="H3018" s="2" t="str">
        <f>Tabella1[[#This Row],[Denominazione]]&amp;" - "&amp;Tabella1[[#This Row],[Città]]</f>
        <v>CASAL VILLANOVA - SAN SEVERINO MARCHE</v>
      </c>
    </row>
    <row r="3019" spans="1:8" x14ac:dyDescent="0.25">
      <c r="A3019" s="1" t="s">
        <v>35</v>
      </c>
      <c r="B3019" s="1" t="s">
        <v>6575</v>
      </c>
      <c r="C3019" s="1" t="s">
        <v>6576</v>
      </c>
      <c r="D3019" s="1" t="s">
        <v>6536</v>
      </c>
      <c r="E3019" s="1" t="s">
        <v>6536</v>
      </c>
      <c r="F3019" s="1" t="s">
        <v>6577</v>
      </c>
      <c r="G3019" s="1" t="s">
        <v>6578</v>
      </c>
      <c r="H3019" s="2" t="str">
        <f>Tabella1[[#This Row],[Denominazione]]&amp;" - "&amp;Tabella1[[#This Row],[Città]]</f>
        <v>CASALANTICO - CORINALDO</v>
      </c>
    </row>
    <row r="3020" spans="1:8" x14ac:dyDescent="0.25">
      <c r="A3020" s="1" t="s">
        <v>12</v>
      </c>
      <c r="B3020" s="1" t="s">
        <v>11147</v>
      </c>
      <c r="C3020" s="1" t="s">
        <v>11148</v>
      </c>
      <c r="D3020" s="1" t="s">
        <v>11058</v>
      </c>
      <c r="E3020" s="1" t="s">
        <v>11149</v>
      </c>
      <c r="F3020" s="1" t="s">
        <v>11150</v>
      </c>
      <c r="G3020" s="1" t="s">
        <v>11151</v>
      </c>
      <c r="H3020" s="2" t="str">
        <f>Tabella1[[#This Row],[Denominazione]]&amp;" - "&amp;Tabella1[[#This Row],[Città]]</f>
        <v>CASALBA - CINGOLI</v>
      </c>
    </row>
    <row r="3021" spans="1:8" x14ac:dyDescent="0.25">
      <c r="A3021" s="1" t="s">
        <v>82</v>
      </c>
      <c r="B3021" s="1" t="s">
        <v>5837</v>
      </c>
      <c r="C3021" s="1" t="s">
        <v>5838</v>
      </c>
      <c r="D3021" s="1" t="s">
        <v>1864</v>
      </c>
      <c r="E3021" s="1" t="s">
        <v>5692</v>
      </c>
      <c r="F3021" s="1" t="s">
        <v>5839</v>
      </c>
      <c r="G3021" s="1" t="s">
        <v>5840</v>
      </c>
      <c r="H3021" s="2" t="str">
        <f>Tabella1[[#This Row],[Denominazione]]&amp;" - "&amp;Tabella1[[#This Row],[Città]]</f>
        <v>CASALCOPPO - ANCONA</v>
      </c>
    </row>
    <row r="3022" spans="1:8" x14ac:dyDescent="0.25">
      <c r="A3022" s="1" t="s">
        <v>12</v>
      </c>
      <c r="B3022" s="1" t="s">
        <v>12594</v>
      </c>
      <c r="C3022" s="1" t="s">
        <v>12595</v>
      </c>
      <c r="D3022" s="1" t="s">
        <v>12546</v>
      </c>
      <c r="E3022" s="1" t="s">
        <v>12546</v>
      </c>
      <c r="G3022" s="1" t="s">
        <v>12596</v>
      </c>
      <c r="H3022" s="2" t="str">
        <f>Tabella1[[#This Row],[Denominazione]]&amp;" - "&amp;Tabella1[[#This Row],[Città]]</f>
        <v>CASALE BLULAVANDA - MORROVALLE</v>
      </c>
    </row>
    <row r="3023" spans="1:8" x14ac:dyDescent="0.25">
      <c r="A3023" s="1" t="s">
        <v>82</v>
      </c>
      <c r="B3023" s="1" t="s">
        <v>16482</v>
      </c>
      <c r="D3023" s="1" t="s">
        <v>16440</v>
      </c>
      <c r="E3023" s="1" t="s">
        <v>16483</v>
      </c>
      <c r="G3023" s="1" t="s">
        <v>16484</v>
      </c>
      <c r="H3023" s="2" t="str">
        <f>Tabella1[[#This Row],[Denominazione]]&amp;" - "&amp;Tabella1[[#This Row],[Città]]</f>
        <v>CASALE DEGLI ULIVI - OFFIDA</v>
      </c>
    </row>
    <row r="3024" spans="1:8" x14ac:dyDescent="0.25">
      <c r="A3024" s="1" t="s">
        <v>6</v>
      </c>
      <c r="B3024" s="1" t="s">
        <v>11466</v>
      </c>
      <c r="C3024" s="1" t="s">
        <v>11467</v>
      </c>
      <c r="D3024" s="1" t="s">
        <v>11244</v>
      </c>
      <c r="F3024" s="1" t="s">
        <v>11468</v>
      </c>
      <c r="G3024" s="1" t="s">
        <v>11469</v>
      </c>
      <c r="H3024" s="2" t="str">
        <f>Tabella1[[#This Row],[Denominazione]]&amp;" - "&amp;Tabella1[[#This Row],[Città]]</f>
        <v>CASALE DEL CHIENTI - CIVITANOVA MARCHE</v>
      </c>
    </row>
    <row r="3025" spans="1:8" x14ac:dyDescent="0.25">
      <c r="A3025" s="1" t="s">
        <v>35</v>
      </c>
      <c r="B3025" s="1" t="s">
        <v>14185</v>
      </c>
      <c r="C3025" s="1" t="s">
        <v>14186</v>
      </c>
      <c r="D3025" s="1" t="s">
        <v>14065</v>
      </c>
      <c r="E3025" s="1" t="s">
        <v>14065</v>
      </c>
      <c r="F3025" s="1" t="s">
        <v>14187</v>
      </c>
      <c r="G3025" s="1" t="s">
        <v>14188</v>
      </c>
      <c r="H3025" s="2" t="str">
        <f>Tabella1[[#This Row],[Denominazione]]&amp;" - "&amp;Tabella1[[#This Row],[Città]]</f>
        <v>CASALE DEL GIGLIO - TREIA</v>
      </c>
    </row>
    <row r="3026" spans="1:8" x14ac:dyDescent="0.25">
      <c r="A3026" s="1" t="s">
        <v>12</v>
      </c>
      <c r="B3026" s="1" t="s">
        <v>6539</v>
      </c>
      <c r="C3026" s="1" t="s">
        <v>6540</v>
      </c>
      <c r="D3026" s="1" t="s">
        <v>6536</v>
      </c>
      <c r="E3026" s="1" t="s">
        <v>6541</v>
      </c>
      <c r="G3026" s="1" t="s">
        <v>6542</v>
      </c>
      <c r="H3026" s="2" t="str">
        <f>Tabella1[[#This Row],[Denominazione]]&amp;" - "&amp;Tabella1[[#This Row],[Città]]</f>
        <v>CASALE DEL VECCHIO MORO - CORINALDO</v>
      </c>
    </row>
    <row r="3027" spans="1:8" x14ac:dyDescent="0.25">
      <c r="A3027" s="1" t="s">
        <v>29</v>
      </c>
      <c r="B3027" s="1" t="s">
        <v>14054</v>
      </c>
      <c r="C3027" s="1" t="s">
        <v>14055</v>
      </c>
      <c r="D3027" s="1" t="s">
        <v>13946</v>
      </c>
      <c r="E3027" s="1" t="s">
        <v>13946</v>
      </c>
      <c r="G3027" s="1" t="s">
        <v>14056</v>
      </c>
      <c r="H3027" s="2" t="str">
        <f>Tabella1[[#This Row],[Denominazione]]&amp;" - "&amp;Tabella1[[#This Row],[Città]]</f>
        <v>CASALE DELLE RONDINI - TOLENTINO</v>
      </c>
    </row>
    <row r="3028" spans="1:8" x14ac:dyDescent="0.25">
      <c r="A3028" s="1" t="s">
        <v>35</v>
      </c>
      <c r="B3028" s="1" t="s">
        <v>1403</v>
      </c>
      <c r="C3028" s="1" t="s">
        <v>1404</v>
      </c>
      <c r="D3028" s="1" t="s">
        <v>682</v>
      </c>
      <c r="E3028" s="1" t="s">
        <v>682</v>
      </c>
      <c r="F3028" s="1" t="s">
        <v>1405</v>
      </c>
      <c r="G3028" s="1" t="s">
        <v>1406</v>
      </c>
      <c r="H3028" s="2" t="str">
        <f>Tabella1[[#This Row],[Denominazione]]&amp;" - "&amp;Tabella1[[#This Row],[Città]]</f>
        <v>CASALE DELLE ROSE - FANO</v>
      </c>
    </row>
    <row r="3029" spans="1:8" x14ac:dyDescent="0.25">
      <c r="A3029" s="1" t="s">
        <v>12</v>
      </c>
      <c r="B3029" s="1" t="s">
        <v>12425</v>
      </c>
      <c r="C3029" s="1" t="s">
        <v>12426</v>
      </c>
      <c r="D3029" s="1" t="s">
        <v>12427</v>
      </c>
      <c r="G3029" s="1" t="s">
        <v>12428</v>
      </c>
      <c r="H3029" s="2" t="str">
        <f>Tabella1[[#This Row],[Denominazione]]&amp;" - "&amp;Tabella1[[#This Row],[Città]]</f>
        <v>CASALE DI CRISTINA - MONTEFANO</v>
      </c>
    </row>
    <row r="3030" spans="1:8" x14ac:dyDescent="0.25">
      <c r="A3030" s="1" t="s">
        <v>6</v>
      </c>
      <c r="B3030" s="1" t="s">
        <v>19547</v>
      </c>
      <c r="C3030" s="1" t="s">
        <v>19548</v>
      </c>
      <c r="D3030" s="1" t="s">
        <v>19541</v>
      </c>
      <c r="E3030" s="1" t="s">
        <v>19549</v>
      </c>
      <c r="G3030" s="1" t="s">
        <v>19550</v>
      </c>
      <c r="H3030" s="2" t="str">
        <f>Tabella1[[#This Row],[Denominazione]]&amp;" - "&amp;Tabella1[[#This Row],[Città]]</f>
        <v>CASALE DI ROLANDO - SANT'ELPIDIO A MARE</v>
      </c>
    </row>
    <row r="3031" spans="1:8" x14ac:dyDescent="0.25">
      <c r="A3031" s="1" t="s">
        <v>35</v>
      </c>
      <c r="B3031" s="1" t="s">
        <v>4392</v>
      </c>
      <c r="C3031" s="1" t="s">
        <v>4393</v>
      </c>
      <c r="D3031" s="1" t="s">
        <v>4359</v>
      </c>
      <c r="E3031" s="1" t="s">
        <v>3113</v>
      </c>
      <c r="G3031" s="1" t="s">
        <v>4394</v>
      </c>
      <c r="H3031" s="2" t="str">
        <f>Tabella1[[#This Row],[Denominazione]]&amp;" - "&amp;Tabella1[[#This Row],[Città]]</f>
        <v>CASALE DON DOME' - SAN LORENZO IN CAMPO</v>
      </c>
    </row>
    <row r="3032" spans="1:8" x14ac:dyDescent="0.25">
      <c r="A3032" s="1" t="s">
        <v>35</v>
      </c>
      <c r="B3032" s="1" t="s">
        <v>3909</v>
      </c>
      <c r="C3032" s="1" t="s">
        <v>3910</v>
      </c>
      <c r="D3032" s="1" t="s">
        <v>2386</v>
      </c>
      <c r="E3032" s="1" t="s">
        <v>2386</v>
      </c>
      <c r="F3032" s="1" t="s">
        <v>3911</v>
      </c>
      <c r="G3032" s="1" t="s">
        <v>3912</v>
      </c>
      <c r="H3032" s="2" t="str">
        <f>Tabella1[[#This Row],[Denominazione]]&amp;" - "&amp;Tabella1[[#This Row],[Città]]</f>
        <v>CASALE E. BEAUHARNAIS - PESARO</v>
      </c>
    </row>
    <row r="3033" spans="1:8" x14ac:dyDescent="0.25">
      <c r="A3033" s="1" t="s">
        <v>12</v>
      </c>
      <c r="B3033" s="1" t="s">
        <v>261</v>
      </c>
      <c r="C3033" s="1" t="s">
        <v>262</v>
      </c>
      <c r="D3033" s="1" t="s">
        <v>256</v>
      </c>
      <c r="G3033" s="1" t="s">
        <v>263</v>
      </c>
      <c r="H3033" s="2" t="str">
        <f>Tabella1[[#This Row],[Denominazione]]&amp;" - "&amp;Tabella1[[#This Row],[Città]]</f>
        <v>CASALE FATTORIA GOSTOLI - BELFORTE ALL'ISAURO</v>
      </c>
    </row>
    <row r="3034" spans="1:8" x14ac:dyDescent="0.25">
      <c r="A3034" s="1" t="s">
        <v>35</v>
      </c>
      <c r="B3034" s="1" t="s">
        <v>8427</v>
      </c>
      <c r="C3034" s="1" t="s">
        <v>8428</v>
      </c>
      <c r="D3034" s="1" t="s">
        <v>8411</v>
      </c>
      <c r="E3034" s="1" t="s">
        <v>8411</v>
      </c>
      <c r="F3034" s="1" t="s">
        <v>8429</v>
      </c>
      <c r="G3034" s="1" t="s">
        <v>8430</v>
      </c>
      <c r="H3034" s="2" t="str">
        <f>Tabella1[[#This Row],[Denominazione]]&amp;" - "&amp;Tabella1[[#This Row],[Città]]</f>
        <v>CASALE IL GALLO BIANCO DI MAZZONI MASSIMILIANO &amp; C. - OFFAGNA</v>
      </c>
    </row>
    <row r="3035" spans="1:8" x14ac:dyDescent="0.25">
      <c r="A3035" s="1" t="s">
        <v>35</v>
      </c>
      <c r="B3035" s="1" t="s">
        <v>18766</v>
      </c>
      <c r="C3035" s="1" t="s">
        <v>18767</v>
      </c>
      <c r="D3035" s="1" t="s">
        <v>18757</v>
      </c>
      <c r="E3035" s="1" t="s">
        <v>18757</v>
      </c>
      <c r="G3035" s="1" t="s">
        <v>18768</v>
      </c>
      <c r="H3035" s="2" t="str">
        <f>Tabella1[[#This Row],[Denominazione]]&amp;" - "&amp;Tabella1[[#This Row],[Città]]</f>
        <v>CASALE INDACO - MONTE RINALDO</v>
      </c>
    </row>
    <row r="3036" spans="1:8" x14ac:dyDescent="0.25">
      <c r="A3036" s="1" t="s">
        <v>20</v>
      </c>
      <c r="B3036" s="1" t="s">
        <v>16260</v>
      </c>
      <c r="C3036" s="1" t="s">
        <v>16261</v>
      </c>
      <c r="D3036" s="1" t="s">
        <v>16202</v>
      </c>
      <c r="E3036" s="1" t="s">
        <v>16203</v>
      </c>
      <c r="G3036" s="1" t="s">
        <v>16262</v>
      </c>
      <c r="H3036" s="2" t="str">
        <f>Tabella1[[#This Row],[Denominazione]]&amp;" - "&amp;Tabella1[[#This Row],[Città]]</f>
        <v>CASALE MAGNOLIA - MONTEFIORE DELL'ASO</v>
      </c>
    </row>
    <row r="3037" spans="1:8" x14ac:dyDescent="0.25">
      <c r="A3037" s="1" t="s">
        <v>12</v>
      </c>
      <c r="B3037" s="1" t="s">
        <v>18743</v>
      </c>
      <c r="C3037" s="1" t="s">
        <v>18744</v>
      </c>
      <c r="D3037" s="1" t="s">
        <v>18702</v>
      </c>
      <c r="F3037" s="1" t="s">
        <v>18745</v>
      </c>
      <c r="G3037" s="1" t="s">
        <v>18746</v>
      </c>
      <c r="H3037" s="2" t="str">
        <f>Tabella1[[#This Row],[Denominazione]]&amp;" - "&amp;Tabella1[[#This Row],[Città]]</f>
        <v>CASALE MONASTERO SUL COLLE - MONTELPARO</v>
      </c>
    </row>
    <row r="3038" spans="1:8" x14ac:dyDescent="0.25">
      <c r="A3038" s="1" t="s">
        <v>35</v>
      </c>
      <c r="B3038" s="1" t="s">
        <v>6088</v>
      </c>
      <c r="C3038" s="1" t="s">
        <v>6089</v>
      </c>
      <c r="D3038" s="1" t="s">
        <v>6049</v>
      </c>
      <c r="E3038" s="1" t="s">
        <v>6090</v>
      </c>
      <c r="G3038" s="1" t="s">
        <v>6091</v>
      </c>
      <c r="H3038" s="2" t="str">
        <f>Tabella1[[#This Row],[Denominazione]]&amp;" - "&amp;Tabella1[[#This Row],[Città]]</f>
        <v>CASALE RIPALTA - ARCEVIA</v>
      </c>
    </row>
    <row r="3039" spans="1:8" x14ac:dyDescent="0.25">
      <c r="A3039" s="1" t="s">
        <v>12</v>
      </c>
      <c r="B3039" s="1" t="s">
        <v>16472</v>
      </c>
      <c r="C3039" s="1" t="s">
        <v>16473</v>
      </c>
      <c r="D3039" s="1" t="s">
        <v>16440</v>
      </c>
      <c r="G3039" s="1" t="s">
        <v>16474</v>
      </c>
      <c r="H3039" s="2" t="str">
        <f>Tabella1[[#This Row],[Denominazione]]&amp;" - "&amp;Tabella1[[#This Row],[Città]]</f>
        <v>CASALE ROSY - OFFIDA</v>
      </c>
    </row>
    <row r="3040" spans="1:8" x14ac:dyDescent="0.25">
      <c r="A3040" s="1" t="s">
        <v>35</v>
      </c>
      <c r="B3040" s="1" t="s">
        <v>8581</v>
      </c>
      <c r="C3040" s="1" t="s">
        <v>8582</v>
      </c>
      <c r="D3040" s="1" t="s">
        <v>8454</v>
      </c>
      <c r="G3040" s="1" t="s">
        <v>8583</v>
      </c>
      <c r="H3040" s="2" t="str">
        <f>Tabella1[[#This Row],[Denominazione]]&amp;" - "&amp;Tabella1[[#This Row],[Città]]</f>
        <v>CASALE SAN FILIPPO - OSIMO</v>
      </c>
    </row>
    <row r="3041" spans="1:8" x14ac:dyDescent="0.25">
      <c r="A3041" s="1" t="s">
        <v>35</v>
      </c>
      <c r="B3041" s="1" t="s">
        <v>666</v>
      </c>
      <c r="C3041" s="1" t="s">
        <v>667</v>
      </c>
      <c r="D3041" s="1" t="s">
        <v>634</v>
      </c>
      <c r="F3041" s="1" t="s">
        <v>668</v>
      </c>
      <c r="G3041" s="1" t="s">
        <v>669</v>
      </c>
      <c r="H3041" s="2" t="str">
        <f>Tabella1[[#This Row],[Denominazione]]&amp;" - "&amp;Tabella1[[#This Row],[Città]]</f>
        <v>CASALE TALEVI - CARTOCETO</v>
      </c>
    </row>
    <row r="3042" spans="1:8" x14ac:dyDescent="0.25">
      <c r="A3042" s="1" t="s">
        <v>82</v>
      </c>
      <c r="B3042" s="1" t="s">
        <v>13169</v>
      </c>
      <c r="C3042" s="1" t="s">
        <v>13170</v>
      </c>
      <c r="D3042" s="1" t="s">
        <v>13026</v>
      </c>
      <c r="F3042" s="1" t="s">
        <v>13171</v>
      </c>
      <c r="G3042" s="1" t="s">
        <v>13172</v>
      </c>
      <c r="H3042" s="2" t="str">
        <f>Tabella1[[#This Row],[Denominazione]]&amp;" - "&amp;Tabella1[[#This Row],[Città]]</f>
        <v>CASALE TORRENOVA - POTENZA PICENA</v>
      </c>
    </row>
    <row r="3043" spans="1:8" x14ac:dyDescent="0.25">
      <c r="A3043" s="1" t="s">
        <v>35</v>
      </c>
      <c r="B3043" s="1" t="s">
        <v>4361</v>
      </c>
      <c r="D3043" s="1" t="s">
        <v>4359</v>
      </c>
      <c r="G3043" s="1" t="s">
        <v>4362</v>
      </c>
      <c r="H3043" s="2" t="str">
        <f>Tabella1[[#This Row],[Denominazione]]&amp;" - "&amp;Tabella1[[#This Row],[Città]]</f>
        <v>CASALE ULIVO - SAN LORENZO IN CAMPO</v>
      </c>
    </row>
    <row r="3044" spans="1:8" x14ac:dyDescent="0.25">
      <c r="A3044" s="1" t="s">
        <v>35</v>
      </c>
      <c r="B3044" s="1" t="s">
        <v>6080</v>
      </c>
      <c r="C3044" s="1" t="s">
        <v>6081</v>
      </c>
      <c r="D3044" s="1" t="s">
        <v>6049</v>
      </c>
      <c r="E3044" s="1" t="s">
        <v>6082</v>
      </c>
      <c r="F3044" s="1" t="s">
        <v>6083</v>
      </c>
      <c r="G3044" s="1" t="s">
        <v>6084</v>
      </c>
      <c r="H3044" s="2" t="str">
        <f>Tabella1[[#This Row],[Denominazione]]&amp;" - "&amp;Tabella1[[#This Row],[Città]]</f>
        <v>CASALE VENEZIA - ARCEVIA</v>
      </c>
    </row>
    <row r="3045" spans="1:8" x14ac:dyDescent="0.25">
      <c r="A3045" s="1" t="s">
        <v>12</v>
      </c>
      <c r="B3045" s="1" t="s">
        <v>5541</v>
      </c>
      <c r="C3045" s="1" t="s">
        <v>5542</v>
      </c>
      <c r="D3045" s="1" t="s">
        <v>1864</v>
      </c>
      <c r="E3045" s="1" t="s">
        <v>1864</v>
      </c>
      <c r="H3045" s="2" t="str">
        <f>Tabella1[[#This Row],[Denominazione]]&amp;" - "&amp;Tabella1[[#This Row],[Città]]</f>
        <v>CASAMASSIMA FRANCO - ANCONA</v>
      </c>
    </row>
    <row r="3046" spans="1:8" x14ac:dyDescent="0.25">
      <c r="A3046" s="1" t="s">
        <v>82</v>
      </c>
      <c r="B3046" s="1" t="s">
        <v>10865</v>
      </c>
      <c r="C3046" s="1" t="s">
        <v>10866</v>
      </c>
      <c r="D3046" s="1" t="s">
        <v>10737</v>
      </c>
      <c r="E3046" s="1" t="s">
        <v>10737</v>
      </c>
      <c r="G3046" s="1" t="s">
        <v>10867</v>
      </c>
      <c r="H3046" s="2" t="str">
        <f>Tabella1[[#This Row],[Denominazione]]&amp;" - "&amp;Tabella1[[#This Row],[Città]]</f>
        <v>CASAROLI SILVANO - CAMERINO</v>
      </c>
    </row>
    <row r="3047" spans="1:8" x14ac:dyDescent="0.25">
      <c r="A3047" s="1" t="s">
        <v>6</v>
      </c>
      <c r="B3047" s="1" t="s">
        <v>8713</v>
      </c>
      <c r="C3047" s="1" t="s">
        <v>8714</v>
      </c>
      <c r="D3047" s="1" t="s">
        <v>8683</v>
      </c>
      <c r="E3047" s="1" t="s">
        <v>8715</v>
      </c>
      <c r="G3047" s="1" t="s">
        <v>8716</v>
      </c>
      <c r="H3047" s="2" t="str">
        <f>Tabella1[[#This Row],[Denominazione]]&amp;" - "&amp;Tabella1[[#This Row],[Città]]</f>
        <v>CASAVOSTRASUITES - OSTRA VETERE</v>
      </c>
    </row>
    <row r="3048" spans="1:8" x14ac:dyDescent="0.25">
      <c r="A3048" s="1" t="s">
        <v>35</v>
      </c>
      <c r="B3048" s="1" t="s">
        <v>13763</v>
      </c>
      <c r="C3048" s="1" t="s">
        <v>13764</v>
      </c>
      <c r="D3048" s="1" t="s">
        <v>13756</v>
      </c>
      <c r="F3048" s="1" t="s">
        <v>13765</v>
      </c>
      <c r="G3048" s="1" t="s">
        <v>13766</v>
      </c>
      <c r="H3048" s="2" t="str">
        <f>Tabella1[[#This Row],[Denominazione]]&amp;" - "&amp;Tabella1[[#This Row],[Città]]</f>
        <v>CASCINA GABBA - SARNANO</v>
      </c>
    </row>
    <row r="3049" spans="1:8" x14ac:dyDescent="0.25">
      <c r="A3049" s="1" t="s">
        <v>35</v>
      </c>
      <c r="B3049" s="1" t="s">
        <v>3223</v>
      </c>
      <c r="C3049" s="1" t="s">
        <v>3224</v>
      </c>
      <c r="D3049" s="1" t="s">
        <v>3222</v>
      </c>
      <c r="F3049" s="1" t="s">
        <v>3225</v>
      </c>
      <c r="G3049" s="1" t="s">
        <v>3226</v>
      </c>
      <c r="H3049" s="2" t="str">
        <f>Tabella1[[#This Row],[Denominazione]]&amp;" - "&amp;Tabella1[[#This Row],[Città]]</f>
        <v>CASCINA OTTALEVI - MONTE PORZIO</v>
      </c>
    </row>
    <row r="3050" spans="1:8" x14ac:dyDescent="0.25">
      <c r="A3050" s="1" t="s">
        <v>12</v>
      </c>
      <c r="B3050" s="1" t="s">
        <v>8348</v>
      </c>
      <c r="C3050" s="1" t="s">
        <v>8349</v>
      </c>
      <c r="D3050" s="1" t="s">
        <v>7889</v>
      </c>
      <c r="G3050" s="1" t="s">
        <v>8350</v>
      </c>
      <c r="H3050" s="2" t="str">
        <f>Tabella1[[#This Row],[Denominazione]]&amp;" - "&amp;Tabella1[[#This Row],[Città]]</f>
        <v>CASE AFFARI S.r.l. - NUMANA</v>
      </c>
    </row>
    <row r="3051" spans="1:8" x14ac:dyDescent="0.25">
      <c r="A3051" s="1" t="s">
        <v>82</v>
      </c>
      <c r="B3051" s="1" t="s">
        <v>15484</v>
      </c>
      <c r="C3051" s="1" t="s">
        <v>15485</v>
      </c>
      <c r="D3051" s="1" t="s">
        <v>15349</v>
      </c>
      <c r="E3051" s="1" t="s">
        <v>15349</v>
      </c>
      <c r="F3051" s="1" t="s">
        <v>15486</v>
      </c>
      <c r="G3051" s="1" t="s">
        <v>15487</v>
      </c>
      <c r="H3051" s="2" t="str">
        <f>Tabella1[[#This Row],[Denominazione]]&amp;" - "&amp;Tabella1[[#This Row],[Città]]</f>
        <v>CASE APPARTAMENTI VAGNONI (FORTUNA ALESSANDRA) - CUPRA MARITTIMA</v>
      </c>
    </row>
    <row r="3052" spans="1:8" x14ac:dyDescent="0.25">
      <c r="A3052" s="1" t="s">
        <v>35</v>
      </c>
      <c r="B3052" s="1" t="s">
        <v>3369</v>
      </c>
      <c r="C3052" s="1" t="s">
        <v>3370</v>
      </c>
      <c r="D3052" s="1" t="s">
        <v>3305</v>
      </c>
      <c r="F3052" s="1" t="s">
        <v>3371</v>
      </c>
      <c r="G3052" s="1" t="s">
        <v>3372</v>
      </c>
      <c r="H3052" s="2" t="str">
        <f>Tabella1[[#This Row],[Denominazione]]&amp;" - "&amp;Tabella1[[#This Row],[Città]]</f>
        <v>CASE BOTTARO - PERGOLA</v>
      </c>
    </row>
    <row r="3053" spans="1:8" x14ac:dyDescent="0.25">
      <c r="A3053" s="1" t="s">
        <v>82</v>
      </c>
      <c r="B3053" s="1" t="s">
        <v>10731</v>
      </c>
      <c r="C3053" s="1" t="s">
        <v>10732</v>
      </c>
      <c r="D3053" s="1" t="s">
        <v>10702</v>
      </c>
      <c r="E3053" s="1" t="s">
        <v>10702</v>
      </c>
      <c r="G3053" s="1" t="s">
        <v>10733</v>
      </c>
      <c r="H3053" s="2" t="str">
        <f>Tabella1[[#This Row],[Denominazione]]&amp;" - "&amp;Tabella1[[#This Row],[Città]]</f>
        <v>CASE E APPARTAMENTI VACANZE DIBIAGI FAUSTO - CALDAROLA</v>
      </c>
    </row>
    <row r="3054" spans="1:8" x14ac:dyDescent="0.25">
      <c r="A3054" s="1" t="s">
        <v>82</v>
      </c>
      <c r="B3054" s="1" t="s">
        <v>13607</v>
      </c>
      <c r="C3054" s="1" t="s">
        <v>13608</v>
      </c>
      <c r="D3054" s="1" t="s">
        <v>13548</v>
      </c>
      <c r="G3054" s="1" t="s">
        <v>13609</v>
      </c>
      <c r="H3054" s="2" t="str">
        <f>Tabella1[[#This Row],[Denominazione]]&amp;" - "&amp;Tabella1[[#This Row],[Città]]</f>
        <v>CASE ED APPARTAMENTI PER VACANZE C.DA ROCCHETTA - SAN SEVERINO MARCHE</v>
      </c>
    </row>
    <row r="3055" spans="1:8" x14ac:dyDescent="0.25">
      <c r="A3055" s="1" t="s">
        <v>82</v>
      </c>
      <c r="B3055" s="1" t="s">
        <v>13610</v>
      </c>
      <c r="C3055" s="1" t="s">
        <v>13611</v>
      </c>
      <c r="D3055" s="1" t="s">
        <v>13548</v>
      </c>
      <c r="G3055" s="1" t="s">
        <v>13612</v>
      </c>
      <c r="H3055" s="2" t="str">
        <f>Tabella1[[#This Row],[Denominazione]]&amp;" - "&amp;Tabella1[[#This Row],[Città]]</f>
        <v>CASE ED APPARTAMENTI PER VACANZE VIA SAN MAURO (SANT'ELENA) - SAN SEVERINO MARCHE</v>
      </c>
    </row>
    <row r="3056" spans="1:8" x14ac:dyDescent="0.25">
      <c r="A3056" s="1" t="s">
        <v>35</v>
      </c>
      <c r="B3056" s="1" t="s">
        <v>14151</v>
      </c>
      <c r="C3056" s="1" t="s">
        <v>14152</v>
      </c>
      <c r="D3056" s="1" t="s">
        <v>14065</v>
      </c>
      <c r="G3056" s="1" t="s">
        <v>14153</v>
      </c>
      <c r="H3056" s="2" t="str">
        <f>Tabella1[[#This Row],[Denominazione]]&amp;" - "&amp;Tabella1[[#This Row],[Città]]</f>
        <v>CASE LEONORI - TREIA</v>
      </c>
    </row>
    <row r="3057" spans="1:8" x14ac:dyDescent="0.25">
      <c r="A3057" s="1" t="s">
        <v>6</v>
      </c>
      <c r="B3057" s="1" t="s">
        <v>4633</v>
      </c>
      <c r="C3057" s="1" t="s">
        <v>4634</v>
      </c>
      <c r="D3057" s="1" t="s">
        <v>4630</v>
      </c>
      <c r="E3057" s="1" t="s">
        <v>4630</v>
      </c>
      <c r="F3057" s="1" t="s">
        <v>4635</v>
      </c>
      <c r="G3057" s="1" t="s">
        <v>4636</v>
      </c>
      <c r="H3057" s="2" t="str">
        <f>Tabella1[[#This Row],[Denominazione]]&amp;" - "&amp;Tabella1[[#This Row],[Città]]</f>
        <v>CASE VENTENA - TAVOLETO</v>
      </c>
    </row>
    <row r="3058" spans="1:8" x14ac:dyDescent="0.25">
      <c r="A3058" s="1" t="s">
        <v>35</v>
      </c>
      <c r="B3058" s="1" t="s">
        <v>184</v>
      </c>
      <c r="D3058" s="1" t="s">
        <v>102</v>
      </c>
      <c r="E3058" s="1" t="s">
        <v>178</v>
      </c>
      <c r="G3058" s="1" t="s">
        <v>185</v>
      </c>
      <c r="H3058" s="2" t="str">
        <f>Tabella1[[#This Row],[Denominazione]]&amp;" - "&amp;Tabella1[[#This Row],[Città]]</f>
        <v>CASELLE - APECCHIO</v>
      </c>
    </row>
    <row r="3059" spans="1:8" x14ac:dyDescent="0.25">
      <c r="A3059" s="1" t="s">
        <v>35</v>
      </c>
      <c r="B3059" s="1" t="s">
        <v>167</v>
      </c>
      <c r="C3059" s="1" t="s">
        <v>168</v>
      </c>
      <c r="D3059" s="1" t="s">
        <v>102</v>
      </c>
      <c r="E3059" s="1" t="s">
        <v>102</v>
      </c>
      <c r="G3059" s="1" t="s">
        <v>160</v>
      </c>
      <c r="H3059" s="2" t="str">
        <f>Tabella1[[#This Row],[Denominazione]]&amp;" - "&amp;Tabella1[[#This Row],[Città]]</f>
        <v>CASELLINA - APECCHIO</v>
      </c>
    </row>
    <row r="3060" spans="1:8" x14ac:dyDescent="0.25">
      <c r="A3060" s="1" t="s">
        <v>6</v>
      </c>
      <c r="B3060" s="1" t="s">
        <v>12336</v>
      </c>
      <c r="C3060" s="1" t="s">
        <v>12337</v>
      </c>
      <c r="D3060" s="1" t="s">
        <v>12290</v>
      </c>
      <c r="F3060" s="1" t="s">
        <v>12338</v>
      </c>
      <c r="G3060" s="1" t="s">
        <v>12339</v>
      </c>
      <c r="H3060" s="2" t="str">
        <f>Tabella1[[#This Row],[Denominazione]]&amp;" - "&amp;Tabella1[[#This Row],[Città]]</f>
        <v>CASERMA CARINA - MOGLIANO</v>
      </c>
    </row>
    <row r="3061" spans="1:8" x14ac:dyDescent="0.25">
      <c r="A3061" s="1" t="s">
        <v>12</v>
      </c>
      <c r="B3061" s="1" t="s">
        <v>6053</v>
      </c>
      <c r="C3061" s="1" t="s">
        <v>6054</v>
      </c>
      <c r="D3061" s="1" t="s">
        <v>6049</v>
      </c>
      <c r="E3061" s="1" t="s">
        <v>6050</v>
      </c>
      <c r="G3061" s="1" t="s">
        <v>6055</v>
      </c>
      <c r="H3061" s="2" t="str">
        <f>Tabella1[[#This Row],[Denominazione]]&amp;" - "&amp;Tabella1[[#This Row],[Città]]</f>
        <v>CASETTA PACIFICA DELLE VIOLE - ARCEVIA</v>
      </c>
    </row>
    <row r="3062" spans="1:8" x14ac:dyDescent="0.25">
      <c r="A3062" s="1" t="s">
        <v>20</v>
      </c>
      <c r="B3062" s="1" t="s">
        <v>18188</v>
      </c>
      <c r="C3062" s="1" t="s">
        <v>18189</v>
      </c>
      <c r="D3062" s="1" t="s">
        <v>17932</v>
      </c>
      <c r="E3062" s="1" t="s">
        <v>17932</v>
      </c>
      <c r="H3062" s="2" t="str">
        <f>Tabella1[[#This Row],[Denominazione]]&amp;" - "&amp;Tabella1[[#This Row],[Città]]</f>
        <v>CASINA DELLE ROSE - FERMO</v>
      </c>
    </row>
    <row r="3063" spans="1:8" x14ac:dyDescent="0.25">
      <c r="A3063" s="1" t="s">
        <v>35</v>
      </c>
      <c r="B3063" s="1" t="s">
        <v>11733</v>
      </c>
      <c r="C3063" s="1" t="s">
        <v>11734</v>
      </c>
      <c r="D3063" s="1" t="s">
        <v>11728</v>
      </c>
      <c r="E3063" s="1" t="s">
        <v>11728</v>
      </c>
      <c r="F3063" s="1" t="s">
        <v>11735</v>
      </c>
      <c r="G3063" s="1" t="s">
        <v>11736</v>
      </c>
      <c r="H3063" s="2" t="str">
        <f>Tabella1[[#This Row],[Denominazione]]&amp;" - "&amp;Tabella1[[#This Row],[Città]]</f>
        <v>CASINA FOGLIETTI - CORRIDONIA</v>
      </c>
    </row>
    <row r="3064" spans="1:8" x14ac:dyDescent="0.25">
      <c r="A3064" s="1" t="s">
        <v>6</v>
      </c>
      <c r="B3064" s="1" t="s">
        <v>14342</v>
      </c>
      <c r="C3064" s="1" t="s">
        <v>14343</v>
      </c>
      <c r="D3064" s="1" t="s">
        <v>14334</v>
      </c>
      <c r="E3064" s="1" t="s">
        <v>14334</v>
      </c>
      <c r="F3064" s="1" t="s">
        <v>14344</v>
      </c>
      <c r="G3064" s="1" t="s">
        <v>14345</v>
      </c>
      <c r="H3064" s="2" t="str">
        <f>Tabella1[[#This Row],[Denominazione]]&amp;" - "&amp;Tabella1[[#This Row],[Città]]</f>
        <v>CASTEL DI LUCO - ACQUASANTA TERME</v>
      </c>
    </row>
    <row r="3065" spans="1:8" x14ac:dyDescent="0.25">
      <c r="A3065" s="1" t="s">
        <v>6</v>
      </c>
      <c r="B3065" s="1" t="s">
        <v>2622</v>
      </c>
      <c r="C3065" s="1" t="s">
        <v>2623</v>
      </c>
      <c r="D3065" s="1" t="s">
        <v>2594</v>
      </c>
      <c r="E3065" s="1" t="s">
        <v>2594</v>
      </c>
      <c r="F3065" s="1" t="s">
        <v>2624</v>
      </c>
      <c r="G3065" s="1" t="s">
        <v>2625</v>
      </c>
      <c r="H3065" s="2" t="str">
        <f>Tabella1[[#This Row],[Denominazione]]&amp;" - "&amp;Tabella1[[#This Row],[Città]]</f>
        <v>CASTELLO DELLA PIEVE - MERCATELLO SUL METAURO</v>
      </c>
    </row>
    <row r="3066" spans="1:8" x14ac:dyDescent="0.25">
      <c r="A3066" s="1" t="s">
        <v>82</v>
      </c>
      <c r="B3066" s="1" t="s">
        <v>2445</v>
      </c>
      <c r="C3066" s="1" t="s">
        <v>2446</v>
      </c>
      <c r="D3066" s="1" t="s">
        <v>2425</v>
      </c>
      <c r="F3066" s="1" t="s">
        <v>2447</v>
      </c>
      <c r="G3066" s="1" t="s">
        <v>2448</v>
      </c>
      <c r="H3066" s="2" t="str">
        <f>Tabella1[[#This Row],[Denominazione]]&amp;" - "&amp;Tabella1[[#This Row],[Città]]</f>
        <v>CASTELLO DI GRANAROLA - GRADARA</v>
      </c>
    </row>
    <row r="3067" spans="1:8" x14ac:dyDescent="0.25">
      <c r="A3067" s="1" t="s">
        <v>12</v>
      </c>
      <c r="B3067" s="1" t="s">
        <v>12303</v>
      </c>
      <c r="C3067" s="1" t="s">
        <v>12304</v>
      </c>
      <c r="D3067" s="1" t="s">
        <v>12290</v>
      </c>
      <c r="E3067" s="1" t="s">
        <v>12290</v>
      </c>
      <c r="G3067" s="1" t="s">
        <v>12305</v>
      </c>
      <c r="H3067" s="2" t="str">
        <f>Tabella1[[#This Row],[Denominazione]]&amp;" - "&amp;Tabella1[[#This Row],[Città]]</f>
        <v>CASTRICINI ONORATO - MOGLIANO</v>
      </c>
    </row>
    <row r="3068" spans="1:8" x14ac:dyDescent="0.25">
      <c r="A3068" s="1" t="s">
        <v>679</v>
      </c>
      <c r="B3068" s="1" t="s">
        <v>18099</v>
      </c>
      <c r="D3068" s="1" t="s">
        <v>17932</v>
      </c>
      <c r="E3068" s="1" t="s">
        <v>18092</v>
      </c>
      <c r="H3068" s="2" t="str">
        <f>Tabella1[[#This Row],[Denominazione]]&amp;" - "&amp;Tabella1[[#This Row],[Città]]</f>
        <v>CASTURA' TOMMASO. I TRE FRATELLI - FERMO</v>
      </c>
    </row>
    <row r="3069" spans="1:8" x14ac:dyDescent="0.25">
      <c r="A3069" s="1" t="s">
        <v>12</v>
      </c>
      <c r="B3069" s="1" t="s">
        <v>9236</v>
      </c>
      <c r="C3069" s="1" t="s">
        <v>9208</v>
      </c>
      <c r="D3069" s="1" t="s">
        <v>8949</v>
      </c>
      <c r="E3069" s="1" t="s">
        <v>8949</v>
      </c>
      <c r="G3069" s="1" t="s">
        <v>9097</v>
      </c>
      <c r="H3069" s="2" t="str">
        <f>Tabella1[[#This Row],[Denominazione]]&amp;" - "&amp;Tabella1[[#This Row],[Città]]</f>
        <v>CATANI STEFANO - SENIGALLIA</v>
      </c>
    </row>
    <row r="3070" spans="1:8" x14ac:dyDescent="0.25">
      <c r="A3070" s="1" t="s">
        <v>35</v>
      </c>
      <c r="B3070" s="1" t="s">
        <v>14094</v>
      </c>
      <c r="C3070" s="1" t="s">
        <v>14095</v>
      </c>
      <c r="D3070" s="1" t="s">
        <v>14065</v>
      </c>
      <c r="E3070" s="1" t="s">
        <v>14065</v>
      </c>
      <c r="F3070" s="1" t="s">
        <v>14096</v>
      </c>
      <c r="G3070" s="1" t="s">
        <v>14097</v>
      </c>
      <c r="H3070" s="2" t="str">
        <f>Tabella1[[#This Row],[Denominazione]]&amp;" - "&amp;Tabella1[[#This Row],[Città]]</f>
        <v>CATIGNANO - TREIA</v>
      </c>
    </row>
    <row r="3071" spans="1:8" x14ac:dyDescent="0.25">
      <c r="A3071" s="1" t="s">
        <v>35</v>
      </c>
      <c r="B3071" s="1" t="s">
        <v>12227</v>
      </c>
      <c r="C3071" s="1" t="s">
        <v>12228</v>
      </c>
      <c r="D3071" s="1" t="s">
        <v>12208</v>
      </c>
      <c r="E3071" s="1" t="s">
        <v>12229</v>
      </c>
      <c r="G3071" s="1" t="s">
        <v>12230</v>
      </c>
      <c r="H3071" s="2" t="str">
        <f>Tabella1[[#This Row],[Denominazione]]&amp;" - "&amp;Tabella1[[#This Row],[Città]]</f>
        <v>CAVALIERE ERRANTE - MATELICA</v>
      </c>
    </row>
    <row r="3072" spans="1:8" x14ac:dyDescent="0.25">
      <c r="A3072" s="1" t="s">
        <v>679</v>
      </c>
      <c r="B3072" s="1" t="s">
        <v>8149</v>
      </c>
      <c r="C3072" s="1" t="s">
        <v>8150</v>
      </c>
      <c r="D3072" s="1" t="s">
        <v>7889</v>
      </c>
      <c r="E3072" s="1" t="s">
        <v>7889</v>
      </c>
      <c r="G3072" s="1" t="s">
        <v>8151</v>
      </c>
      <c r="H3072" s="2" t="str">
        <f>Tabella1[[#This Row],[Denominazione]]&amp;" - "&amp;Tabella1[[#This Row],[Città]]</f>
        <v>CAVALLUCCIO DI MARE - NUMANA</v>
      </c>
    </row>
    <row r="3073" spans="1:8" x14ac:dyDescent="0.25">
      <c r="A3073" s="1" t="s">
        <v>679</v>
      </c>
      <c r="B3073" s="1" t="s">
        <v>17310</v>
      </c>
      <c r="C3073" s="1" t="s">
        <v>17311</v>
      </c>
      <c r="D3073" s="1" t="s">
        <v>15819</v>
      </c>
      <c r="E3073" s="1" t="s">
        <v>15819</v>
      </c>
      <c r="H3073" s="2" t="str">
        <f>Tabella1[[#This Row],[Denominazione]]&amp;" - "&amp;Tabella1[[#This Row],[Città]]</f>
        <v>CAVALLUCCIO MARINO - SAN BENEDETTO DEL TRONTO</v>
      </c>
    </row>
    <row r="3074" spans="1:8" x14ac:dyDescent="0.25">
      <c r="A3074" s="1" t="s">
        <v>679</v>
      </c>
      <c r="B3074" s="1" t="s">
        <v>17310</v>
      </c>
      <c r="C3074" s="1" t="s">
        <v>19048</v>
      </c>
      <c r="D3074" s="1" t="s">
        <v>18082</v>
      </c>
      <c r="E3074" s="1" t="s">
        <v>18082</v>
      </c>
      <c r="F3074" s="1" t="s">
        <v>19110</v>
      </c>
      <c r="H3074" s="2" t="str">
        <f>Tabella1[[#This Row],[Denominazione]]&amp;" - "&amp;Tabella1[[#This Row],[Città]]</f>
        <v>CAVALLUCCIO MARINO - PORTO SAN GIORGIO</v>
      </c>
    </row>
    <row r="3075" spans="1:8" x14ac:dyDescent="0.25">
      <c r="A3075" s="1" t="s">
        <v>679</v>
      </c>
      <c r="B3075" s="1" t="s">
        <v>12856</v>
      </c>
      <c r="D3075" s="1" t="s">
        <v>12801</v>
      </c>
      <c r="E3075" s="1" t="s">
        <v>12801</v>
      </c>
      <c r="H3075" s="2" t="str">
        <f>Tabella1[[#This Row],[Denominazione]]&amp;" - "&amp;Tabella1[[#This Row],[Città]]</f>
        <v>CAYO COCO - PORTO RECANATI</v>
      </c>
    </row>
    <row r="3076" spans="1:8" x14ac:dyDescent="0.25">
      <c r="A3076" s="1" t="s">
        <v>300</v>
      </c>
      <c r="B3076" s="1" t="s">
        <v>3088</v>
      </c>
      <c r="C3076" s="1" t="s">
        <v>3089</v>
      </c>
      <c r="D3076" s="1" t="s">
        <v>3067</v>
      </c>
      <c r="E3076" s="1" t="s">
        <v>3067</v>
      </c>
      <c r="F3076" s="1" t="s">
        <v>558</v>
      </c>
      <c r="G3076" s="1" t="s">
        <v>559</v>
      </c>
      <c r="H3076" s="2" t="str">
        <f>Tabella1[[#This Row],[Denominazione]]&amp;" - "&amp;Tabella1[[#This Row],[Città]]</f>
        <v>CEA CALVILLANO - MONTECOPIOLO</v>
      </c>
    </row>
    <row r="3077" spans="1:8" x14ac:dyDescent="0.25">
      <c r="A3077" s="1" t="s">
        <v>12</v>
      </c>
      <c r="B3077" s="1" t="s">
        <v>2942</v>
      </c>
      <c r="D3077" s="1" t="s">
        <v>1605</v>
      </c>
      <c r="E3077" s="1" t="s">
        <v>1605</v>
      </c>
      <c r="G3077" s="1" t="s">
        <v>2941</v>
      </c>
      <c r="H3077" s="2" t="str">
        <f>Tabella1[[#This Row],[Denominazione]]&amp;" - "&amp;Tabella1[[#This Row],[Città]]</f>
        <v>CECCHINI SANDRINA - MONDOLFO</v>
      </c>
    </row>
    <row r="3078" spans="1:8" x14ac:dyDescent="0.25">
      <c r="A3078" s="1" t="s">
        <v>12</v>
      </c>
      <c r="B3078" s="1" t="s">
        <v>743</v>
      </c>
      <c r="C3078" s="1" t="s">
        <v>744</v>
      </c>
      <c r="D3078" s="1" t="s">
        <v>682</v>
      </c>
      <c r="E3078" s="1" t="s">
        <v>682</v>
      </c>
      <c r="H3078" s="2" t="str">
        <f>Tabella1[[#This Row],[Denominazione]]&amp;" - "&amp;Tabella1[[#This Row],[Città]]</f>
        <v>CENCI ROBERTO - FANO</v>
      </c>
    </row>
    <row r="3079" spans="1:8" x14ac:dyDescent="0.25">
      <c r="A3079" s="1" t="s">
        <v>20</v>
      </c>
      <c r="B3079" s="1" t="s">
        <v>17615</v>
      </c>
      <c r="C3079" s="1" t="s">
        <v>17616</v>
      </c>
      <c r="D3079" s="1" t="s">
        <v>15819</v>
      </c>
      <c r="E3079" s="1" t="s">
        <v>15819</v>
      </c>
      <c r="F3079" s="1" t="s">
        <v>17617</v>
      </c>
      <c r="G3079" s="1" t="s">
        <v>17618</v>
      </c>
      <c r="H3079" s="2" t="str">
        <f>Tabella1[[#This Row],[Denominazione]]&amp;" - "&amp;Tabella1[[#This Row],[Città]]</f>
        <v>CENTRALE - SAN BENEDETTO DEL TRONTO</v>
      </c>
    </row>
    <row r="3080" spans="1:8" x14ac:dyDescent="0.25">
      <c r="A3080" s="1" t="s">
        <v>190</v>
      </c>
      <c r="B3080" s="1" t="s">
        <v>7405</v>
      </c>
      <c r="C3080" s="1" t="s">
        <v>7406</v>
      </c>
      <c r="D3080" s="1" t="s">
        <v>7385</v>
      </c>
      <c r="E3080" s="1" t="s">
        <v>7385</v>
      </c>
      <c r="F3080" s="1" t="s">
        <v>7407</v>
      </c>
      <c r="G3080" s="1" t="s">
        <v>7408</v>
      </c>
      <c r="H3080" s="2" t="str">
        <f>Tabella1[[#This Row],[Denominazione]]&amp;" - "&amp;Tabella1[[#This Row],[Città]]</f>
        <v>CENTRO ACCOGLIENZA GIOVANNI PAOLO II - LORETO</v>
      </c>
    </row>
    <row r="3081" spans="1:8" x14ac:dyDescent="0.25">
      <c r="A3081" s="1" t="s">
        <v>6</v>
      </c>
      <c r="B3081" s="1" t="s">
        <v>14509</v>
      </c>
      <c r="D3081" s="1" t="s">
        <v>14510</v>
      </c>
      <c r="E3081" s="1" t="s">
        <v>14511</v>
      </c>
      <c r="F3081" s="1" t="s">
        <v>14512</v>
      </c>
      <c r="G3081" s="1" t="s">
        <v>14513</v>
      </c>
      <c r="H3081" s="2" t="str">
        <f>Tabella1[[#This Row],[Denominazione]]&amp;" - "&amp;Tabella1[[#This Row],[Città]]</f>
        <v>CENTRO DEI DUE PARCHI - ARQUATA DEL TRONTO</v>
      </c>
    </row>
    <row r="3082" spans="1:8" x14ac:dyDescent="0.25">
      <c r="A3082" s="1" t="s">
        <v>186</v>
      </c>
      <c r="B3082" s="1" t="s">
        <v>4777</v>
      </c>
      <c r="C3082" s="1" t="s">
        <v>4778</v>
      </c>
      <c r="D3082" s="1" t="s">
        <v>4735</v>
      </c>
      <c r="E3082" s="1" t="s">
        <v>4779</v>
      </c>
      <c r="H3082" s="2" t="str">
        <f>Tabella1[[#This Row],[Denominazione]]&amp;" - "&amp;Tabella1[[#This Row],[Città]]</f>
        <v>CENTRO DI EDUCAZIONE AMBIENTALE - OSTELLO SAN MARTINO - URBANIA</v>
      </c>
    </row>
    <row r="3083" spans="1:8" x14ac:dyDescent="0.25">
      <c r="A3083" s="1" t="s">
        <v>300</v>
      </c>
      <c r="B3083" s="1" t="s">
        <v>4193</v>
      </c>
      <c r="C3083" s="1" t="s">
        <v>4194</v>
      </c>
      <c r="D3083" s="1" t="s">
        <v>4175</v>
      </c>
      <c r="E3083" s="1" t="s">
        <v>4175</v>
      </c>
      <c r="F3083" s="1" t="s">
        <v>558</v>
      </c>
      <c r="G3083" s="1" t="s">
        <v>559</v>
      </c>
      <c r="H3083" s="2" t="str">
        <f>Tabella1[[#This Row],[Denominazione]]&amp;" - "&amp;Tabella1[[#This Row],[Città]]</f>
        <v>CENTRO EDUCAZIONE AMBIENTALE - PIOBBICO</v>
      </c>
    </row>
    <row r="3084" spans="1:8" x14ac:dyDescent="0.25">
      <c r="A3084" s="1" t="s">
        <v>190</v>
      </c>
      <c r="B3084" s="1" t="s">
        <v>9483</v>
      </c>
      <c r="C3084" s="1" t="s">
        <v>9484</v>
      </c>
      <c r="D3084" s="1" t="s">
        <v>8949</v>
      </c>
      <c r="E3084" s="1" t="s">
        <v>8949</v>
      </c>
      <c r="G3084" s="1" t="s">
        <v>9325</v>
      </c>
      <c r="H3084" s="2" t="str">
        <f>Tabella1[[#This Row],[Denominazione]]&amp;" - "&amp;Tabella1[[#This Row],[Città]]</f>
        <v>CENTRO LE DUNE - SENIGALLIA</v>
      </c>
    </row>
    <row r="3085" spans="1:8" x14ac:dyDescent="0.25">
      <c r="A3085" s="1" t="s">
        <v>29</v>
      </c>
      <c r="B3085" s="1" t="s">
        <v>3570</v>
      </c>
      <c r="C3085" s="1" t="s">
        <v>3571</v>
      </c>
      <c r="D3085" s="1" t="s">
        <v>2386</v>
      </c>
      <c r="E3085" s="1" t="s">
        <v>2386</v>
      </c>
      <c r="G3085" s="1" t="s">
        <v>3572</v>
      </c>
      <c r="H3085" s="2" t="str">
        <f>Tabella1[[#This Row],[Denominazione]]&amp;" - "&amp;Tabella1[[#This Row],[Città]]</f>
        <v>CENTRO MARE LUNA - PESARO</v>
      </c>
    </row>
    <row r="3086" spans="1:8" x14ac:dyDescent="0.25">
      <c r="A3086" s="1" t="s">
        <v>190</v>
      </c>
      <c r="B3086" s="1" t="s">
        <v>19216</v>
      </c>
      <c r="C3086" s="1" t="s">
        <v>19217</v>
      </c>
      <c r="D3086" s="1" t="s">
        <v>18082</v>
      </c>
      <c r="E3086" s="1" t="s">
        <v>18082</v>
      </c>
      <c r="H3086" s="2" t="str">
        <f>Tabella1[[#This Row],[Denominazione]]&amp;" - "&amp;Tabella1[[#This Row],[Città]]</f>
        <v>CENTRO NEOCATECUMENALE SERVO DI JAHVE' - PORTO SAN GIORGIO</v>
      </c>
    </row>
    <row r="3087" spans="1:8" x14ac:dyDescent="0.25">
      <c r="A3087" s="1" t="s">
        <v>190</v>
      </c>
      <c r="B3087" s="1" t="s">
        <v>1825</v>
      </c>
      <c r="C3087" s="1" t="s">
        <v>1826</v>
      </c>
      <c r="D3087" s="1" t="s">
        <v>1810</v>
      </c>
      <c r="E3087" s="1" t="s">
        <v>1810</v>
      </c>
      <c r="G3087" s="1" t="s">
        <v>559</v>
      </c>
      <c r="H3087" s="2" t="str">
        <f>Tabella1[[#This Row],[Denominazione]]&amp;" - "&amp;Tabella1[[#This Row],[Città]]</f>
        <v>CENTRO SERVIZIO POLIVALENTE DEL MONTEFELTRO - FRONTINO</v>
      </c>
    </row>
    <row r="3088" spans="1:8" x14ac:dyDescent="0.25">
      <c r="A3088" s="1" t="s">
        <v>1200</v>
      </c>
      <c r="B3088" s="1" t="s">
        <v>12439</v>
      </c>
      <c r="C3088" s="1" t="s">
        <v>12440</v>
      </c>
      <c r="D3088" s="1" t="s">
        <v>12427</v>
      </c>
      <c r="E3088" s="1" t="s">
        <v>12427</v>
      </c>
      <c r="G3088" s="1" t="s">
        <v>12441</v>
      </c>
      <c r="H3088" s="2" t="str">
        <f>Tabella1[[#This Row],[Denominazione]]&amp;" - "&amp;Tabella1[[#This Row],[Città]]</f>
        <v>CENTRO STUDI BIBLICI - MONTEFANO</v>
      </c>
    </row>
    <row r="3089" spans="1:8" x14ac:dyDescent="0.25">
      <c r="A3089" s="1" t="s">
        <v>571</v>
      </c>
      <c r="B3089" s="1" t="s">
        <v>11580</v>
      </c>
      <c r="C3089" s="1" t="s">
        <v>11581</v>
      </c>
      <c r="D3089" s="1" t="s">
        <v>11244</v>
      </c>
      <c r="E3089" s="1" t="s">
        <v>11582</v>
      </c>
      <c r="F3089" s="1" t="s">
        <v>11583</v>
      </c>
      <c r="G3089" s="1" t="s">
        <v>11584</v>
      </c>
      <c r="H3089" s="2" t="str">
        <f>Tabella1[[#This Row],[Denominazione]]&amp;" - "&amp;Tabella1[[#This Row],[Città]]</f>
        <v>CENTRO TURISTICO BELVEDERE - CIVITANOVA MARCHE</v>
      </c>
    </row>
    <row r="3090" spans="1:8" x14ac:dyDescent="0.25">
      <c r="A3090" s="1" t="s">
        <v>20</v>
      </c>
      <c r="B3090" s="1" t="s">
        <v>13842</v>
      </c>
      <c r="C3090" s="1" t="s">
        <v>13843</v>
      </c>
      <c r="D3090" s="1" t="s">
        <v>13756</v>
      </c>
      <c r="E3090" s="1" t="s">
        <v>13756</v>
      </c>
      <c r="F3090" s="1" t="s">
        <v>13844</v>
      </c>
      <c r="G3090" s="1" t="s">
        <v>13845</v>
      </c>
      <c r="H3090" s="2" t="str">
        <f>Tabella1[[#This Row],[Denominazione]]&amp;" - "&amp;Tabella1[[#This Row],[Città]]</f>
        <v>CENTRO TURISTICO MONTANARIA - SARNANO</v>
      </c>
    </row>
    <row r="3091" spans="1:8" x14ac:dyDescent="0.25">
      <c r="A3091" s="1" t="s">
        <v>6</v>
      </c>
      <c r="B3091" s="1" t="s">
        <v>14634</v>
      </c>
      <c r="C3091" s="1" t="s">
        <v>14635</v>
      </c>
      <c r="D3091" s="1" t="s">
        <v>14576</v>
      </c>
      <c r="E3091" s="1" t="s">
        <v>14576</v>
      </c>
      <c r="F3091" s="1" t="s">
        <v>14636</v>
      </c>
      <c r="G3091" s="1" t="s">
        <v>14637</v>
      </c>
      <c r="H3091" s="2" t="str">
        <f>Tabella1[[#This Row],[Denominazione]]&amp;" - "&amp;Tabella1[[#This Row],[Città]]</f>
        <v>CENTRO TURISTICO RURALE IL POGGIO - ASCOLI PICENO</v>
      </c>
    </row>
    <row r="3092" spans="1:8" x14ac:dyDescent="0.25">
      <c r="A3092" s="1" t="s">
        <v>571</v>
      </c>
      <c r="B3092" s="1" t="s">
        <v>18103</v>
      </c>
      <c r="C3092" s="1" t="s">
        <v>18104</v>
      </c>
      <c r="D3092" s="1" t="s">
        <v>17932</v>
      </c>
      <c r="E3092" s="1" t="s">
        <v>17932</v>
      </c>
      <c r="F3092" s="1" t="s">
        <v>18105</v>
      </c>
      <c r="G3092" s="1" t="s">
        <v>18106</v>
      </c>
      <c r="H3092" s="2" t="str">
        <f>Tabella1[[#This Row],[Denominazione]]&amp;" - "&amp;Tabella1[[#This Row],[Città]]</f>
        <v>CENTRO VACANZE CAMPING SPINNAKER - FERMO</v>
      </c>
    </row>
    <row r="3093" spans="1:8" x14ac:dyDescent="0.25">
      <c r="A3093" s="1" t="s">
        <v>571</v>
      </c>
      <c r="B3093" s="1" t="s">
        <v>19430</v>
      </c>
      <c r="C3093" s="1" t="s">
        <v>19431</v>
      </c>
      <c r="D3093" s="1" t="s">
        <v>19283</v>
      </c>
      <c r="E3093" s="1" t="s">
        <v>19363</v>
      </c>
      <c r="F3093" s="1" t="s">
        <v>19432</v>
      </c>
      <c r="G3093" s="1" t="s">
        <v>19433</v>
      </c>
      <c r="H3093" s="2" t="str">
        <f>Tabella1[[#This Row],[Denominazione]]&amp;" - "&amp;Tabella1[[#This Row],[Città]]</f>
        <v>CENTRO VACANZE LA RISACCA - PORTO SANT'ELPIDIO</v>
      </c>
    </row>
    <row r="3094" spans="1:8" x14ac:dyDescent="0.25">
      <c r="A3094" s="1" t="s">
        <v>190</v>
      </c>
      <c r="B3094" s="1" t="s">
        <v>14939</v>
      </c>
      <c r="D3094" s="1" t="s">
        <v>14576</v>
      </c>
      <c r="E3094" s="1" t="s">
        <v>14940</v>
      </c>
      <c r="F3094" s="1" t="s">
        <v>14941</v>
      </c>
      <c r="G3094" s="1" t="s">
        <v>14942</v>
      </c>
      <c r="H3094" s="2" t="str">
        <f>Tabella1[[#This Row],[Denominazione]]&amp;" - "&amp;Tabella1[[#This Row],[Città]]</f>
        <v>CENTRO VACANZE OASI CARPINETO - ASCOLI PICENO</v>
      </c>
    </row>
    <row r="3095" spans="1:8" x14ac:dyDescent="0.25">
      <c r="A3095" s="1" t="s">
        <v>679</v>
      </c>
      <c r="B3095" s="1" t="s">
        <v>8139</v>
      </c>
      <c r="C3095" s="1" t="s">
        <v>8140</v>
      </c>
      <c r="D3095" s="1" t="s">
        <v>7889</v>
      </c>
      <c r="E3095" s="1" t="s">
        <v>7895</v>
      </c>
      <c r="F3095" s="1" t="s">
        <v>8141</v>
      </c>
      <c r="G3095" s="1" t="s">
        <v>8142</v>
      </c>
      <c r="H3095" s="2" t="str">
        <f>Tabella1[[#This Row],[Denominazione]]&amp;" - "&amp;Tabella1[[#This Row],[Città]]</f>
        <v>CENTRO VACANZE ON THE BEACH - NUMANA</v>
      </c>
    </row>
    <row r="3096" spans="1:8" x14ac:dyDescent="0.25">
      <c r="A3096" s="1" t="s">
        <v>29</v>
      </c>
      <c r="B3096" s="1" t="s">
        <v>7023</v>
      </c>
      <c r="C3096" s="1" t="s">
        <v>7024</v>
      </c>
      <c r="D3096" s="1" t="s">
        <v>6790</v>
      </c>
      <c r="E3096" s="1" t="s">
        <v>6790</v>
      </c>
      <c r="G3096" s="1" t="s">
        <v>7025</v>
      </c>
      <c r="H3096" s="2" t="str">
        <f>Tabella1[[#This Row],[Denominazione]]&amp;" - "&amp;Tabella1[[#This Row],[Città]]</f>
        <v>C'ERA UNA VOLTA - FABRIANO</v>
      </c>
    </row>
    <row r="3097" spans="1:8" x14ac:dyDescent="0.25">
      <c r="A3097" s="1" t="s">
        <v>35</v>
      </c>
      <c r="B3097" s="1" t="s">
        <v>10861</v>
      </c>
      <c r="C3097" s="1" t="s">
        <v>10862</v>
      </c>
      <c r="D3097" s="1" t="s">
        <v>10737</v>
      </c>
      <c r="E3097" s="1" t="s">
        <v>10737</v>
      </c>
      <c r="H3097" s="2" t="str">
        <f>Tabella1[[#This Row],[Denominazione]]&amp;" - "&amp;Tabella1[[#This Row],[Città]]</f>
        <v>CERERE - CAMERINO</v>
      </c>
    </row>
    <row r="3098" spans="1:8" x14ac:dyDescent="0.25">
      <c r="A3098" s="1" t="s">
        <v>6</v>
      </c>
      <c r="B3098" s="1" t="s">
        <v>7413</v>
      </c>
      <c r="C3098" s="1" t="s">
        <v>7414</v>
      </c>
      <c r="D3098" s="1" t="s">
        <v>7385</v>
      </c>
      <c r="G3098" s="1" t="s">
        <v>7415</v>
      </c>
      <c r="H3098" s="2" t="str">
        <f>Tabella1[[#This Row],[Denominazione]]&amp;" - "&amp;Tabella1[[#This Row],[Città]]</f>
        <v>CERESA' - LORETO</v>
      </c>
    </row>
    <row r="3099" spans="1:8" x14ac:dyDescent="0.25">
      <c r="A3099" s="1" t="s">
        <v>35</v>
      </c>
      <c r="B3099" s="1" t="s">
        <v>16090</v>
      </c>
      <c r="C3099" s="1" t="s">
        <v>16091</v>
      </c>
      <c r="D3099" s="1" t="s">
        <v>16083</v>
      </c>
      <c r="E3099" s="1" t="s">
        <v>16083</v>
      </c>
      <c r="F3099" s="1" t="s">
        <v>16092</v>
      </c>
      <c r="G3099" s="1" t="s">
        <v>16093</v>
      </c>
      <c r="H3099" s="2" t="str">
        <f>Tabella1[[#This Row],[Denominazione]]&amp;" - "&amp;Tabella1[[#This Row],[Città]]</f>
        <v>CERQUATONDA - MONTALTO DELLE MARCHE</v>
      </c>
    </row>
    <row r="3100" spans="1:8" x14ac:dyDescent="0.25">
      <c r="A3100" s="1" t="s">
        <v>12</v>
      </c>
      <c r="B3100" s="1" t="s">
        <v>2794</v>
      </c>
      <c r="C3100" s="1" t="s">
        <v>2795</v>
      </c>
      <c r="D3100" s="1" t="s">
        <v>1605</v>
      </c>
      <c r="G3100" s="1" t="s">
        <v>2796</v>
      </c>
      <c r="H3100" s="2" t="str">
        <f>Tabella1[[#This Row],[Denominazione]]&amp;" - "&amp;Tabella1[[#This Row],[Città]]</f>
        <v>CESARE SORA - MONDOLFO</v>
      </c>
    </row>
    <row r="3101" spans="1:8" x14ac:dyDescent="0.25">
      <c r="A3101" s="1" t="s">
        <v>12</v>
      </c>
      <c r="B3101" s="1" t="s">
        <v>14796</v>
      </c>
      <c r="C3101" s="1" t="s">
        <v>14797</v>
      </c>
      <c r="D3101" s="1" t="s">
        <v>14576</v>
      </c>
      <c r="H3101" s="2" t="str">
        <f>Tabella1[[#This Row],[Denominazione]]&amp;" - "&amp;Tabella1[[#This Row],[Città]]</f>
        <v>CESARI PIERLUIGI - ASCOLI PICENO</v>
      </c>
    </row>
    <row r="3102" spans="1:8" x14ac:dyDescent="0.25">
      <c r="A3102" s="1" t="s">
        <v>679</v>
      </c>
      <c r="B3102" s="1" t="s">
        <v>17201</v>
      </c>
      <c r="C3102" s="1" t="s">
        <v>17202</v>
      </c>
      <c r="D3102" s="1" t="s">
        <v>15819</v>
      </c>
      <c r="E3102" s="1" t="s">
        <v>15819</v>
      </c>
      <c r="F3102" s="1" t="s">
        <v>17203</v>
      </c>
      <c r="G3102" s="1" t="s">
        <v>17204</v>
      </c>
      <c r="H3102" s="2" t="str">
        <f>Tabella1[[#This Row],[Denominazione]]&amp;" - "&amp;Tabella1[[#This Row],[Città]]</f>
        <v>CHALET " LA SIESTA" - SAN BENEDETTO DEL TRONTO</v>
      </c>
    </row>
    <row r="3103" spans="1:8" x14ac:dyDescent="0.25">
      <c r="A3103" s="1" t="s">
        <v>679</v>
      </c>
      <c r="B3103" s="1" t="s">
        <v>19246</v>
      </c>
      <c r="D3103" s="1" t="s">
        <v>18082</v>
      </c>
      <c r="F3103" s="1" t="s">
        <v>19247</v>
      </c>
      <c r="H3103" s="2" t="str">
        <f>Tabella1[[#This Row],[Denominazione]]&amp;" - "&amp;Tabella1[[#This Row],[Città]]</f>
        <v>CHALET 14 B - PORTO SAN GIORGIO</v>
      </c>
    </row>
    <row r="3104" spans="1:8" x14ac:dyDescent="0.25">
      <c r="A3104" s="1" t="s">
        <v>679</v>
      </c>
      <c r="B3104" s="1" t="s">
        <v>5902</v>
      </c>
      <c r="C3104" s="1" t="s">
        <v>5903</v>
      </c>
      <c r="D3104" s="1" t="s">
        <v>1864</v>
      </c>
      <c r="E3104" s="1" t="s">
        <v>5904</v>
      </c>
      <c r="F3104" s="1" t="s">
        <v>5905</v>
      </c>
      <c r="G3104" s="1" t="s">
        <v>5732</v>
      </c>
      <c r="H3104" s="2" t="str">
        <f>Tabella1[[#This Row],[Denominazione]]&amp;" - "&amp;Tabella1[[#This Row],[Città]]</f>
        <v>CHALET 4 FONTANE BEACH - ANCONA</v>
      </c>
    </row>
    <row r="3105" spans="1:8" x14ac:dyDescent="0.25">
      <c r="A3105" s="1" t="s">
        <v>679</v>
      </c>
      <c r="B3105" s="1" t="s">
        <v>15913</v>
      </c>
      <c r="C3105" s="1" t="s">
        <v>15914</v>
      </c>
      <c r="D3105" s="1" t="s">
        <v>15585</v>
      </c>
      <c r="E3105" s="1" t="s">
        <v>15915</v>
      </c>
      <c r="F3105" s="1" t="s">
        <v>15916</v>
      </c>
      <c r="G3105" s="1" t="s">
        <v>15917</v>
      </c>
      <c r="H3105" s="2" t="str">
        <f>Tabella1[[#This Row],[Denominazione]]&amp;" - "&amp;Tabella1[[#This Row],[Città]]</f>
        <v>CHALET ADRIATICO - GROTTAMMARE</v>
      </c>
    </row>
    <row r="3106" spans="1:8" x14ac:dyDescent="0.25">
      <c r="A3106" s="1" t="s">
        <v>679</v>
      </c>
      <c r="B3106" s="1" t="s">
        <v>17206</v>
      </c>
      <c r="C3106" s="1" t="s">
        <v>17207</v>
      </c>
      <c r="D3106" s="1" t="s">
        <v>15819</v>
      </c>
      <c r="F3106" s="1" t="s">
        <v>17208</v>
      </c>
      <c r="G3106" s="1" t="s">
        <v>17209</v>
      </c>
      <c r="H3106" s="2" t="str">
        <f>Tabella1[[#This Row],[Denominazione]]&amp;" - "&amp;Tabella1[[#This Row],[Città]]</f>
        <v>CHALET ALEX - SAN BENEDETTO DEL TRONTO</v>
      </c>
    </row>
    <row r="3107" spans="1:8" x14ac:dyDescent="0.25">
      <c r="A3107" s="1" t="s">
        <v>679</v>
      </c>
      <c r="B3107" s="1" t="s">
        <v>19437</v>
      </c>
      <c r="C3107" s="1" t="s">
        <v>19382</v>
      </c>
      <c r="D3107" s="1" t="s">
        <v>19283</v>
      </c>
      <c r="E3107" s="1" t="s">
        <v>19363</v>
      </c>
      <c r="H3107" s="2" t="str">
        <f>Tabella1[[#This Row],[Denominazione]]&amp;" - "&amp;Tabella1[[#This Row],[Città]]</f>
        <v>CHALET AMICI - PORTO SANT'ELPIDIO</v>
      </c>
    </row>
    <row r="3108" spans="1:8" x14ac:dyDescent="0.25">
      <c r="A3108" s="1" t="s">
        <v>679</v>
      </c>
      <c r="B3108" s="1" t="s">
        <v>15937</v>
      </c>
      <c r="C3108" s="1" t="s">
        <v>15938</v>
      </c>
      <c r="D3108" s="1" t="s">
        <v>15585</v>
      </c>
      <c r="F3108" s="1" t="s">
        <v>15939</v>
      </c>
      <c r="G3108" s="1" t="s">
        <v>15940</v>
      </c>
      <c r="H3108" s="2" t="str">
        <f>Tabella1[[#This Row],[Denominazione]]&amp;" - "&amp;Tabella1[[#This Row],[Città]]</f>
        <v>CHALET BAIA BLANCA - GROTTAMMARE</v>
      </c>
    </row>
    <row r="3109" spans="1:8" x14ac:dyDescent="0.25">
      <c r="A3109" s="1" t="s">
        <v>679</v>
      </c>
      <c r="B3109" s="1" t="s">
        <v>19045</v>
      </c>
      <c r="D3109" s="1" t="s">
        <v>18082</v>
      </c>
      <c r="E3109" s="1" t="s">
        <v>18082</v>
      </c>
      <c r="G3109" s="1" t="s">
        <v>19046</v>
      </c>
      <c r="H3109" s="2" t="str">
        <f>Tabella1[[#This Row],[Denominazione]]&amp;" - "&amp;Tabella1[[#This Row],[Città]]</f>
        <v>CHALET BARRACUDA - PORTO SAN GIORGIO</v>
      </c>
    </row>
    <row r="3110" spans="1:8" x14ac:dyDescent="0.25">
      <c r="A3110" s="1" t="s">
        <v>679</v>
      </c>
      <c r="B3110" s="1" t="s">
        <v>19062</v>
      </c>
      <c r="C3110" s="1" t="s">
        <v>19048</v>
      </c>
      <c r="D3110" s="1" t="s">
        <v>18082</v>
      </c>
      <c r="E3110" s="1" t="s">
        <v>18082</v>
      </c>
      <c r="H3110" s="2" t="str">
        <f>Tabella1[[#This Row],[Denominazione]]&amp;" - "&amp;Tabella1[[#This Row],[Città]]</f>
        <v>CHALET BOUNTY - PORTO SAN GIORGIO</v>
      </c>
    </row>
    <row r="3111" spans="1:8" x14ac:dyDescent="0.25">
      <c r="A3111" s="1" t="s">
        <v>679</v>
      </c>
      <c r="B3111" s="1" t="s">
        <v>17367</v>
      </c>
      <c r="C3111" s="1" t="s">
        <v>17368</v>
      </c>
      <c r="D3111" s="1" t="s">
        <v>15819</v>
      </c>
      <c r="H3111" s="2" t="str">
        <f>Tabella1[[#This Row],[Denominazione]]&amp;" - "&amp;Tabella1[[#This Row],[Città]]</f>
        <v>CHALET CASABLANCA - SAN BENEDETTO DEL TRONTO</v>
      </c>
    </row>
    <row r="3112" spans="1:8" x14ac:dyDescent="0.25">
      <c r="A3112" s="1" t="s">
        <v>679</v>
      </c>
      <c r="B3112" s="1" t="s">
        <v>15936</v>
      </c>
      <c r="D3112" s="1" t="s">
        <v>15585</v>
      </c>
      <c r="H3112" s="2" t="str">
        <f>Tabella1[[#This Row],[Denominazione]]&amp;" - "&amp;Tabella1[[#This Row],[Città]]</f>
        <v>CHALET CLUB SEVEN - GROTTAMMARE</v>
      </c>
    </row>
    <row r="3113" spans="1:8" x14ac:dyDescent="0.25">
      <c r="A3113" s="1" t="s">
        <v>679</v>
      </c>
      <c r="B3113" s="1" t="s">
        <v>19089</v>
      </c>
      <c r="C3113" s="1" t="s">
        <v>19090</v>
      </c>
      <c r="D3113" s="1" t="s">
        <v>18082</v>
      </c>
      <c r="E3113" s="1" t="s">
        <v>18082</v>
      </c>
      <c r="F3113" s="1" t="s">
        <v>19091</v>
      </c>
      <c r="G3113" s="1" t="s">
        <v>19092</v>
      </c>
      <c r="H3113" s="2" t="str">
        <f>Tabella1[[#This Row],[Denominazione]]&amp;" - "&amp;Tabella1[[#This Row],[Città]]</f>
        <v>CHALET COBA' RESTAURANT - PORTO SAN GIORGIO</v>
      </c>
    </row>
    <row r="3114" spans="1:8" x14ac:dyDescent="0.25">
      <c r="A3114" s="1" t="s">
        <v>679</v>
      </c>
      <c r="B3114" s="1" t="s">
        <v>19065</v>
      </c>
      <c r="C3114" s="1" t="s">
        <v>19066</v>
      </c>
      <c r="D3114" s="1" t="s">
        <v>18082</v>
      </c>
      <c r="E3114" s="1" t="s">
        <v>18082</v>
      </c>
      <c r="F3114" s="1" t="s">
        <v>19067</v>
      </c>
      <c r="H3114" s="2" t="str">
        <f>Tabella1[[#This Row],[Denominazione]]&amp;" - "&amp;Tabella1[[#This Row],[Città]]</f>
        <v>CHALET DA DUILIO - PORTO SAN GIORGIO</v>
      </c>
    </row>
    <row r="3115" spans="1:8" x14ac:dyDescent="0.25">
      <c r="A3115" s="1" t="s">
        <v>679</v>
      </c>
      <c r="B3115" s="1" t="s">
        <v>19143</v>
      </c>
      <c r="C3115" s="1" t="s">
        <v>19048</v>
      </c>
      <c r="D3115" s="1" t="s">
        <v>18082</v>
      </c>
      <c r="E3115" s="1" t="s">
        <v>18082</v>
      </c>
      <c r="H3115" s="2" t="str">
        <f>Tabella1[[#This Row],[Denominazione]]&amp;" - "&amp;Tabella1[[#This Row],[Città]]</f>
        <v>CHALET DA GUIDO - PORTO SAN GIORGIO</v>
      </c>
    </row>
    <row r="3116" spans="1:8" x14ac:dyDescent="0.25">
      <c r="A3116" s="1" t="s">
        <v>679</v>
      </c>
      <c r="B3116" s="1" t="s">
        <v>19467</v>
      </c>
      <c r="C3116" s="1" t="s">
        <v>19078</v>
      </c>
      <c r="D3116" s="1" t="s">
        <v>19283</v>
      </c>
      <c r="E3116" s="1" t="s">
        <v>18082</v>
      </c>
      <c r="H3116" s="2" t="str">
        <f>Tabella1[[#This Row],[Denominazione]]&amp;" - "&amp;Tabella1[[#This Row],[Città]]</f>
        <v>CHALET DA STEFANO - PORTO SANT'ELPIDIO</v>
      </c>
    </row>
    <row r="3117" spans="1:8" x14ac:dyDescent="0.25">
      <c r="A3117" s="1" t="s">
        <v>679</v>
      </c>
      <c r="B3117" s="1" t="s">
        <v>18085</v>
      </c>
      <c r="C3117" s="1" t="s">
        <v>18081</v>
      </c>
      <c r="D3117" s="1" t="s">
        <v>17932</v>
      </c>
      <c r="E3117" s="1" t="s">
        <v>17932</v>
      </c>
      <c r="H3117" s="2" t="str">
        <f>Tabella1[[#This Row],[Denominazione]]&amp;" - "&amp;Tabella1[[#This Row],[Città]]</f>
        <v>CHALET DADI' - FERMO</v>
      </c>
    </row>
    <row r="3118" spans="1:8" x14ac:dyDescent="0.25">
      <c r="A3118" s="1" t="s">
        <v>679</v>
      </c>
      <c r="B3118" s="1" t="s">
        <v>17362</v>
      </c>
      <c r="C3118" s="1" t="s">
        <v>17363</v>
      </c>
      <c r="D3118" s="1" t="s">
        <v>15819</v>
      </c>
      <c r="E3118" s="1" t="s">
        <v>17077</v>
      </c>
      <c r="H3118" s="2" t="str">
        <f>Tabella1[[#This Row],[Denominazione]]&amp;" - "&amp;Tabella1[[#This Row],[Città]]</f>
        <v>CHALET DEGLI ANGELI - SAN BENEDETTO DEL TRONTO</v>
      </c>
    </row>
    <row r="3119" spans="1:8" x14ac:dyDescent="0.25">
      <c r="A3119" s="1" t="s">
        <v>679</v>
      </c>
      <c r="B3119" s="1" t="s">
        <v>19136</v>
      </c>
      <c r="C3119" s="1" t="s">
        <v>19048</v>
      </c>
      <c r="D3119" s="1" t="s">
        <v>18082</v>
      </c>
      <c r="E3119" s="1" t="s">
        <v>18082</v>
      </c>
      <c r="F3119" s="1" t="s">
        <v>19137</v>
      </c>
      <c r="H3119" s="2" t="str">
        <f>Tabella1[[#This Row],[Denominazione]]&amp;" - "&amp;Tabella1[[#This Row],[Città]]</f>
        <v>CHALET DEGLI ARTISTI - POLDO &amp; LIVIA - PORTO SAN GIORGIO</v>
      </c>
    </row>
    <row r="3120" spans="1:8" x14ac:dyDescent="0.25">
      <c r="A3120" s="1" t="s">
        <v>679</v>
      </c>
      <c r="B3120" s="1" t="s">
        <v>19136</v>
      </c>
      <c r="C3120" s="1" t="s">
        <v>19048</v>
      </c>
      <c r="D3120" s="1" t="s">
        <v>18082</v>
      </c>
      <c r="E3120" s="1" t="s">
        <v>18082</v>
      </c>
      <c r="F3120" s="1" t="s">
        <v>19138</v>
      </c>
      <c r="H3120" s="2" t="str">
        <f>Tabella1[[#This Row],[Denominazione]]&amp;" - "&amp;Tabella1[[#This Row],[Città]]</f>
        <v>CHALET DEGLI ARTISTI - POLDO &amp; LIVIA - PORTO SAN GIORGIO</v>
      </c>
    </row>
    <row r="3121" spans="1:8" x14ac:dyDescent="0.25">
      <c r="A3121" s="1" t="s">
        <v>679</v>
      </c>
      <c r="B3121" s="1" t="s">
        <v>15864</v>
      </c>
      <c r="C3121" s="1" t="s">
        <v>2873</v>
      </c>
      <c r="D3121" s="1" t="s">
        <v>15585</v>
      </c>
      <c r="H3121" s="2" t="str">
        <f>Tabella1[[#This Row],[Denominazione]]&amp;" - "&amp;Tabella1[[#This Row],[Città]]</f>
        <v>CHALET DELLE STELLE - GROTTAMMARE</v>
      </c>
    </row>
    <row r="3122" spans="1:8" x14ac:dyDescent="0.25">
      <c r="A3122" s="1" t="s">
        <v>679</v>
      </c>
      <c r="B3122" s="1" t="s">
        <v>11649</v>
      </c>
      <c r="C3122" s="1" t="s">
        <v>11614</v>
      </c>
      <c r="D3122" s="1" t="s">
        <v>11244</v>
      </c>
      <c r="E3122" s="1" t="s">
        <v>11244</v>
      </c>
      <c r="H3122" s="2" t="str">
        <f>Tabella1[[#This Row],[Denominazione]]&amp;" - "&amp;Tabella1[[#This Row],[Città]]</f>
        <v>CHALET GALILEO - CIVITANOVA MARCHE</v>
      </c>
    </row>
    <row r="3123" spans="1:8" x14ac:dyDescent="0.25">
      <c r="A3123" s="1" t="s">
        <v>679</v>
      </c>
      <c r="B3123" s="1" t="s">
        <v>15872</v>
      </c>
      <c r="C3123" s="1" t="s">
        <v>15873</v>
      </c>
      <c r="D3123" s="1" t="s">
        <v>15585</v>
      </c>
      <c r="E3123" s="1" t="s">
        <v>15585</v>
      </c>
      <c r="H3123" s="2" t="str">
        <f>Tabella1[[#This Row],[Denominazione]]&amp;" - "&amp;Tabella1[[#This Row],[Città]]</f>
        <v>CHALET IL GABBIANO ( LU CUCALE) - GROTTAMMARE</v>
      </c>
    </row>
    <row r="3124" spans="1:8" x14ac:dyDescent="0.25">
      <c r="A3124" s="1" t="s">
        <v>679</v>
      </c>
      <c r="B3124" s="1" t="s">
        <v>17205</v>
      </c>
      <c r="D3124" s="1" t="s">
        <v>15819</v>
      </c>
      <c r="F3124" s="1" t="s">
        <v>17074</v>
      </c>
      <c r="H3124" s="2" t="str">
        <f>Tabella1[[#This Row],[Denominazione]]&amp;" - "&amp;Tabella1[[#This Row],[Città]]</f>
        <v>CHALET IL GAMBERO - SAN BENEDETTO DEL TRONTO</v>
      </c>
    </row>
    <row r="3125" spans="1:8" x14ac:dyDescent="0.25">
      <c r="A3125" s="1" t="s">
        <v>679</v>
      </c>
      <c r="B3125" s="1" t="s">
        <v>18088</v>
      </c>
      <c r="C3125" s="1" t="s">
        <v>18081</v>
      </c>
      <c r="D3125" s="1" t="s">
        <v>17932</v>
      </c>
      <c r="E3125" s="1" t="s">
        <v>17932</v>
      </c>
      <c r="F3125" s="1" t="s">
        <v>18089</v>
      </c>
      <c r="H3125" s="2" t="str">
        <f>Tabella1[[#This Row],[Denominazione]]&amp;" - "&amp;Tabella1[[#This Row],[Città]]</f>
        <v>CHALET IL GRILLO - FERMO</v>
      </c>
    </row>
    <row r="3126" spans="1:8" x14ac:dyDescent="0.25">
      <c r="A3126" s="1" t="s">
        <v>679</v>
      </c>
      <c r="B3126" s="1" t="s">
        <v>19061</v>
      </c>
      <c r="C3126" s="1" t="s">
        <v>19054</v>
      </c>
      <c r="D3126" s="1" t="s">
        <v>18082</v>
      </c>
      <c r="E3126" s="1" t="s">
        <v>18082</v>
      </c>
      <c r="H3126" s="2" t="str">
        <f>Tabella1[[#This Row],[Denominazione]]&amp;" - "&amp;Tabella1[[#This Row],[Città]]</f>
        <v>CHALET JOLLY - PORTO SAN GIORGIO</v>
      </c>
    </row>
    <row r="3127" spans="1:8" x14ac:dyDescent="0.25">
      <c r="A3127" s="1" t="s">
        <v>679</v>
      </c>
      <c r="B3127" s="1" t="s">
        <v>18087</v>
      </c>
      <c r="C3127" s="1" t="s">
        <v>18081</v>
      </c>
      <c r="D3127" s="1" t="s">
        <v>17932</v>
      </c>
      <c r="E3127" s="1" t="s">
        <v>18082</v>
      </c>
      <c r="H3127" s="2" t="str">
        <f>Tabella1[[#This Row],[Denominazione]]&amp;" - "&amp;Tabella1[[#This Row],[Città]]</f>
        <v>CHALET KINGHINO - FERMO</v>
      </c>
    </row>
    <row r="3128" spans="1:8" x14ac:dyDescent="0.25">
      <c r="A3128" s="1" t="s">
        <v>679</v>
      </c>
      <c r="B3128" s="1" t="s">
        <v>18955</v>
      </c>
      <c r="D3128" s="1" t="s">
        <v>18944</v>
      </c>
      <c r="E3128" s="1" t="s">
        <v>18944</v>
      </c>
      <c r="F3128" s="1" t="s">
        <v>18956</v>
      </c>
      <c r="H3128" s="2" t="str">
        <f>Tabella1[[#This Row],[Denominazione]]&amp;" - "&amp;Tabella1[[#This Row],[Città]]</f>
        <v>CHALET LA LAMPARA - PEDASO</v>
      </c>
    </row>
    <row r="3129" spans="1:8" x14ac:dyDescent="0.25">
      <c r="A3129" s="1" t="s">
        <v>679</v>
      </c>
      <c r="B3129" s="1" t="s">
        <v>19131</v>
      </c>
      <c r="C3129" s="1" t="s">
        <v>19132</v>
      </c>
      <c r="D3129" s="1" t="s">
        <v>18082</v>
      </c>
      <c r="E3129" s="1" t="s">
        <v>18082</v>
      </c>
      <c r="G3129" s="1" t="s">
        <v>19133</v>
      </c>
      <c r="H3129" s="2" t="str">
        <f>Tabella1[[#This Row],[Denominazione]]&amp;" - "&amp;Tabella1[[#This Row],[Città]]</f>
        <v>CHALET LA VELA - PORTO SAN GIORGIO</v>
      </c>
    </row>
    <row r="3130" spans="1:8" x14ac:dyDescent="0.25">
      <c r="A3130" s="1" t="s">
        <v>679</v>
      </c>
      <c r="B3130" s="1" t="s">
        <v>19084</v>
      </c>
      <c r="C3130" s="1" t="s">
        <v>19078</v>
      </c>
      <c r="D3130" s="1" t="s">
        <v>18082</v>
      </c>
      <c r="E3130" s="1" t="s">
        <v>18082</v>
      </c>
      <c r="F3130" s="1" t="s">
        <v>19085</v>
      </c>
      <c r="H3130" s="2" t="str">
        <f>Tabella1[[#This Row],[Denominazione]]&amp;" - "&amp;Tabella1[[#This Row],[Città]]</f>
        <v>CHALET LO STORIONE - BAGNI GINETTA - PORTO SAN GIORGIO</v>
      </c>
    </row>
    <row r="3131" spans="1:8" x14ac:dyDescent="0.25">
      <c r="A3131" s="1" t="s">
        <v>679</v>
      </c>
      <c r="B3131" s="1" t="s">
        <v>18086</v>
      </c>
      <c r="C3131" s="1" t="s">
        <v>18081</v>
      </c>
      <c r="D3131" s="1" t="s">
        <v>17932</v>
      </c>
      <c r="E3131" s="1" t="s">
        <v>18082</v>
      </c>
      <c r="H3131" s="2" t="str">
        <f>Tabella1[[#This Row],[Denominazione]]&amp;" - "&amp;Tabella1[[#This Row],[Città]]</f>
        <v>CHALET MALU' - FERMO</v>
      </c>
    </row>
    <row r="3132" spans="1:8" x14ac:dyDescent="0.25">
      <c r="A3132" s="1" t="s">
        <v>679</v>
      </c>
      <c r="B3132" s="1" t="s">
        <v>12857</v>
      </c>
      <c r="D3132" s="1" t="s">
        <v>12801</v>
      </c>
      <c r="E3132" s="1" t="s">
        <v>12801</v>
      </c>
      <c r="H3132" s="2" t="str">
        <f>Tabella1[[#This Row],[Denominazione]]&amp;" - "&amp;Tabella1[[#This Row],[Città]]</f>
        <v>CHALET MAURO - PORTO RECANATI</v>
      </c>
    </row>
    <row r="3133" spans="1:8" x14ac:dyDescent="0.25">
      <c r="A3133" s="1" t="s">
        <v>679</v>
      </c>
      <c r="B3133" s="1" t="s">
        <v>13000</v>
      </c>
      <c r="D3133" s="1" t="s">
        <v>12801</v>
      </c>
      <c r="H3133" s="2" t="str">
        <f>Tabella1[[#This Row],[Denominazione]]&amp;" - "&amp;Tabella1[[#This Row],[Città]]</f>
        <v>CHALET MILLE LIRE - PORTO RECANATI</v>
      </c>
    </row>
    <row r="3134" spans="1:8" x14ac:dyDescent="0.25">
      <c r="A3134" s="1" t="s">
        <v>679</v>
      </c>
      <c r="B3134" s="1" t="s">
        <v>19439</v>
      </c>
      <c r="C3134" s="1" t="s">
        <v>19382</v>
      </c>
      <c r="D3134" s="1" t="s">
        <v>19283</v>
      </c>
      <c r="E3134" s="1" t="s">
        <v>19363</v>
      </c>
      <c r="F3134" s="1" t="s">
        <v>19440</v>
      </c>
      <c r="H3134" s="2" t="str">
        <f>Tabella1[[#This Row],[Denominazione]]&amp;" - "&amp;Tabella1[[#This Row],[Città]]</f>
        <v>CHALET MOYTO - PORTO SANT'ELPIDIO</v>
      </c>
    </row>
    <row r="3135" spans="1:8" x14ac:dyDescent="0.25">
      <c r="A3135" s="1" t="s">
        <v>679</v>
      </c>
      <c r="B3135" s="1" t="s">
        <v>19215</v>
      </c>
      <c r="C3135" s="1" t="s">
        <v>19078</v>
      </c>
      <c r="D3135" s="1" t="s">
        <v>18082</v>
      </c>
      <c r="E3135" s="1" t="s">
        <v>18082</v>
      </c>
      <c r="H3135" s="2" t="str">
        <f>Tabella1[[#This Row],[Denominazione]]&amp;" - "&amp;Tabella1[[#This Row],[Città]]</f>
        <v>CHALET OASI - PORTO SAN GIORGIO</v>
      </c>
    </row>
    <row r="3136" spans="1:8" x14ac:dyDescent="0.25">
      <c r="A3136" s="1" t="s">
        <v>679</v>
      </c>
      <c r="B3136" s="1" t="s">
        <v>18097</v>
      </c>
      <c r="C3136" s="1" t="s">
        <v>18081</v>
      </c>
      <c r="D3136" s="1" t="s">
        <v>17932</v>
      </c>
      <c r="E3136" s="1" t="s">
        <v>18082</v>
      </c>
      <c r="H3136" s="2" t="str">
        <f>Tabella1[[#This Row],[Denominazione]]&amp;" - "&amp;Tabella1[[#This Row],[Città]]</f>
        <v>CHALET ONDINA - FERMO</v>
      </c>
    </row>
    <row r="3137" spans="1:8" x14ac:dyDescent="0.25">
      <c r="A3137" s="1" t="s">
        <v>679</v>
      </c>
      <c r="B3137" s="1" t="s">
        <v>18093</v>
      </c>
      <c r="C3137" s="1" t="s">
        <v>18081</v>
      </c>
      <c r="D3137" s="1" t="s">
        <v>17932</v>
      </c>
      <c r="E3137" s="1" t="s">
        <v>18092</v>
      </c>
      <c r="H3137" s="2" t="str">
        <f>Tabella1[[#This Row],[Denominazione]]&amp;" - "&amp;Tabella1[[#This Row],[Città]]</f>
        <v>CHALET PAPILLON - BAGNI ANNA - FERMO</v>
      </c>
    </row>
    <row r="3138" spans="1:8" x14ac:dyDescent="0.25">
      <c r="A3138" s="1" t="s">
        <v>679</v>
      </c>
      <c r="B3138" s="1" t="s">
        <v>15529</v>
      </c>
      <c r="C3138" s="1" t="s">
        <v>15530</v>
      </c>
      <c r="D3138" s="1" t="s">
        <v>15349</v>
      </c>
      <c r="H3138" s="2" t="str">
        <f>Tabella1[[#This Row],[Denominazione]]&amp;" - "&amp;Tabella1[[#This Row],[Città]]</f>
        <v>CHALET PINE - CUPRA MARITTIMA</v>
      </c>
    </row>
    <row r="3139" spans="1:8" x14ac:dyDescent="0.25">
      <c r="A3139" s="1" t="s">
        <v>679</v>
      </c>
      <c r="B3139" s="1" t="s">
        <v>17249</v>
      </c>
      <c r="C3139" s="1" t="s">
        <v>17250</v>
      </c>
      <c r="D3139" s="1" t="s">
        <v>15819</v>
      </c>
      <c r="H3139" s="2" t="str">
        <f>Tabella1[[#This Row],[Denominazione]]&amp;" - "&amp;Tabella1[[#This Row],[Città]]</f>
        <v>CHALET POKER - SAN BENEDETTO DEL TRONTO</v>
      </c>
    </row>
    <row r="3140" spans="1:8" x14ac:dyDescent="0.25">
      <c r="A3140" s="1" t="s">
        <v>679</v>
      </c>
      <c r="B3140" s="1" t="s">
        <v>19454</v>
      </c>
      <c r="C3140" s="1" t="s">
        <v>19455</v>
      </c>
      <c r="D3140" s="1" t="s">
        <v>19283</v>
      </c>
      <c r="E3140" s="1" t="s">
        <v>19363</v>
      </c>
      <c r="F3140" s="1" t="s">
        <v>19456</v>
      </c>
      <c r="G3140" s="1" t="s">
        <v>19457</v>
      </c>
      <c r="H3140" s="2" t="str">
        <f>Tabella1[[#This Row],[Denominazione]]&amp;" - "&amp;Tabella1[[#This Row],[Città]]</f>
        <v>CHALET RISTORANTE PAPILLON - PORTO SANT'ELPIDIO</v>
      </c>
    </row>
    <row r="3141" spans="1:8" x14ac:dyDescent="0.25">
      <c r="A3141" s="1" t="s">
        <v>679</v>
      </c>
      <c r="B3141" s="1" t="s">
        <v>17251</v>
      </c>
      <c r="C3141" s="1" t="s">
        <v>17252</v>
      </c>
      <c r="D3141" s="1" t="s">
        <v>15819</v>
      </c>
      <c r="E3141" s="1" t="s">
        <v>15819</v>
      </c>
      <c r="F3141" s="1" t="s">
        <v>17253</v>
      </c>
      <c r="H3141" s="2" t="str">
        <f>Tabella1[[#This Row],[Denominazione]]&amp;" - "&amp;Tabella1[[#This Row],[Città]]</f>
        <v>CHALET RIVAMARE di GABRIELLI STEFANO E C SAS - SAN BENEDETTO DEL TRONTO</v>
      </c>
    </row>
    <row r="3142" spans="1:8" x14ac:dyDescent="0.25">
      <c r="A3142" s="1" t="s">
        <v>679</v>
      </c>
      <c r="B3142" s="1" t="s">
        <v>18090</v>
      </c>
      <c r="C3142" s="1" t="s">
        <v>18081</v>
      </c>
      <c r="D3142" s="1" t="s">
        <v>17932</v>
      </c>
      <c r="E3142" s="1" t="s">
        <v>18082</v>
      </c>
      <c r="H3142" s="2" t="str">
        <f>Tabella1[[#This Row],[Denominazione]]&amp;" - "&amp;Tabella1[[#This Row],[Città]]</f>
        <v>CHALET RIVAZZURRA - FERMO</v>
      </c>
    </row>
    <row r="3143" spans="1:8" x14ac:dyDescent="0.25">
      <c r="A3143" s="1" t="s">
        <v>679</v>
      </c>
      <c r="B3143" s="1" t="s">
        <v>15927</v>
      </c>
      <c r="D3143" s="1" t="s">
        <v>15585</v>
      </c>
      <c r="H3143" s="2" t="str">
        <f>Tabella1[[#This Row],[Denominazione]]&amp;" - "&amp;Tabella1[[#This Row],[Città]]</f>
        <v>CHALET SIESTA NORD - GROTTAMMARE</v>
      </c>
    </row>
    <row r="3144" spans="1:8" x14ac:dyDescent="0.25">
      <c r="A3144" s="1" t="s">
        <v>679</v>
      </c>
      <c r="B3144" s="1" t="s">
        <v>15927</v>
      </c>
      <c r="C3144" s="1" t="s">
        <v>15928</v>
      </c>
      <c r="D3144" s="1" t="s">
        <v>15585</v>
      </c>
      <c r="E3144" s="1" t="s">
        <v>15713</v>
      </c>
      <c r="H3144" s="2" t="str">
        <f>Tabella1[[#This Row],[Denominazione]]&amp;" - "&amp;Tabella1[[#This Row],[Città]]</f>
        <v>CHALET SIESTA NORD - GROTTAMMARE</v>
      </c>
    </row>
    <row r="3145" spans="1:8" x14ac:dyDescent="0.25">
      <c r="A3145" s="1" t="s">
        <v>679</v>
      </c>
      <c r="B3145" s="1" t="s">
        <v>19464</v>
      </c>
      <c r="C3145" s="1" t="s">
        <v>19465</v>
      </c>
      <c r="D3145" s="1" t="s">
        <v>19283</v>
      </c>
      <c r="E3145" s="1" t="s">
        <v>19363</v>
      </c>
      <c r="H3145" s="2" t="str">
        <f>Tabella1[[#This Row],[Denominazione]]&amp;" - "&amp;Tabella1[[#This Row],[Città]]</f>
        <v>CHALET SPLASH - PORTO SANT'ELPIDIO</v>
      </c>
    </row>
    <row r="3146" spans="1:8" x14ac:dyDescent="0.25">
      <c r="A3146" s="1" t="s">
        <v>679</v>
      </c>
      <c r="B3146" s="1" t="s">
        <v>19434</v>
      </c>
      <c r="C3146" s="1" t="s">
        <v>19435</v>
      </c>
      <c r="D3146" s="1" t="s">
        <v>19283</v>
      </c>
      <c r="E3146" s="1" t="s">
        <v>19363</v>
      </c>
      <c r="F3146" s="1" t="s">
        <v>19104</v>
      </c>
      <c r="G3146" s="1" t="s">
        <v>19104</v>
      </c>
      <c r="H3146" s="2" t="str">
        <f>Tabella1[[#This Row],[Denominazione]]&amp;" - "&amp;Tabella1[[#This Row],[Città]]</f>
        <v>CHALET STORIONE - PORTO SANT'ELPIDIO</v>
      </c>
    </row>
    <row r="3147" spans="1:8" x14ac:dyDescent="0.25">
      <c r="A3147" s="1" t="s">
        <v>679</v>
      </c>
      <c r="B3147" s="1" t="s">
        <v>15895</v>
      </c>
      <c r="C3147" s="1" t="s">
        <v>15896</v>
      </c>
      <c r="D3147" s="1" t="s">
        <v>15585</v>
      </c>
      <c r="G3147" s="1" t="s">
        <v>15897</v>
      </c>
      <c r="H3147" s="2" t="str">
        <f>Tabella1[[#This Row],[Denominazione]]&amp;" - "&amp;Tabella1[[#This Row],[Città]]</f>
        <v>CHALET SYLVIA - GROTTAMMARE</v>
      </c>
    </row>
    <row r="3148" spans="1:8" x14ac:dyDescent="0.25">
      <c r="A3148" s="1" t="s">
        <v>35</v>
      </c>
      <c r="B3148" s="1" t="s">
        <v>2680</v>
      </c>
      <c r="C3148" s="1" t="s">
        <v>2681</v>
      </c>
      <c r="D3148" s="1" t="s">
        <v>2678</v>
      </c>
      <c r="E3148" s="1" t="s">
        <v>2682</v>
      </c>
      <c r="F3148" s="1" t="s">
        <v>2683</v>
      </c>
      <c r="G3148" s="1" t="s">
        <v>2684</v>
      </c>
      <c r="H3148" s="2" t="str">
        <f>Tabella1[[#This Row],[Denominazione]]&amp;" - "&amp;Tabella1[[#This Row],[Città]]</f>
        <v>CHESANOVA - MOMBAROCCIO</v>
      </c>
    </row>
    <row r="3149" spans="1:8" x14ac:dyDescent="0.25">
      <c r="A3149" s="1" t="s">
        <v>12</v>
      </c>
      <c r="B3149" s="1" t="s">
        <v>12575</v>
      </c>
      <c r="C3149" s="1" t="s">
        <v>12576</v>
      </c>
      <c r="D3149" s="1" t="s">
        <v>12546</v>
      </c>
      <c r="G3149" s="1" t="s">
        <v>12577</v>
      </c>
      <c r="H3149" s="2" t="str">
        <f>Tabella1[[#This Row],[Denominazione]]&amp;" - "&amp;Tabella1[[#This Row],[Città]]</f>
        <v>CHIARA ANDRENELLI - MORROVALLE</v>
      </c>
    </row>
    <row r="3150" spans="1:8" x14ac:dyDescent="0.25">
      <c r="A3150" s="1" t="s">
        <v>35</v>
      </c>
      <c r="B3150" s="1" t="s">
        <v>10190</v>
      </c>
      <c r="C3150" s="1" t="s">
        <v>10191</v>
      </c>
      <c r="D3150" s="1" t="s">
        <v>10117</v>
      </c>
      <c r="E3150" s="1" t="s">
        <v>10117</v>
      </c>
      <c r="G3150" s="1" t="s">
        <v>10192</v>
      </c>
      <c r="H3150" s="2" t="str">
        <f>Tabella1[[#This Row],[Denominazione]]&amp;" - "&amp;Tabella1[[#This Row],[Città]]</f>
        <v>CHIARALUCE RITA - SERRA SAN QUIRICO</v>
      </c>
    </row>
    <row r="3151" spans="1:8" x14ac:dyDescent="0.25">
      <c r="A3151" s="1" t="s">
        <v>35</v>
      </c>
      <c r="B3151" s="1" t="s">
        <v>15288</v>
      </c>
      <c r="C3151" s="1" t="s">
        <v>15289</v>
      </c>
      <c r="D3151" s="1" t="s">
        <v>15282</v>
      </c>
      <c r="E3151" s="1" t="s">
        <v>15290</v>
      </c>
      <c r="G3151" s="1" t="s">
        <v>15291</v>
      </c>
      <c r="H3151" s="2" t="str">
        <f>Tabella1[[#This Row],[Denominazione]]&amp;" - "&amp;Tabella1[[#This Row],[Città]]</f>
        <v>CHIARODILUNA - COSSIGNANO</v>
      </c>
    </row>
    <row r="3152" spans="1:8" x14ac:dyDescent="0.25">
      <c r="A3152" s="1" t="s">
        <v>6</v>
      </c>
      <c r="B3152" s="1" t="s">
        <v>3470</v>
      </c>
      <c r="C3152" s="1" t="s">
        <v>3471</v>
      </c>
      <c r="D3152" s="1" t="s">
        <v>2386</v>
      </c>
      <c r="F3152" s="1" t="s">
        <v>3472</v>
      </c>
      <c r="G3152" s="1" t="s">
        <v>3473</v>
      </c>
      <c r="H3152" s="2" t="str">
        <f>Tabella1[[#This Row],[Denominazione]]&amp;" - "&amp;Tabella1[[#This Row],[Città]]</f>
        <v>CHIGIO - PESARO</v>
      </c>
    </row>
    <row r="3153" spans="1:8" x14ac:dyDescent="0.25">
      <c r="A3153" s="1" t="s">
        <v>35</v>
      </c>
      <c r="B3153" s="1" t="s">
        <v>172</v>
      </c>
      <c r="C3153" s="1" t="s">
        <v>173</v>
      </c>
      <c r="D3153" s="1" t="s">
        <v>102</v>
      </c>
      <c r="E3153" s="1" t="s">
        <v>102</v>
      </c>
      <c r="F3153" s="1" t="s">
        <v>174</v>
      </c>
      <c r="G3153" s="1" t="s">
        <v>175</v>
      </c>
      <c r="H3153" s="2" t="str">
        <f>Tabella1[[#This Row],[Denominazione]]&amp;" - "&amp;Tabella1[[#This Row],[Città]]</f>
        <v>CHIGNONI - APECCHIO</v>
      </c>
    </row>
    <row r="3154" spans="1:8" x14ac:dyDescent="0.25">
      <c r="A3154" s="1" t="s">
        <v>12</v>
      </c>
      <c r="B3154" s="1" t="s">
        <v>12043</v>
      </c>
      <c r="C3154" s="1" t="s">
        <v>12044</v>
      </c>
      <c r="D3154" s="1" t="s">
        <v>11981</v>
      </c>
      <c r="E3154" s="1" t="s">
        <v>11981</v>
      </c>
      <c r="G3154" s="1" t="s">
        <v>12042</v>
      </c>
      <c r="H3154" s="2" t="str">
        <f>Tabella1[[#This Row],[Denominazione]]&amp;" - "&amp;Tabella1[[#This Row],[Città]]</f>
        <v>CHRISTINUS ADRIANUS - LORO PICENO</v>
      </c>
    </row>
    <row r="3155" spans="1:8" x14ac:dyDescent="0.25">
      <c r="A3155" s="1" t="s">
        <v>12</v>
      </c>
      <c r="B3155" s="1" t="s">
        <v>12009</v>
      </c>
      <c r="C3155" s="1" t="s">
        <v>12010</v>
      </c>
      <c r="D3155" s="1" t="s">
        <v>11981</v>
      </c>
      <c r="H3155" s="2" t="str">
        <f>Tabella1[[#This Row],[Denominazione]]&amp;" - "&amp;Tabella1[[#This Row],[Città]]</f>
        <v>CHRISTOPHER GERALD THORP - LORO PICENO</v>
      </c>
    </row>
    <row r="3156" spans="1:8" x14ac:dyDescent="0.25">
      <c r="A3156" s="1" t="s">
        <v>82</v>
      </c>
      <c r="B3156" s="1" t="s">
        <v>16541</v>
      </c>
      <c r="C3156" s="1" t="s">
        <v>16542</v>
      </c>
      <c r="D3156" s="1" t="s">
        <v>16440</v>
      </c>
      <c r="G3156" s="1" t="s">
        <v>16543</v>
      </c>
      <c r="H3156" s="2" t="str">
        <f>Tabella1[[#This Row],[Denominazione]]&amp;" - "&amp;Tabella1[[#This Row],[Città]]</f>
        <v>CIABATTONI IDA - OFFIDA</v>
      </c>
    </row>
    <row r="3157" spans="1:8" x14ac:dyDescent="0.25">
      <c r="A3157" s="1" t="s">
        <v>12</v>
      </c>
      <c r="B3157" s="1" t="s">
        <v>1566</v>
      </c>
      <c r="C3157" s="1" t="s">
        <v>1567</v>
      </c>
      <c r="D3157" s="1" t="s">
        <v>682</v>
      </c>
      <c r="G3157" s="1" t="s">
        <v>1568</v>
      </c>
      <c r="H3157" s="2" t="str">
        <f>Tabella1[[#This Row],[Denominazione]]&amp;" - "&amp;Tabella1[[#This Row],[Città]]</f>
        <v>CIAMPELLI ANTONELLO - FANO</v>
      </c>
    </row>
    <row r="3158" spans="1:8" x14ac:dyDescent="0.25">
      <c r="A3158" s="1" t="s">
        <v>12</v>
      </c>
      <c r="B3158" s="1" t="s">
        <v>511</v>
      </c>
      <c r="C3158" s="1" t="s">
        <v>512</v>
      </c>
      <c r="D3158" s="1" t="s">
        <v>316</v>
      </c>
      <c r="E3158" s="1" t="s">
        <v>513</v>
      </c>
      <c r="F3158" s="1" t="s">
        <v>514</v>
      </c>
      <c r="G3158" s="1" t="s">
        <v>515</v>
      </c>
      <c r="H3158" s="2" t="str">
        <f>Tabella1[[#This Row],[Denominazione]]&amp;" - "&amp;Tabella1[[#This Row],[Città]]</f>
        <v>CIANCAMERLA ROBERTA - CAGLI</v>
      </c>
    </row>
    <row r="3159" spans="1:8" x14ac:dyDescent="0.25">
      <c r="A3159" s="1" t="s">
        <v>12</v>
      </c>
      <c r="B3159" s="1" t="s">
        <v>1597</v>
      </c>
      <c r="C3159" s="1" t="s">
        <v>1598</v>
      </c>
      <c r="D3159" s="1" t="s">
        <v>682</v>
      </c>
      <c r="E3159" s="1" t="s">
        <v>682</v>
      </c>
      <c r="G3159" s="1" t="s">
        <v>1599</v>
      </c>
      <c r="H3159" s="2" t="str">
        <f>Tabella1[[#This Row],[Denominazione]]&amp;" - "&amp;Tabella1[[#This Row],[Città]]</f>
        <v>CIANI OMERE - FANO</v>
      </c>
    </row>
    <row r="3160" spans="1:8" x14ac:dyDescent="0.25">
      <c r="A3160" s="1" t="s">
        <v>679</v>
      </c>
      <c r="B3160" s="1" t="s">
        <v>17315</v>
      </c>
      <c r="D3160" s="1" t="s">
        <v>15819</v>
      </c>
      <c r="F3160" s="1" t="s">
        <v>17024</v>
      </c>
      <c r="H3160" s="2" t="str">
        <f>Tabella1[[#This Row],[Denominazione]]&amp;" - "&amp;Tabella1[[#This Row],[Città]]</f>
        <v>CIAO !!!! - SAN BENEDETTO DEL TRONTO</v>
      </c>
    </row>
    <row r="3161" spans="1:8" x14ac:dyDescent="0.25">
      <c r="A3161" s="1" t="s">
        <v>12</v>
      </c>
      <c r="B3161" s="1" t="s">
        <v>9176</v>
      </c>
      <c r="C3161" s="1" t="s">
        <v>9177</v>
      </c>
      <c r="D3161" s="1" t="s">
        <v>8949</v>
      </c>
      <c r="E3161" s="1" t="s">
        <v>8949</v>
      </c>
      <c r="G3161" s="1" t="s">
        <v>9178</v>
      </c>
      <c r="H3161" s="2" t="str">
        <f>Tabella1[[#This Row],[Denominazione]]&amp;" - "&amp;Tabella1[[#This Row],[Città]]</f>
        <v>CIARROCCHI ANNA RITA - SENIGALLIA</v>
      </c>
    </row>
    <row r="3162" spans="1:8" x14ac:dyDescent="0.25">
      <c r="A3162" s="1" t="s">
        <v>12</v>
      </c>
      <c r="B3162" s="1" t="s">
        <v>13083</v>
      </c>
      <c r="C3162" s="1" t="s">
        <v>13084</v>
      </c>
      <c r="D3162" s="1" t="s">
        <v>13026</v>
      </c>
      <c r="E3162" s="1" t="s">
        <v>13026</v>
      </c>
      <c r="H3162" s="2" t="str">
        <f>Tabella1[[#This Row],[Denominazione]]&amp;" - "&amp;Tabella1[[#This Row],[Città]]</f>
        <v>CICCARELLI LUIGI - POTENZA PICENA</v>
      </c>
    </row>
    <row r="3163" spans="1:8" x14ac:dyDescent="0.25">
      <c r="A3163" s="1" t="s">
        <v>12</v>
      </c>
      <c r="B3163" s="1" t="s">
        <v>16566</v>
      </c>
      <c r="C3163" s="1" t="s">
        <v>16567</v>
      </c>
      <c r="D3163" s="1" t="s">
        <v>16440</v>
      </c>
      <c r="E3163" s="1" t="s">
        <v>16440</v>
      </c>
      <c r="H3163" s="2" t="str">
        <f>Tabella1[[#This Row],[Denominazione]]&amp;" - "&amp;Tabella1[[#This Row],[Città]]</f>
        <v>CICCHI ANNA - OFFIDA</v>
      </c>
    </row>
    <row r="3164" spans="1:8" x14ac:dyDescent="0.25">
      <c r="A3164" s="1" t="s">
        <v>6</v>
      </c>
      <c r="B3164" s="1" t="s">
        <v>13591</v>
      </c>
      <c r="C3164" s="1" t="s">
        <v>13592</v>
      </c>
      <c r="D3164" s="1" t="s">
        <v>13548</v>
      </c>
      <c r="E3164" s="1" t="s">
        <v>13593</v>
      </c>
      <c r="G3164" s="1" t="s">
        <v>13594</v>
      </c>
      <c r="H3164" s="2" t="str">
        <f>Tabella1[[#This Row],[Denominazione]]&amp;" - "&amp;Tabella1[[#This Row],[Città]]</f>
        <v>CICCO BIANCO di SCHWARZ WOLFANG ALFRED WILHELM - SAN SEVERINO MARCHE</v>
      </c>
    </row>
    <row r="3165" spans="1:8" x14ac:dyDescent="0.25">
      <c r="A3165" s="1" t="s">
        <v>12</v>
      </c>
      <c r="B3165" s="1" t="s">
        <v>802</v>
      </c>
      <c r="C3165" s="1" t="s">
        <v>803</v>
      </c>
      <c r="D3165" s="1" t="s">
        <v>682</v>
      </c>
      <c r="E3165" s="1" t="s">
        <v>682</v>
      </c>
      <c r="G3165" s="1" t="s">
        <v>798</v>
      </c>
      <c r="H3165" s="2" t="str">
        <f>Tabella1[[#This Row],[Denominazione]]&amp;" - "&amp;Tabella1[[#This Row],[Città]]</f>
        <v>CICERCHIA MARIA (11) - FANO</v>
      </c>
    </row>
    <row r="3166" spans="1:8" x14ac:dyDescent="0.25">
      <c r="A3166" s="1" t="s">
        <v>12</v>
      </c>
      <c r="B3166" s="1" t="s">
        <v>1496</v>
      </c>
      <c r="C3166" s="1" t="s">
        <v>1497</v>
      </c>
      <c r="D3166" s="1" t="s">
        <v>682</v>
      </c>
      <c r="E3166" s="1" t="s">
        <v>682</v>
      </c>
      <c r="G3166" s="1" t="s">
        <v>886</v>
      </c>
      <c r="H3166" s="2" t="str">
        <f>Tabella1[[#This Row],[Denominazione]]&amp;" - "&amp;Tabella1[[#This Row],[Città]]</f>
        <v>CICERCHIA MARIA (136/B) - FANO</v>
      </c>
    </row>
    <row r="3167" spans="1:8" x14ac:dyDescent="0.25">
      <c r="A3167" s="1" t="s">
        <v>12</v>
      </c>
      <c r="B3167" s="1" t="s">
        <v>9239</v>
      </c>
      <c r="C3167" s="1" t="s">
        <v>9240</v>
      </c>
      <c r="D3167" s="1" t="s">
        <v>8949</v>
      </c>
      <c r="E3167" s="1" t="s">
        <v>8949</v>
      </c>
      <c r="G3167" s="1" t="s">
        <v>9241</v>
      </c>
      <c r="H3167" s="2" t="str">
        <f>Tabella1[[#This Row],[Denominazione]]&amp;" - "&amp;Tabella1[[#This Row],[Città]]</f>
        <v>CINGOLANI MIRELLA - SENIGALLIA</v>
      </c>
    </row>
    <row r="3168" spans="1:8" x14ac:dyDescent="0.25">
      <c r="A3168" s="1" t="s">
        <v>12</v>
      </c>
      <c r="B3168" s="1" t="s">
        <v>3343</v>
      </c>
      <c r="C3168" s="1" t="s">
        <v>3344</v>
      </c>
      <c r="D3168" s="1" t="s">
        <v>3305</v>
      </c>
      <c r="G3168" s="1" t="s">
        <v>3345</v>
      </c>
      <c r="H3168" s="2" t="str">
        <f>Tabella1[[#This Row],[Denominazione]]&amp;" - "&amp;Tabella1[[#This Row],[Città]]</f>
        <v>CINI GRAZIANO - PERGOLA</v>
      </c>
    </row>
    <row r="3169" spans="1:8" x14ac:dyDescent="0.25">
      <c r="A3169" s="1" t="s">
        <v>12</v>
      </c>
      <c r="B3169" s="1" t="s">
        <v>9278</v>
      </c>
      <c r="C3169" s="1" t="s">
        <v>9279</v>
      </c>
      <c r="D3169" s="1" t="s">
        <v>8949</v>
      </c>
      <c r="E3169" s="1" t="s">
        <v>8949</v>
      </c>
      <c r="H3169" s="2" t="str">
        <f>Tabella1[[#This Row],[Denominazione]]&amp;" - "&amp;Tabella1[[#This Row],[Città]]</f>
        <v>CIONI ISABELLA MARGHERITA - SENIGALLIA</v>
      </c>
    </row>
    <row r="3170" spans="1:8" x14ac:dyDescent="0.25">
      <c r="A3170" s="1" t="s">
        <v>679</v>
      </c>
      <c r="B3170" s="1" t="s">
        <v>11711</v>
      </c>
      <c r="C3170" s="1" t="s">
        <v>11614</v>
      </c>
      <c r="D3170" s="1" t="s">
        <v>11244</v>
      </c>
      <c r="E3170" s="1" t="s">
        <v>11244</v>
      </c>
      <c r="H3170" s="2" t="str">
        <f>Tabella1[[#This Row],[Denominazione]]&amp;" - "&amp;Tabella1[[#This Row],[Città]]</f>
        <v>CIRCOLO STAB. BALNEARE LIDO DEL CARABINIERE - N. 37 - CIVITANOVA MARCHE</v>
      </c>
    </row>
    <row r="3171" spans="1:8" x14ac:dyDescent="0.25">
      <c r="A3171" s="1" t="s">
        <v>20</v>
      </c>
      <c r="B3171" s="1" t="s">
        <v>9528</v>
      </c>
      <c r="C3171" s="1" t="s">
        <v>9529</v>
      </c>
      <c r="D3171" s="1" t="s">
        <v>8949</v>
      </c>
      <c r="E3171" s="1" t="s">
        <v>8949</v>
      </c>
      <c r="F3171" s="1" t="s">
        <v>9530</v>
      </c>
      <c r="G3171" s="1" t="s">
        <v>9531</v>
      </c>
      <c r="H3171" s="2" t="str">
        <f>Tabella1[[#This Row],[Denominazione]]&amp;" - "&amp;Tabella1[[#This Row],[Città]]</f>
        <v>CITY - SENIGALLIA</v>
      </c>
    </row>
    <row r="3172" spans="1:8" x14ac:dyDescent="0.25">
      <c r="A3172" s="1" t="s">
        <v>12</v>
      </c>
      <c r="B3172" s="1" t="s">
        <v>9248</v>
      </c>
      <c r="C3172" s="1" t="s">
        <v>9249</v>
      </c>
      <c r="D3172" s="1" t="s">
        <v>8949</v>
      </c>
      <c r="E3172" s="1" t="s">
        <v>8949</v>
      </c>
      <c r="G3172" s="1" t="s">
        <v>9037</v>
      </c>
      <c r="H3172" s="2" t="str">
        <f>Tabella1[[#This Row],[Denominazione]]&amp;" - "&amp;Tabella1[[#This Row],[Città]]</f>
        <v>CIUNCI RENATO PASQUALE - SENIGALLIA</v>
      </c>
    </row>
    <row r="3173" spans="1:8" x14ac:dyDescent="0.25">
      <c r="A3173" s="1" t="s">
        <v>679</v>
      </c>
      <c r="B3173" s="1" t="s">
        <v>17199</v>
      </c>
      <c r="C3173" s="1" t="s">
        <v>17200</v>
      </c>
      <c r="D3173" s="1" t="s">
        <v>15819</v>
      </c>
      <c r="H3173" s="2" t="str">
        <f>Tabella1[[#This Row],[Denominazione]]&amp;" - "&amp;Tabella1[[#This Row],[Città]]</f>
        <v>CLAUDIA - SAN BENEDETTO DEL TRONTO</v>
      </c>
    </row>
    <row r="3174" spans="1:8" x14ac:dyDescent="0.25">
      <c r="A3174" s="1" t="s">
        <v>20</v>
      </c>
      <c r="B3174" s="1" t="s">
        <v>12180</v>
      </c>
      <c r="C3174" s="1" t="s">
        <v>12181</v>
      </c>
      <c r="D3174" s="1" t="s">
        <v>12050</v>
      </c>
      <c r="E3174" s="1" t="s">
        <v>12050</v>
      </c>
      <c r="F3174" s="1" t="s">
        <v>12182</v>
      </c>
      <c r="G3174" s="1" t="s">
        <v>12183</v>
      </c>
      <c r="H3174" s="2" t="str">
        <f>Tabella1[[#This Row],[Denominazione]]&amp;" - "&amp;Tabella1[[#This Row],[Città]]</f>
        <v>CLAUDIANI - MACERATA</v>
      </c>
    </row>
    <row r="3175" spans="1:8" x14ac:dyDescent="0.25">
      <c r="A3175" s="1" t="s">
        <v>20</v>
      </c>
      <c r="B3175" s="1" t="s">
        <v>3728</v>
      </c>
      <c r="C3175" s="1" t="s">
        <v>3729</v>
      </c>
      <c r="D3175" s="1" t="s">
        <v>2386</v>
      </c>
      <c r="E3175" s="1" t="s">
        <v>2386</v>
      </c>
      <c r="F3175" s="1" t="s">
        <v>3730</v>
      </c>
      <c r="G3175" s="1" t="s">
        <v>3731</v>
      </c>
      <c r="H3175" s="2" t="str">
        <f>Tabella1[[#This Row],[Denominazione]]&amp;" - "&amp;Tabella1[[#This Row],[Città]]</f>
        <v>CLIPPER - PESARO</v>
      </c>
    </row>
    <row r="3176" spans="1:8" x14ac:dyDescent="0.25">
      <c r="A3176" s="1" t="s">
        <v>35</v>
      </c>
      <c r="B3176" s="1" t="s">
        <v>19620</v>
      </c>
      <c r="C3176" s="1" t="s">
        <v>19621</v>
      </c>
      <c r="D3176" s="1" t="s">
        <v>19541</v>
      </c>
      <c r="E3176" s="1" t="s">
        <v>19541</v>
      </c>
      <c r="G3176" s="1" t="s">
        <v>19622</v>
      </c>
      <c r="H3176" s="2" t="str">
        <f>Tabella1[[#This Row],[Denominazione]]&amp;" - "&amp;Tabella1[[#This Row],[Città]]</f>
        <v>CLUANA - SANT'ELPIDIO A MARE</v>
      </c>
    </row>
    <row r="3177" spans="1:8" x14ac:dyDescent="0.25">
      <c r="A3177" s="1" t="s">
        <v>679</v>
      </c>
      <c r="B3177" s="1" t="s">
        <v>17112</v>
      </c>
      <c r="C3177" s="1" t="s">
        <v>17113</v>
      </c>
      <c r="D3177" s="1" t="s">
        <v>15819</v>
      </c>
      <c r="H3177" s="2" t="str">
        <f>Tabella1[[#This Row],[Denominazione]]&amp;" - "&amp;Tabella1[[#This Row],[Città]]</f>
        <v>CLUB 23 - SAN BENEDETTO DEL TRONTO</v>
      </c>
    </row>
    <row r="3178" spans="1:8" x14ac:dyDescent="0.25">
      <c r="A3178" s="1" t="s">
        <v>6092</v>
      </c>
      <c r="B3178" s="1" t="s">
        <v>8328</v>
      </c>
      <c r="C3178" s="1" t="s">
        <v>8036</v>
      </c>
      <c r="D3178" s="1" t="s">
        <v>7889</v>
      </c>
      <c r="E3178" s="1" t="s">
        <v>7889</v>
      </c>
      <c r="F3178" s="1" t="s">
        <v>8037</v>
      </c>
      <c r="G3178" s="1" t="s">
        <v>8038</v>
      </c>
      <c r="H3178" s="2" t="str">
        <f>Tabella1[[#This Row],[Denominazione]]&amp;" - "&amp;Tabella1[[#This Row],[Città]]</f>
        <v>CLUB CENTRO VACANZE - NUMANA</v>
      </c>
    </row>
    <row r="3179" spans="1:8" x14ac:dyDescent="0.25">
      <c r="A3179" s="1" t="s">
        <v>20</v>
      </c>
      <c r="B3179" s="1" t="s">
        <v>2064</v>
      </c>
      <c r="C3179" s="1" t="s">
        <v>2065</v>
      </c>
      <c r="D3179" s="1" t="s">
        <v>1907</v>
      </c>
      <c r="E3179" s="1" t="s">
        <v>1907</v>
      </c>
      <c r="F3179" s="1" t="s">
        <v>2066</v>
      </c>
      <c r="G3179" s="1" t="s">
        <v>2067</v>
      </c>
      <c r="H3179" s="2" t="str">
        <f>Tabella1[[#This Row],[Denominazione]]&amp;" - "&amp;Tabella1[[#This Row],[Città]]</f>
        <v>CLUB HOTEL - GABICCE MARE</v>
      </c>
    </row>
    <row r="3180" spans="1:8" x14ac:dyDescent="0.25">
      <c r="A3180" s="1" t="s">
        <v>679</v>
      </c>
      <c r="B3180" s="1" t="s">
        <v>19063</v>
      </c>
      <c r="C3180" s="1" t="s">
        <v>19048</v>
      </c>
      <c r="D3180" s="1" t="s">
        <v>18082</v>
      </c>
      <c r="E3180" s="1" t="s">
        <v>18082</v>
      </c>
      <c r="H3180" s="2" t="str">
        <f>Tabella1[[#This Row],[Denominazione]]&amp;" - "&amp;Tabella1[[#This Row],[Città]]</f>
        <v>COCO LOCO BEACH - PORTO SAN GIORGIO</v>
      </c>
    </row>
    <row r="3181" spans="1:8" x14ac:dyDescent="0.25">
      <c r="A3181" s="1" t="s">
        <v>679</v>
      </c>
      <c r="B3181" s="1" t="s">
        <v>19141</v>
      </c>
      <c r="C3181" s="1" t="s">
        <v>19048</v>
      </c>
      <c r="D3181" s="1" t="s">
        <v>18082</v>
      </c>
      <c r="E3181" s="1" t="s">
        <v>18082</v>
      </c>
      <c r="F3181" s="1" t="s">
        <v>19142</v>
      </c>
      <c r="H3181" s="2" t="str">
        <f>Tabella1[[#This Row],[Denominazione]]&amp;" - "&amp;Tabella1[[#This Row],[Città]]</f>
        <v>COCULLA BEACH-CRISANTI STEFANO - PORTO SAN GIORGIO</v>
      </c>
    </row>
    <row r="3182" spans="1:8" x14ac:dyDescent="0.25">
      <c r="A3182" s="1" t="s">
        <v>12</v>
      </c>
      <c r="B3182" s="1" t="s">
        <v>13054</v>
      </c>
      <c r="C3182" s="1" t="s">
        <v>13055</v>
      </c>
      <c r="D3182" s="1" t="s">
        <v>13026</v>
      </c>
      <c r="E3182" s="1" t="s">
        <v>13026</v>
      </c>
      <c r="H3182" s="2" t="str">
        <f>Tabella1[[#This Row],[Denominazione]]&amp;" - "&amp;Tabella1[[#This Row],[Città]]</f>
        <v>COGNINI AMALIA - POTENZA PICENA</v>
      </c>
    </row>
    <row r="3183" spans="1:8" x14ac:dyDescent="0.25">
      <c r="A3183" s="1" t="s">
        <v>6</v>
      </c>
      <c r="B3183" s="1" t="s">
        <v>127</v>
      </c>
      <c r="C3183" s="1" t="s">
        <v>128</v>
      </c>
      <c r="D3183" s="1" t="s">
        <v>102</v>
      </c>
      <c r="E3183" s="1" t="s">
        <v>102</v>
      </c>
      <c r="G3183" s="1" t="s">
        <v>129</v>
      </c>
      <c r="H3183" s="2" t="str">
        <f>Tabella1[[#This Row],[Denominazione]]&amp;" - "&amp;Tabella1[[#This Row],[Città]]</f>
        <v>COL ALPI - APECCHIO</v>
      </c>
    </row>
    <row r="3184" spans="1:8" x14ac:dyDescent="0.25">
      <c r="A3184" s="1" t="s">
        <v>35</v>
      </c>
      <c r="B3184" s="1" t="s">
        <v>550</v>
      </c>
      <c r="C3184" s="1" t="s">
        <v>551</v>
      </c>
      <c r="D3184" s="1" t="s">
        <v>535</v>
      </c>
      <c r="E3184" s="1" t="s">
        <v>535</v>
      </c>
      <c r="H3184" s="2" t="str">
        <f>Tabella1[[#This Row],[Denominazione]]&amp;" - "&amp;Tabella1[[#This Row],[Città]]</f>
        <v>COL D'AGELLO - CANTIANO</v>
      </c>
    </row>
    <row r="3185" spans="1:8" x14ac:dyDescent="0.25">
      <c r="A3185" s="1" t="s">
        <v>6</v>
      </c>
      <c r="B3185" s="1" t="s">
        <v>165</v>
      </c>
      <c r="C3185" s="1" t="s">
        <v>166</v>
      </c>
      <c r="D3185" s="1" t="s">
        <v>102</v>
      </c>
      <c r="E3185" s="1" t="s">
        <v>102</v>
      </c>
      <c r="G3185" s="1" t="s">
        <v>160</v>
      </c>
      <c r="H3185" s="2" t="str">
        <f>Tabella1[[#This Row],[Denominazione]]&amp;" - "&amp;Tabella1[[#This Row],[Città]]</f>
        <v>COL DI FIORE - APECCHIO</v>
      </c>
    </row>
    <row r="3186" spans="1:8" x14ac:dyDescent="0.25">
      <c r="A3186" s="1" t="s">
        <v>29</v>
      </c>
      <c r="B3186" s="1" t="s">
        <v>7292</v>
      </c>
      <c r="C3186" s="1" t="s">
        <v>7293</v>
      </c>
      <c r="D3186" s="1" t="s">
        <v>7254</v>
      </c>
      <c r="E3186" s="1" t="s">
        <v>7254</v>
      </c>
      <c r="F3186" s="1" t="s">
        <v>7294</v>
      </c>
      <c r="G3186" s="1" t="s">
        <v>7295</v>
      </c>
      <c r="H3186" s="2" t="str">
        <f>Tabella1[[#This Row],[Denominazione]]&amp;" - "&amp;Tabella1[[#This Row],[Città]]</f>
        <v>COLAZIONE IN GIARDINO - JESI</v>
      </c>
    </row>
    <row r="3187" spans="1:8" x14ac:dyDescent="0.25">
      <c r="A3187" s="1" t="s">
        <v>35</v>
      </c>
      <c r="B3187" s="1" t="s">
        <v>8944</v>
      </c>
      <c r="C3187" s="1" t="s">
        <v>8945</v>
      </c>
      <c r="D3187" s="1" t="s">
        <v>8849</v>
      </c>
      <c r="G3187" s="1" t="s">
        <v>8946</v>
      </c>
      <c r="H3187" s="2" t="str">
        <f>Tabella1[[#This Row],[Denominazione]]&amp;" - "&amp;Tabella1[[#This Row],[Città]]</f>
        <v>COLDEMAGNA - SASSOFERRATO</v>
      </c>
    </row>
    <row r="3188" spans="1:8" x14ac:dyDescent="0.25">
      <c r="A3188" s="1" t="s">
        <v>12</v>
      </c>
      <c r="B3188" s="1" t="s">
        <v>17942</v>
      </c>
      <c r="C3188" s="1" t="s">
        <v>17943</v>
      </c>
      <c r="D3188" s="1" t="s">
        <v>17932</v>
      </c>
      <c r="G3188" s="1" t="s">
        <v>17944</v>
      </c>
      <c r="H3188" s="2" t="str">
        <f>Tabella1[[#This Row],[Denominazione]]&amp;" - "&amp;Tabella1[[#This Row],[Città]]</f>
        <v>COLEFFI MARIA VITTORIA - FERMO</v>
      </c>
    </row>
    <row r="3189" spans="1:8" x14ac:dyDescent="0.25">
      <c r="A3189" s="1" t="s">
        <v>12</v>
      </c>
      <c r="B3189" s="1" t="s">
        <v>7243</v>
      </c>
      <c r="C3189" s="1" t="s">
        <v>7244</v>
      </c>
      <c r="D3189" s="1" t="s">
        <v>7200</v>
      </c>
      <c r="E3189" s="1" t="s">
        <v>7245</v>
      </c>
      <c r="G3189" s="1" t="s">
        <v>7246</v>
      </c>
      <c r="H3189" s="2" t="str">
        <f>Tabella1[[#This Row],[Denominazione]]&amp;" - "&amp;Tabella1[[#This Row],[Città]]</f>
        <v>COLETTA LAURA - GENGA</v>
      </c>
    </row>
    <row r="3190" spans="1:8" x14ac:dyDescent="0.25">
      <c r="A3190" s="1" t="s">
        <v>679</v>
      </c>
      <c r="B3190" s="1" t="s">
        <v>15829</v>
      </c>
      <c r="C3190" s="1" t="s">
        <v>15818</v>
      </c>
      <c r="D3190" s="1" t="s">
        <v>15585</v>
      </c>
      <c r="E3190" s="1" t="s">
        <v>15585</v>
      </c>
      <c r="H3190" s="2" t="str">
        <f>Tabella1[[#This Row],[Denominazione]]&amp;" - "&amp;Tabella1[[#This Row],[Città]]</f>
        <v>COLIBRI BEACH - GROTTAMMARE</v>
      </c>
    </row>
    <row r="3191" spans="1:8" x14ac:dyDescent="0.25">
      <c r="A3191" s="1" t="s">
        <v>35</v>
      </c>
      <c r="B3191" s="1" t="s">
        <v>7626</v>
      </c>
      <c r="C3191" s="1" t="s">
        <v>7627</v>
      </c>
      <c r="D3191" s="1" t="s">
        <v>7611</v>
      </c>
      <c r="E3191" s="1" t="s">
        <v>7611</v>
      </c>
      <c r="F3191" s="1" t="s">
        <v>7628</v>
      </c>
      <c r="G3191" s="1" t="s">
        <v>7629</v>
      </c>
      <c r="H3191" s="2" t="str">
        <f>Tabella1[[#This Row],[Denominazione]]&amp;" - "&amp;Tabella1[[#This Row],[Città]]</f>
        <v>COLLE DELLE STELLE - MERGO</v>
      </c>
    </row>
    <row r="3192" spans="1:8" x14ac:dyDescent="0.25">
      <c r="A3192" s="1" t="s">
        <v>35</v>
      </c>
      <c r="B3192" s="1" t="s">
        <v>7285</v>
      </c>
      <c r="C3192" s="1" t="s">
        <v>7286</v>
      </c>
      <c r="D3192" s="1" t="s">
        <v>7254</v>
      </c>
      <c r="E3192" s="1" t="s">
        <v>7254</v>
      </c>
      <c r="G3192" s="1" t="s">
        <v>7287</v>
      </c>
      <c r="H3192" s="2" t="str">
        <f>Tabella1[[#This Row],[Denominazione]]&amp;" - "&amp;Tabella1[[#This Row],[Città]]</f>
        <v>COLLE DI GANGALIA - JESI</v>
      </c>
    </row>
    <row r="3193" spans="1:8" x14ac:dyDescent="0.25">
      <c r="A3193" s="1" t="s">
        <v>6</v>
      </c>
      <c r="B3193" s="1" t="s">
        <v>18936</v>
      </c>
      <c r="C3193" s="1" t="s">
        <v>18937</v>
      </c>
      <c r="D3193" s="1" t="s">
        <v>18909</v>
      </c>
      <c r="E3193" s="1" t="s">
        <v>18909</v>
      </c>
      <c r="F3193" s="1" t="s">
        <v>18938</v>
      </c>
      <c r="G3193" s="1" t="s">
        <v>18939</v>
      </c>
      <c r="H3193" s="2" t="str">
        <f>Tabella1[[#This Row],[Denominazione]]&amp;" - "&amp;Tabella1[[#This Row],[Città]]</f>
        <v>COLLE INDACO - ORTEZZANO</v>
      </c>
    </row>
    <row r="3194" spans="1:8" x14ac:dyDescent="0.25">
      <c r="A3194" s="1" t="s">
        <v>35</v>
      </c>
      <c r="B3194" s="1" t="s">
        <v>15179</v>
      </c>
      <c r="C3194" s="1" t="s">
        <v>15180</v>
      </c>
      <c r="D3194" s="1" t="s">
        <v>15151</v>
      </c>
      <c r="E3194" s="1" t="s">
        <v>15151</v>
      </c>
      <c r="F3194" s="1" t="s">
        <v>15181</v>
      </c>
      <c r="G3194" s="1" t="s">
        <v>15182</v>
      </c>
      <c r="H3194" s="2" t="str">
        <f>Tabella1[[#This Row],[Denominazione]]&amp;" - "&amp;Tabella1[[#This Row],[Città]]</f>
        <v>COLLE RUFIANO - CASTIGNANO</v>
      </c>
    </row>
    <row r="3195" spans="1:8" x14ac:dyDescent="0.25">
      <c r="A3195" s="1" t="s">
        <v>35</v>
      </c>
      <c r="B3195" s="1" t="s">
        <v>15313</v>
      </c>
      <c r="C3195" s="1" t="s">
        <v>15314</v>
      </c>
      <c r="D3195" s="1" t="s">
        <v>15282</v>
      </c>
      <c r="E3195" s="1" t="s">
        <v>15282</v>
      </c>
      <c r="G3195" s="1" t="s">
        <v>15287</v>
      </c>
      <c r="H3195" s="2" t="str">
        <f>Tabella1[[#This Row],[Denominazione]]&amp;" - "&amp;Tabella1[[#This Row],[Città]]</f>
        <v>COLLE SAVOIA - COSSIGNANO</v>
      </c>
    </row>
    <row r="3196" spans="1:8" x14ac:dyDescent="0.25">
      <c r="A3196" s="1" t="s">
        <v>35</v>
      </c>
      <c r="B3196" s="1" t="s">
        <v>11156</v>
      </c>
      <c r="C3196" s="1" t="s">
        <v>11157</v>
      </c>
      <c r="D3196" s="1" t="s">
        <v>11058</v>
      </c>
      <c r="F3196" s="1" t="s">
        <v>11158</v>
      </c>
      <c r="G3196" s="1" t="s">
        <v>11159</v>
      </c>
      <c r="H3196" s="2" t="str">
        <f>Tabella1[[#This Row],[Denominazione]]&amp;" - "&amp;Tabella1[[#This Row],[Città]]</f>
        <v>COLLE SUL LAGO - CINGOLI</v>
      </c>
    </row>
    <row r="3197" spans="1:8" x14ac:dyDescent="0.25">
      <c r="A3197" s="1" t="s">
        <v>35</v>
      </c>
      <c r="B3197" s="1" t="s">
        <v>18540</v>
      </c>
      <c r="C3197" s="1" t="s">
        <v>18541</v>
      </c>
      <c r="D3197" s="1" t="s">
        <v>18522</v>
      </c>
      <c r="E3197" s="1" t="s">
        <v>18522</v>
      </c>
      <c r="G3197" s="1" t="s">
        <v>18542</v>
      </c>
      <c r="H3197" s="2" t="str">
        <f>Tabella1[[#This Row],[Denominazione]]&amp;" - "&amp;Tabella1[[#This Row],[Città]]</f>
        <v>COLLE VERDE - MONTEFORTINO</v>
      </c>
    </row>
    <row r="3198" spans="1:8" x14ac:dyDescent="0.25">
      <c r="A3198" s="1" t="s">
        <v>190</v>
      </c>
      <c r="B3198" s="1" t="s">
        <v>10868</v>
      </c>
      <c r="C3198" s="1" t="s">
        <v>10869</v>
      </c>
      <c r="D3198" s="1" t="s">
        <v>10737</v>
      </c>
      <c r="E3198" s="1" t="s">
        <v>10737</v>
      </c>
      <c r="F3198" s="1" t="s">
        <v>10870</v>
      </c>
      <c r="G3198" s="1" t="s">
        <v>10871</v>
      </c>
      <c r="H3198" s="2" t="str">
        <f>Tabella1[[#This Row],[Denominazione]]&amp;" - "&amp;Tabella1[[#This Row],[Città]]</f>
        <v>COLLEGIO BONGIOVANNI - CAMERINO</v>
      </c>
    </row>
    <row r="3199" spans="1:8" x14ac:dyDescent="0.25">
      <c r="A3199" s="1" t="s">
        <v>82</v>
      </c>
      <c r="B3199" s="1" t="s">
        <v>7489</v>
      </c>
      <c r="D3199" s="1" t="s">
        <v>7385</v>
      </c>
      <c r="E3199" s="1" t="s">
        <v>7385</v>
      </c>
      <c r="H3199" s="2" t="str">
        <f>Tabella1[[#This Row],[Denominazione]]&amp;" - "&amp;Tabella1[[#This Row],[Città]]</f>
        <v>COLLEMARE SNC VILLA AL CONERO - LORETO</v>
      </c>
    </row>
    <row r="3200" spans="1:8" x14ac:dyDescent="0.25">
      <c r="A3200" s="1" t="s">
        <v>82</v>
      </c>
      <c r="B3200" s="1" t="s">
        <v>12802</v>
      </c>
      <c r="C3200" s="1" t="s">
        <v>12803</v>
      </c>
      <c r="D3200" s="1" t="s">
        <v>12801</v>
      </c>
      <c r="E3200" s="1" t="s">
        <v>12801</v>
      </c>
      <c r="G3200" s="1" t="s">
        <v>12804</v>
      </c>
      <c r="H3200" s="2" t="str">
        <f>Tabella1[[#This Row],[Denominazione]]&amp;" - "&amp;Tabella1[[#This Row],[Città]]</f>
        <v>COLLEMARE SNC VILLAGGIO DEI TIGLI - PORTO RECANATI</v>
      </c>
    </row>
    <row r="3201" spans="1:8" x14ac:dyDescent="0.25">
      <c r="A3201" s="1" t="s">
        <v>6</v>
      </c>
      <c r="B3201" s="1" t="s">
        <v>13748</v>
      </c>
      <c r="C3201" s="1" t="s">
        <v>13749</v>
      </c>
      <c r="D3201" s="1" t="s">
        <v>13739</v>
      </c>
      <c r="E3201" s="1" t="s">
        <v>13739</v>
      </c>
      <c r="F3201" s="1" t="s">
        <v>13750</v>
      </c>
      <c r="G3201" s="1" t="s">
        <v>13751</v>
      </c>
      <c r="H3201" s="2" t="str">
        <f>Tabella1[[#This Row],[Denominazione]]&amp;" - "&amp;Tabella1[[#This Row],[Città]]</f>
        <v>COLLEROVERE COUNTRY HOUSE - SANT'ANGELO IN PONTANO</v>
      </c>
    </row>
    <row r="3202" spans="1:8" x14ac:dyDescent="0.25">
      <c r="A3202" s="1" t="s">
        <v>6</v>
      </c>
      <c r="B3202" s="1" t="s">
        <v>5268</v>
      </c>
      <c r="C3202" s="1" t="s">
        <v>5269</v>
      </c>
      <c r="D3202" s="1" t="s">
        <v>9</v>
      </c>
      <c r="E3202" s="1" t="s">
        <v>9</v>
      </c>
      <c r="F3202" s="1" t="s">
        <v>5270</v>
      </c>
      <c r="G3202" s="1" t="s">
        <v>5271</v>
      </c>
      <c r="H3202" s="2" t="str">
        <f>Tabella1[[#This Row],[Denominazione]]&amp;" - "&amp;Tabella1[[#This Row],[Città]]</f>
        <v>COLLEVERDE - URBINO</v>
      </c>
    </row>
    <row r="3203" spans="1:8" x14ac:dyDescent="0.25">
      <c r="A3203" s="1" t="s">
        <v>6</v>
      </c>
      <c r="B3203" s="1" t="s">
        <v>12362</v>
      </c>
      <c r="C3203" s="1" t="s">
        <v>12363</v>
      </c>
      <c r="D3203" s="1" t="s">
        <v>12342</v>
      </c>
      <c r="H3203" s="2" t="str">
        <f>Tabella1[[#This Row],[Denominazione]]&amp;" - "&amp;Tabella1[[#This Row],[Città]]</f>
        <v>COLLI GILBERTO - MONTECASSIANO</v>
      </c>
    </row>
    <row r="3204" spans="1:8" x14ac:dyDescent="0.25">
      <c r="A3204" s="1" t="s">
        <v>12</v>
      </c>
      <c r="B3204" s="1" t="s">
        <v>15044</v>
      </c>
      <c r="C3204" s="1" t="s">
        <v>15045</v>
      </c>
      <c r="D3204" s="1" t="s">
        <v>14576</v>
      </c>
      <c r="E3204" s="1" t="s">
        <v>14576</v>
      </c>
      <c r="G3204" s="1" t="s">
        <v>15046</v>
      </c>
      <c r="H3204" s="2" t="str">
        <f>Tabella1[[#This Row],[Denominazione]]&amp;" - "&amp;Tabella1[[#This Row],[Città]]</f>
        <v>COLLINA GIUSEPPE - ASCOLI PICENO</v>
      </c>
    </row>
    <row r="3205" spans="1:8" x14ac:dyDescent="0.25">
      <c r="A3205" s="1" t="s">
        <v>12</v>
      </c>
      <c r="B3205" s="1" t="s">
        <v>17750</v>
      </c>
      <c r="D3205" s="1" t="s">
        <v>17745</v>
      </c>
      <c r="H3205" s="2" t="str">
        <f>Tabella1[[#This Row],[Denominazione]]&amp;" - "&amp;Tabella1[[#This Row],[Città]]</f>
        <v>COLLINS JAMES PAUL - AMANDOLA</v>
      </c>
    </row>
    <row r="3206" spans="1:8" x14ac:dyDescent="0.25">
      <c r="A3206" s="1" t="s">
        <v>12</v>
      </c>
      <c r="B3206" s="1" t="s">
        <v>17750</v>
      </c>
      <c r="C3206" s="1" t="s">
        <v>17793</v>
      </c>
      <c r="D3206" s="1" t="s">
        <v>17745</v>
      </c>
      <c r="G3206" s="1" t="s">
        <v>17794</v>
      </c>
      <c r="H3206" s="2" t="str">
        <f>Tabella1[[#This Row],[Denominazione]]&amp;" - "&amp;Tabella1[[#This Row],[Città]]</f>
        <v>COLLINS JAMES PAUL - AMANDOLA</v>
      </c>
    </row>
    <row r="3207" spans="1:8" x14ac:dyDescent="0.25">
      <c r="A3207" s="1" t="s">
        <v>35</v>
      </c>
      <c r="B3207" s="1" t="s">
        <v>8855</v>
      </c>
      <c r="C3207" s="1" t="s">
        <v>8856</v>
      </c>
      <c r="D3207" s="1" t="s">
        <v>8849</v>
      </c>
      <c r="E3207" s="1" t="s">
        <v>8849</v>
      </c>
      <c r="G3207" s="1" t="s">
        <v>8857</v>
      </c>
      <c r="H3207" s="2" t="str">
        <f>Tabella1[[#This Row],[Denominazione]]&amp;" - "&amp;Tabella1[[#This Row],[Città]]</f>
        <v>COLMERU' - SASSOFERRATO</v>
      </c>
    </row>
    <row r="3208" spans="1:8" x14ac:dyDescent="0.25">
      <c r="A3208" s="1" t="s">
        <v>35</v>
      </c>
      <c r="B3208" s="1" t="s">
        <v>10510</v>
      </c>
      <c r="C3208" s="1" t="s">
        <v>10511</v>
      </c>
      <c r="D3208" s="1" t="s">
        <v>10488</v>
      </c>
      <c r="E3208" s="1" t="s">
        <v>10488</v>
      </c>
      <c r="H3208" s="2" t="str">
        <f>Tabella1[[#This Row],[Denominazione]]&amp;" - "&amp;Tabella1[[#This Row],[Città]]</f>
        <v>COLOCCINI ANTONIO - STAFFOLO</v>
      </c>
    </row>
    <row r="3209" spans="1:8" x14ac:dyDescent="0.25">
      <c r="A3209" s="1" t="s">
        <v>190</v>
      </c>
      <c r="B3209" s="1" t="s">
        <v>4234</v>
      </c>
      <c r="D3209" s="1" t="s">
        <v>4175</v>
      </c>
      <c r="E3209" s="1" t="s">
        <v>4235</v>
      </c>
      <c r="G3209" s="1" t="s">
        <v>4236</v>
      </c>
      <c r="H3209" s="2" t="str">
        <f>Tabella1[[#This Row],[Denominazione]]&amp;" - "&amp;Tabella1[[#This Row],[Città]]</f>
        <v>COLONIA DON ORIONE - PIOBBICO</v>
      </c>
    </row>
    <row r="3210" spans="1:8" x14ac:dyDescent="0.25">
      <c r="A3210" s="1" t="s">
        <v>82</v>
      </c>
      <c r="B3210" s="1" t="s">
        <v>8875</v>
      </c>
      <c r="C3210" s="1" t="s">
        <v>8876</v>
      </c>
      <c r="D3210" s="1" t="s">
        <v>8849</v>
      </c>
      <c r="H3210" s="2" t="str">
        <f>Tabella1[[#This Row],[Denominazione]]&amp;" - "&amp;Tabella1[[#This Row],[Città]]</f>
        <v>COLONIA MONTELAGO - SASSOFERRATO</v>
      </c>
    </row>
    <row r="3211" spans="1:8" x14ac:dyDescent="0.25">
      <c r="A3211" s="1" t="s">
        <v>571</v>
      </c>
      <c r="B3211" s="1" t="s">
        <v>6608</v>
      </c>
      <c r="C3211" s="1" t="s">
        <v>6609</v>
      </c>
      <c r="D3211" s="1" t="s">
        <v>6536</v>
      </c>
      <c r="E3211" s="1" t="s">
        <v>6536</v>
      </c>
      <c r="F3211" s="1" t="s">
        <v>6552</v>
      </c>
      <c r="G3211" s="1" t="s">
        <v>6610</v>
      </c>
      <c r="H3211" s="2" t="str">
        <f>Tabella1[[#This Row],[Denominazione]]&amp;" - "&amp;Tabella1[[#This Row],[Città]]</f>
        <v>COLVERDE - CORINALDO</v>
      </c>
    </row>
    <row r="3212" spans="1:8" x14ac:dyDescent="0.25">
      <c r="A3212" s="1" t="s">
        <v>186</v>
      </c>
      <c r="B3212" s="1" t="s">
        <v>10918</v>
      </c>
      <c r="C3212" s="1" t="s">
        <v>10919</v>
      </c>
      <c r="D3212" s="1" t="s">
        <v>10912</v>
      </c>
      <c r="G3212" s="1" t="s">
        <v>10920</v>
      </c>
      <c r="H3212" s="2" t="str">
        <f>Tabella1[[#This Row],[Denominazione]]&amp;" - "&amp;Tabella1[[#This Row],[Città]]</f>
        <v>COMMUNE TERRE CAMPI ROTUNDI - CAMPOROTONDO DI FIASTRONE</v>
      </c>
    </row>
    <row r="3213" spans="1:8" x14ac:dyDescent="0.25">
      <c r="A3213" s="1" t="s">
        <v>35</v>
      </c>
      <c r="B3213" s="1" t="s">
        <v>14078</v>
      </c>
      <c r="C3213" s="1" t="s">
        <v>14079</v>
      </c>
      <c r="D3213" s="1" t="s">
        <v>14065</v>
      </c>
      <c r="E3213" s="1" t="s">
        <v>14065</v>
      </c>
      <c r="F3213" s="1" t="s">
        <v>14080</v>
      </c>
      <c r="G3213" s="1" t="s">
        <v>14081</v>
      </c>
      <c r="H3213" s="2" t="str">
        <f>Tabella1[[#This Row],[Denominazione]]&amp;" - "&amp;Tabella1[[#This Row],[Città]]</f>
        <v>CONCE di ROGANTI SPOLETINI ENRICO - TREIA</v>
      </c>
    </row>
    <row r="3214" spans="1:8" x14ac:dyDescent="0.25">
      <c r="A3214" s="1" t="s">
        <v>12</v>
      </c>
      <c r="B3214" s="1" t="s">
        <v>9303</v>
      </c>
      <c r="C3214" s="1" t="s">
        <v>9304</v>
      </c>
      <c r="D3214" s="1" t="s">
        <v>8949</v>
      </c>
      <c r="E3214" s="1" t="s">
        <v>8949</v>
      </c>
      <c r="G3214" s="1" t="s">
        <v>9037</v>
      </c>
      <c r="H3214" s="2" t="str">
        <f>Tabella1[[#This Row],[Denominazione]]&amp;" - "&amp;Tabella1[[#This Row],[Città]]</f>
        <v>CONCETTONI LUCIA - SENIGALLIA</v>
      </c>
    </row>
    <row r="3215" spans="1:8" x14ac:dyDescent="0.25">
      <c r="A3215" s="1" t="s">
        <v>20</v>
      </c>
      <c r="B3215" s="1" t="s">
        <v>9767</v>
      </c>
      <c r="C3215" s="1" t="s">
        <v>9768</v>
      </c>
      <c r="D3215" s="1" t="s">
        <v>8949</v>
      </c>
      <c r="E3215" s="1" t="s">
        <v>8949</v>
      </c>
      <c r="F3215" s="1" t="s">
        <v>9769</v>
      </c>
      <c r="G3215" s="1" t="s">
        <v>9770</v>
      </c>
      <c r="H3215" s="2" t="str">
        <f>Tabella1[[#This Row],[Denominazione]]&amp;" - "&amp;Tabella1[[#This Row],[Città]]</f>
        <v>CONCHIGLIA - SENIGALLIA</v>
      </c>
    </row>
    <row r="3216" spans="1:8" x14ac:dyDescent="0.25">
      <c r="A3216" s="1" t="s">
        <v>82</v>
      </c>
      <c r="B3216" s="1" t="s">
        <v>17012</v>
      </c>
      <c r="C3216" s="1" t="s">
        <v>17013</v>
      </c>
      <c r="D3216" s="1" t="s">
        <v>15819</v>
      </c>
      <c r="E3216" s="1" t="s">
        <v>15819</v>
      </c>
      <c r="G3216" s="1" t="s">
        <v>17014</v>
      </c>
      <c r="H3216" s="2" t="str">
        <f>Tabella1[[#This Row],[Denominazione]]&amp;" - "&amp;Tabella1[[#This Row],[Città]]</f>
        <v>CONDOMINIO THECA UNO - SAN BENEDETTO DEL TRONTO</v>
      </c>
    </row>
    <row r="3217" spans="1:8" x14ac:dyDescent="0.25">
      <c r="A3217" s="1" t="s">
        <v>679</v>
      </c>
      <c r="B3217" s="1" t="s">
        <v>8195</v>
      </c>
      <c r="C3217" s="1" t="s">
        <v>8191</v>
      </c>
      <c r="D3217" s="1" t="s">
        <v>7889</v>
      </c>
      <c r="E3217" s="1" t="s">
        <v>7895</v>
      </c>
      <c r="F3217" s="1" t="s">
        <v>8196</v>
      </c>
      <c r="G3217" s="1" t="s">
        <v>8197</v>
      </c>
      <c r="H3217" s="2" t="str">
        <f>Tabella1[[#This Row],[Denominazione]]&amp;" - "&amp;Tabella1[[#This Row],[Città]]</f>
        <v>CONERO AZZURRO - NUMANA</v>
      </c>
    </row>
    <row r="3218" spans="1:8" x14ac:dyDescent="0.25">
      <c r="A3218" s="1" t="s">
        <v>6092</v>
      </c>
      <c r="B3218" s="1" t="s">
        <v>8195</v>
      </c>
      <c r="C3218" s="1" t="s">
        <v>8329</v>
      </c>
      <c r="D3218" s="1" t="s">
        <v>7889</v>
      </c>
      <c r="E3218" s="1" t="s">
        <v>7889</v>
      </c>
      <c r="F3218" s="1" t="s">
        <v>8196</v>
      </c>
      <c r="G3218" s="1" t="s">
        <v>8197</v>
      </c>
      <c r="H3218" s="2" t="str">
        <f>Tabella1[[#This Row],[Denominazione]]&amp;" - "&amp;Tabella1[[#This Row],[Città]]</f>
        <v>CONERO AZZURRO - NUMANA</v>
      </c>
    </row>
    <row r="3219" spans="1:8" x14ac:dyDescent="0.25">
      <c r="A3219" s="1" t="s">
        <v>29</v>
      </c>
      <c r="B3219" s="1" t="s">
        <v>8050</v>
      </c>
      <c r="C3219" s="1" t="s">
        <v>8051</v>
      </c>
      <c r="D3219" s="1" t="s">
        <v>7889</v>
      </c>
      <c r="E3219" s="1" t="s">
        <v>7895</v>
      </c>
      <c r="F3219" s="1" t="s">
        <v>8052</v>
      </c>
      <c r="G3219" s="1" t="s">
        <v>8053</v>
      </c>
      <c r="H3219" s="2" t="str">
        <f>Tabella1[[#This Row],[Denominazione]]&amp;" - "&amp;Tabella1[[#This Row],[Città]]</f>
        <v>CONERO B&amp;B - NUMANA</v>
      </c>
    </row>
    <row r="3220" spans="1:8" x14ac:dyDescent="0.25">
      <c r="A3220" s="1" t="s">
        <v>20</v>
      </c>
      <c r="B3220" s="1" t="s">
        <v>10479</v>
      </c>
      <c r="C3220" s="1" t="s">
        <v>10480</v>
      </c>
      <c r="D3220" s="1" t="s">
        <v>10206</v>
      </c>
      <c r="F3220" s="1" t="s">
        <v>10481</v>
      </c>
      <c r="G3220" s="1" t="s">
        <v>10482</v>
      </c>
      <c r="H3220" s="2" t="str">
        <f>Tabella1[[#This Row],[Denominazione]]&amp;" - "&amp;Tabella1[[#This Row],[Città]]</f>
        <v>CONERO CAMERE - SIROLO</v>
      </c>
    </row>
    <row r="3221" spans="1:8" x14ac:dyDescent="0.25">
      <c r="A3221" s="1" t="s">
        <v>82</v>
      </c>
      <c r="B3221" s="1" t="s">
        <v>8403</v>
      </c>
      <c r="C3221" s="1" t="s">
        <v>8404</v>
      </c>
      <c r="D3221" s="1" t="s">
        <v>7889</v>
      </c>
      <c r="E3221" s="1" t="s">
        <v>7889</v>
      </c>
      <c r="G3221" s="1" t="s">
        <v>8405</v>
      </c>
      <c r="H3221" s="2" t="str">
        <f>Tabella1[[#This Row],[Denominazione]]&amp;" - "&amp;Tabella1[[#This Row],[Città]]</f>
        <v>CONERO INFINITO 1 - NUMANA</v>
      </c>
    </row>
    <row r="3222" spans="1:8" x14ac:dyDescent="0.25">
      <c r="A3222" s="1" t="s">
        <v>82</v>
      </c>
      <c r="B3222" s="1" t="s">
        <v>8047</v>
      </c>
      <c r="C3222" s="1" t="s">
        <v>8018</v>
      </c>
      <c r="D3222" s="1" t="s">
        <v>7889</v>
      </c>
      <c r="E3222" s="1" t="s">
        <v>7889</v>
      </c>
      <c r="G3222" s="1" t="s">
        <v>8048</v>
      </c>
      <c r="H3222" s="2" t="str">
        <f>Tabella1[[#This Row],[Denominazione]]&amp;" - "&amp;Tabella1[[#This Row],[Città]]</f>
        <v>CONERO MARE VERDE 1 - NUMANA</v>
      </c>
    </row>
    <row r="3223" spans="1:8" x14ac:dyDescent="0.25">
      <c r="A3223" s="1" t="s">
        <v>82</v>
      </c>
      <c r="B3223" s="1" t="s">
        <v>8017</v>
      </c>
      <c r="C3223" s="1" t="s">
        <v>8018</v>
      </c>
      <c r="D3223" s="1" t="s">
        <v>7889</v>
      </c>
      <c r="E3223" s="1" t="s">
        <v>7889</v>
      </c>
      <c r="G3223" s="1" t="s">
        <v>8019</v>
      </c>
      <c r="H3223" s="2" t="str">
        <f>Tabella1[[#This Row],[Denominazione]]&amp;" - "&amp;Tabella1[[#This Row],[Città]]</f>
        <v>CONERO MARE VERDE 2 - NUMANA</v>
      </c>
    </row>
    <row r="3224" spans="1:8" x14ac:dyDescent="0.25">
      <c r="A3224" s="1" t="s">
        <v>82</v>
      </c>
      <c r="B3224" s="1" t="s">
        <v>8368</v>
      </c>
      <c r="C3224" s="1" t="s">
        <v>8369</v>
      </c>
      <c r="D3224" s="1" t="s">
        <v>7889</v>
      </c>
      <c r="F3224" s="1" t="s">
        <v>8370</v>
      </c>
      <c r="G3224" s="1" t="s">
        <v>8371</v>
      </c>
      <c r="H3224" s="2" t="str">
        <f>Tabella1[[#This Row],[Denominazione]]&amp;" - "&amp;Tabella1[[#This Row],[Città]]</f>
        <v>CONERO SUITES - NUMANA</v>
      </c>
    </row>
    <row r="3225" spans="1:8" x14ac:dyDescent="0.25">
      <c r="A3225" s="1" t="s">
        <v>12</v>
      </c>
      <c r="B3225" s="1" t="s">
        <v>5830</v>
      </c>
      <c r="C3225" s="1" t="s">
        <v>5831</v>
      </c>
      <c r="D3225" s="1" t="s">
        <v>1864</v>
      </c>
      <c r="E3225" s="1" t="s">
        <v>1864</v>
      </c>
      <c r="G3225" s="1" t="s">
        <v>5832</v>
      </c>
      <c r="H3225" s="2" t="str">
        <f>Tabella1[[#This Row],[Denominazione]]&amp;" - "&amp;Tabella1[[#This Row],[Città]]</f>
        <v>CONEROBELLAVISTA di BENADDUCI P. E ROSSETTI C. - ANCONA</v>
      </c>
    </row>
    <row r="3226" spans="1:8" x14ac:dyDescent="0.25">
      <c r="A3226" s="1" t="s">
        <v>88</v>
      </c>
      <c r="B3226" s="1" t="s">
        <v>13001</v>
      </c>
      <c r="C3226" s="1" t="s">
        <v>13002</v>
      </c>
      <c r="D3226" s="1" t="s">
        <v>12801</v>
      </c>
      <c r="E3226" s="1" t="s">
        <v>13003</v>
      </c>
      <c r="G3226" s="1" t="s">
        <v>13004</v>
      </c>
      <c r="H3226" s="2" t="str">
        <f>Tabella1[[#This Row],[Denominazione]]&amp;" - "&amp;Tabella1[[#This Row],[Città]]</f>
        <v>CONERO'S LIFE - PORTO RECANATI</v>
      </c>
    </row>
    <row r="3227" spans="1:8" x14ac:dyDescent="0.25">
      <c r="A3227" s="1" t="s">
        <v>12</v>
      </c>
      <c r="B3227" s="1" t="s">
        <v>9038</v>
      </c>
      <c r="C3227" s="1" t="s">
        <v>9039</v>
      </c>
      <c r="D3227" s="1" t="s">
        <v>8949</v>
      </c>
      <c r="E3227" s="1" t="s">
        <v>8949</v>
      </c>
      <c r="G3227" s="1" t="s">
        <v>9040</v>
      </c>
      <c r="H3227" s="2" t="str">
        <f>Tabella1[[#This Row],[Denominazione]]&amp;" - "&amp;Tabella1[[#This Row],[Città]]</f>
        <v>CONSOLI ANNA RITA - SENIGALLIA</v>
      </c>
    </row>
    <row r="3228" spans="1:8" x14ac:dyDescent="0.25">
      <c r="A3228" s="1" t="s">
        <v>12</v>
      </c>
      <c r="B3228" s="1" t="s">
        <v>9047</v>
      </c>
      <c r="C3228" s="1" t="s">
        <v>9048</v>
      </c>
      <c r="D3228" s="1" t="s">
        <v>8949</v>
      </c>
      <c r="E3228" s="1" t="s">
        <v>8949</v>
      </c>
      <c r="G3228" s="1" t="s">
        <v>9049</v>
      </c>
      <c r="H3228" s="2" t="str">
        <f>Tabella1[[#This Row],[Denominazione]]&amp;" - "&amp;Tabella1[[#This Row],[Città]]</f>
        <v>CONTARDI GIOVANNI - SENIGALLIA</v>
      </c>
    </row>
    <row r="3229" spans="1:8" x14ac:dyDescent="0.25">
      <c r="A3229" s="1" t="s">
        <v>82</v>
      </c>
      <c r="B3229" s="1" t="s">
        <v>18947</v>
      </c>
      <c r="C3229" s="1" t="s">
        <v>18948</v>
      </c>
      <c r="D3229" s="1" t="s">
        <v>18944</v>
      </c>
      <c r="E3229" s="1" t="s">
        <v>18949</v>
      </c>
      <c r="F3229" s="1" t="s">
        <v>18950</v>
      </c>
      <c r="G3229" s="1" t="s">
        <v>18951</v>
      </c>
      <c r="H3229" s="2" t="str">
        <f>Tabella1[[#This Row],[Denominazione]]&amp;" - "&amp;Tabella1[[#This Row],[Città]]</f>
        <v>CONTEA DEI CILIEGI - PEDASO</v>
      </c>
    </row>
    <row r="3230" spans="1:8" x14ac:dyDescent="0.25">
      <c r="A3230" s="1" t="s">
        <v>12</v>
      </c>
      <c r="B3230" s="1" t="s">
        <v>12681</v>
      </c>
      <c r="C3230" s="1" t="s">
        <v>12682</v>
      </c>
      <c r="D3230" s="1" t="s">
        <v>12675</v>
      </c>
      <c r="E3230" s="1" t="s">
        <v>12675</v>
      </c>
      <c r="G3230" s="1" t="s">
        <v>12683</v>
      </c>
      <c r="H3230" s="2" t="str">
        <f>Tabella1[[#This Row],[Denominazione]]&amp;" - "&amp;Tabella1[[#This Row],[Città]]</f>
        <v>CONTIGIANI SANDRO - PETRIOLO</v>
      </c>
    </row>
    <row r="3231" spans="1:8" x14ac:dyDescent="0.25">
      <c r="A3231" s="1" t="s">
        <v>20</v>
      </c>
      <c r="B3231" s="1" t="s">
        <v>1251</v>
      </c>
      <c r="C3231" s="1" t="s">
        <v>1252</v>
      </c>
      <c r="D3231" s="1" t="s">
        <v>682</v>
      </c>
      <c r="E3231" s="1" t="s">
        <v>682</v>
      </c>
      <c r="F3231" s="1" t="s">
        <v>1253</v>
      </c>
      <c r="G3231" s="1" t="s">
        <v>1254</v>
      </c>
      <c r="H3231" s="2" t="str">
        <f>Tabella1[[#This Row],[Denominazione]]&amp;" - "&amp;Tabella1[[#This Row],[Città]]</f>
        <v>CONTINENTAL - FANO</v>
      </c>
    </row>
    <row r="3232" spans="1:8" x14ac:dyDescent="0.25">
      <c r="A3232" s="1" t="s">
        <v>20</v>
      </c>
      <c r="B3232" s="1" t="s">
        <v>1251</v>
      </c>
      <c r="C3232" s="1" t="s">
        <v>2132</v>
      </c>
      <c r="D3232" s="1" t="s">
        <v>1907</v>
      </c>
      <c r="E3232" s="1" t="s">
        <v>1907</v>
      </c>
      <c r="F3232" s="1" t="s">
        <v>2133</v>
      </c>
      <c r="G3232" s="1" t="s">
        <v>2134</v>
      </c>
      <c r="H3232" s="2" t="str">
        <f>Tabella1[[#This Row],[Denominazione]]&amp;" - "&amp;Tabella1[[#This Row],[Città]]</f>
        <v>CONTINENTAL - GABICCE MARE</v>
      </c>
    </row>
    <row r="3233" spans="1:8" x14ac:dyDescent="0.25">
      <c r="A3233" s="1" t="s">
        <v>20</v>
      </c>
      <c r="B3233" s="1" t="s">
        <v>1251</v>
      </c>
      <c r="C3233" s="1" t="s">
        <v>9540</v>
      </c>
      <c r="D3233" s="1" t="s">
        <v>8949</v>
      </c>
      <c r="E3233" s="1" t="s">
        <v>8949</v>
      </c>
      <c r="F3233" s="1" t="s">
        <v>9541</v>
      </c>
      <c r="G3233" s="1" t="s">
        <v>9542</v>
      </c>
      <c r="H3233" s="2" t="str">
        <f>Tabella1[[#This Row],[Denominazione]]&amp;" - "&amp;Tabella1[[#This Row],[Città]]</f>
        <v>CONTINENTAL - SENIGALLIA</v>
      </c>
    </row>
    <row r="3234" spans="1:8" x14ac:dyDescent="0.25">
      <c r="A3234" s="1" t="s">
        <v>20</v>
      </c>
      <c r="B3234" s="1" t="s">
        <v>1251</v>
      </c>
      <c r="C3234" s="1" t="s">
        <v>17478</v>
      </c>
      <c r="D3234" s="1" t="s">
        <v>15819</v>
      </c>
      <c r="E3234" s="1" t="s">
        <v>15819</v>
      </c>
      <c r="F3234" s="1" t="s">
        <v>17479</v>
      </c>
      <c r="G3234" s="1" t="s">
        <v>17480</v>
      </c>
      <c r="H3234" s="2" t="str">
        <f>Tabella1[[#This Row],[Denominazione]]&amp;" - "&amp;Tabella1[[#This Row],[Città]]</f>
        <v>CONTINENTAL - SAN BENEDETTO DEL TRONTO</v>
      </c>
    </row>
    <row r="3235" spans="1:8" x14ac:dyDescent="0.25">
      <c r="A3235" s="1" t="s">
        <v>12</v>
      </c>
      <c r="B3235" s="1" t="s">
        <v>9127</v>
      </c>
      <c r="C3235" s="1" t="s">
        <v>9128</v>
      </c>
      <c r="D3235" s="1" t="s">
        <v>8949</v>
      </c>
      <c r="E3235" s="1" t="s">
        <v>8949</v>
      </c>
      <c r="G3235" s="1" t="s">
        <v>9037</v>
      </c>
      <c r="H3235" s="2" t="str">
        <f>Tabella1[[#This Row],[Denominazione]]&amp;" - "&amp;Tabella1[[#This Row],[Città]]</f>
        <v>CONTINI MIRCO - SENIGALLIA</v>
      </c>
    </row>
    <row r="3236" spans="1:8" x14ac:dyDescent="0.25">
      <c r="A3236" s="1" t="s">
        <v>35</v>
      </c>
      <c r="B3236" s="1" t="s">
        <v>5960</v>
      </c>
      <c r="C3236" s="1" t="s">
        <v>5961</v>
      </c>
      <c r="D3236" s="1" t="s">
        <v>1864</v>
      </c>
      <c r="E3236" s="1" t="s">
        <v>5962</v>
      </c>
      <c r="F3236" s="1" t="s">
        <v>5963</v>
      </c>
      <c r="G3236" s="1" t="s">
        <v>5964</v>
      </c>
      <c r="H3236" s="2" t="str">
        <f>Tabella1[[#This Row],[Denominazione]]&amp;" - "&amp;Tabella1[[#This Row],[Città]]</f>
        <v>CONTRADA VALLE LUNGA - ANCONA</v>
      </c>
    </row>
    <row r="3237" spans="1:8" x14ac:dyDescent="0.25">
      <c r="A3237" s="1" t="s">
        <v>679</v>
      </c>
      <c r="B3237" s="1" t="s">
        <v>12985</v>
      </c>
      <c r="C3237" s="1" t="s">
        <v>12986</v>
      </c>
      <c r="D3237" s="1" t="s">
        <v>12801</v>
      </c>
      <c r="G3237" s="1" t="s">
        <v>12987</v>
      </c>
      <c r="H3237" s="2" t="str">
        <f>Tabella1[[#This Row],[Denominazione]]&amp;" - "&amp;Tabella1[[#This Row],[Città]]</f>
        <v>COPACABANA - PORTO RECANATI</v>
      </c>
    </row>
    <row r="3238" spans="1:8" x14ac:dyDescent="0.25">
      <c r="A3238" s="1" t="s">
        <v>35</v>
      </c>
      <c r="B3238" s="1" t="s">
        <v>5906</v>
      </c>
      <c r="C3238" s="1" t="s">
        <v>5907</v>
      </c>
      <c r="D3238" s="1" t="s">
        <v>1864</v>
      </c>
      <c r="E3238" s="1" t="s">
        <v>1864</v>
      </c>
      <c r="F3238" s="1" t="s">
        <v>5908</v>
      </c>
      <c r="G3238" s="1" t="s">
        <v>5909</v>
      </c>
      <c r="H3238" s="2" t="str">
        <f>Tabella1[[#This Row],[Denominazione]]&amp;" - "&amp;Tabella1[[#This Row],[Città]]</f>
        <v>COPPOLA GIANCARLO &amp; FIGLI - ANCONA</v>
      </c>
    </row>
    <row r="3239" spans="1:8" x14ac:dyDescent="0.25">
      <c r="A3239" s="1" t="s">
        <v>82</v>
      </c>
      <c r="B3239" s="1" t="s">
        <v>10072</v>
      </c>
      <c r="C3239" s="1" t="s">
        <v>10073</v>
      </c>
      <c r="D3239" s="1" t="s">
        <v>10074</v>
      </c>
      <c r="E3239" s="1" t="s">
        <v>10074</v>
      </c>
      <c r="F3239" s="1" t="s">
        <v>10075</v>
      </c>
      <c r="G3239" s="1" t="s">
        <v>10076</v>
      </c>
      <c r="H3239" s="2" t="str">
        <f>Tabella1[[#This Row],[Denominazione]]&amp;" - "&amp;Tabella1[[#This Row],[Città]]</f>
        <v>COQUUS FORNACIS - SERRA DE' CONTI</v>
      </c>
    </row>
    <row r="3240" spans="1:8" x14ac:dyDescent="0.25">
      <c r="A3240" s="1" t="s">
        <v>20</v>
      </c>
      <c r="B3240" s="1" t="s">
        <v>1119</v>
      </c>
      <c r="C3240" s="1" t="s">
        <v>1120</v>
      </c>
      <c r="D3240" s="1" t="s">
        <v>682</v>
      </c>
      <c r="E3240" s="1" t="s">
        <v>682</v>
      </c>
      <c r="F3240" s="1" t="s">
        <v>1121</v>
      </c>
      <c r="G3240" s="1" t="s">
        <v>1122</v>
      </c>
      <c r="H3240" s="2" t="str">
        <f>Tabella1[[#This Row],[Denominazione]]&amp;" - "&amp;Tabella1[[#This Row],[Città]]</f>
        <v>CORALLO - FANO</v>
      </c>
    </row>
    <row r="3241" spans="1:8" x14ac:dyDescent="0.25">
      <c r="A3241" s="1" t="s">
        <v>20</v>
      </c>
      <c r="B3241" s="1" t="s">
        <v>1119</v>
      </c>
      <c r="C3241" s="1" t="s">
        <v>9584</v>
      </c>
      <c r="D3241" s="1" t="s">
        <v>8949</v>
      </c>
      <c r="E3241" s="1" t="s">
        <v>8949</v>
      </c>
      <c r="F3241" s="1" t="s">
        <v>9585</v>
      </c>
      <c r="G3241" s="1" t="s">
        <v>9586</v>
      </c>
      <c r="H3241" s="2" t="str">
        <f>Tabella1[[#This Row],[Denominazione]]&amp;" - "&amp;Tabella1[[#This Row],[Città]]</f>
        <v>CORALLO - SENIGALLIA</v>
      </c>
    </row>
    <row r="3242" spans="1:8" x14ac:dyDescent="0.25">
      <c r="A3242" s="1" t="s">
        <v>679</v>
      </c>
      <c r="B3242" s="1" t="s">
        <v>1119</v>
      </c>
      <c r="C3242" s="1" t="s">
        <v>15867</v>
      </c>
      <c r="D3242" s="1" t="s">
        <v>15585</v>
      </c>
      <c r="H3242" s="2" t="str">
        <f>Tabella1[[#This Row],[Denominazione]]&amp;" - "&amp;Tabella1[[#This Row],[Città]]</f>
        <v>CORALLO - GROTTAMMARE</v>
      </c>
    </row>
    <row r="3243" spans="1:8" x14ac:dyDescent="0.25">
      <c r="A3243" s="1" t="s">
        <v>679</v>
      </c>
      <c r="B3243" s="1" t="s">
        <v>1119</v>
      </c>
      <c r="C3243" s="1" t="s">
        <v>19048</v>
      </c>
      <c r="D3243" s="1" t="s">
        <v>18082</v>
      </c>
      <c r="E3243" s="1" t="s">
        <v>18082</v>
      </c>
      <c r="H3243" s="2" t="str">
        <f>Tabella1[[#This Row],[Denominazione]]&amp;" - "&amp;Tabella1[[#This Row],[Città]]</f>
        <v>CORALLO - PORTO SAN GIORGIO</v>
      </c>
    </row>
    <row r="3244" spans="1:8" x14ac:dyDescent="0.25">
      <c r="A3244" s="1" t="s">
        <v>679</v>
      </c>
      <c r="B3244" s="1" t="s">
        <v>8135</v>
      </c>
      <c r="C3244" s="1" t="s">
        <v>8136</v>
      </c>
      <c r="D3244" s="1" t="s">
        <v>7889</v>
      </c>
      <c r="F3244" s="1" t="s">
        <v>8137</v>
      </c>
      <c r="G3244" s="1" t="s">
        <v>8138</v>
      </c>
      <c r="H3244" s="2" t="str">
        <f>Tabella1[[#This Row],[Denominazione]]&amp;" - "&amp;Tabella1[[#This Row],[Città]]</f>
        <v>CORALLO SUMMER VILLAGE - NUMANA</v>
      </c>
    </row>
    <row r="3245" spans="1:8" x14ac:dyDescent="0.25">
      <c r="A3245" s="1" t="s">
        <v>679</v>
      </c>
      <c r="B3245" s="1" t="s">
        <v>5733</v>
      </c>
      <c r="C3245" s="1" t="s">
        <v>5734</v>
      </c>
      <c r="D3245" s="1" t="s">
        <v>1864</v>
      </c>
      <c r="E3245" s="1" t="s">
        <v>5735</v>
      </c>
      <c r="G3245" s="1" t="s">
        <v>5736</v>
      </c>
      <c r="H3245" s="2" t="str">
        <f>Tabella1[[#This Row],[Denominazione]]&amp;" - "&amp;Tabella1[[#This Row],[Città]]</f>
        <v>CORI CARLO - ANCONA</v>
      </c>
    </row>
    <row r="3246" spans="1:8" x14ac:dyDescent="0.25">
      <c r="A3246" s="1" t="s">
        <v>29</v>
      </c>
      <c r="B3246" s="1" t="s">
        <v>13136</v>
      </c>
      <c r="C3246" s="1" t="s">
        <v>13137</v>
      </c>
      <c r="D3246" s="1" t="s">
        <v>13026</v>
      </c>
      <c r="F3246" s="1" t="s">
        <v>13138</v>
      </c>
      <c r="G3246" s="1" t="s">
        <v>13139</v>
      </c>
      <c r="H3246" s="2" t="str">
        <f>Tabella1[[#This Row],[Denominazione]]&amp;" - "&amp;Tabella1[[#This Row],[Città]]</f>
        <v>CORNER GARDEN B&amp;B - POTENZA PICENA</v>
      </c>
    </row>
    <row r="3247" spans="1:8" x14ac:dyDescent="0.25">
      <c r="A3247" s="1" t="s">
        <v>6</v>
      </c>
      <c r="B3247" s="1" t="s">
        <v>3108</v>
      </c>
      <c r="C3247" s="1" t="s">
        <v>3109</v>
      </c>
      <c r="D3247" s="1" t="s">
        <v>3100</v>
      </c>
      <c r="E3247" s="1" t="s">
        <v>3110</v>
      </c>
      <c r="F3247" s="1" t="s">
        <v>3111</v>
      </c>
      <c r="G3247" s="1" t="s">
        <v>3112</v>
      </c>
      <c r="H3247" s="2" t="str">
        <f>Tabella1[[#This Row],[Denominazione]]&amp;" - "&amp;Tabella1[[#This Row],[Città]]</f>
        <v>CORNIO DELLE FRONDE - MONTEFELCINO</v>
      </c>
    </row>
    <row r="3248" spans="1:8" x14ac:dyDescent="0.25">
      <c r="A3248" s="1" t="s">
        <v>12</v>
      </c>
      <c r="B3248" s="1" t="s">
        <v>1817</v>
      </c>
      <c r="C3248" s="1" t="s">
        <v>1818</v>
      </c>
      <c r="D3248" s="1" t="s">
        <v>1810</v>
      </c>
      <c r="H3248" s="2" t="str">
        <f>Tabella1[[#This Row],[Denominazione]]&amp;" - "&amp;Tabella1[[#This Row],[Città]]</f>
        <v>CORRADO CALIENDI - FRONTINO</v>
      </c>
    </row>
    <row r="3249" spans="1:8" x14ac:dyDescent="0.25">
      <c r="A3249" s="1" t="s">
        <v>29</v>
      </c>
      <c r="B3249" s="1" t="s">
        <v>7365</v>
      </c>
      <c r="C3249" s="1" t="s">
        <v>7366</v>
      </c>
      <c r="D3249" s="1" t="s">
        <v>7254</v>
      </c>
      <c r="E3249" s="1" t="s">
        <v>7254</v>
      </c>
      <c r="G3249" s="1" t="s">
        <v>7367</v>
      </c>
      <c r="H3249" s="2" t="str">
        <f>Tabella1[[#This Row],[Denominazione]]&amp;" - "&amp;Tabella1[[#This Row],[Città]]</f>
        <v>CORTE CLEMENTINA - JESI</v>
      </c>
    </row>
    <row r="3250" spans="1:8" x14ac:dyDescent="0.25">
      <c r="A3250" s="1" t="s">
        <v>6</v>
      </c>
      <c r="B3250" s="1" t="s">
        <v>14673</v>
      </c>
      <c r="C3250" s="1" t="s">
        <v>14674</v>
      </c>
      <c r="D3250" s="1" t="s">
        <v>14576</v>
      </c>
      <c r="E3250" s="1" t="s">
        <v>14576</v>
      </c>
      <c r="F3250" s="1" t="s">
        <v>14675</v>
      </c>
      <c r="G3250" s="1" t="s">
        <v>14676</v>
      </c>
      <c r="H3250" s="2" t="str">
        <f>Tabella1[[#This Row],[Denominazione]]&amp;" - "&amp;Tabella1[[#This Row],[Città]]</f>
        <v>CORTE DEL SOLE - ASCOLI PICENO</v>
      </c>
    </row>
    <row r="3251" spans="1:8" x14ac:dyDescent="0.25">
      <c r="A3251" s="1" t="s">
        <v>571</v>
      </c>
      <c r="B3251" s="1" t="s">
        <v>9637</v>
      </c>
      <c r="C3251" s="1" t="s">
        <v>9638</v>
      </c>
      <c r="D3251" s="1" t="s">
        <v>8949</v>
      </c>
      <c r="E3251" s="1" t="s">
        <v>8949</v>
      </c>
      <c r="F3251" s="1" t="s">
        <v>9639</v>
      </c>
      <c r="G3251" s="1" t="s">
        <v>9640</v>
      </c>
      <c r="H3251" s="2" t="str">
        <f>Tabella1[[#This Row],[Denominazione]]&amp;" - "&amp;Tabella1[[#This Row],[Città]]</f>
        <v>CORTINA - SENIGALLIA</v>
      </c>
    </row>
    <row r="3252" spans="1:8" x14ac:dyDescent="0.25">
      <c r="A3252" s="1" t="s">
        <v>12</v>
      </c>
      <c r="B3252" s="1" t="s">
        <v>1501</v>
      </c>
      <c r="C3252" s="1" t="s">
        <v>1502</v>
      </c>
      <c r="D3252" s="1" t="s">
        <v>682</v>
      </c>
      <c r="H3252" s="2" t="str">
        <f>Tabella1[[#This Row],[Denominazione]]&amp;" - "&amp;Tabella1[[#This Row],[Città]]</f>
        <v>COSIMO CORRADO BARBATO - FANO</v>
      </c>
    </row>
    <row r="3253" spans="1:8" x14ac:dyDescent="0.25">
      <c r="A3253" s="1" t="s">
        <v>6</v>
      </c>
      <c r="B3253" s="1" t="s">
        <v>8717</v>
      </c>
      <c r="C3253" s="1" t="s">
        <v>8718</v>
      </c>
      <c r="D3253" s="1" t="s">
        <v>8719</v>
      </c>
      <c r="G3253" s="1" t="s">
        <v>8720</v>
      </c>
      <c r="H3253" s="2" t="str">
        <f>Tabella1[[#This Row],[Denominazione]]&amp;" - "&amp;Tabella1[[#This Row],[Città]]</f>
        <v>COSTA DEL MOLINO - POGGIO SAN MARCELLO</v>
      </c>
    </row>
    <row r="3254" spans="1:8" x14ac:dyDescent="0.25">
      <c r="A3254" s="1" t="s">
        <v>35</v>
      </c>
      <c r="B3254" s="1" t="s">
        <v>3099</v>
      </c>
      <c r="D3254" s="1" t="s">
        <v>3100</v>
      </c>
      <c r="E3254" s="1" t="s">
        <v>3101</v>
      </c>
      <c r="G3254" s="1" t="s">
        <v>3102</v>
      </c>
      <c r="H3254" s="2" t="str">
        <f>Tabella1[[#This Row],[Denominazione]]&amp;" - "&amp;Tabella1[[#This Row],[Città]]</f>
        <v>COSTA DELLA FIGURA - MONTEFELCINO</v>
      </c>
    </row>
    <row r="3255" spans="1:8" x14ac:dyDescent="0.25">
      <c r="A3255" s="1" t="s">
        <v>12</v>
      </c>
      <c r="B3255" s="1" t="s">
        <v>13111</v>
      </c>
      <c r="C3255" s="1" t="s">
        <v>13112</v>
      </c>
      <c r="D3255" s="1" t="s">
        <v>13026</v>
      </c>
      <c r="E3255" s="1" t="s">
        <v>13113</v>
      </c>
      <c r="F3255" s="1" t="s">
        <v>13114</v>
      </c>
      <c r="G3255" s="1" t="s">
        <v>13115</v>
      </c>
      <c r="H3255" s="2" t="str">
        <f>Tabella1[[#This Row],[Denominazione]]&amp;" - "&amp;Tabella1[[#This Row],[Città]]</f>
        <v>COSTANTINI STEFANO - POTENZA PICENA</v>
      </c>
    </row>
    <row r="3256" spans="1:8" x14ac:dyDescent="0.25">
      <c r="A3256" s="1" t="s">
        <v>82</v>
      </c>
      <c r="B3256" s="1" t="s">
        <v>781</v>
      </c>
      <c r="C3256" s="1" t="s">
        <v>782</v>
      </c>
      <c r="D3256" s="1" t="s">
        <v>682</v>
      </c>
      <c r="E3256" s="1" t="s">
        <v>783</v>
      </c>
      <c r="G3256" s="1" t="s">
        <v>784</v>
      </c>
      <c r="H3256" s="2" t="str">
        <f>Tabella1[[#This Row],[Denominazione]]&amp;" - "&amp;Tabella1[[#This Row],[Città]]</f>
        <v>COSTANZA - FANO</v>
      </c>
    </row>
    <row r="3257" spans="1:8" x14ac:dyDescent="0.25">
      <c r="A3257" s="1" t="s">
        <v>12</v>
      </c>
      <c r="B3257" s="1" t="s">
        <v>14198</v>
      </c>
      <c r="C3257" s="1" t="s">
        <v>14199</v>
      </c>
      <c r="D3257" s="1" t="s">
        <v>14195</v>
      </c>
      <c r="G3257" s="1" t="s">
        <v>14200</v>
      </c>
      <c r="H3257" s="2" t="str">
        <f>Tabella1[[#This Row],[Denominazione]]&amp;" - "&amp;Tabella1[[#This Row],[Città]]</f>
        <v>COTTAGE LA VOLPE E IL FAGIANO - URBISAGLIA</v>
      </c>
    </row>
    <row r="3258" spans="1:8" x14ac:dyDescent="0.25">
      <c r="A3258" s="1" t="s">
        <v>29</v>
      </c>
      <c r="B3258" s="1" t="s">
        <v>10926</v>
      </c>
      <c r="C3258" s="1" t="s">
        <v>10927</v>
      </c>
      <c r="D3258" s="1" t="s">
        <v>10912</v>
      </c>
      <c r="E3258" s="1" t="s">
        <v>10912</v>
      </c>
      <c r="F3258" s="1" t="s">
        <v>10928</v>
      </c>
      <c r="G3258" s="1" t="s">
        <v>10929</v>
      </c>
      <c r="H3258" s="2" t="str">
        <f>Tabella1[[#This Row],[Denominazione]]&amp;" - "&amp;Tabella1[[#This Row],[Città]]</f>
        <v>COUNTRY  B&amp;B IL VOLO DEL FALCO - CAMPOROTONDO DI FIASTRONE</v>
      </c>
    </row>
    <row r="3259" spans="1:8" x14ac:dyDescent="0.25">
      <c r="A3259" s="1" t="s">
        <v>20</v>
      </c>
      <c r="B3259" s="1" t="s">
        <v>16606</v>
      </c>
      <c r="C3259" s="1" t="s">
        <v>16607</v>
      </c>
      <c r="D3259" s="1" t="s">
        <v>16585</v>
      </c>
      <c r="E3259" s="1" t="s">
        <v>371</v>
      </c>
      <c r="F3259" s="1" t="s">
        <v>16608</v>
      </c>
      <c r="G3259" s="1" t="s">
        <v>16609</v>
      </c>
      <c r="H3259" s="2" t="str">
        <f>Tabella1[[#This Row],[Denominazione]]&amp;" - "&amp;Tabella1[[#This Row],[Città]]</f>
        <v>COUNTRY HOTEL &amp; RESTAURANT I CALANCHI - RIPATRANSONE</v>
      </c>
    </row>
    <row r="3260" spans="1:8" x14ac:dyDescent="0.25">
      <c r="A3260" s="1" t="s">
        <v>20</v>
      </c>
      <c r="B3260" s="1" t="s">
        <v>8847</v>
      </c>
      <c r="C3260" s="1" t="s">
        <v>8848</v>
      </c>
      <c r="D3260" s="1" t="s">
        <v>8849</v>
      </c>
      <c r="E3260" s="1" t="s">
        <v>8850</v>
      </c>
      <c r="F3260" s="1" t="s">
        <v>8851</v>
      </c>
      <c r="G3260" s="1" t="s">
        <v>8852</v>
      </c>
      <c r="H3260" s="2" t="str">
        <f>Tabella1[[#This Row],[Denominazione]]&amp;" - "&amp;Tabella1[[#This Row],[Città]]</f>
        <v>COUNTRY HOTEL SASSOFERRATO - SASSOFERRATO</v>
      </c>
    </row>
    <row r="3261" spans="1:8" x14ac:dyDescent="0.25">
      <c r="A3261" s="1" t="s">
        <v>6</v>
      </c>
      <c r="B3261" s="1" t="s">
        <v>5227</v>
      </c>
      <c r="C3261" s="1" t="s">
        <v>5228</v>
      </c>
      <c r="D3261" s="1" t="s">
        <v>9</v>
      </c>
      <c r="E3261" s="1" t="s">
        <v>9</v>
      </c>
      <c r="F3261" s="1" t="s">
        <v>5229</v>
      </c>
      <c r="G3261" s="1" t="s">
        <v>5230</v>
      </c>
      <c r="H3261" s="2" t="str">
        <f>Tabella1[[#This Row],[Denominazione]]&amp;" - "&amp;Tabella1[[#This Row],[Città]]</f>
        <v>COUNTRY HOUSE  "CA' VERNACCIA" - URBINO</v>
      </c>
    </row>
    <row r="3262" spans="1:8" x14ac:dyDescent="0.25">
      <c r="A3262" s="1" t="s">
        <v>6</v>
      </c>
      <c r="B3262" s="1" t="s">
        <v>12190</v>
      </c>
      <c r="C3262" s="1" t="s">
        <v>12191</v>
      </c>
      <c r="D3262" s="1" t="s">
        <v>12050</v>
      </c>
      <c r="E3262" s="1" t="s">
        <v>12050</v>
      </c>
      <c r="F3262" s="1" t="s">
        <v>12192</v>
      </c>
      <c r="G3262" s="1" t="s">
        <v>12193</v>
      </c>
      <c r="H3262" s="2" t="str">
        <f>Tabella1[[#This Row],[Denominazione]]&amp;" - "&amp;Tabella1[[#This Row],[Città]]</f>
        <v>COUNTRY HOUSE  "I GELSI"  DI VILLANI FRANCESCA - MACERATA</v>
      </c>
    </row>
    <row r="3263" spans="1:8" x14ac:dyDescent="0.25">
      <c r="A3263" s="1" t="s">
        <v>6</v>
      </c>
      <c r="B3263" s="1" t="s">
        <v>11070</v>
      </c>
      <c r="C3263" s="1" t="s">
        <v>11071</v>
      </c>
      <c r="D3263" s="1" t="s">
        <v>11058</v>
      </c>
      <c r="E3263" s="1" t="s">
        <v>11058</v>
      </c>
      <c r="G3263" s="1" t="s">
        <v>11072</v>
      </c>
      <c r="H3263" s="2" t="str">
        <f>Tabella1[[#This Row],[Denominazione]]&amp;" - "&amp;Tabella1[[#This Row],[Città]]</f>
        <v>COUNTRY HOUSE  BINNELLA DI TRILLINI RICCARDO - CINGOLI</v>
      </c>
    </row>
    <row r="3264" spans="1:8" x14ac:dyDescent="0.25">
      <c r="A3264" s="1" t="s">
        <v>6</v>
      </c>
      <c r="B3264" s="1" t="s">
        <v>4970</v>
      </c>
      <c r="C3264" s="1" t="s">
        <v>4971</v>
      </c>
      <c r="D3264" s="1" t="s">
        <v>9</v>
      </c>
      <c r="E3264" s="1" t="s">
        <v>9</v>
      </c>
      <c r="F3264" s="1" t="s">
        <v>4972</v>
      </c>
      <c r="G3264" s="1" t="s">
        <v>4973</v>
      </c>
      <c r="H3264" s="2" t="str">
        <f>Tabella1[[#This Row],[Denominazione]]&amp;" - "&amp;Tabella1[[#This Row],[Città]]</f>
        <v>COUNTRY HOUSE AI CIPRESSI - URBINO</v>
      </c>
    </row>
    <row r="3265" spans="1:8" x14ac:dyDescent="0.25">
      <c r="A3265" s="1" t="s">
        <v>6</v>
      </c>
      <c r="B3265" s="1" t="s">
        <v>4839</v>
      </c>
      <c r="C3265" s="1" t="s">
        <v>4840</v>
      </c>
      <c r="D3265" s="1" t="s">
        <v>4735</v>
      </c>
      <c r="E3265" s="1" t="s">
        <v>4735</v>
      </c>
      <c r="F3265" s="1" t="s">
        <v>4841</v>
      </c>
      <c r="G3265" s="1" t="s">
        <v>4842</v>
      </c>
      <c r="H3265" s="2" t="str">
        <f>Tabella1[[#This Row],[Denominazione]]&amp;" - "&amp;Tabella1[[#This Row],[Città]]</f>
        <v>COUNTRY HOUSE ANGELO BLU - URBANIA</v>
      </c>
    </row>
    <row r="3266" spans="1:8" x14ac:dyDescent="0.25">
      <c r="A3266" s="1" t="s">
        <v>6</v>
      </c>
      <c r="B3266" s="1" t="s">
        <v>3291</v>
      </c>
      <c r="C3266" s="1" t="s">
        <v>3292</v>
      </c>
      <c r="D3266" s="1" t="s">
        <v>3282</v>
      </c>
      <c r="E3266" s="1" t="s">
        <v>3282</v>
      </c>
      <c r="H3266" s="2" t="str">
        <f>Tabella1[[#This Row],[Denominazione]]&amp;" - "&amp;Tabella1[[#This Row],[Città]]</f>
        <v>COUNTRY HOUSE CA' - LANI - PEGLIO</v>
      </c>
    </row>
    <row r="3267" spans="1:8" x14ac:dyDescent="0.25">
      <c r="A3267" s="1" t="s">
        <v>6</v>
      </c>
      <c r="B3267" s="1" t="s">
        <v>5350</v>
      </c>
      <c r="C3267" s="1" t="s">
        <v>5351</v>
      </c>
      <c r="D3267" s="1" t="s">
        <v>9</v>
      </c>
      <c r="E3267" s="1" t="s">
        <v>9</v>
      </c>
      <c r="G3267" s="1" t="s">
        <v>5352</v>
      </c>
      <c r="H3267" s="2" t="str">
        <f>Tabella1[[#This Row],[Denominazione]]&amp;" - "&amp;Tabella1[[#This Row],[Città]]</f>
        <v>COUNTRY HOUSE CA' BRUNELLO di LORENZONI FILIPPO - URBINO</v>
      </c>
    </row>
    <row r="3268" spans="1:8" x14ac:dyDescent="0.25">
      <c r="A3268" s="1" t="s">
        <v>6</v>
      </c>
      <c r="B3268" s="1" t="s">
        <v>477</v>
      </c>
      <c r="C3268" s="1" t="s">
        <v>478</v>
      </c>
      <c r="D3268" s="1" t="s">
        <v>316</v>
      </c>
      <c r="E3268" s="1" t="s">
        <v>316</v>
      </c>
      <c r="G3268" s="1" t="s">
        <v>479</v>
      </c>
      <c r="H3268" s="2" t="str">
        <f>Tabella1[[#This Row],[Denominazione]]&amp;" - "&amp;Tabella1[[#This Row],[Città]]</f>
        <v>COUNTRY HOUSE CA' BUCARINI - CAGLI</v>
      </c>
    </row>
    <row r="3269" spans="1:8" x14ac:dyDescent="0.25">
      <c r="A3269" s="1" t="s">
        <v>6</v>
      </c>
      <c r="B3269" s="1" t="s">
        <v>4228</v>
      </c>
      <c r="C3269" s="1" t="s">
        <v>4229</v>
      </c>
      <c r="D3269" s="1" t="s">
        <v>4175</v>
      </c>
      <c r="F3269" s="1" t="s">
        <v>4230</v>
      </c>
      <c r="G3269" s="1" t="s">
        <v>4231</v>
      </c>
      <c r="H3269" s="2" t="str">
        <f>Tabella1[[#This Row],[Denominazione]]&amp;" - "&amp;Tabella1[[#This Row],[Città]]</f>
        <v>COUNTRY HOUSE CA PAZZO - PIOBBICO</v>
      </c>
    </row>
    <row r="3270" spans="1:8" x14ac:dyDescent="0.25">
      <c r="A3270" s="1" t="s">
        <v>6</v>
      </c>
      <c r="B3270" s="1" t="s">
        <v>130</v>
      </c>
      <c r="C3270" s="1" t="s">
        <v>131</v>
      </c>
      <c r="D3270" s="1" t="s">
        <v>102</v>
      </c>
      <c r="E3270" s="1" t="s">
        <v>102</v>
      </c>
      <c r="F3270" s="1" t="s">
        <v>132</v>
      </c>
      <c r="G3270" s="1" t="s">
        <v>133</v>
      </c>
      <c r="H3270" s="2" t="str">
        <f>Tabella1[[#This Row],[Denominazione]]&amp;" - "&amp;Tabella1[[#This Row],[Città]]</f>
        <v>COUNTRY HOUSE CACCIABOCCA - APECCHIO</v>
      </c>
    </row>
    <row r="3271" spans="1:8" x14ac:dyDescent="0.25">
      <c r="A3271" s="1" t="s">
        <v>6</v>
      </c>
      <c r="B3271" s="1" t="s">
        <v>10760</v>
      </c>
      <c r="C3271" s="1" t="s">
        <v>10757</v>
      </c>
      <c r="D3271" s="1" t="s">
        <v>10737</v>
      </c>
      <c r="E3271" s="1" t="s">
        <v>10737</v>
      </c>
      <c r="F3271" s="1" t="s">
        <v>10761</v>
      </c>
      <c r="G3271" s="1" t="s">
        <v>10762</v>
      </c>
      <c r="H3271" s="2" t="str">
        <f>Tabella1[[#This Row],[Denominazione]]&amp;" - "&amp;Tabella1[[#This Row],[Città]]</f>
        <v>COUNTRY HOUSE CALVIE - CAMERINO</v>
      </c>
    </row>
    <row r="3272" spans="1:8" x14ac:dyDescent="0.25">
      <c r="A3272" s="1" t="s">
        <v>6</v>
      </c>
      <c r="B3272" s="1" t="s">
        <v>4463</v>
      </c>
      <c r="C3272" s="1" t="s">
        <v>4464</v>
      </c>
      <c r="D3272" s="1" t="s">
        <v>4465</v>
      </c>
      <c r="G3272" s="1" t="s">
        <v>4466</v>
      </c>
      <c r="H3272" s="2" t="str">
        <f>Tabella1[[#This Row],[Denominazione]]&amp;" - "&amp;Tabella1[[#This Row],[Città]]</f>
        <v>COUNTRY HOUSE CASA LONDEI - SANT'IPPOLITO</v>
      </c>
    </row>
    <row r="3273" spans="1:8" x14ac:dyDescent="0.25">
      <c r="A3273" s="1" t="s">
        <v>6</v>
      </c>
      <c r="B3273" s="1" t="s">
        <v>18691</v>
      </c>
      <c r="C3273" s="1" t="s">
        <v>18692</v>
      </c>
      <c r="D3273" s="1" t="s">
        <v>18693</v>
      </c>
      <c r="E3273" s="1" t="s">
        <v>18693</v>
      </c>
      <c r="F3273" s="1" t="s">
        <v>18694</v>
      </c>
      <c r="G3273" s="1" t="s">
        <v>18695</v>
      </c>
      <c r="H3273" s="2" t="str">
        <f>Tabella1[[#This Row],[Denominazione]]&amp;" - "&amp;Tabella1[[#This Row],[Città]]</f>
        <v>COUNTRY HOUSE CASA ROSSA - MONTELEONE DI FERMO</v>
      </c>
    </row>
    <row r="3274" spans="1:8" x14ac:dyDescent="0.25">
      <c r="A3274" s="1" t="s">
        <v>6</v>
      </c>
      <c r="B3274" s="1" t="s">
        <v>981</v>
      </c>
      <c r="C3274" s="1" t="s">
        <v>982</v>
      </c>
      <c r="D3274" s="1" t="s">
        <v>682</v>
      </c>
      <c r="E3274" s="1" t="s">
        <v>682</v>
      </c>
      <c r="F3274" s="1" t="s">
        <v>983</v>
      </c>
      <c r="G3274" s="1" t="s">
        <v>984</v>
      </c>
      <c r="H3274" s="2" t="str">
        <f>Tabella1[[#This Row],[Denominazione]]&amp;" - "&amp;Tabella1[[#This Row],[Città]]</f>
        <v>COUNTRY HOUSE CASTELLO DI MONTEGIOVE - FANO</v>
      </c>
    </row>
    <row r="3275" spans="1:8" x14ac:dyDescent="0.25">
      <c r="A3275" s="1" t="s">
        <v>6</v>
      </c>
      <c r="B3275" s="1" t="s">
        <v>13512</v>
      </c>
      <c r="C3275" s="1" t="s">
        <v>13513</v>
      </c>
      <c r="D3275" s="1" t="s">
        <v>6072</v>
      </c>
      <c r="E3275" s="1" t="s">
        <v>6072</v>
      </c>
      <c r="F3275" s="1" t="s">
        <v>13514</v>
      </c>
      <c r="G3275" s="1" t="s">
        <v>13515</v>
      </c>
      <c r="H3275" s="2" t="str">
        <f>Tabella1[[#This Row],[Denominazione]]&amp;" - "&amp;Tabella1[[#This Row],[Città]]</f>
        <v>COUNTRY HOUSE CERQUETO di MONICA MARIA HENRICA DE VEER - SAN GINESIO</v>
      </c>
    </row>
    <row r="3276" spans="1:8" x14ac:dyDescent="0.25">
      <c r="A3276" s="1" t="s">
        <v>6</v>
      </c>
      <c r="B3276" s="1" t="s">
        <v>16016</v>
      </c>
      <c r="C3276" s="1" t="s">
        <v>16017</v>
      </c>
      <c r="D3276" s="1" t="s">
        <v>5692</v>
      </c>
      <c r="E3276" s="1" t="s">
        <v>5692</v>
      </c>
      <c r="F3276" s="1" t="s">
        <v>16018</v>
      </c>
      <c r="G3276" s="1" t="s">
        <v>16019</v>
      </c>
      <c r="H3276" s="2" t="str">
        <f>Tabella1[[#This Row],[Denominazione]]&amp;" - "&amp;Tabella1[[#This Row],[Città]]</f>
        <v>COUNTRY HOUSE CHIARALUCE - MASSIGNANO</v>
      </c>
    </row>
    <row r="3277" spans="1:8" x14ac:dyDescent="0.25">
      <c r="A3277" s="1" t="s">
        <v>6</v>
      </c>
      <c r="B3277" s="1" t="s">
        <v>10903</v>
      </c>
      <c r="C3277" s="1" t="s">
        <v>10904</v>
      </c>
      <c r="D3277" s="1" t="s">
        <v>10737</v>
      </c>
      <c r="E3277" s="1" t="s">
        <v>10905</v>
      </c>
      <c r="G3277" s="1" t="s">
        <v>10906</v>
      </c>
      <c r="H3277" s="2" t="str">
        <f>Tabella1[[#This Row],[Denominazione]]&amp;" - "&amp;Tabella1[[#This Row],[Città]]</f>
        <v>COUNTRY HOUSE COLLE RIDENTE - CAMERINO</v>
      </c>
    </row>
    <row r="3278" spans="1:8" x14ac:dyDescent="0.25">
      <c r="A3278" s="1" t="s">
        <v>6</v>
      </c>
      <c r="B3278" s="1" t="s">
        <v>10633</v>
      </c>
      <c r="C3278" s="1" t="s">
        <v>10634</v>
      </c>
      <c r="D3278" s="1" t="s">
        <v>10630</v>
      </c>
      <c r="E3278" s="1" t="s">
        <v>10630</v>
      </c>
      <c r="F3278" s="1" t="s">
        <v>10635</v>
      </c>
      <c r="G3278" s="1" t="s">
        <v>10636</v>
      </c>
      <c r="H3278" s="2" t="str">
        <f>Tabella1[[#This Row],[Denominazione]]&amp;" - "&amp;Tabella1[[#This Row],[Città]]</f>
        <v>COUNTRY HOUSE DEI SEGRETI - APPIGNANO</v>
      </c>
    </row>
    <row r="3279" spans="1:8" x14ac:dyDescent="0.25">
      <c r="A3279" s="1" t="s">
        <v>6</v>
      </c>
      <c r="B3279" s="1" t="s">
        <v>11180</v>
      </c>
      <c r="C3279" s="1" t="s">
        <v>11181</v>
      </c>
      <c r="D3279" s="1" t="s">
        <v>11058</v>
      </c>
      <c r="E3279" s="1" t="s">
        <v>11058</v>
      </c>
      <c r="F3279" s="1" t="s">
        <v>11182</v>
      </c>
      <c r="G3279" s="1" t="s">
        <v>11183</v>
      </c>
      <c r="H3279" s="2" t="str">
        <f>Tabella1[[#This Row],[Denominazione]]&amp;" - "&amp;Tabella1[[#This Row],[Città]]</f>
        <v>COUNTRY HOUSE DI CAPODIMONTE MARISA - CINGOLI</v>
      </c>
    </row>
    <row r="3280" spans="1:8" x14ac:dyDescent="0.25">
      <c r="A3280" s="1" t="s">
        <v>6</v>
      </c>
      <c r="B3280" s="1" t="s">
        <v>14192</v>
      </c>
      <c r="C3280" s="1" t="s">
        <v>14193</v>
      </c>
      <c r="D3280" s="1" t="s">
        <v>14065</v>
      </c>
      <c r="E3280" s="1" t="s">
        <v>14065</v>
      </c>
      <c r="H3280" s="2" t="str">
        <f>Tabella1[[#This Row],[Denominazione]]&amp;" - "&amp;Tabella1[[#This Row],[Città]]</f>
        <v>COUNTRY HOUSE DI FEDERICI ANNA - TREIA</v>
      </c>
    </row>
    <row r="3281" spans="1:8" x14ac:dyDescent="0.25">
      <c r="A3281" s="1" t="s">
        <v>6</v>
      </c>
      <c r="B3281" s="1" t="s">
        <v>3332</v>
      </c>
      <c r="C3281" s="1" t="s">
        <v>3333</v>
      </c>
      <c r="D3281" s="1" t="s">
        <v>3305</v>
      </c>
      <c r="G3281" s="1" t="s">
        <v>3334</v>
      </c>
      <c r="H3281" s="2" t="str">
        <f>Tabella1[[#This Row],[Denominazione]]&amp;" - "&amp;Tabella1[[#This Row],[Città]]</f>
        <v>COUNTRY HOUSE ELINE - PERGOLA</v>
      </c>
    </row>
    <row r="3282" spans="1:8" x14ac:dyDescent="0.25">
      <c r="A3282" s="1" t="s">
        <v>6</v>
      </c>
      <c r="B3282" s="1" t="s">
        <v>17922</v>
      </c>
      <c r="C3282" s="1" t="s">
        <v>17923</v>
      </c>
      <c r="D3282" s="1" t="s">
        <v>17909</v>
      </c>
      <c r="E3282" s="1" t="s">
        <v>17909</v>
      </c>
      <c r="F3282" s="1" t="s">
        <v>17924</v>
      </c>
      <c r="G3282" s="1" t="s">
        <v>17925</v>
      </c>
      <c r="H3282" s="2" t="str">
        <f>Tabella1[[#This Row],[Denominazione]]&amp;" - "&amp;Tabella1[[#This Row],[Città]]</f>
        <v>COUNTRY HOUSE FALERIA - FALERONE</v>
      </c>
    </row>
    <row r="3283" spans="1:8" x14ac:dyDescent="0.25">
      <c r="A3283" s="1" t="s">
        <v>6</v>
      </c>
      <c r="B3283" s="1" t="s">
        <v>13433</v>
      </c>
      <c r="C3283" s="1" t="s">
        <v>13434</v>
      </c>
      <c r="D3283" s="1" t="s">
        <v>13428</v>
      </c>
      <c r="E3283" s="1" t="s">
        <v>13428</v>
      </c>
      <c r="G3283" s="1" t="s">
        <v>13435</v>
      </c>
      <c r="H3283" s="2" t="str">
        <f>Tabella1[[#This Row],[Denominazione]]&amp;" - "&amp;Tabella1[[#This Row],[Città]]</f>
        <v>COUNTRY HOUSE FANTASIA di CICCIOLI CARLA - RIPE SAN GINESIO</v>
      </c>
    </row>
    <row r="3284" spans="1:8" x14ac:dyDescent="0.25">
      <c r="A3284" s="1" t="s">
        <v>82</v>
      </c>
      <c r="B3284" s="1" t="s">
        <v>18512</v>
      </c>
      <c r="C3284" s="1" t="s">
        <v>18513</v>
      </c>
      <c r="D3284" s="1" t="s">
        <v>18499</v>
      </c>
      <c r="G3284" s="1" t="s">
        <v>18514</v>
      </c>
      <c r="H3284" s="2" t="str">
        <f>Tabella1[[#This Row],[Denominazione]]&amp;" - "&amp;Tabella1[[#This Row],[Città]]</f>
        <v>COUNTRY HOUSE FAVETO - MONTEFALCONE APPENNINO</v>
      </c>
    </row>
    <row r="3285" spans="1:8" x14ac:dyDescent="0.25">
      <c r="A3285" s="1" t="s">
        <v>6</v>
      </c>
      <c r="B3285" s="1" t="s">
        <v>11063</v>
      </c>
      <c r="C3285" s="1" t="s">
        <v>11064</v>
      </c>
      <c r="D3285" s="1" t="s">
        <v>11058</v>
      </c>
      <c r="E3285" s="1" t="s">
        <v>11058</v>
      </c>
      <c r="F3285" s="1" t="s">
        <v>11065</v>
      </c>
      <c r="G3285" s="1" t="s">
        <v>11066</v>
      </c>
      <c r="H3285" s="2" t="str">
        <f>Tabella1[[#This Row],[Denominazione]]&amp;" - "&amp;Tabella1[[#This Row],[Città]]</f>
        <v>COUNTRY HOUSE I MORI - CINGOLI</v>
      </c>
    </row>
    <row r="3286" spans="1:8" x14ac:dyDescent="0.25">
      <c r="A3286" s="1" t="s">
        <v>6</v>
      </c>
      <c r="B3286" s="1" t="s">
        <v>14189</v>
      </c>
      <c r="C3286" s="1" t="s">
        <v>14190</v>
      </c>
      <c r="D3286" s="1" t="s">
        <v>14065</v>
      </c>
      <c r="E3286" s="1" t="s">
        <v>14065</v>
      </c>
      <c r="F3286" s="1" t="s">
        <v>14191</v>
      </c>
      <c r="G3286" s="1" t="s">
        <v>14176</v>
      </c>
      <c r="H3286" s="2" t="str">
        <f>Tabella1[[#This Row],[Denominazione]]&amp;" - "&amp;Tabella1[[#This Row],[Città]]</f>
        <v>COUNTRY HOUSE IL CASALE - TREIA</v>
      </c>
    </row>
    <row r="3287" spans="1:8" x14ac:dyDescent="0.25">
      <c r="A3287" s="1" t="s">
        <v>6</v>
      </c>
      <c r="B3287" s="1" t="s">
        <v>4212</v>
      </c>
      <c r="C3287" s="1" t="s">
        <v>4213</v>
      </c>
      <c r="D3287" s="1" t="s">
        <v>4175</v>
      </c>
      <c r="E3287" s="1" t="s">
        <v>4175</v>
      </c>
      <c r="F3287" s="1" t="s">
        <v>4214</v>
      </c>
      <c r="G3287" s="1" t="s">
        <v>4215</v>
      </c>
      <c r="H3287" s="2" t="str">
        <f>Tabella1[[#This Row],[Denominazione]]&amp;" - "&amp;Tabella1[[#This Row],[Città]]</f>
        <v>COUNTRY HOUSE IL FALCO - PIOBBICO</v>
      </c>
    </row>
    <row r="3288" spans="1:8" x14ac:dyDescent="0.25">
      <c r="A3288" s="1" t="s">
        <v>6</v>
      </c>
      <c r="B3288" s="1" t="s">
        <v>327</v>
      </c>
      <c r="C3288" s="1" t="s">
        <v>328</v>
      </c>
      <c r="D3288" s="1" t="s">
        <v>316</v>
      </c>
      <c r="E3288" s="1" t="s">
        <v>329</v>
      </c>
      <c r="F3288" s="1" t="s">
        <v>330</v>
      </c>
      <c r="G3288" s="1" t="s">
        <v>331</v>
      </c>
      <c r="H3288" s="2" t="str">
        <f>Tabella1[[#This Row],[Denominazione]]&amp;" - "&amp;Tabella1[[#This Row],[Città]]</f>
        <v>COUNTRY HOUSE IL GIORDANO,SASSO DELLA ROCCA - CAGLI</v>
      </c>
    </row>
    <row r="3289" spans="1:8" x14ac:dyDescent="0.25">
      <c r="A3289" s="1" t="s">
        <v>6092</v>
      </c>
      <c r="B3289" s="1" t="s">
        <v>16032</v>
      </c>
      <c r="C3289" s="1" t="s">
        <v>16033</v>
      </c>
      <c r="D3289" s="1" t="s">
        <v>5692</v>
      </c>
      <c r="E3289" s="1" t="s">
        <v>5692</v>
      </c>
      <c r="G3289" s="1" t="s">
        <v>16034</v>
      </c>
      <c r="H3289" s="2" t="str">
        <f>Tabella1[[#This Row],[Denominazione]]&amp;" - "&amp;Tabella1[[#This Row],[Città]]</f>
        <v>COUNTRY HOUSE IL GIRASOLE - MASSIGNANO</v>
      </c>
    </row>
    <row r="3290" spans="1:8" x14ac:dyDescent="0.25">
      <c r="A3290" s="1" t="s">
        <v>6</v>
      </c>
      <c r="B3290" s="1" t="s">
        <v>11224</v>
      </c>
      <c r="C3290" s="1" t="s">
        <v>11225</v>
      </c>
      <c r="D3290" s="1" t="s">
        <v>11058</v>
      </c>
      <c r="E3290" s="1" t="s">
        <v>11058</v>
      </c>
      <c r="H3290" s="2" t="str">
        <f>Tabella1[[#This Row],[Denominazione]]&amp;" - "&amp;Tabella1[[#This Row],[Città]]</f>
        <v>COUNTRY HOUSE IL MOLINO - CINGOLI</v>
      </c>
    </row>
    <row r="3291" spans="1:8" x14ac:dyDescent="0.25">
      <c r="A3291" s="1" t="s">
        <v>6</v>
      </c>
      <c r="B3291" s="1" t="s">
        <v>11073</v>
      </c>
      <c r="C3291" s="1" t="s">
        <v>1098</v>
      </c>
      <c r="D3291" s="1" t="s">
        <v>11058</v>
      </c>
      <c r="E3291" s="1" t="s">
        <v>11058</v>
      </c>
      <c r="G3291" s="1" t="s">
        <v>11074</v>
      </c>
      <c r="H3291" s="2" t="str">
        <f>Tabella1[[#This Row],[Denominazione]]&amp;" - "&amp;Tabella1[[#This Row],[Città]]</f>
        <v>COUNTRY HOUSE IL PRATO di ZANCONI PAOLO - CINGOLI</v>
      </c>
    </row>
    <row r="3292" spans="1:8" x14ac:dyDescent="0.25">
      <c r="A3292" s="1" t="s">
        <v>6</v>
      </c>
      <c r="B3292" s="1" t="s">
        <v>14074</v>
      </c>
      <c r="C3292" s="1" t="s">
        <v>14075</v>
      </c>
      <c r="D3292" s="1" t="s">
        <v>14065</v>
      </c>
      <c r="E3292" s="1" t="s">
        <v>14065</v>
      </c>
      <c r="F3292" s="1" t="s">
        <v>14076</v>
      </c>
      <c r="G3292" s="1" t="s">
        <v>14077</v>
      </c>
      <c r="H3292" s="2" t="str">
        <f>Tabella1[[#This Row],[Denominazione]]&amp;" - "&amp;Tabella1[[#This Row],[Città]]</f>
        <v>COUNTRY HOUSE IL VILLINO - TREIA</v>
      </c>
    </row>
    <row r="3293" spans="1:8" x14ac:dyDescent="0.25">
      <c r="A3293" s="1" t="s">
        <v>6</v>
      </c>
      <c r="B3293" s="1" t="s">
        <v>977</v>
      </c>
      <c r="C3293" s="1" t="s">
        <v>978</v>
      </c>
      <c r="D3293" s="1" t="s">
        <v>682</v>
      </c>
      <c r="E3293" s="1" t="s">
        <v>682</v>
      </c>
      <c r="F3293" s="1" t="s">
        <v>979</v>
      </c>
      <c r="G3293" s="1" t="s">
        <v>980</v>
      </c>
      <c r="H3293" s="2" t="str">
        <f>Tabella1[[#This Row],[Denominazione]]&amp;" - "&amp;Tabella1[[#This Row],[Città]]</f>
        <v>COUNTRY HOUSE ISOLA BELGATTO - FANO</v>
      </c>
    </row>
    <row r="3294" spans="1:8" x14ac:dyDescent="0.25">
      <c r="A3294" s="1" t="s">
        <v>6</v>
      </c>
      <c r="B3294" s="1" t="s">
        <v>5439</v>
      </c>
      <c r="C3294" s="1" t="s">
        <v>5440</v>
      </c>
      <c r="D3294" s="1" t="s">
        <v>5423</v>
      </c>
      <c r="G3294" s="1" t="s">
        <v>5441</v>
      </c>
      <c r="H3294" s="2" t="str">
        <f>Tabella1[[#This Row],[Denominazione]]&amp;" - "&amp;Tabella1[[#This Row],[Città]]</f>
        <v>COUNTRY HOUSE LA CILICCHIA DI VESSELIZZA CHIARA - AGUGLIANO</v>
      </c>
    </row>
    <row r="3295" spans="1:8" x14ac:dyDescent="0.25">
      <c r="A3295" s="1" t="s">
        <v>6</v>
      </c>
      <c r="B3295" s="1" t="s">
        <v>14071</v>
      </c>
      <c r="C3295" s="1" t="s">
        <v>14072</v>
      </c>
      <c r="D3295" s="1" t="s">
        <v>14065</v>
      </c>
      <c r="E3295" s="1" t="s">
        <v>14065</v>
      </c>
      <c r="F3295" s="1" t="s">
        <v>14073</v>
      </c>
      <c r="H3295" s="2" t="str">
        <f>Tabella1[[#This Row],[Denominazione]]&amp;" - "&amp;Tabella1[[#This Row],[Città]]</f>
        <v>COUNTRY HOUSE LA FATTORIA - TREIA</v>
      </c>
    </row>
    <row r="3296" spans="1:8" x14ac:dyDescent="0.25">
      <c r="A3296" s="1" t="s">
        <v>6</v>
      </c>
      <c r="B3296" s="1" t="s">
        <v>14453</v>
      </c>
      <c r="D3296" s="1" t="s">
        <v>14428</v>
      </c>
      <c r="E3296" s="1" t="s">
        <v>14428</v>
      </c>
      <c r="G3296" s="1" t="s">
        <v>14454</v>
      </c>
      <c r="H3296" s="2" t="str">
        <f>Tabella1[[#This Row],[Denominazione]]&amp;" - "&amp;Tabella1[[#This Row],[Città]]</f>
        <v>COUNTRY HOUSE LA FOROLA 1923 - ACQUAVIVA PICENA</v>
      </c>
    </row>
    <row r="3297" spans="1:8" x14ac:dyDescent="0.25">
      <c r="A3297" s="1" t="s">
        <v>6</v>
      </c>
      <c r="B3297" s="1" t="s">
        <v>9823</v>
      </c>
      <c r="C3297" s="1" t="s">
        <v>9824</v>
      </c>
      <c r="D3297" s="1" t="s">
        <v>8949</v>
      </c>
      <c r="E3297" s="1" t="s">
        <v>8949</v>
      </c>
      <c r="F3297" s="1" t="s">
        <v>9825</v>
      </c>
      <c r="G3297" s="1" t="s">
        <v>9826</v>
      </c>
      <c r="H3297" s="2" t="str">
        <f>Tabella1[[#This Row],[Denominazione]]&amp;" - "&amp;Tabella1[[#This Row],[Città]]</f>
        <v>COUNTRY HOUSE LA MADONNINA - SENIGALLIA</v>
      </c>
    </row>
    <row r="3298" spans="1:8" x14ac:dyDescent="0.25">
      <c r="A3298" s="1" t="s">
        <v>6</v>
      </c>
      <c r="B3298" s="1" t="s">
        <v>8007</v>
      </c>
      <c r="C3298" s="1" t="s">
        <v>8008</v>
      </c>
      <c r="D3298" s="1" t="s">
        <v>7889</v>
      </c>
      <c r="G3298" s="1" t="s">
        <v>7904</v>
      </c>
      <c r="H3298" s="2" t="str">
        <f>Tabella1[[#This Row],[Denominazione]]&amp;" - "&amp;Tabella1[[#This Row],[Città]]</f>
        <v>COUNTRY HOUSE LA MARTINA - NUMANA</v>
      </c>
    </row>
    <row r="3299" spans="1:8" x14ac:dyDescent="0.25">
      <c r="A3299" s="1" t="s">
        <v>6</v>
      </c>
      <c r="B3299" s="1" t="s">
        <v>17760</v>
      </c>
      <c r="C3299" s="1" t="s">
        <v>17761</v>
      </c>
      <c r="D3299" s="1" t="s">
        <v>17745</v>
      </c>
      <c r="E3299" s="1" t="s">
        <v>17745</v>
      </c>
      <c r="F3299" s="1" t="s">
        <v>17762</v>
      </c>
      <c r="G3299" s="1" t="s">
        <v>17763</v>
      </c>
      <c r="H3299" s="2" t="str">
        <f>Tabella1[[#This Row],[Denominazione]]&amp;" - "&amp;Tabella1[[#This Row],[Città]]</f>
        <v>COUNTRY HOUSE LA QUERCETA DI MARNACCHIA - AMANDOLA</v>
      </c>
    </row>
    <row r="3300" spans="1:8" x14ac:dyDescent="0.25">
      <c r="A3300" s="1" t="s">
        <v>6</v>
      </c>
      <c r="B3300" s="1" t="s">
        <v>11452</v>
      </c>
      <c r="C3300" s="1" t="s">
        <v>11453</v>
      </c>
      <c r="D3300" s="1" t="s">
        <v>11244</v>
      </c>
      <c r="E3300" s="1" t="s">
        <v>11244</v>
      </c>
      <c r="F3300" s="1" t="s">
        <v>11454</v>
      </c>
      <c r="G3300" s="1" t="s">
        <v>11455</v>
      </c>
      <c r="H3300" s="2" t="str">
        <f>Tabella1[[#This Row],[Denominazione]]&amp;" - "&amp;Tabella1[[#This Row],[Città]]</f>
        <v>COUNTRY HOUSE LA RADICE - CIVITANOVA MARCHE</v>
      </c>
    </row>
    <row r="3301" spans="1:8" x14ac:dyDescent="0.25">
      <c r="A3301" s="1" t="s">
        <v>6</v>
      </c>
      <c r="B3301" s="1" t="s">
        <v>152</v>
      </c>
      <c r="C3301" s="1" t="s">
        <v>153</v>
      </c>
      <c r="D3301" s="1" t="s">
        <v>102</v>
      </c>
      <c r="E3301" s="1" t="s">
        <v>102</v>
      </c>
      <c r="F3301" s="1" t="s">
        <v>154</v>
      </c>
      <c r="G3301" s="1" t="s">
        <v>155</v>
      </c>
      <c r="H3301" s="2" t="str">
        <f>Tabella1[[#This Row],[Denominazione]]&amp;" - "&amp;Tabella1[[#This Row],[Città]]</f>
        <v>COUNTRY HOUSE LA SPINA - APECCHIO</v>
      </c>
    </row>
    <row r="3302" spans="1:8" x14ac:dyDescent="0.25">
      <c r="A3302" s="1" t="s">
        <v>6</v>
      </c>
      <c r="B3302" s="1" t="s">
        <v>10612</v>
      </c>
      <c r="C3302" s="1" t="s">
        <v>10613</v>
      </c>
      <c r="D3302" s="1" t="s">
        <v>10589</v>
      </c>
      <c r="E3302" s="1" t="s">
        <v>10589</v>
      </c>
      <c r="F3302" s="1" t="s">
        <v>10614</v>
      </c>
      <c r="G3302" s="1" t="s">
        <v>10615</v>
      </c>
      <c r="H3302" s="2" t="str">
        <f>Tabella1[[#This Row],[Denominazione]]&amp;" - "&amp;Tabella1[[#This Row],[Città]]</f>
        <v>COUNTRY HOUSE L'ABBAZIA - APIRO</v>
      </c>
    </row>
    <row r="3303" spans="1:8" x14ac:dyDescent="0.25">
      <c r="A3303" s="1" t="s">
        <v>6</v>
      </c>
      <c r="B3303" s="1" t="s">
        <v>7194</v>
      </c>
      <c r="C3303" s="1" t="s">
        <v>7195</v>
      </c>
      <c r="D3303" s="1" t="s">
        <v>7161</v>
      </c>
      <c r="E3303" s="1" t="s">
        <v>7161</v>
      </c>
      <c r="F3303" s="1" t="s">
        <v>7196</v>
      </c>
      <c r="G3303" s="1" t="s">
        <v>7197</v>
      </c>
      <c r="H3303" s="2" t="str">
        <f>Tabella1[[#This Row],[Denominazione]]&amp;" - "&amp;Tabella1[[#This Row],[Città]]</f>
        <v>COUNTRY HOUSE LAMADDALENA - FILOTTRANO</v>
      </c>
    </row>
    <row r="3304" spans="1:8" x14ac:dyDescent="0.25">
      <c r="A3304" s="1" t="s">
        <v>6</v>
      </c>
      <c r="B3304" s="1" t="s">
        <v>10120</v>
      </c>
      <c r="C3304" s="1" t="s">
        <v>10121</v>
      </c>
      <c r="D3304" s="1" t="s">
        <v>10117</v>
      </c>
      <c r="F3304" s="1" t="s">
        <v>10122</v>
      </c>
      <c r="G3304" s="1" t="s">
        <v>10123</v>
      </c>
      <c r="H3304" s="2" t="str">
        <f>Tabella1[[#This Row],[Denominazione]]&amp;" - "&amp;Tabella1[[#This Row],[Città]]</f>
        <v>COUNTRY HOUSE LE GRAZIE - SERRA SAN QUIRICO</v>
      </c>
    </row>
    <row r="3305" spans="1:8" x14ac:dyDescent="0.25">
      <c r="A3305" s="1" t="s">
        <v>6</v>
      </c>
      <c r="B3305" s="1" t="s">
        <v>7</v>
      </c>
      <c r="C3305" s="1" t="s">
        <v>8</v>
      </c>
      <c r="D3305" s="1" t="s">
        <v>9</v>
      </c>
      <c r="F3305" s="1" t="s">
        <v>10</v>
      </c>
      <c r="G3305" s="1" t="s">
        <v>11</v>
      </c>
      <c r="H3305" s="2" t="str">
        <f>Tabella1[[#This Row],[Denominazione]]&amp;" - "&amp;Tabella1[[#This Row],[Città]]</f>
        <v>COUNTRY HOUSE LOCALITA' GIROFALCO - URBINO</v>
      </c>
    </row>
    <row r="3306" spans="1:8" x14ac:dyDescent="0.25">
      <c r="A3306" s="1" t="s">
        <v>6</v>
      </c>
      <c r="B3306" s="1" t="s">
        <v>18375</v>
      </c>
      <c r="C3306" s="1" t="s">
        <v>18376</v>
      </c>
      <c r="D3306" s="1" t="s">
        <v>18372</v>
      </c>
      <c r="F3306" s="1" t="s">
        <v>18377</v>
      </c>
      <c r="G3306" s="1" t="s">
        <v>18378</v>
      </c>
      <c r="H3306" s="2" t="str">
        <f>Tabella1[[#This Row],[Denominazione]]&amp;" - "&amp;Tabella1[[#This Row],[Città]]</f>
        <v>COUNTRY HOUSE MONTEBELLO - GROTTAZZOLINA</v>
      </c>
    </row>
    <row r="3307" spans="1:8" x14ac:dyDescent="0.25">
      <c r="A3307" s="1" t="s">
        <v>6</v>
      </c>
      <c r="B3307" s="1" t="s">
        <v>250</v>
      </c>
      <c r="C3307" s="1" t="s">
        <v>251</v>
      </c>
      <c r="D3307" s="1" t="s">
        <v>227</v>
      </c>
      <c r="E3307" s="1" t="s">
        <v>227</v>
      </c>
      <c r="F3307" s="1" t="s">
        <v>252</v>
      </c>
      <c r="G3307" s="1" t="s">
        <v>253</v>
      </c>
      <c r="H3307" s="2" t="str">
        <f>Tabella1[[#This Row],[Denominazione]]&amp;" - "&amp;Tabella1[[#This Row],[Città]]</f>
        <v>COUNTRY HOUSE MONTESOFFIO - BARCHI</v>
      </c>
    </row>
    <row r="3308" spans="1:8" x14ac:dyDescent="0.25">
      <c r="A3308" s="1" t="s">
        <v>6</v>
      </c>
      <c r="B3308" s="1" t="s">
        <v>10829</v>
      </c>
      <c r="C3308" s="1" t="s">
        <v>10830</v>
      </c>
      <c r="D3308" s="1" t="s">
        <v>10737</v>
      </c>
      <c r="E3308" s="1" t="s">
        <v>10737</v>
      </c>
      <c r="H3308" s="2" t="str">
        <f>Tabella1[[#This Row],[Denominazione]]&amp;" - "&amp;Tabella1[[#This Row],[Città]]</f>
        <v>COUNTRY HOUSE PAPPAFO' - CAMERINO</v>
      </c>
    </row>
    <row r="3309" spans="1:8" x14ac:dyDescent="0.25">
      <c r="A3309" s="1" t="s">
        <v>6</v>
      </c>
      <c r="B3309" s="1" t="s">
        <v>18572</v>
      </c>
      <c r="C3309" s="1" t="s">
        <v>18573</v>
      </c>
      <c r="D3309" s="1" t="s">
        <v>18522</v>
      </c>
      <c r="E3309" s="1" t="s">
        <v>18522</v>
      </c>
      <c r="H3309" s="2" t="str">
        <f>Tabella1[[#This Row],[Denominazione]]&amp;" - "&amp;Tabella1[[#This Row],[Città]]</f>
        <v>COUNTRY HOUSE RE ARTU' - MONTEFORTINO</v>
      </c>
    </row>
    <row r="3310" spans="1:8" x14ac:dyDescent="0.25">
      <c r="A3310" s="1" t="s">
        <v>6</v>
      </c>
      <c r="B3310" s="1" t="s">
        <v>12269</v>
      </c>
      <c r="C3310" s="1" t="s">
        <v>12270</v>
      </c>
      <c r="D3310" s="1" t="s">
        <v>12208</v>
      </c>
      <c r="E3310" s="1" t="s">
        <v>12208</v>
      </c>
      <c r="F3310" s="1" t="s">
        <v>12271</v>
      </c>
      <c r="G3310" s="1" t="s">
        <v>12272</v>
      </c>
      <c r="H3310" s="2" t="str">
        <f>Tabella1[[#This Row],[Denominazione]]&amp;" - "&amp;Tabella1[[#This Row],[Città]]</f>
        <v>COUNTRY HOUSE SALOMONE - MATELICA</v>
      </c>
    </row>
    <row r="3311" spans="1:8" x14ac:dyDescent="0.25">
      <c r="A3311" s="1" t="s">
        <v>6</v>
      </c>
      <c r="B3311" s="1" t="s">
        <v>9440</v>
      </c>
      <c r="C3311" s="1" t="s">
        <v>9441</v>
      </c>
      <c r="D3311" s="1" t="s">
        <v>8949</v>
      </c>
      <c r="E3311" s="1" t="s">
        <v>9442</v>
      </c>
      <c r="F3311" s="1" t="s">
        <v>9443</v>
      </c>
      <c r="G3311" s="1" t="s">
        <v>9444</v>
      </c>
      <c r="H3311" s="2" t="str">
        <f>Tabella1[[#This Row],[Denominazione]]&amp;" - "&amp;Tabella1[[#This Row],[Città]]</f>
        <v>COUNTRY HOUSE SANT'ANGELO - SENIGALLIA</v>
      </c>
    </row>
    <row r="3312" spans="1:8" x14ac:dyDescent="0.25">
      <c r="A3312" s="1" t="s">
        <v>6</v>
      </c>
      <c r="B3312" s="1" t="s">
        <v>4764</v>
      </c>
      <c r="C3312" s="1" t="s">
        <v>4765</v>
      </c>
      <c r="D3312" s="1" t="s">
        <v>4735</v>
      </c>
      <c r="E3312" s="1" t="s">
        <v>4766</v>
      </c>
      <c r="F3312" s="1" t="s">
        <v>4767</v>
      </c>
      <c r="G3312" s="1" t="s">
        <v>4768</v>
      </c>
      <c r="H3312" s="2" t="str">
        <f>Tabella1[[#This Row],[Denominazione]]&amp;" - "&amp;Tabella1[[#This Row],[Città]]</f>
        <v>COUNTRY HOUSE SANT'ANGIOLINO - URBANIA</v>
      </c>
    </row>
    <row r="3313" spans="1:8" x14ac:dyDescent="0.25">
      <c r="A3313" s="1" t="s">
        <v>6</v>
      </c>
      <c r="B3313" s="1" t="s">
        <v>16219</v>
      </c>
      <c r="C3313" s="1" t="s">
        <v>16220</v>
      </c>
      <c r="D3313" s="1" t="s">
        <v>16202</v>
      </c>
      <c r="F3313" s="1" t="s">
        <v>16221</v>
      </c>
      <c r="G3313" s="1" t="s">
        <v>16222</v>
      </c>
      <c r="H3313" s="2" t="str">
        <f>Tabella1[[#This Row],[Denominazione]]&amp;" - "&amp;Tabella1[[#This Row],[Città]]</f>
        <v>COUNTRY HOUSE SOLE E LUNA - MONTEFIORE DELL'ASO</v>
      </c>
    </row>
    <row r="3314" spans="1:8" x14ac:dyDescent="0.25">
      <c r="A3314" s="1" t="s">
        <v>35</v>
      </c>
      <c r="B3314" s="1" t="s">
        <v>16300</v>
      </c>
      <c r="C3314" s="1" t="s">
        <v>16301</v>
      </c>
      <c r="D3314" s="1" t="s">
        <v>16281</v>
      </c>
      <c r="E3314" s="1" t="s">
        <v>16281</v>
      </c>
      <c r="F3314" s="1" t="s">
        <v>16298</v>
      </c>
      <c r="G3314" s="1" t="s">
        <v>16299</v>
      </c>
      <c r="H3314" s="2" t="str">
        <f>Tabella1[[#This Row],[Denominazione]]&amp;" - "&amp;Tabella1[[#This Row],[Città]]</f>
        <v>COUNTRY HOUSE SOTTO VENTO - MONTEGALLO</v>
      </c>
    </row>
    <row r="3315" spans="1:8" x14ac:dyDescent="0.25">
      <c r="A3315" s="1" t="s">
        <v>6</v>
      </c>
      <c r="B3315" s="1" t="s">
        <v>10771</v>
      </c>
      <c r="C3315" s="1" t="s">
        <v>10772</v>
      </c>
      <c r="D3315" s="1" t="s">
        <v>10737</v>
      </c>
      <c r="E3315" s="1" t="s">
        <v>10737</v>
      </c>
      <c r="F3315" s="1" t="s">
        <v>10773</v>
      </c>
      <c r="G3315" s="1" t="s">
        <v>10774</v>
      </c>
      <c r="H3315" s="2" t="str">
        <f>Tabella1[[#This Row],[Denominazione]]&amp;" - "&amp;Tabella1[[#This Row],[Città]]</f>
        <v>COUNTRY HOUSE VARANO - CAMERINO</v>
      </c>
    </row>
    <row r="3316" spans="1:8" x14ac:dyDescent="0.25">
      <c r="A3316" s="1" t="s">
        <v>6</v>
      </c>
      <c r="B3316" s="1" t="s">
        <v>216</v>
      </c>
      <c r="C3316" s="1" t="s">
        <v>217</v>
      </c>
      <c r="D3316" s="1" t="s">
        <v>199</v>
      </c>
      <c r="E3316" s="1" t="s">
        <v>199</v>
      </c>
      <c r="F3316" s="1" t="s">
        <v>218</v>
      </c>
      <c r="G3316" s="1" t="s">
        <v>219</v>
      </c>
      <c r="H3316" s="2" t="str">
        <f>Tabella1[[#This Row],[Denominazione]]&amp;" - "&amp;Tabella1[[#This Row],[Città]]</f>
        <v>COUNTRY HOUSE VILLA CISCA - AUDITORE</v>
      </c>
    </row>
    <row r="3317" spans="1:8" x14ac:dyDescent="0.25">
      <c r="A3317" s="1" t="s">
        <v>6</v>
      </c>
      <c r="B3317" s="1" t="s">
        <v>10227</v>
      </c>
      <c r="C3317" s="1" t="s">
        <v>10228</v>
      </c>
      <c r="D3317" s="1" t="s">
        <v>10206</v>
      </c>
      <c r="E3317" s="1" t="s">
        <v>10206</v>
      </c>
      <c r="G3317" s="1" t="s">
        <v>10229</v>
      </c>
      <c r="H3317" s="2" t="str">
        <f>Tabella1[[#This Row],[Denominazione]]&amp;" - "&amp;Tabella1[[#This Row],[Città]]</f>
        <v>COUNTRY HOUSE VILLA CLELIA - SIROLO</v>
      </c>
    </row>
    <row r="3318" spans="1:8" x14ac:dyDescent="0.25">
      <c r="A3318" s="1" t="s">
        <v>6</v>
      </c>
      <c r="B3318" s="1" t="s">
        <v>18755</v>
      </c>
      <c r="C3318" s="1" t="s">
        <v>18756</v>
      </c>
      <c r="D3318" s="1" t="s">
        <v>18757</v>
      </c>
      <c r="E3318" s="1" t="s">
        <v>18758</v>
      </c>
      <c r="F3318" s="1" t="s">
        <v>16105</v>
      </c>
      <c r="G3318" s="1" t="s">
        <v>16102</v>
      </c>
      <c r="H3318" s="2" t="str">
        <f>Tabella1[[#This Row],[Denominazione]]&amp;" - "&amp;Tabella1[[#This Row],[Città]]</f>
        <v>COUNTRY HOUSE VILLA LILIANA - MONTE RINALDO</v>
      </c>
    </row>
    <row r="3319" spans="1:8" x14ac:dyDescent="0.25">
      <c r="A3319" s="1" t="s">
        <v>82</v>
      </c>
      <c r="B3319" s="1" t="s">
        <v>8890</v>
      </c>
      <c r="C3319" s="1" t="s">
        <v>8891</v>
      </c>
      <c r="D3319" s="1" t="s">
        <v>8849</v>
      </c>
      <c r="E3319" s="1" t="s">
        <v>8849</v>
      </c>
      <c r="H3319" s="2" t="str">
        <f>Tabella1[[#This Row],[Denominazione]]&amp;" - "&amp;Tabella1[[#This Row],[Città]]</f>
        <v>COUNTRY RESIDENCE - SASSOFERRATO</v>
      </c>
    </row>
    <row r="3320" spans="1:8" x14ac:dyDescent="0.25">
      <c r="A3320" s="1" t="s">
        <v>6</v>
      </c>
      <c r="B3320" s="1" t="s">
        <v>13164</v>
      </c>
      <c r="C3320" s="1" t="s">
        <v>13165</v>
      </c>
      <c r="D3320" s="1" t="s">
        <v>13026</v>
      </c>
      <c r="E3320" s="1" t="s">
        <v>13166</v>
      </c>
      <c r="F3320" s="1" t="s">
        <v>13167</v>
      </c>
      <c r="G3320" s="1" t="s">
        <v>13168</v>
      </c>
      <c r="H3320" s="2" t="str">
        <f>Tabella1[[#This Row],[Denominazione]]&amp;" - "&amp;Tabella1[[#This Row],[Città]]</f>
        <v>COUNTRY RESORT PAMPERDUTO - POTENZA PICENA</v>
      </c>
    </row>
    <row r="3321" spans="1:8" x14ac:dyDescent="0.25">
      <c r="A3321" s="1" t="s">
        <v>6</v>
      </c>
      <c r="B3321" s="1" t="s">
        <v>18868</v>
      </c>
      <c r="C3321" s="1" t="s">
        <v>18869</v>
      </c>
      <c r="D3321" s="1" t="s">
        <v>18867</v>
      </c>
      <c r="E3321" s="1" t="s">
        <v>18867</v>
      </c>
      <c r="F3321" s="1" t="s">
        <v>18870</v>
      </c>
      <c r="G3321" s="1" t="s">
        <v>18871</v>
      </c>
      <c r="H3321" s="2" t="str">
        <f>Tabella1[[#This Row],[Denominazione]]&amp;" - "&amp;Tabella1[[#This Row],[Città]]</f>
        <v>COVODIGIRAMONDO - MONTE VIDON CORRADO</v>
      </c>
    </row>
    <row r="3322" spans="1:8" x14ac:dyDescent="0.25">
      <c r="A3322" s="1" t="s">
        <v>679</v>
      </c>
      <c r="B3322" s="1" t="s">
        <v>8225</v>
      </c>
      <c r="C3322" s="1" t="s">
        <v>8191</v>
      </c>
      <c r="D3322" s="1" t="s">
        <v>7889</v>
      </c>
      <c r="E3322" s="1" t="s">
        <v>7895</v>
      </c>
      <c r="H3322" s="2" t="str">
        <f>Tabella1[[#This Row],[Denominazione]]&amp;" - "&amp;Tabella1[[#This Row],[Città]]</f>
        <v>CRAZY BEACH - NUMANA</v>
      </c>
    </row>
    <row r="3323" spans="1:8" x14ac:dyDescent="0.25">
      <c r="A3323" s="1" t="s">
        <v>679</v>
      </c>
      <c r="B3323" s="1" t="s">
        <v>9909</v>
      </c>
      <c r="C3323" s="1" t="s">
        <v>9910</v>
      </c>
      <c r="D3323" s="1" t="s">
        <v>8949</v>
      </c>
      <c r="E3323" s="1" t="s">
        <v>8949</v>
      </c>
      <c r="H3323" s="2" t="str">
        <f>Tabella1[[#This Row],[Denominazione]]&amp;" - "&amp;Tabella1[[#This Row],[Città]]</f>
        <v>CRAZY BEACH - CIACCI MAURO - BAGNI N° 131 - SENIGALLIA</v>
      </c>
    </row>
    <row r="3324" spans="1:8" x14ac:dyDescent="0.25">
      <c r="A3324" s="1" t="s">
        <v>679</v>
      </c>
      <c r="B3324" s="1" t="s">
        <v>19093</v>
      </c>
      <c r="C3324" s="1" t="s">
        <v>19078</v>
      </c>
      <c r="D3324" s="1" t="s">
        <v>18082</v>
      </c>
      <c r="E3324" s="1" t="s">
        <v>18082</v>
      </c>
      <c r="F3324" s="1" t="s">
        <v>19094</v>
      </c>
      <c r="H3324" s="2" t="str">
        <f>Tabella1[[#This Row],[Denominazione]]&amp;" - "&amp;Tabella1[[#This Row],[Città]]</f>
        <v>CRAZY DISCO BAR - PORTO SAN GIORGIO</v>
      </c>
    </row>
    <row r="3325" spans="1:8" x14ac:dyDescent="0.25">
      <c r="A3325" s="1" t="s">
        <v>679</v>
      </c>
      <c r="B3325" s="1" t="s">
        <v>19448</v>
      </c>
      <c r="C3325" s="1" t="s">
        <v>19382</v>
      </c>
      <c r="D3325" s="1" t="s">
        <v>19283</v>
      </c>
      <c r="E3325" s="1" t="s">
        <v>19363</v>
      </c>
      <c r="H3325" s="2" t="str">
        <f>Tabella1[[#This Row],[Denominazione]]&amp;" - "&amp;Tabella1[[#This Row],[Città]]</f>
        <v>CRAZY SUMMER - PORTO SANT'ELPIDIO</v>
      </c>
    </row>
    <row r="3326" spans="1:8" x14ac:dyDescent="0.25">
      <c r="A3326" s="1" t="s">
        <v>12</v>
      </c>
      <c r="B3326" s="1" t="s">
        <v>725</v>
      </c>
      <c r="C3326" s="1" t="s">
        <v>726</v>
      </c>
      <c r="D3326" s="1" t="s">
        <v>682</v>
      </c>
      <c r="E3326" s="1" t="s">
        <v>682</v>
      </c>
      <c r="H3326" s="2" t="str">
        <f>Tabella1[[#This Row],[Denominazione]]&amp;" - "&amp;Tabella1[[#This Row],[Città]]</f>
        <v>CRESTINI GIANFRANCESCO - FANO</v>
      </c>
    </row>
    <row r="3327" spans="1:8" x14ac:dyDescent="0.25">
      <c r="A3327" s="1" t="s">
        <v>679</v>
      </c>
      <c r="B3327" s="1" t="s">
        <v>15413</v>
      </c>
      <c r="C3327" s="1" t="s">
        <v>15414</v>
      </c>
      <c r="D3327" s="1" t="s">
        <v>15349</v>
      </c>
      <c r="E3327" s="1" t="s">
        <v>15349</v>
      </c>
      <c r="F3327" s="1" t="s">
        <v>15415</v>
      </c>
      <c r="H3327" s="2" t="str">
        <f>Tabella1[[#This Row],[Denominazione]]&amp;" - "&amp;Tabella1[[#This Row],[Città]]</f>
        <v>CRISTAL  BEACH - CUPRA MARITTIMA</v>
      </c>
    </row>
    <row r="3328" spans="1:8" x14ac:dyDescent="0.25">
      <c r="A3328" s="1" t="s">
        <v>20</v>
      </c>
      <c r="B3328" s="1" t="s">
        <v>15448</v>
      </c>
      <c r="C3328" s="1" t="s">
        <v>15449</v>
      </c>
      <c r="D3328" s="1" t="s">
        <v>15349</v>
      </c>
      <c r="E3328" s="1" t="s">
        <v>15349</v>
      </c>
      <c r="F3328" s="1" t="s">
        <v>15450</v>
      </c>
      <c r="G3328" s="1" t="s">
        <v>15415</v>
      </c>
      <c r="H3328" s="2" t="str">
        <f>Tabella1[[#This Row],[Denominazione]]&amp;" - "&amp;Tabella1[[#This Row],[Città]]</f>
        <v>CRISTAL srl - CUPRA MARITTIMA</v>
      </c>
    </row>
    <row r="3329" spans="1:8" x14ac:dyDescent="0.25">
      <c r="A3329" s="1" t="s">
        <v>20</v>
      </c>
      <c r="B3329" s="1" t="s">
        <v>1123</v>
      </c>
      <c r="C3329" s="1" t="s">
        <v>1124</v>
      </c>
      <c r="D3329" s="1" t="s">
        <v>682</v>
      </c>
      <c r="E3329" s="1" t="s">
        <v>682</v>
      </c>
      <c r="F3329" s="1" t="s">
        <v>1125</v>
      </c>
      <c r="G3329" s="1" t="s">
        <v>1126</v>
      </c>
      <c r="H3329" s="2" t="str">
        <f>Tabella1[[#This Row],[Denominazione]]&amp;" - "&amp;Tabella1[[#This Row],[Città]]</f>
        <v>CRISTALLO - FANO</v>
      </c>
    </row>
    <row r="3330" spans="1:8" x14ac:dyDescent="0.25">
      <c r="A3330" s="1" t="s">
        <v>82</v>
      </c>
      <c r="B3330" s="1" t="s">
        <v>1123</v>
      </c>
      <c r="C3330" s="1" t="s">
        <v>17009</v>
      </c>
      <c r="D3330" s="1" t="s">
        <v>15819</v>
      </c>
      <c r="E3330" s="1" t="s">
        <v>15819</v>
      </c>
      <c r="F3330" s="1" t="s">
        <v>17010</v>
      </c>
      <c r="G3330" s="1" t="s">
        <v>17011</v>
      </c>
      <c r="H3330" s="2" t="str">
        <f>Tabella1[[#This Row],[Denominazione]]&amp;" - "&amp;Tabella1[[#This Row],[Città]]</f>
        <v>CRISTALLO - SAN BENEDETTO DEL TRONTO</v>
      </c>
    </row>
    <row r="3331" spans="1:8" x14ac:dyDescent="0.25">
      <c r="A3331" s="1" t="s">
        <v>20</v>
      </c>
      <c r="B3331" s="1" t="s">
        <v>9587</v>
      </c>
      <c r="C3331" s="1" t="s">
        <v>9588</v>
      </c>
      <c r="D3331" s="1" t="s">
        <v>8949</v>
      </c>
      <c r="E3331" s="1" t="s">
        <v>8949</v>
      </c>
      <c r="F3331" s="1" t="s">
        <v>9589</v>
      </c>
      <c r="G3331" s="1" t="s">
        <v>9590</v>
      </c>
      <c r="H3331" s="2" t="str">
        <f>Tabella1[[#This Row],[Denominazione]]&amp;" - "&amp;Tabella1[[#This Row],[Città]]</f>
        <v>CRISTINA - SENIGALLIA</v>
      </c>
    </row>
    <row r="3332" spans="1:8" x14ac:dyDescent="0.25">
      <c r="A3332" s="1" t="s">
        <v>29</v>
      </c>
      <c r="B3332" s="1" t="s">
        <v>8895</v>
      </c>
      <c r="C3332" s="1" t="s">
        <v>7391</v>
      </c>
      <c r="D3332" s="1" t="s">
        <v>8849</v>
      </c>
      <c r="F3332" s="1" t="s">
        <v>8896</v>
      </c>
      <c r="G3332" s="1" t="s">
        <v>8897</v>
      </c>
      <c r="H3332" s="2" t="str">
        <f>Tabella1[[#This Row],[Denominazione]]&amp;" - "&amp;Tabella1[[#This Row],[Città]]</f>
        <v>CRISTINA B&amp;B - SASSOFERRATO</v>
      </c>
    </row>
    <row r="3333" spans="1:8" x14ac:dyDescent="0.25">
      <c r="A3333" s="1" t="s">
        <v>29</v>
      </c>
      <c r="B3333" s="1" t="s">
        <v>12866</v>
      </c>
      <c r="C3333" s="1" t="s">
        <v>12867</v>
      </c>
      <c r="D3333" s="1" t="s">
        <v>12801</v>
      </c>
      <c r="E3333" s="1" t="s">
        <v>12801</v>
      </c>
      <c r="F3333" s="1" t="s">
        <v>12868</v>
      </c>
      <c r="G3333" s="1" t="s">
        <v>12869</v>
      </c>
      <c r="H3333" s="2" t="str">
        <f>Tabella1[[#This Row],[Denominazione]]&amp;" - "&amp;Tabella1[[#This Row],[Città]]</f>
        <v>CRISTINA HIPTING - PORTO RECANATI</v>
      </c>
    </row>
    <row r="3334" spans="1:8" x14ac:dyDescent="0.25">
      <c r="A3334" s="1" t="s">
        <v>190</v>
      </c>
      <c r="B3334" s="1" t="s">
        <v>5660</v>
      </c>
      <c r="C3334" s="1" t="s">
        <v>5661</v>
      </c>
      <c r="D3334" s="1" t="s">
        <v>1864</v>
      </c>
      <c r="E3334" s="1" t="s">
        <v>1864</v>
      </c>
      <c r="G3334" s="1" t="s">
        <v>5662</v>
      </c>
      <c r="H3334" s="2" t="str">
        <f>Tabella1[[#This Row],[Denominazione]]&amp;" - "&amp;Tabella1[[#This Row],[Città]]</f>
        <v>CRISTO RE - ANCONA</v>
      </c>
    </row>
    <row r="3335" spans="1:8" x14ac:dyDescent="0.25">
      <c r="A3335" s="1" t="s">
        <v>20</v>
      </c>
      <c r="B3335" s="1" t="s">
        <v>8562</v>
      </c>
      <c r="C3335" s="1" t="s">
        <v>8563</v>
      </c>
      <c r="D3335" s="1" t="s">
        <v>8454</v>
      </c>
      <c r="E3335" s="1" t="s">
        <v>8454</v>
      </c>
      <c r="F3335" s="1" t="s">
        <v>8564</v>
      </c>
      <c r="G3335" s="1" t="s">
        <v>8565</v>
      </c>
      <c r="H3335" s="2" t="str">
        <f>Tabella1[[#This Row],[Denominazione]]&amp;" - "&amp;Tabella1[[#This Row],[Città]]</f>
        <v>CRISTOFORO COLOMBO - OSIMO</v>
      </c>
    </row>
    <row r="3336" spans="1:8" x14ac:dyDescent="0.25">
      <c r="A3336" s="1" t="s">
        <v>35</v>
      </c>
      <c r="B3336" s="1" t="s">
        <v>8769</v>
      </c>
      <c r="C3336" s="1" t="s">
        <v>8770</v>
      </c>
      <c r="D3336" s="1" t="s">
        <v>8763</v>
      </c>
      <c r="E3336" s="1" t="s">
        <v>8763</v>
      </c>
      <c r="F3336" s="1" t="s">
        <v>8771</v>
      </c>
      <c r="G3336" s="1" t="s">
        <v>8772</v>
      </c>
      <c r="H3336" s="2" t="str">
        <f>Tabella1[[#This Row],[Denominazione]]&amp;" - "&amp;Tabella1[[#This Row],[Città]]</f>
        <v>CROCE DEL MORO - ROSORA</v>
      </c>
    </row>
    <row r="3337" spans="1:8" x14ac:dyDescent="0.25">
      <c r="A3337" s="1" t="s">
        <v>679</v>
      </c>
      <c r="B3337" s="1" t="s">
        <v>11595</v>
      </c>
      <c r="C3337" s="1" t="s">
        <v>11596</v>
      </c>
      <c r="D3337" s="1" t="s">
        <v>11244</v>
      </c>
      <c r="E3337" s="1" t="s">
        <v>11244</v>
      </c>
      <c r="H3337" s="2" t="str">
        <f>Tabella1[[#This Row],[Denominazione]]&amp;" - "&amp;Tabella1[[#This Row],[Città]]</f>
        <v>CROCE DEL SUD - CIVITANOVA MARCHE</v>
      </c>
    </row>
    <row r="3338" spans="1:8" x14ac:dyDescent="0.25">
      <c r="A3338" s="1" t="s">
        <v>12</v>
      </c>
      <c r="B3338" s="1" t="s">
        <v>6994</v>
      </c>
      <c r="C3338" s="1" t="s">
        <v>6995</v>
      </c>
      <c r="D3338" s="1" t="s">
        <v>6790</v>
      </c>
      <c r="G3338" s="1" t="s">
        <v>6996</v>
      </c>
      <c r="H3338" s="2" t="str">
        <f>Tabella1[[#This Row],[Denominazione]]&amp;" - "&amp;Tabella1[[#This Row],[Città]]</f>
        <v>CROCETTI SANDRA - FABRIANO</v>
      </c>
    </row>
    <row r="3339" spans="1:8" x14ac:dyDescent="0.25">
      <c r="A3339" s="1" t="s">
        <v>20</v>
      </c>
      <c r="B3339" s="1" t="s">
        <v>3732</v>
      </c>
      <c r="C3339" s="1" t="s">
        <v>3733</v>
      </c>
      <c r="D3339" s="1" t="s">
        <v>2386</v>
      </c>
      <c r="E3339" s="1" t="s">
        <v>2386</v>
      </c>
      <c r="F3339" s="1" t="s">
        <v>3734</v>
      </c>
      <c r="G3339" s="1" t="s">
        <v>3735</v>
      </c>
      <c r="H3339" s="2" t="str">
        <f>Tabella1[[#This Row],[Denominazione]]&amp;" - "&amp;Tabella1[[#This Row],[Città]]</f>
        <v>CRUISER - PESARO</v>
      </c>
    </row>
    <row r="3340" spans="1:8" x14ac:dyDescent="0.25">
      <c r="A3340" s="1" t="s">
        <v>20</v>
      </c>
      <c r="B3340" s="1" t="s">
        <v>14238</v>
      </c>
      <c r="C3340" s="1" t="s">
        <v>14239</v>
      </c>
      <c r="D3340" s="1" t="s">
        <v>14213</v>
      </c>
      <c r="E3340" s="1" t="s">
        <v>14213</v>
      </c>
      <c r="F3340" s="1" t="s">
        <v>14240</v>
      </c>
      <c r="G3340" s="1" t="s">
        <v>14241</v>
      </c>
      <c r="H3340" s="2" t="str">
        <f>Tabella1[[#This Row],[Denominazione]]&amp;" - "&amp;Tabella1[[#This Row],[Città]]</f>
        <v>CRYSTAL - USSITA</v>
      </c>
    </row>
    <row r="3341" spans="1:8" x14ac:dyDescent="0.25">
      <c r="A3341" s="1" t="s">
        <v>679</v>
      </c>
      <c r="B3341" s="1" t="s">
        <v>7963</v>
      </c>
      <c r="C3341" s="1" t="s">
        <v>7964</v>
      </c>
      <c r="D3341" s="1" t="s">
        <v>7889</v>
      </c>
      <c r="F3341" s="1" t="s">
        <v>7965</v>
      </c>
      <c r="H3341" s="2" t="str">
        <f>Tabella1[[#This Row],[Denominazione]]&amp;" - "&amp;Tabella1[[#This Row],[Città]]</f>
        <v>CRYSTAL 37 - NUMANA</v>
      </c>
    </row>
    <row r="3342" spans="1:8" x14ac:dyDescent="0.25">
      <c r="A3342" s="1" t="s">
        <v>82</v>
      </c>
      <c r="B3342" s="1" t="s">
        <v>17884</v>
      </c>
      <c r="C3342" s="1" t="s">
        <v>17885</v>
      </c>
      <c r="D3342" s="1" t="s">
        <v>17839</v>
      </c>
      <c r="E3342" s="1" t="s">
        <v>17839</v>
      </c>
      <c r="F3342" s="1" t="s">
        <v>17886</v>
      </c>
      <c r="G3342" s="1" t="s">
        <v>17887</v>
      </c>
      <c r="H3342" s="2" t="str">
        <f>Tabella1[[#This Row],[Denominazione]]&amp;" - "&amp;Tabella1[[#This Row],[Città]]</f>
        <v>CUMANA BLU - CAMPOFILONE</v>
      </c>
    </row>
    <row r="3343" spans="1:8" x14ac:dyDescent="0.25">
      <c r="A3343" s="1" t="s">
        <v>12</v>
      </c>
      <c r="B3343" s="1" t="s">
        <v>2715</v>
      </c>
      <c r="C3343" s="1" t="s">
        <v>2716</v>
      </c>
      <c r="D3343" s="1" t="s">
        <v>2678</v>
      </c>
      <c r="E3343" s="1" t="s">
        <v>2678</v>
      </c>
      <c r="G3343" s="1" t="s">
        <v>2717</v>
      </c>
      <c r="H3343" s="2" t="str">
        <f>Tabella1[[#This Row],[Denominazione]]&amp;" - "&amp;Tabella1[[#This Row],[Città]]</f>
        <v>CURINA LUCIA - MOMBAROCCIO</v>
      </c>
    </row>
    <row r="3344" spans="1:8" x14ac:dyDescent="0.25">
      <c r="A3344" s="1" t="s">
        <v>12</v>
      </c>
      <c r="B3344" s="1" t="s">
        <v>689</v>
      </c>
      <c r="C3344" s="1" t="s">
        <v>690</v>
      </c>
      <c r="D3344" s="1" t="s">
        <v>682</v>
      </c>
      <c r="E3344" s="1" t="s">
        <v>682</v>
      </c>
      <c r="G3344" s="1" t="s">
        <v>691</v>
      </c>
      <c r="H3344" s="2" t="str">
        <f>Tabella1[[#This Row],[Denominazione]]&amp;" - "&amp;Tabella1[[#This Row],[Città]]</f>
        <v>CURINA PAOLA - FANO</v>
      </c>
    </row>
    <row r="3345" spans="1:8" x14ac:dyDescent="0.25">
      <c r="A3345" s="1" t="s">
        <v>12</v>
      </c>
      <c r="B3345" s="1" t="s">
        <v>9219</v>
      </c>
      <c r="C3345" s="1" t="s">
        <v>9220</v>
      </c>
      <c r="D3345" s="1" t="s">
        <v>8949</v>
      </c>
      <c r="E3345" s="1" t="s">
        <v>8949</v>
      </c>
      <c r="G3345" s="1" t="s">
        <v>9221</v>
      </c>
      <c r="H3345" s="2" t="str">
        <f>Tabella1[[#This Row],[Denominazione]]&amp;" - "&amp;Tabella1[[#This Row],[Città]]</f>
        <v>CURSI QUINTO - SENIGALLIA</v>
      </c>
    </row>
    <row r="3346" spans="1:8" x14ac:dyDescent="0.25">
      <c r="A3346" s="1" t="s">
        <v>82</v>
      </c>
      <c r="B3346" s="1" t="s">
        <v>9332</v>
      </c>
      <c r="C3346" s="1" t="s">
        <v>9333</v>
      </c>
      <c r="D3346" s="1" t="s">
        <v>8949</v>
      </c>
      <c r="E3346" s="1" t="s">
        <v>8949</v>
      </c>
      <c r="G3346" s="1" t="s">
        <v>9334</v>
      </c>
      <c r="H3346" s="2" t="str">
        <f>Tabella1[[#This Row],[Denominazione]]&amp;" - "&amp;Tabella1[[#This Row],[Città]]</f>
        <v>DA ADAMO OSTERIA  E LOCANDA - SENIGALLIA</v>
      </c>
    </row>
    <row r="3347" spans="1:8" x14ac:dyDescent="0.25">
      <c r="A3347" s="1" t="s">
        <v>679</v>
      </c>
      <c r="B3347" s="1" t="s">
        <v>15506</v>
      </c>
      <c r="D3347" s="1" t="s">
        <v>15349</v>
      </c>
      <c r="F3347" s="1" t="s">
        <v>15404</v>
      </c>
      <c r="G3347" s="1" t="s">
        <v>15507</v>
      </c>
      <c r="H3347" s="2" t="str">
        <f>Tabella1[[#This Row],[Denominazione]]&amp;" - "&amp;Tabella1[[#This Row],[Città]]</f>
        <v>DA ALDO N 8 - CUPRA MARITTIMA</v>
      </c>
    </row>
    <row r="3348" spans="1:8" x14ac:dyDescent="0.25">
      <c r="A3348" s="1" t="s">
        <v>679</v>
      </c>
      <c r="B3348" s="1" t="s">
        <v>17352</v>
      </c>
      <c r="C3348" s="1" t="s">
        <v>17353</v>
      </c>
      <c r="D3348" s="1" t="s">
        <v>15819</v>
      </c>
      <c r="H3348" s="2" t="str">
        <f>Tabella1[[#This Row],[Denominazione]]&amp;" - "&amp;Tabella1[[#This Row],[Città]]</f>
        <v>DA ANDREA - SAN BENEDETTO DEL TRONTO</v>
      </c>
    </row>
    <row r="3349" spans="1:8" x14ac:dyDescent="0.25">
      <c r="A3349" s="1" t="s">
        <v>35</v>
      </c>
      <c r="B3349" s="1" t="s">
        <v>973</v>
      </c>
      <c r="C3349" s="1" t="s">
        <v>974</v>
      </c>
      <c r="D3349" s="1" t="s">
        <v>682</v>
      </c>
      <c r="E3349" s="1" t="s">
        <v>682</v>
      </c>
      <c r="F3349" s="1" t="s">
        <v>975</v>
      </c>
      <c r="G3349" s="1" t="s">
        <v>976</v>
      </c>
      <c r="H3349" s="2" t="str">
        <f>Tabella1[[#This Row],[Denominazione]]&amp;" - "&amp;Tabella1[[#This Row],[Città]]</f>
        <v>DA CARIGNANO - FANO</v>
      </c>
    </row>
    <row r="3350" spans="1:8" x14ac:dyDescent="0.25">
      <c r="A3350" s="1" t="s">
        <v>6</v>
      </c>
      <c r="B3350" s="1" t="s">
        <v>12352</v>
      </c>
      <c r="C3350" s="1" t="s">
        <v>12353</v>
      </c>
      <c r="D3350" s="1" t="s">
        <v>12342</v>
      </c>
      <c r="E3350" s="1" t="s">
        <v>12354</v>
      </c>
      <c r="F3350" s="1" t="s">
        <v>12355</v>
      </c>
      <c r="G3350" s="1" t="s">
        <v>12356</v>
      </c>
      <c r="H3350" s="2" t="str">
        <f>Tabella1[[#This Row],[Denominazione]]&amp;" - "&amp;Tabella1[[#This Row],[Città]]</f>
        <v>DA CHECCO - MONTECASSIANO</v>
      </c>
    </row>
    <row r="3351" spans="1:8" x14ac:dyDescent="0.25">
      <c r="A3351" s="1" t="s">
        <v>82</v>
      </c>
      <c r="B3351" s="1" t="s">
        <v>1088</v>
      </c>
      <c r="C3351" s="1" t="s">
        <v>1089</v>
      </c>
      <c r="D3351" s="1" t="s">
        <v>682</v>
      </c>
      <c r="E3351" s="1" t="s">
        <v>1090</v>
      </c>
      <c r="H3351" s="2" t="str">
        <f>Tabella1[[#This Row],[Denominazione]]&amp;" - "&amp;Tabella1[[#This Row],[Città]]</f>
        <v>DA FARINA - FANO</v>
      </c>
    </row>
    <row r="3352" spans="1:8" x14ac:dyDescent="0.25">
      <c r="A3352" s="1" t="s">
        <v>82</v>
      </c>
      <c r="B3352" s="1" t="s">
        <v>1088</v>
      </c>
      <c r="C3352" s="1" t="s">
        <v>1336</v>
      </c>
      <c r="D3352" s="1" t="s">
        <v>682</v>
      </c>
      <c r="E3352" s="1" t="s">
        <v>682</v>
      </c>
      <c r="G3352" s="1" t="s">
        <v>968</v>
      </c>
      <c r="H3352" s="2" t="str">
        <f>Tabella1[[#This Row],[Denominazione]]&amp;" - "&amp;Tabella1[[#This Row],[Città]]</f>
        <v>DA FARINA - FANO</v>
      </c>
    </row>
    <row r="3353" spans="1:8" x14ac:dyDescent="0.25">
      <c r="A3353" s="1" t="s">
        <v>20</v>
      </c>
      <c r="B3353" s="1" t="s">
        <v>13887</v>
      </c>
      <c r="C3353" s="1" t="s">
        <v>12722</v>
      </c>
      <c r="D3353" s="1" t="s">
        <v>13881</v>
      </c>
      <c r="E3353" s="1" t="s">
        <v>13881</v>
      </c>
      <c r="G3353" s="1" t="s">
        <v>13886</v>
      </c>
      <c r="H3353" s="2" t="str">
        <f>Tabella1[[#This Row],[Denominazione]]&amp;" - "&amp;Tabella1[[#This Row],[Città]]</f>
        <v>DA FAUSTINA - SEFRO</v>
      </c>
    </row>
    <row r="3354" spans="1:8" x14ac:dyDescent="0.25">
      <c r="A3354" s="1" t="s">
        <v>20</v>
      </c>
      <c r="B3354" s="1" t="s">
        <v>13884</v>
      </c>
      <c r="C3354" s="1" t="s">
        <v>13885</v>
      </c>
      <c r="D3354" s="1" t="s">
        <v>13881</v>
      </c>
      <c r="E3354" s="1" t="s">
        <v>13881</v>
      </c>
      <c r="G3354" s="1" t="s">
        <v>13886</v>
      </c>
      <c r="H3354" s="2" t="str">
        <f>Tabella1[[#This Row],[Denominazione]]&amp;" - "&amp;Tabella1[[#This Row],[Città]]</f>
        <v>DA FAUSTINA (DIPENDENZA) - SEFRO</v>
      </c>
    </row>
    <row r="3355" spans="1:8" x14ac:dyDescent="0.25">
      <c r="A3355" s="1" t="s">
        <v>679</v>
      </c>
      <c r="B3355" s="1" t="s">
        <v>17114</v>
      </c>
      <c r="C3355" s="1" t="s">
        <v>17115</v>
      </c>
      <c r="D3355" s="1" t="s">
        <v>15819</v>
      </c>
      <c r="H3355" s="2" t="str">
        <f>Tabella1[[#This Row],[Denominazione]]&amp;" - "&amp;Tabella1[[#This Row],[Città]]</f>
        <v>DA FEDERICO - SAN BENEDETTO DEL TRONTO</v>
      </c>
    </row>
    <row r="3356" spans="1:8" x14ac:dyDescent="0.25">
      <c r="A3356" s="1" t="s">
        <v>35</v>
      </c>
      <c r="B3356" s="1" t="s">
        <v>12244</v>
      </c>
      <c r="C3356" s="1" t="s">
        <v>12245</v>
      </c>
      <c r="D3356" s="1" t="s">
        <v>12208</v>
      </c>
      <c r="G3356" s="1" t="s">
        <v>12246</v>
      </c>
      <c r="H3356" s="2" t="str">
        <f>Tabella1[[#This Row],[Denominazione]]&amp;" - "&amp;Tabella1[[#This Row],[Città]]</f>
        <v>DA FOSCHETTA - MATELICA</v>
      </c>
    </row>
    <row r="3357" spans="1:8" x14ac:dyDescent="0.25">
      <c r="A3357" s="1" t="s">
        <v>29</v>
      </c>
      <c r="B3357" s="1" t="s">
        <v>6070</v>
      </c>
      <c r="C3357" s="1" t="s">
        <v>6071</v>
      </c>
      <c r="D3357" s="1" t="s">
        <v>6049</v>
      </c>
      <c r="E3357" s="1" t="s">
        <v>6072</v>
      </c>
      <c r="G3357" s="1" t="s">
        <v>6073</v>
      </c>
      <c r="H3357" s="2" t="str">
        <f>Tabella1[[#This Row],[Denominazione]]&amp;" - "&amp;Tabella1[[#This Row],[Città]]</f>
        <v>DA FRABO' - ARCEVIA</v>
      </c>
    </row>
    <row r="3358" spans="1:8" x14ac:dyDescent="0.25">
      <c r="A3358" s="1" t="s">
        <v>679</v>
      </c>
      <c r="B3358" s="1" t="s">
        <v>5726</v>
      </c>
      <c r="C3358" s="1" t="s">
        <v>5727</v>
      </c>
      <c r="D3358" s="1" t="s">
        <v>1864</v>
      </c>
      <c r="E3358" s="1" t="s">
        <v>5728</v>
      </c>
      <c r="F3358" s="1" t="s">
        <v>5729</v>
      </c>
      <c r="H3358" s="2" t="str">
        <f>Tabella1[[#This Row],[Denominazione]]&amp;" - "&amp;Tabella1[[#This Row],[Città]]</f>
        <v>DA GIACCHETTI - ANCONA</v>
      </c>
    </row>
    <row r="3359" spans="1:8" x14ac:dyDescent="0.25">
      <c r="A3359" s="1" t="s">
        <v>679</v>
      </c>
      <c r="B3359" s="1" t="s">
        <v>5744</v>
      </c>
      <c r="D3359" s="1" t="s">
        <v>1864</v>
      </c>
      <c r="E3359" s="1" t="s">
        <v>5704</v>
      </c>
      <c r="G3359" s="1" t="s">
        <v>5745</v>
      </c>
      <c r="H3359" s="2" t="str">
        <f>Tabella1[[#This Row],[Denominazione]]&amp;" - "&amp;Tabella1[[#This Row],[Città]]</f>
        <v>DA GIOVANNI - ANCONA</v>
      </c>
    </row>
    <row r="3360" spans="1:8" x14ac:dyDescent="0.25">
      <c r="A3360" s="1" t="s">
        <v>679</v>
      </c>
      <c r="B3360" s="1" t="s">
        <v>10215</v>
      </c>
      <c r="D3360" s="1" t="s">
        <v>10206</v>
      </c>
      <c r="H3360" s="2" t="str">
        <f>Tabella1[[#This Row],[Denominazione]]&amp;" - "&amp;Tabella1[[#This Row],[Città]]</f>
        <v>DA GIUSTINA - SIROLO</v>
      </c>
    </row>
    <row r="3361" spans="1:8" x14ac:dyDescent="0.25">
      <c r="A3361" s="1" t="s">
        <v>679</v>
      </c>
      <c r="B3361" s="1" t="s">
        <v>17318</v>
      </c>
      <c r="C3361" s="1" t="s">
        <v>17319</v>
      </c>
      <c r="D3361" s="1" t="s">
        <v>15819</v>
      </c>
      <c r="F3361" s="1" t="s">
        <v>17320</v>
      </c>
      <c r="G3361" s="1" t="s">
        <v>17321</v>
      </c>
      <c r="H3361" s="2" t="str">
        <f>Tabella1[[#This Row],[Denominazione]]&amp;" - "&amp;Tabella1[[#This Row],[Città]]</f>
        <v>DA LUIGI - SAN BENEDETTO DEL TRONTO</v>
      </c>
    </row>
    <row r="3362" spans="1:8" x14ac:dyDescent="0.25">
      <c r="A3362" s="1" t="s">
        <v>29</v>
      </c>
      <c r="B3362" s="1" t="s">
        <v>6624</v>
      </c>
      <c r="C3362" s="1" t="s">
        <v>6625</v>
      </c>
      <c r="D3362" s="1" t="s">
        <v>6536</v>
      </c>
      <c r="E3362" s="1" t="s">
        <v>6536</v>
      </c>
      <c r="H3362" s="2" t="str">
        <f>Tabella1[[#This Row],[Denominazione]]&amp;" - "&amp;Tabella1[[#This Row],[Città]]</f>
        <v>DA MARA - CORINALDO</v>
      </c>
    </row>
    <row r="3363" spans="1:8" x14ac:dyDescent="0.25">
      <c r="A3363" s="1" t="s">
        <v>12</v>
      </c>
      <c r="B3363" s="1" t="s">
        <v>6624</v>
      </c>
      <c r="C3363" s="1" t="s">
        <v>6640</v>
      </c>
      <c r="D3363" s="1" t="s">
        <v>6536</v>
      </c>
      <c r="E3363" s="1" t="s">
        <v>6536</v>
      </c>
      <c r="F3363" s="1" t="s">
        <v>6641</v>
      </c>
      <c r="G3363" s="1" t="s">
        <v>6642</v>
      </c>
      <c r="H3363" s="2" t="str">
        <f>Tabella1[[#This Row],[Denominazione]]&amp;" - "&amp;Tabella1[[#This Row],[Città]]</f>
        <v>DA MARA - CORINALDO</v>
      </c>
    </row>
    <row r="3364" spans="1:8" x14ac:dyDescent="0.25">
      <c r="A3364" s="1" t="s">
        <v>20</v>
      </c>
      <c r="B3364" s="1" t="s">
        <v>1758</v>
      </c>
      <c r="C3364" s="1" t="s">
        <v>1759</v>
      </c>
      <c r="D3364" s="1" t="s">
        <v>1724</v>
      </c>
      <c r="E3364" s="1" t="s">
        <v>1724</v>
      </c>
      <c r="F3364" s="1" t="s">
        <v>1760</v>
      </c>
      <c r="G3364" s="1" t="s">
        <v>1761</v>
      </c>
      <c r="H3364" s="2" t="str">
        <f>Tabella1[[#This Row],[Denominazione]]&amp;" - "&amp;Tabella1[[#This Row],[Città]]</f>
        <v>DA MARCO - FOSSOMBRONE</v>
      </c>
    </row>
    <row r="3365" spans="1:8" x14ac:dyDescent="0.25">
      <c r="A3365" s="1" t="s">
        <v>679</v>
      </c>
      <c r="B3365" s="1" t="s">
        <v>1758</v>
      </c>
      <c r="D3365" s="1" t="s">
        <v>10206</v>
      </c>
      <c r="G3365" s="1" t="s">
        <v>10214</v>
      </c>
      <c r="H3365" s="2" t="str">
        <f>Tabella1[[#This Row],[Denominazione]]&amp;" - "&amp;Tabella1[[#This Row],[Città]]</f>
        <v>DA MARCO - SIROLO</v>
      </c>
    </row>
    <row r="3366" spans="1:8" x14ac:dyDescent="0.25">
      <c r="A3366" s="1" t="s">
        <v>29</v>
      </c>
      <c r="B3366" s="1" t="s">
        <v>11239</v>
      </c>
      <c r="C3366" s="1" t="s">
        <v>11240</v>
      </c>
      <c r="D3366" s="1" t="s">
        <v>11058</v>
      </c>
      <c r="E3366" s="1" t="s">
        <v>11058</v>
      </c>
      <c r="G3366" s="1" t="s">
        <v>11241</v>
      </c>
      <c r="H3366" s="2" t="str">
        <f>Tabella1[[#This Row],[Denominazione]]&amp;" - "&amp;Tabella1[[#This Row],[Città]]</f>
        <v>DA MARIA di PACIAROTTI PAOLA - CINGOLI</v>
      </c>
    </row>
    <row r="3367" spans="1:8" x14ac:dyDescent="0.25">
      <c r="A3367" s="1" t="s">
        <v>679</v>
      </c>
      <c r="B3367" s="1" t="s">
        <v>8166</v>
      </c>
      <c r="C3367" s="1" t="s">
        <v>8167</v>
      </c>
      <c r="D3367" s="1" t="s">
        <v>7889</v>
      </c>
      <c r="F3367" s="1" t="s">
        <v>8168</v>
      </c>
      <c r="G3367" s="1" t="s">
        <v>8169</v>
      </c>
      <c r="H3367" s="2" t="str">
        <f>Tabella1[[#This Row],[Denominazione]]&amp;" - "&amp;Tabella1[[#This Row],[Città]]</f>
        <v>DA MARINO - NUMANA</v>
      </c>
    </row>
    <row r="3368" spans="1:8" x14ac:dyDescent="0.25">
      <c r="A3368" s="1" t="s">
        <v>679</v>
      </c>
      <c r="B3368" s="1" t="s">
        <v>15831</v>
      </c>
      <c r="C3368" s="1" t="s">
        <v>15832</v>
      </c>
      <c r="D3368" s="1" t="s">
        <v>15585</v>
      </c>
      <c r="H3368" s="2" t="str">
        <f>Tabella1[[#This Row],[Denominazione]]&amp;" - "&amp;Tabella1[[#This Row],[Città]]</f>
        <v>DA MARIO - GROTTAMMARE</v>
      </c>
    </row>
    <row r="3369" spans="1:8" x14ac:dyDescent="0.25">
      <c r="A3369" s="1" t="s">
        <v>20</v>
      </c>
      <c r="B3369" s="1" t="s">
        <v>6307</v>
      </c>
      <c r="C3369" s="1" t="s">
        <v>6308</v>
      </c>
      <c r="D3369" s="1" t="s">
        <v>6290</v>
      </c>
      <c r="E3369" s="1" t="s">
        <v>6290</v>
      </c>
      <c r="G3369" s="1" t="s">
        <v>6309</v>
      </c>
      <c r="H3369" s="2" t="str">
        <f>Tabella1[[#This Row],[Denominazione]]&amp;" - "&amp;Tabella1[[#This Row],[Città]]</f>
        <v>DA NAZZARE' - CAMERANO</v>
      </c>
    </row>
    <row r="3370" spans="1:8" x14ac:dyDescent="0.25">
      <c r="A3370" s="1" t="s">
        <v>12</v>
      </c>
      <c r="B3370" s="1" t="s">
        <v>4283</v>
      </c>
      <c r="D3370" s="1" t="s">
        <v>4272</v>
      </c>
      <c r="G3370" s="1" t="s">
        <v>4284</v>
      </c>
      <c r="H3370" s="2" t="str">
        <f>Tabella1[[#This Row],[Denominazione]]&amp;" - "&amp;Tabella1[[#This Row],[Città]]</f>
        <v>DA PAOLO E MILENA - SAN COSTANZO</v>
      </c>
    </row>
    <row r="3371" spans="1:8" x14ac:dyDescent="0.25">
      <c r="A3371" s="1" t="s">
        <v>679</v>
      </c>
      <c r="B3371" s="1" t="s">
        <v>10210</v>
      </c>
      <c r="C3371" s="1" t="s">
        <v>10211</v>
      </c>
      <c r="D3371" s="1" t="s">
        <v>10206</v>
      </c>
      <c r="E3371" s="1" t="s">
        <v>10206</v>
      </c>
      <c r="H3371" s="2" t="str">
        <f>Tabella1[[#This Row],[Denominazione]]&amp;" - "&amp;Tabella1[[#This Row],[Città]]</f>
        <v>DA PEPPE - SIROLO</v>
      </c>
    </row>
    <row r="3372" spans="1:8" x14ac:dyDescent="0.25">
      <c r="A3372" s="1" t="s">
        <v>82</v>
      </c>
      <c r="B3372" s="1" t="s">
        <v>1643</v>
      </c>
      <c r="C3372" s="1" t="s">
        <v>1644</v>
      </c>
      <c r="D3372" s="1" t="s">
        <v>682</v>
      </c>
      <c r="E3372" s="1" t="s">
        <v>682</v>
      </c>
      <c r="F3372" s="1" t="s">
        <v>1645</v>
      </c>
      <c r="G3372" s="1" t="s">
        <v>1646</v>
      </c>
      <c r="H3372" s="2" t="str">
        <f>Tabella1[[#This Row],[Denominazione]]&amp;" - "&amp;Tabella1[[#This Row],[Città]]</f>
        <v>DA QUINTA - FANO</v>
      </c>
    </row>
    <row r="3373" spans="1:8" x14ac:dyDescent="0.25">
      <c r="A3373" s="1" t="s">
        <v>679</v>
      </c>
      <c r="B3373" s="1" t="s">
        <v>10212</v>
      </c>
      <c r="C3373" s="1" t="s">
        <v>10213</v>
      </c>
      <c r="D3373" s="1" t="s">
        <v>10206</v>
      </c>
      <c r="E3373" s="1" t="s">
        <v>10206</v>
      </c>
      <c r="H3373" s="2" t="str">
        <f>Tabella1[[#This Row],[Denominazione]]&amp;" - "&amp;Tabella1[[#This Row],[Città]]</f>
        <v>DA ROBERTO - SIROLO</v>
      </c>
    </row>
    <row r="3374" spans="1:8" x14ac:dyDescent="0.25">
      <c r="A3374" s="1" t="s">
        <v>20</v>
      </c>
      <c r="B3374" s="1" t="s">
        <v>12188</v>
      </c>
      <c r="C3374" s="1" t="s">
        <v>12189</v>
      </c>
      <c r="D3374" s="1" t="s">
        <v>12050</v>
      </c>
      <c r="E3374" s="1" t="s">
        <v>12050</v>
      </c>
      <c r="H3374" s="2" t="str">
        <f>Tabella1[[#This Row],[Denominazione]]&amp;" - "&amp;Tabella1[[#This Row],[Città]]</f>
        <v>DA ROSA - MACERATA</v>
      </c>
    </row>
    <row r="3375" spans="1:8" x14ac:dyDescent="0.25">
      <c r="A3375" s="1" t="s">
        <v>20</v>
      </c>
      <c r="B3375" s="1" t="s">
        <v>15257</v>
      </c>
      <c r="C3375" s="1" t="s">
        <v>15258</v>
      </c>
      <c r="D3375" s="1" t="s">
        <v>15249</v>
      </c>
      <c r="E3375" s="1" t="s">
        <v>15249</v>
      </c>
      <c r="F3375" s="1" t="s">
        <v>15259</v>
      </c>
      <c r="G3375" s="1" t="s">
        <v>15260</v>
      </c>
      <c r="H3375" s="2" t="str">
        <f>Tabella1[[#This Row],[Denominazione]]&amp;" - "&amp;Tabella1[[#This Row],[Città]]</f>
        <v>DA ROVERINO - COMUNANZA</v>
      </c>
    </row>
    <row r="3376" spans="1:8" x14ac:dyDescent="0.25">
      <c r="A3376" s="1" t="s">
        <v>20</v>
      </c>
      <c r="B3376" s="1" t="s">
        <v>15261</v>
      </c>
      <c r="C3376" s="1" t="s">
        <v>15262</v>
      </c>
      <c r="D3376" s="1" t="s">
        <v>15249</v>
      </c>
      <c r="E3376" s="1" t="s">
        <v>15249</v>
      </c>
      <c r="H3376" s="2" t="str">
        <f>Tabella1[[#This Row],[Denominazione]]&amp;" - "&amp;Tabella1[[#This Row],[Città]]</f>
        <v>DA ROVERINO DIPENDENZA - COMUNANZA</v>
      </c>
    </row>
    <row r="3377" spans="1:8" x14ac:dyDescent="0.25">
      <c r="A3377" s="1" t="s">
        <v>679</v>
      </c>
      <c r="B3377" s="1" t="s">
        <v>11591</v>
      </c>
      <c r="C3377" s="1" t="s">
        <v>11592</v>
      </c>
      <c r="D3377" s="1" t="s">
        <v>11244</v>
      </c>
      <c r="E3377" s="1" t="s">
        <v>11244</v>
      </c>
      <c r="H3377" s="2" t="str">
        <f>Tabella1[[#This Row],[Denominazione]]&amp;" - "&amp;Tabella1[[#This Row],[Città]]</f>
        <v>DA SANTINA - CIVITANOVA MARCHE</v>
      </c>
    </row>
    <row r="3378" spans="1:8" x14ac:dyDescent="0.25">
      <c r="A3378" s="1" t="s">
        <v>679</v>
      </c>
      <c r="B3378" s="1" t="s">
        <v>17175</v>
      </c>
      <c r="D3378" s="1" t="s">
        <v>15819</v>
      </c>
      <c r="H3378" s="2" t="str">
        <f>Tabella1[[#This Row],[Denominazione]]&amp;" - "&amp;Tabella1[[#This Row],[Città]]</f>
        <v>DA VINCENZO - SAN BENEDETTO DEL TRONTO</v>
      </c>
    </row>
    <row r="3379" spans="1:8" x14ac:dyDescent="0.25">
      <c r="A3379" s="1" t="s">
        <v>82</v>
      </c>
      <c r="B3379" s="1" t="s">
        <v>7037</v>
      </c>
      <c r="C3379" s="1" t="s">
        <v>7038</v>
      </c>
      <c r="D3379" s="1" t="s">
        <v>5735</v>
      </c>
      <c r="G3379" s="1" t="s">
        <v>7039</v>
      </c>
      <c r="H3379" s="2" t="str">
        <f>Tabella1[[#This Row],[Denominazione]]&amp;" - "&amp;Tabella1[[#This Row],[Città]]</f>
        <v>DA VINCI - FALCONARA MARITTIMA</v>
      </c>
    </row>
    <row r="3380" spans="1:8" x14ac:dyDescent="0.25">
      <c r="A3380" s="1" t="s">
        <v>20</v>
      </c>
      <c r="B3380" s="1" t="s">
        <v>10991</v>
      </c>
      <c r="C3380" s="1" t="s">
        <v>10992</v>
      </c>
      <c r="D3380" s="1" t="s">
        <v>10990</v>
      </c>
      <c r="E3380" s="1" t="s">
        <v>10990</v>
      </c>
      <c r="H3380" s="2" t="str">
        <f>Tabella1[[#This Row],[Denominazione]]&amp;" - "&amp;Tabella1[[#This Row],[Città]]</f>
        <v>DAL NAVIGANTE - CASTELSANTANGELO SUL NERA</v>
      </c>
    </row>
    <row r="3381" spans="1:8" x14ac:dyDescent="0.25">
      <c r="A3381" s="1" t="s">
        <v>679</v>
      </c>
      <c r="B3381" s="1" t="s">
        <v>8143</v>
      </c>
      <c r="C3381" s="1" t="s">
        <v>8144</v>
      </c>
      <c r="D3381" s="1" t="s">
        <v>7889</v>
      </c>
      <c r="E3381" s="1" t="s">
        <v>7895</v>
      </c>
      <c r="G3381" s="1" t="s">
        <v>8145</v>
      </c>
      <c r="H3381" s="2" t="str">
        <f>Tabella1[[#This Row],[Denominazione]]&amp;" - "&amp;Tabella1[[#This Row],[Città]]</f>
        <v>DAL PESCATORE - NUMANA</v>
      </c>
    </row>
    <row r="3382" spans="1:8" x14ac:dyDescent="0.25">
      <c r="A3382" s="1" t="s">
        <v>82</v>
      </c>
      <c r="B3382" s="1" t="s">
        <v>18895</v>
      </c>
      <c r="C3382" s="1" t="s">
        <v>18896</v>
      </c>
      <c r="D3382" s="1" t="s">
        <v>18897</v>
      </c>
      <c r="E3382" s="1" t="s">
        <v>18898</v>
      </c>
      <c r="F3382" s="1" t="s">
        <v>18899</v>
      </c>
      <c r="G3382" s="1" t="s">
        <v>18900</v>
      </c>
      <c r="H3382" s="2" t="str">
        <f>Tabella1[[#This Row],[Denominazione]]&amp;" - "&amp;Tabella1[[#This Row],[Città]]</f>
        <v>DAL PRIORE - MORESCO</v>
      </c>
    </row>
    <row r="3383" spans="1:8" x14ac:dyDescent="0.25">
      <c r="A3383" s="1" t="s">
        <v>679</v>
      </c>
      <c r="B3383" s="1" t="s">
        <v>11634</v>
      </c>
      <c r="C3383" s="1" t="s">
        <v>11635</v>
      </c>
      <c r="D3383" s="1" t="s">
        <v>11244</v>
      </c>
      <c r="E3383" s="1" t="s">
        <v>11244</v>
      </c>
      <c r="H3383" s="2" t="str">
        <f>Tabella1[[#This Row],[Denominazione]]&amp;" - "&amp;Tabella1[[#This Row],[Città]]</f>
        <v>DAL VENEZIANO - CIVITANOVA MARCHE</v>
      </c>
    </row>
    <row r="3384" spans="1:8" x14ac:dyDescent="0.25">
      <c r="A3384" s="1" t="s">
        <v>679</v>
      </c>
      <c r="B3384" s="1" t="s">
        <v>8220</v>
      </c>
      <c r="C3384" s="1" t="s">
        <v>8221</v>
      </c>
      <c r="D3384" s="1" t="s">
        <v>7889</v>
      </c>
      <c r="E3384" s="1" t="s">
        <v>8222</v>
      </c>
      <c r="H3384" s="2" t="str">
        <f>Tabella1[[#This Row],[Denominazione]]&amp;" - "&amp;Tabella1[[#This Row],[Città]]</f>
        <v>DAMA BLU - NUMANA</v>
      </c>
    </row>
    <row r="3385" spans="1:8" x14ac:dyDescent="0.25">
      <c r="A3385" s="1" t="s">
        <v>82</v>
      </c>
      <c r="B3385" s="1" t="s">
        <v>8297</v>
      </c>
      <c r="C3385" s="1" t="s">
        <v>8298</v>
      </c>
      <c r="D3385" s="1" t="s">
        <v>7889</v>
      </c>
      <c r="E3385" s="1" t="s">
        <v>7889</v>
      </c>
      <c r="F3385" s="1" t="s">
        <v>8241</v>
      </c>
      <c r="G3385" s="1" t="s">
        <v>8242</v>
      </c>
      <c r="H3385" s="2" t="str">
        <f>Tabella1[[#This Row],[Denominazione]]&amp;" - "&amp;Tabella1[[#This Row],[Città]]</f>
        <v>DAMA S.A.S DI AGAZZANI MARCO &amp; C. - NUMANA</v>
      </c>
    </row>
    <row r="3386" spans="1:8" x14ac:dyDescent="0.25">
      <c r="A3386" s="1" t="s">
        <v>403</v>
      </c>
      <c r="B3386" s="1" t="s">
        <v>8239</v>
      </c>
      <c r="C3386" s="1" t="s">
        <v>8240</v>
      </c>
      <c r="D3386" s="1" t="s">
        <v>7889</v>
      </c>
      <c r="E3386" s="1" t="s">
        <v>7889</v>
      </c>
      <c r="F3386" s="1" t="s">
        <v>8241</v>
      </c>
      <c r="G3386" s="1" t="s">
        <v>8242</v>
      </c>
      <c r="H3386" s="2" t="str">
        <f>Tabella1[[#This Row],[Denominazione]]&amp;" - "&amp;Tabella1[[#This Row],[Città]]</f>
        <v>DAMABLU - NUMANA</v>
      </c>
    </row>
    <row r="3387" spans="1:8" x14ac:dyDescent="0.25">
      <c r="A3387" s="1" t="s">
        <v>82</v>
      </c>
      <c r="B3387" s="1" t="s">
        <v>5205</v>
      </c>
      <c r="C3387" s="1" t="s">
        <v>5206</v>
      </c>
      <c r="D3387" s="1" t="s">
        <v>9</v>
      </c>
      <c r="E3387" s="1" t="s">
        <v>9</v>
      </c>
      <c r="H3387" s="2" t="str">
        <f>Tabella1[[#This Row],[Denominazione]]&amp;" - "&amp;Tabella1[[#This Row],[Città]]</f>
        <v>DAMIANI GUIDO - URBINO</v>
      </c>
    </row>
    <row r="3388" spans="1:8" x14ac:dyDescent="0.25">
      <c r="A3388" s="1" t="s">
        <v>12</v>
      </c>
      <c r="B3388" s="1" t="s">
        <v>15326</v>
      </c>
      <c r="C3388" s="1" t="s">
        <v>15327</v>
      </c>
      <c r="D3388" s="1" t="s">
        <v>15282</v>
      </c>
      <c r="E3388" s="1" t="s">
        <v>15282</v>
      </c>
      <c r="G3388" s="1" t="s">
        <v>15328</v>
      </c>
      <c r="H3388" s="2" t="str">
        <f>Tabella1[[#This Row],[Denominazione]]&amp;" - "&amp;Tabella1[[#This Row],[Città]]</f>
        <v>D'ANGELO GINO - COSSIGNANO</v>
      </c>
    </row>
    <row r="3389" spans="1:8" x14ac:dyDescent="0.25">
      <c r="A3389" s="1" t="s">
        <v>82</v>
      </c>
      <c r="B3389" s="1" t="s">
        <v>10422</v>
      </c>
      <c r="C3389" s="1" t="s">
        <v>10423</v>
      </c>
      <c r="D3389" s="1" t="s">
        <v>10206</v>
      </c>
      <c r="F3389" s="1" t="s">
        <v>10424</v>
      </c>
      <c r="G3389" s="1" t="s">
        <v>10425</v>
      </c>
      <c r="H3389" s="2" t="str">
        <f>Tabella1[[#This Row],[Denominazione]]&amp;" - "&amp;Tabella1[[#This Row],[Città]]</f>
        <v>DANIELA CAMERE - SIROLO</v>
      </c>
    </row>
    <row r="3390" spans="1:8" x14ac:dyDescent="0.25">
      <c r="A3390" s="1" t="s">
        <v>12</v>
      </c>
      <c r="B3390" s="1" t="s">
        <v>1630</v>
      </c>
      <c r="C3390" s="1" t="s">
        <v>1631</v>
      </c>
      <c r="D3390" s="1" t="s">
        <v>682</v>
      </c>
      <c r="E3390" s="1" t="s">
        <v>1586</v>
      </c>
      <c r="G3390" s="1" t="s">
        <v>1632</v>
      </c>
      <c r="H3390" s="2" t="str">
        <f>Tabella1[[#This Row],[Denominazione]]&amp;" - "&amp;Tabella1[[#This Row],[Città]]</f>
        <v>DANIELE TALAMELLI E GASPARINI CINZIA - FANO</v>
      </c>
    </row>
    <row r="3391" spans="1:8" x14ac:dyDescent="0.25">
      <c r="A3391" s="1" t="s">
        <v>29</v>
      </c>
      <c r="B3391" s="1" t="s">
        <v>15053</v>
      </c>
      <c r="C3391" s="1" t="s">
        <v>15054</v>
      </c>
      <c r="D3391" s="1" t="s">
        <v>14576</v>
      </c>
      <c r="E3391" s="1" t="s">
        <v>14576</v>
      </c>
      <c r="H3391" s="2" t="str">
        <f>Tabella1[[#This Row],[Denominazione]]&amp;" - "&amp;Tabella1[[#This Row],[Città]]</f>
        <v>D'AURIA EMILIANO - ASCOLI PICENO</v>
      </c>
    </row>
    <row r="3392" spans="1:8" x14ac:dyDescent="0.25">
      <c r="A3392" s="1" t="s">
        <v>20</v>
      </c>
      <c r="B3392" s="1" t="s">
        <v>19162</v>
      </c>
      <c r="C3392" s="1" t="s">
        <v>19163</v>
      </c>
      <c r="D3392" s="1" t="s">
        <v>18082</v>
      </c>
      <c r="E3392" s="1" t="s">
        <v>18082</v>
      </c>
      <c r="F3392" s="1" t="s">
        <v>19164</v>
      </c>
      <c r="G3392" s="1" t="s">
        <v>19165</v>
      </c>
      <c r="H3392" s="2" t="str">
        <f>Tabella1[[#This Row],[Denominazione]]&amp;" - "&amp;Tabella1[[#This Row],[Città]]</f>
        <v>DAVID PALACE - PORTO SAN GIORGIO</v>
      </c>
    </row>
    <row r="3393" spans="1:8" x14ac:dyDescent="0.25">
      <c r="A3393" s="1" t="s">
        <v>12</v>
      </c>
      <c r="B3393" s="1" t="s">
        <v>613</v>
      </c>
      <c r="C3393" s="1" t="s">
        <v>614</v>
      </c>
      <c r="D3393" s="1" t="s">
        <v>579</v>
      </c>
      <c r="E3393" s="1" t="s">
        <v>579</v>
      </c>
      <c r="G3393" s="1" t="s">
        <v>591</v>
      </c>
      <c r="H3393" s="2" t="str">
        <f>Tabella1[[#This Row],[Denominazione]]&amp;" - "&amp;Tabella1[[#This Row],[Città]]</f>
        <v>DAVIDE ROSATI - CARPEGNA</v>
      </c>
    </row>
    <row r="3394" spans="1:8" x14ac:dyDescent="0.25">
      <c r="A3394" s="1" t="s">
        <v>82</v>
      </c>
      <c r="B3394" s="1" t="s">
        <v>15373</v>
      </c>
      <c r="C3394" s="1" t="s">
        <v>15374</v>
      </c>
      <c r="D3394" s="1" t="s">
        <v>15349</v>
      </c>
      <c r="E3394" s="1" t="s">
        <v>15349</v>
      </c>
      <c r="H3394" s="2" t="str">
        <f>Tabella1[[#This Row],[Denominazione]]&amp;" - "&amp;Tabella1[[#This Row],[Città]]</f>
        <v>DE ANGELIS NATALINA - CUPRA MARITTIMA</v>
      </c>
    </row>
    <row r="3395" spans="1:8" x14ac:dyDescent="0.25">
      <c r="A3395" s="1" t="s">
        <v>12</v>
      </c>
      <c r="B3395" s="1" t="s">
        <v>9292</v>
      </c>
      <c r="C3395" s="1" t="s">
        <v>9293</v>
      </c>
      <c r="D3395" s="1" t="s">
        <v>8949</v>
      </c>
      <c r="E3395" s="1" t="s">
        <v>8949</v>
      </c>
      <c r="H3395" s="2" t="str">
        <f>Tabella1[[#This Row],[Denominazione]]&amp;" - "&amp;Tabella1[[#This Row],[Città]]</f>
        <v>DE ANGELIS ROSALBA - SENIGALLIA</v>
      </c>
    </row>
    <row r="3396" spans="1:8" x14ac:dyDescent="0.25">
      <c r="A3396" s="1" t="s">
        <v>12</v>
      </c>
      <c r="B3396" s="1" t="s">
        <v>1511</v>
      </c>
      <c r="C3396" s="1" t="s">
        <v>1509</v>
      </c>
      <c r="D3396" s="1" t="s">
        <v>682</v>
      </c>
      <c r="G3396" s="1" t="s">
        <v>1510</v>
      </c>
      <c r="H3396" s="2" t="str">
        <f>Tabella1[[#This Row],[Denominazione]]&amp;" - "&amp;Tabella1[[#This Row],[Città]]</f>
        <v>DE BENEDICTIS CARLO - FANO</v>
      </c>
    </row>
    <row r="3397" spans="1:8" x14ac:dyDescent="0.25">
      <c r="A3397" s="1" t="s">
        <v>12</v>
      </c>
      <c r="B3397" s="1" t="s">
        <v>1508</v>
      </c>
      <c r="C3397" s="1" t="s">
        <v>1509</v>
      </c>
      <c r="D3397" s="1" t="s">
        <v>682</v>
      </c>
      <c r="G3397" s="1" t="s">
        <v>1510</v>
      </c>
      <c r="H3397" s="2" t="str">
        <f>Tabella1[[#This Row],[Denominazione]]&amp;" - "&amp;Tabella1[[#This Row],[Città]]</f>
        <v>DE BENEDICTIS FIORANGELO - FANO</v>
      </c>
    </row>
    <row r="3398" spans="1:8" x14ac:dyDescent="0.25">
      <c r="A3398" s="1" t="s">
        <v>12</v>
      </c>
      <c r="B3398" s="1" t="s">
        <v>16568</v>
      </c>
      <c r="C3398" s="1" t="s">
        <v>16569</v>
      </c>
      <c r="D3398" s="1" t="s">
        <v>16440</v>
      </c>
      <c r="E3398" s="1" t="s">
        <v>16440</v>
      </c>
      <c r="H3398" s="2" t="str">
        <f>Tabella1[[#This Row],[Denominazione]]&amp;" - "&amp;Tabella1[[#This Row],[Città]]</f>
        <v>DE CAROLIS GIORGIO - OFFIDA</v>
      </c>
    </row>
    <row r="3399" spans="1:8" x14ac:dyDescent="0.25">
      <c r="A3399" s="1" t="s">
        <v>12</v>
      </c>
      <c r="B3399" s="1" t="s">
        <v>6673</v>
      </c>
      <c r="C3399" s="1" t="s">
        <v>6674</v>
      </c>
      <c r="D3399" s="1" t="s">
        <v>6652</v>
      </c>
      <c r="E3399" s="1" t="s">
        <v>6652</v>
      </c>
      <c r="G3399" s="1" t="s">
        <v>6675</v>
      </c>
      <c r="H3399" s="2" t="str">
        <f>Tabella1[[#This Row],[Denominazione]]&amp;" - "&amp;Tabella1[[#This Row],[Città]]</f>
        <v>DE DOMENICO GRAZIELLA - CUPRAMONTANA</v>
      </c>
    </row>
    <row r="3400" spans="1:8" x14ac:dyDescent="0.25">
      <c r="A3400" s="1" t="s">
        <v>35</v>
      </c>
      <c r="B3400" s="1" t="s">
        <v>362</v>
      </c>
      <c r="C3400" s="1" t="s">
        <v>363</v>
      </c>
      <c r="D3400" s="1" t="s">
        <v>316</v>
      </c>
      <c r="E3400" s="1" t="s">
        <v>316</v>
      </c>
      <c r="F3400" s="1" t="s">
        <v>364</v>
      </c>
      <c r="G3400" s="1" t="s">
        <v>365</v>
      </c>
      <c r="H3400" s="2" t="str">
        <f>Tabella1[[#This Row],[Denominazione]]&amp;" - "&amp;Tabella1[[#This Row],[Città]]</f>
        <v>DE RERUM NATURA - CAGLI</v>
      </c>
    </row>
    <row r="3401" spans="1:8" x14ac:dyDescent="0.25">
      <c r="A3401" s="1" t="s">
        <v>6092</v>
      </c>
      <c r="B3401" s="1" t="s">
        <v>15499</v>
      </c>
      <c r="C3401" s="1" t="s">
        <v>15500</v>
      </c>
      <c r="D3401" s="1" t="s">
        <v>15349</v>
      </c>
      <c r="E3401" s="1" t="s">
        <v>15349</v>
      </c>
      <c r="F3401" s="1" t="s">
        <v>15501</v>
      </c>
      <c r="G3401" s="1" t="s">
        <v>15502</v>
      </c>
      <c r="H3401" s="2" t="str">
        <f>Tabella1[[#This Row],[Denominazione]]&amp;" - "&amp;Tabella1[[#This Row],[Città]]</f>
        <v>DEA CUPRA - CUPRA MARITTIMA</v>
      </c>
    </row>
    <row r="3402" spans="1:8" x14ac:dyDescent="0.25">
      <c r="A3402" s="1" t="s">
        <v>82</v>
      </c>
      <c r="B3402" s="1" t="s">
        <v>16256</v>
      </c>
      <c r="C3402" s="1" t="s">
        <v>16257</v>
      </c>
      <c r="D3402" s="1" t="s">
        <v>16202</v>
      </c>
      <c r="F3402" s="1" t="s">
        <v>16258</v>
      </c>
      <c r="G3402" s="1" t="s">
        <v>16259</v>
      </c>
      <c r="H3402" s="2" t="str">
        <f>Tabella1[[#This Row],[Denominazione]]&amp;" - "&amp;Tabella1[[#This Row],[Città]]</f>
        <v>DEA FLORA - MONTEFIORE DELL'ASO</v>
      </c>
    </row>
    <row r="3403" spans="1:8" x14ac:dyDescent="0.25">
      <c r="A3403" s="1" t="s">
        <v>35</v>
      </c>
      <c r="B3403" s="1" t="s">
        <v>12724</v>
      </c>
      <c r="D3403" s="1" t="s">
        <v>12694</v>
      </c>
      <c r="F3403" s="1" t="s">
        <v>11829</v>
      </c>
      <c r="G3403" s="1" t="s">
        <v>11830</v>
      </c>
      <c r="H3403" s="2" t="str">
        <f>Tabella1[[#This Row],[Denominazione]]&amp;" - "&amp;Tabella1[[#This Row],[Città]]</f>
        <v>DEGLI ALTI PASCOLI - PIEVEBOVIGLIANA</v>
      </c>
    </row>
    <row r="3404" spans="1:8" x14ac:dyDescent="0.25">
      <c r="A3404" s="1" t="s">
        <v>35</v>
      </c>
      <c r="B3404" s="1" t="s">
        <v>11827</v>
      </c>
      <c r="C3404" s="1" t="s">
        <v>11828</v>
      </c>
      <c r="D3404" s="1" t="s">
        <v>11792</v>
      </c>
      <c r="E3404" s="1" t="s">
        <v>11792</v>
      </c>
      <c r="F3404" s="1" t="s">
        <v>11829</v>
      </c>
      <c r="G3404" s="1" t="s">
        <v>11830</v>
      </c>
      <c r="H3404" s="2" t="str">
        <f>Tabella1[[#This Row],[Denominazione]]&amp;" - "&amp;Tabella1[[#This Row],[Città]]</f>
        <v>DEGLI ALTI PASCOLI (3481) - FIASTRA</v>
      </c>
    </row>
    <row r="3405" spans="1:8" x14ac:dyDescent="0.25">
      <c r="A3405" s="1" t="s">
        <v>35</v>
      </c>
      <c r="B3405" s="1" t="s">
        <v>11832</v>
      </c>
      <c r="C3405" s="1" t="s">
        <v>11833</v>
      </c>
      <c r="D3405" s="1" t="s">
        <v>11792</v>
      </c>
      <c r="E3405" s="1" t="s">
        <v>11792</v>
      </c>
      <c r="F3405" s="1" t="s">
        <v>11829</v>
      </c>
      <c r="G3405" s="1" t="s">
        <v>11830</v>
      </c>
      <c r="H3405" s="2" t="str">
        <f>Tabella1[[#This Row],[Denominazione]]&amp;" - "&amp;Tabella1[[#This Row],[Città]]</f>
        <v>DEGLI ALTI PASCOLI (5206) - FIASTRA</v>
      </c>
    </row>
    <row r="3406" spans="1:8" x14ac:dyDescent="0.25">
      <c r="A3406" s="1" t="s">
        <v>20</v>
      </c>
      <c r="B3406" s="1" t="s">
        <v>5089</v>
      </c>
      <c r="C3406" s="1" t="s">
        <v>5090</v>
      </c>
      <c r="D3406" s="1" t="s">
        <v>9</v>
      </c>
      <c r="E3406" s="1" t="s">
        <v>9</v>
      </c>
      <c r="F3406" s="1" t="s">
        <v>5087</v>
      </c>
      <c r="G3406" s="1" t="s">
        <v>5091</v>
      </c>
      <c r="H3406" s="2" t="str">
        <f>Tabella1[[#This Row],[Denominazione]]&amp;" - "&amp;Tabella1[[#This Row],[Città]]</f>
        <v>DEI DUCHI - URBINO</v>
      </c>
    </row>
    <row r="3407" spans="1:8" x14ac:dyDescent="0.25">
      <c r="A3407" s="1" t="s">
        <v>35</v>
      </c>
      <c r="B3407" s="1" t="s">
        <v>5089</v>
      </c>
      <c r="C3407" s="1" t="s">
        <v>5138</v>
      </c>
      <c r="D3407" s="1" t="s">
        <v>9</v>
      </c>
      <c r="E3407" s="1" t="s">
        <v>9</v>
      </c>
      <c r="F3407" s="1" t="s">
        <v>5139</v>
      </c>
      <c r="G3407" s="1" t="s">
        <v>5140</v>
      </c>
      <c r="H3407" s="2" t="str">
        <f>Tabella1[[#This Row],[Denominazione]]&amp;" - "&amp;Tabella1[[#This Row],[Città]]</f>
        <v>DEI DUCHI - URBINO</v>
      </c>
    </row>
    <row r="3408" spans="1:8" x14ac:dyDescent="0.25">
      <c r="A3408" s="1" t="s">
        <v>20</v>
      </c>
      <c r="B3408" s="1" t="s">
        <v>9485</v>
      </c>
      <c r="C3408" s="1" t="s">
        <v>9486</v>
      </c>
      <c r="D3408" s="1" t="s">
        <v>8949</v>
      </c>
      <c r="E3408" s="1" t="s">
        <v>8949</v>
      </c>
      <c r="F3408" s="1" t="s">
        <v>9487</v>
      </c>
      <c r="G3408" s="1" t="s">
        <v>9488</v>
      </c>
      <c r="H3408" s="2" t="str">
        <f>Tabella1[[#This Row],[Denominazione]]&amp;" - "&amp;Tabella1[[#This Row],[Città]]</f>
        <v>DEI GALLI - SENIGALLIA</v>
      </c>
    </row>
    <row r="3409" spans="1:8" x14ac:dyDescent="0.25">
      <c r="A3409" s="1" t="s">
        <v>20</v>
      </c>
      <c r="B3409" s="1" t="s">
        <v>12622</v>
      </c>
      <c r="C3409" s="1" t="s">
        <v>12623</v>
      </c>
      <c r="D3409" s="1" t="s">
        <v>12612</v>
      </c>
      <c r="E3409" s="1" t="s">
        <v>12612</v>
      </c>
      <c r="H3409" s="2" t="str">
        <f>Tabella1[[#This Row],[Denominazione]]&amp;" - "&amp;Tabella1[[#This Row],[Città]]</f>
        <v>DEL CACCIATORE - MUCCIA</v>
      </c>
    </row>
    <row r="3410" spans="1:8" x14ac:dyDescent="0.25">
      <c r="A3410" s="1" t="s">
        <v>20</v>
      </c>
      <c r="B3410" s="1" t="s">
        <v>3158</v>
      </c>
      <c r="C3410" s="1" t="s">
        <v>3159</v>
      </c>
      <c r="D3410" s="1" t="s">
        <v>3160</v>
      </c>
      <c r="E3410" s="1" t="s">
        <v>3160</v>
      </c>
      <c r="F3410" s="1" t="s">
        <v>3161</v>
      </c>
      <c r="G3410" s="1" t="s">
        <v>3162</v>
      </c>
      <c r="H3410" s="2" t="str">
        <f>Tabella1[[#This Row],[Denominazione]]&amp;" - "&amp;Tabella1[[#This Row],[Città]]</f>
        <v>DEL CASTELLO - MONTELABBATE</v>
      </c>
    </row>
    <row r="3411" spans="1:8" x14ac:dyDescent="0.25">
      <c r="A3411" s="1" t="s">
        <v>82</v>
      </c>
      <c r="B3411" s="1" t="s">
        <v>3158</v>
      </c>
      <c r="C3411" s="1" t="s">
        <v>4145</v>
      </c>
      <c r="D3411" s="1" t="s">
        <v>4130</v>
      </c>
      <c r="E3411" s="1" t="s">
        <v>4130</v>
      </c>
      <c r="G3411" s="1" t="s">
        <v>4146</v>
      </c>
      <c r="H3411" s="2" t="str">
        <f>Tabella1[[#This Row],[Denominazione]]&amp;" - "&amp;Tabella1[[#This Row],[Città]]</f>
        <v>DEL CASTELLO - PIANDIMELETO</v>
      </c>
    </row>
    <row r="3412" spans="1:8" x14ac:dyDescent="0.25">
      <c r="A3412" s="1" t="s">
        <v>82</v>
      </c>
      <c r="B3412" s="1" t="s">
        <v>6922</v>
      </c>
      <c r="C3412" s="1" t="s">
        <v>6923</v>
      </c>
      <c r="D3412" s="1" t="s">
        <v>6790</v>
      </c>
      <c r="E3412" s="1" t="s">
        <v>6790</v>
      </c>
      <c r="G3412" s="1" t="s">
        <v>6924</v>
      </c>
      <c r="H3412" s="2" t="str">
        <f>Tabella1[[#This Row],[Denominazione]]&amp;" - "&amp;Tabella1[[#This Row],[Città]]</f>
        <v>DEL CENTRO STORICO - FABRIANO</v>
      </c>
    </row>
    <row r="3413" spans="1:8" x14ac:dyDescent="0.25">
      <c r="A3413" s="1" t="s">
        <v>12</v>
      </c>
      <c r="B3413" s="1" t="s">
        <v>1939</v>
      </c>
      <c r="C3413" s="1" t="s">
        <v>1940</v>
      </c>
      <c r="D3413" s="1" t="s">
        <v>1907</v>
      </c>
      <c r="E3413" s="1" t="s">
        <v>1907</v>
      </c>
      <c r="H3413" s="2" t="str">
        <f>Tabella1[[#This Row],[Denominazione]]&amp;" - "&amp;Tabella1[[#This Row],[Città]]</f>
        <v>DEL CHIERICO GILBERTO - GABICCE MARE</v>
      </c>
    </row>
    <row r="3414" spans="1:8" x14ac:dyDescent="0.25">
      <c r="A3414" s="1" t="s">
        <v>35</v>
      </c>
      <c r="B3414" s="1" t="s">
        <v>36</v>
      </c>
      <c r="C3414" s="1" t="s">
        <v>37</v>
      </c>
      <c r="D3414" s="1" t="s">
        <v>15</v>
      </c>
      <c r="E3414" s="1" t="s">
        <v>15</v>
      </c>
      <c r="H3414" s="2" t="str">
        <f>Tabella1[[#This Row],[Denominazione]]&amp;" - "&amp;Tabella1[[#This Row],[Città]]</f>
        <v>DEL FRONTINO - ACQUALAGNA</v>
      </c>
    </row>
    <row r="3415" spans="1:8" x14ac:dyDescent="0.25">
      <c r="A3415" s="1" t="s">
        <v>571</v>
      </c>
      <c r="B3415" s="1" t="s">
        <v>2935</v>
      </c>
      <c r="C3415" s="1" t="s">
        <v>2936</v>
      </c>
      <c r="D3415" s="1" t="s">
        <v>1605</v>
      </c>
      <c r="E3415" s="1" t="s">
        <v>682</v>
      </c>
      <c r="F3415" s="1" t="s">
        <v>2867</v>
      </c>
      <c r="G3415" s="1" t="s">
        <v>2866</v>
      </c>
      <c r="H3415" s="2" t="str">
        <f>Tabella1[[#This Row],[Denominazione]]&amp;" - "&amp;Tabella1[[#This Row],[Città]]</f>
        <v>DEL GABBIANO - MONDOLFO</v>
      </c>
    </row>
    <row r="3416" spans="1:8" x14ac:dyDescent="0.25">
      <c r="A3416" s="1" t="s">
        <v>12</v>
      </c>
      <c r="B3416" s="1" t="s">
        <v>2512</v>
      </c>
      <c r="C3416" s="1" t="s">
        <v>2511</v>
      </c>
      <c r="D3416" s="1" t="s">
        <v>2425</v>
      </c>
      <c r="E3416" s="1" t="s">
        <v>2425</v>
      </c>
      <c r="H3416" s="2" t="str">
        <f>Tabella1[[#This Row],[Denominazione]]&amp;" - "&amp;Tabella1[[#This Row],[Città]]</f>
        <v>DEL MAGNA LUCIANA - PIANO PRIMO - GRADARA</v>
      </c>
    </row>
    <row r="3417" spans="1:8" x14ac:dyDescent="0.25">
      <c r="A3417" s="1" t="s">
        <v>12</v>
      </c>
      <c r="B3417" s="1" t="s">
        <v>2510</v>
      </c>
      <c r="C3417" s="1" t="s">
        <v>2511</v>
      </c>
      <c r="D3417" s="1" t="s">
        <v>2425</v>
      </c>
      <c r="E3417" s="1" t="s">
        <v>2425</v>
      </c>
      <c r="H3417" s="2" t="str">
        <f>Tabella1[[#This Row],[Denominazione]]&amp;" - "&amp;Tabella1[[#This Row],[Città]]</f>
        <v>DEL MAGNA LUCIANA - PIANO TERRA - GRADARA</v>
      </c>
    </row>
    <row r="3418" spans="1:8" x14ac:dyDescent="0.25">
      <c r="A3418" s="1" t="s">
        <v>12</v>
      </c>
      <c r="B3418" s="1" t="s">
        <v>13759</v>
      </c>
      <c r="C3418" s="1" t="s">
        <v>13760</v>
      </c>
      <c r="D3418" s="1" t="s">
        <v>13756</v>
      </c>
      <c r="F3418" s="1" t="s">
        <v>13761</v>
      </c>
      <c r="G3418" s="1" t="s">
        <v>13762</v>
      </c>
      <c r="H3418" s="2" t="str">
        <f>Tabella1[[#This Row],[Denominazione]]&amp;" - "&amp;Tabella1[[#This Row],[Città]]</f>
        <v>DEL MEDICO GRAZIELLA - SARNANO</v>
      </c>
    </row>
    <row r="3419" spans="1:8" x14ac:dyDescent="0.25">
      <c r="A3419" s="1" t="s">
        <v>20</v>
      </c>
      <c r="B3419" s="1" t="s">
        <v>9517</v>
      </c>
      <c r="C3419" s="1" t="s">
        <v>9518</v>
      </c>
      <c r="D3419" s="1" t="s">
        <v>8949</v>
      </c>
      <c r="E3419" s="1" t="s">
        <v>8949</v>
      </c>
      <c r="G3419" s="1" t="s">
        <v>9519</v>
      </c>
      <c r="H3419" s="2" t="str">
        <f>Tabella1[[#This Row],[Denominazione]]&amp;" - "&amp;Tabella1[[#This Row],[Città]]</f>
        <v>DEL SOLE - SENIGALLIA</v>
      </c>
    </row>
    <row r="3420" spans="1:8" x14ac:dyDescent="0.25">
      <c r="A3420" s="1" t="s">
        <v>20</v>
      </c>
      <c r="B3420" s="1" t="s">
        <v>9517</v>
      </c>
      <c r="C3420" s="1" t="s">
        <v>10853</v>
      </c>
      <c r="D3420" s="1" t="s">
        <v>10737</v>
      </c>
      <c r="E3420" s="1" t="s">
        <v>10737</v>
      </c>
      <c r="H3420" s="2" t="str">
        <f>Tabella1[[#This Row],[Denominazione]]&amp;" - "&amp;Tabella1[[#This Row],[Città]]</f>
        <v>DEL SOLE - CAMERINO</v>
      </c>
    </row>
    <row r="3421" spans="1:8" x14ac:dyDescent="0.25">
      <c r="A3421" s="1" t="s">
        <v>12</v>
      </c>
      <c r="B3421" s="1" t="s">
        <v>859</v>
      </c>
      <c r="C3421" s="1" t="s">
        <v>860</v>
      </c>
      <c r="D3421" s="1" t="s">
        <v>682</v>
      </c>
      <c r="H3421" s="2" t="str">
        <f>Tabella1[[#This Row],[Denominazione]]&amp;" - "&amp;Tabella1[[#This Row],[Città]]</f>
        <v>DEL VECCHIO VILMA - FANO</v>
      </c>
    </row>
    <row r="3422" spans="1:8" x14ac:dyDescent="0.25">
      <c r="A3422" s="1" t="s">
        <v>679</v>
      </c>
      <c r="B3422" s="1" t="s">
        <v>5717</v>
      </c>
      <c r="C3422" s="1" t="s">
        <v>5718</v>
      </c>
      <c r="D3422" s="1" t="s">
        <v>1864</v>
      </c>
      <c r="E3422" s="1" t="s">
        <v>5719</v>
      </c>
      <c r="F3422" s="1" t="s">
        <v>5720</v>
      </c>
      <c r="H3422" s="2" t="str">
        <f>Tabella1[[#This Row],[Denominazione]]&amp;" - "&amp;Tabella1[[#This Row],[Città]]</f>
        <v>DELFINA - ANCONA</v>
      </c>
    </row>
    <row r="3423" spans="1:8" x14ac:dyDescent="0.25">
      <c r="A3423" s="1" t="s">
        <v>20</v>
      </c>
      <c r="B3423" s="1" t="s">
        <v>9572</v>
      </c>
      <c r="C3423" s="1" t="s">
        <v>9573</v>
      </c>
      <c r="D3423" s="1" t="s">
        <v>8949</v>
      </c>
      <c r="E3423" s="1" t="s">
        <v>8949</v>
      </c>
      <c r="F3423" s="1" t="s">
        <v>9574</v>
      </c>
      <c r="G3423" s="1" t="s">
        <v>9575</v>
      </c>
      <c r="H3423" s="2" t="str">
        <f>Tabella1[[#This Row],[Denominazione]]&amp;" - "&amp;Tabella1[[#This Row],[Città]]</f>
        <v>DELFINO - SENIGALLIA</v>
      </c>
    </row>
    <row r="3424" spans="1:8" x14ac:dyDescent="0.25">
      <c r="A3424" s="1" t="s">
        <v>20</v>
      </c>
      <c r="B3424" s="1" t="s">
        <v>7446</v>
      </c>
      <c r="C3424" s="1" t="s">
        <v>7447</v>
      </c>
      <c r="D3424" s="1" t="s">
        <v>7385</v>
      </c>
      <c r="E3424" s="1" t="s">
        <v>7385</v>
      </c>
      <c r="F3424" s="1" t="s">
        <v>7448</v>
      </c>
      <c r="G3424" s="1" t="s">
        <v>7449</v>
      </c>
      <c r="H3424" s="2" t="str">
        <f>Tabella1[[#This Row],[Denominazione]]&amp;" - "&amp;Tabella1[[#This Row],[Città]]</f>
        <v>DELFINO AZZURRO - LORETO</v>
      </c>
    </row>
    <row r="3425" spans="1:8" x14ac:dyDescent="0.25">
      <c r="A3425" s="1" t="s">
        <v>679</v>
      </c>
      <c r="B3425" s="1" t="s">
        <v>15904</v>
      </c>
      <c r="C3425" s="1" t="s">
        <v>15818</v>
      </c>
      <c r="D3425" s="1" t="s">
        <v>15585</v>
      </c>
      <c r="H3425" s="2" t="str">
        <f>Tabella1[[#This Row],[Denominazione]]&amp;" - "&amp;Tabella1[[#This Row],[Città]]</f>
        <v>DELFINO BLU - GROTTAMMARE</v>
      </c>
    </row>
    <row r="3426" spans="1:8" x14ac:dyDescent="0.25">
      <c r="A3426" s="1" t="s">
        <v>20</v>
      </c>
      <c r="B3426" s="1" t="s">
        <v>3151</v>
      </c>
      <c r="C3426" s="1" t="s">
        <v>3152</v>
      </c>
      <c r="D3426" s="1" t="s">
        <v>3131</v>
      </c>
      <c r="E3426" s="1" t="s">
        <v>3131</v>
      </c>
      <c r="G3426" s="1" t="s">
        <v>3153</v>
      </c>
      <c r="H3426" s="2" t="str">
        <f>Tabella1[[#This Row],[Denominazione]]&amp;" - "&amp;Tabella1[[#This Row],[Città]]</f>
        <v>DELLA SALUTE - MONTE GRIMANO TERME</v>
      </c>
    </row>
    <row r="3427" spans="1:8" x14ac:dyDescent="0.25">
      <c r="A3427" s="1" t="s">
        <v>12</v>
      </c>
      <c r="B3427" s="1" t="s">
        <v>713</v>
      </c>
      <c r="C3427" s="1" t="s">
        <v>714</v>
      </c>
      <c r="D3427" s="1" t="s">
        <v>682</v>
      </c>
      <c r="E3427" s="1" t="s">
        <v>682</v>
      </c>
      <c r="G3427" s="1" t="s">
        <v>715</v>
      </c>
      <c r="H3427" s="2" t="str">
        <f>Tabella1[[#This Row],[Denominazione]]&amp;" - "&amp;Tabella1[[#This Row],[Città]]</f>
        <v>DELLASANTA MASSIMO - FANO</v>
      </c>
    </row>
    <row r="3428" spans="1:8" x14ac:dyDescent="0.25">
      <c r="A3428" s="1" t="s">
        <v>82</v>
      </c>
      <c r="B3428" s="1" t="s">
        <v>15335</v>
      </c>
      <c r="C3428" s="1" t="s">
        <v>15336</v>
      </c>
      <c r="D3428" s="1" t="s">
        <v>15282</v>
      </c>
      <c r="E3428" s="1" t="s">
        <v>15282</v>
      </c>
      <c r="G3428" s="1" t="s">
        <v>15337</v>
      </c>
      <c r="H3428" s="2" t="str">
        <f>Tabella1[[#This Row],[Denominazione]]&amp;" - "&amp;Tabella1[[#This Row],[Città]]</f>
        <v>DELLE GRAZIE - COSSIGNANO</v>
      </c>
    </row>
    <row r="3429" spans="1:8" x14ac:dyDescent="0.25">
      <c r="A3429" s="1" t="s">
        <v>20</v>
      </c>
      <c r="B3429" s="1" t="s">
        <v>3739</v>
      </c>
      <c r="C3429" s="1" t="s">
        <v>3740</v>
      </c>
      <c r="D3429" s="1" t="s">
        <v>2386</v>
      </c>
      <c r="E3429" s="1" t="s">
        <v>2386</v>
      </c>
      <c r="F3429" s="1" t="s">
        <v>3741</v>
      </c>
      <c r="G3429" s="1" t="s">
        <v>3742</v>
      </c>
      <c r="H3429" s="2" t="str">
        <f>Tabella1[[#This Row],[Denominazione]]&amp;" - "&amp;Tabella1[[#This Row],[Città]]</f>
        <v>DELLE NAZIONI - PESARO</v>
      </c>
    </row>
    <row r="3430" spans="1:8" x14ac:dyDescent="0.25">
      <c r="A3430" s="1" t="s">
        <v>20</v>
      </c>
      <c r="B3430" s="1" t="s">
        <v>15956</v>
      </c>
      <c r="C3430" s="1" t="s">
        <v>15957</v>
      </c>
      <c r="D3430" s="1" t="s">
        <v>15585</v>
      </c>
      <c r="F3430" s="1" t="s">
        <v>15958</v>
      </c>
      <c r="G3430" s="1" t="s">
        <v>15955</v>
      </c>
      <c r="H3430" s="2" t="str">
        <f>Tabella1[[#This Row],[Denominazione]]&amp;" - "&amp;Tabella1[[#This Row],[Città]]</f>
        <v>DEPENDANCE JERRY HOTEL - GROTTAMMARE</v>
      </c>
    </row>
    <row r="3431" spans="1:8" x14ac:dyDescent="0.25">
      <c r="A3431" s="1" t="s">
        <v>20</v>
      </c>
      <c r="B3431" s="1" t="s">
        <v>3736</v>
      </c>
      <c r="C3431" s="1" t="s">
        <v>3737</v>
      </c>
      <c r="D3431" s="1" t="s">
        <v>2386</v>
      </c>
      <c r="E3431" s="1" t="s">
        <v>2386</v>
      </c>
      <c r="F3431" s="1" t="s">
        <v>3690</v>
      </c>
      <c r="G3431" s="1" t="s">
        <v>3738</v>
      </c>
      <c r="H3431" s="2" t="str">
        <f>Tabella1[[#This Row],[Denominazione]]&amp;" - "&amp;Tabella1[[#This Row],[Città]]</f>
        <v>DES BAINS - PESARO</v>
      </c>
    </row>
    <row r="3432" spans="1:8" x14ac:dyDescent="0.25">
      <c r="A3432" s="1" t="s">
        <v>29</v>
      </c>
      <c r="B3432" s="1" t="s">
        <v>18413</v>
      </c>
      <c r="C3432" s="1" t="s">
        <v>18414</v>
      </c>
      <c r="D3432" s="1" t="s">
        <v>18389</v>
      </c>
      <c r="E3432" s="1" t="s">
        <v>18389</v>
      </c>
      <c r="H3432" s="2" t="str">
        <f>Tabella1[[#This Row],[Denominazione]]&amp;" - "&amp;Tabella1[[#This Row],[Città]]</f>
        <v>DESANTIS P. FRANCESCO - LAPEDONA</v>
      </c>
    </row>
    <row r="3433" spans="1:8" x14ac:dyDescent="0.25">
      <c r="A3433" s="1" t="s">
        <v>12</v>
      </c>
      <c r="B3433" s="1" t="s">
        <v>3609</v>
      </c>
      <c r="C3433" s="1" t="s">
        <v>3610</v>
      </c>
      <c r="D3433" s="1" t="s">
        <v>2386</v>
      </c>
      <c r="E3433" s="1" t="s">
        <v>2386</v>
      </c>
      <c r="G3433" s="1" t="s">
        <v>3611</v>
      </c>
      <c r="H3433" s="2" t="str">
        <f>Tabella1[[#This Row],[Denominazione]]&amp;" - "&amp;Tabella1[[#This Row],[Città]]</f>
        <v>DI BENEDETTO ROSSANA - PESARO</v>
      </c>
    </row>
    <row r="3434" spans="1:8" x14ac:dyDescent="0.25">
      <c r="A3434" s="1" t="s">
        <v>82</v>
      </c>
      <c r="B3434" s="1" t="s">
        <v>11885</v>
      </c>
      <c r="C3434" s="1" t="s">
        <v>11886</v>
      </c>
      <c r="D3434" s="1" t="s">
        <v>11883</v>
      </c>
      <c r="E3434" s="1" t="s">
        <v>11883</v>
      </c>
      <c r="G3434" s="1" t="s">
        <v>11887</v>
      </c>
      <c r="H3434" s="2" t="str">
        <f>Tabella1[[#This Row],[Denominazione]]&amp;" - "&amp;Tabella1[[#This Row],[Città]]</f>
        <v>DI LUCA SANTE - GUALDO</v>
      </c>
    </row>
    <row r="3435" spans="1:8" x14ac:dyDescent="0.25">
      <c r="A3435" s="1" t="s">
        <v>12</v>
      </c>
      <c r="B3435" s="1" t="s">
        <v>6679</v>
      </c>
      <c r="C3435" s="1" t="s">
        <v>6677</v>
      </c>
      <c r="D3435" s="1" t="s">
        <v>6652</v>
      </c>
      <c r="E3435" s="1" t="s">
        <v>6652</v>
      </c>
      <c r="G3435" s="1" t="s">
        <v>6680</v>
      </c>
      <c r="H3435" s="2" t="str">
        <f>Tabella1[[#This Row],[Denominazione]]&amp;" - "&amp;Tabella1[[#This Row],[Città]]</f>
        <v>DI NISIO FRANCESCA - CUPRAMONTANA</v>
      </c>
    </row>
    <row r="3436" spans="1:8" x14ac:dyDescent="0.25">
      <c r="A3436" s="1" t="s">
        <v>12</v>
      </c>
      <c r="B3436" s="1" t="s">
        <v>16160</v>
      </c>
      <c r="C3436" s="1" t="s">
        <v>16161</v>
      </c>
      <c r="D3436" s="1" t="s">
        <v>16083</v>
      </c>
      <c r="E3436" s="1" t="s">
        <v>16083</v>
      </c>
      <c r="G3436" s="1" t="s">
        <v>16162</v>
      </c>
      <c r="H3436" s="2" t="str">
        <f>Tabella1[[#This Row],[Denominazione]]&amp;" - "&amp;Tabella1[[#This Row],[Città]]</f>
        <v>DI SILVESTRO ROSANNA - MONTALTO DELLE MARCHE</v>
      </c>
    </row>
    <row r="3437" spans="1:8" x14ac:dyDescent="0.25">
      <c r="A3437" s="1" t="s">
        <v>679</v>
      </c>
      <c r="B3437" s="1" t="s">
        <v>19134</v>
      </c>
      <c r="C3437" s="1" t="s">
        <v>19048</v>
      </c>
      <c r="D3437" s="1" t="s">
        <v>18082</v>
      </c>
      <c r="E3437" s="1" t="s">
        <v>18082</v>
      </c>
      <c r="F3437" s="1" t="s">
        <v>19135</v>
      </c>
      <c r="H3437" s="2" t="str">
        <f>Tabella1[[#This Row],[Denominazione]]&amp;" - "&amp;Tabella1[[#This Row],[Città]]</f>
        <v>DI SOLE IN SOLE - PORTO SAN GIORGIO</v>
      </c>
    </row>
    <row r="3438" spans="1:8" x14ac:dyDescent="0.25">
      <c r="A3438" s="1" t="s">
        <v>12</v>
      </c>
      <c r="B3438" s="1" t="s">
        <v>5498</v>
      </c>
      <c r="C3438" s="1" t="s">
        <v>5499</v>
      </c>
      <c r="D3438" s="1" t="s">
        <v>1864</v>
      </c>
      <c r="G3438" s="1" t="s">
        <v>5500</v>
      </c>
      <c r="H3438" s="2" t="str">
        <f>Tabella1[[#This Row],[Denominazione]]&amp;" - "&amp;Tabella1[[#This Row],[Città]]</f>
        <v>DIEGO STAFFOLANI - ANCONA</v>
      </c>
    </row>
    <row r="3439" spans="1:8" x14ac:dyDescent="0.25">
      <c r="A3439" s="1" t="s">
        <v>29</v>
      </c>
      <c r="B3439" s="1" t="s">
        <v>15035</v>
      </c>
      <c r="C3439" s="1" t="s">
        <v>15036</v>
      </c>
      <c r="D3439" s="1" t="s">
        <v>14576</v>
      </c>
      <c r="E3439" s="1" t="s">
        <v>14576</v>
      </c>
      <c r="F3439" s="1" t="s">
        <v>7035</v>
      </c>
      <c r="G3439" s="1" t="s">
        <v>15037</v>
      </c>
      <c r="H3439" s="2" t="str">
        <f>Tabella1[[#This Row],[Denominazione]]&amp;" - "&amp;Tabella1[[#This Row],[Città]]</f>
        <v>DIETRO LA PIAZZA - ASCOLI PICENO</v>
      </c>
    </row>
    <row r="3440" spans="1:8" x14ac:dyDescent="0.25">
      <c r="A3440" s="1" t="s">
        <v>82</v>
      </c>
      <c r="B3440" s="1" t="s">
        <v>17758</v>
      </c>
      <c r="D3440" s="1" t="s">
        <v>17745</v>
      </c>
      <c r="E3440" s="1" t="s">
        <v>17745</v>
      </c>
      <c r="G3440" s="1" t="s">
        <v>17759</v>
      </c>
      <c r="H3440" s="2" t="str">
        <f>Tabella1[[#This Row],[Denominazione]]&amp;" - "&amp;Tabella1[[#This Row],[Città]]</f>
        <v>DIMORA DELLA SIBILLA - AMANDOLA</v>
      </c>
    </row>
    <row r="3441" spans="1:8" x14ac:dyDescent="0.25">
      <c r="A3441" s="1" t="s">
        <v>35</v>
      </c>
      <c r="B3441" s="1" t="s">
        <v>4119</v>
      </c>
      <c r="C3441" s="1" t="s">
        <v>4120</v>
      </c>
      <c r="D3441" s="1" t="s">
        <v>4121</v>
      </c>
      <c r="E3441" s="1" t="s">
        <v>4121</v>
      </c>
      <c r="F3441" s="1" t="s">
        <v>4122</v>
      </c>
      <c r="G3441" s="1" t="s">
        <v>4123</v>
      </c>
      <c r="H3441" s="2" t="str">
        <f>Tabella1[[#This Row],[Denominazione]]&amp;" - "&amp;Tabella1[[#This Row],[Città]]</f>
        <v>DIMORA DELLE VIGNE - PIAGGE</v>
      </c>
    </row>
    <row r="3442" spans="1:8" x14ac:dyDescent="0.25">
      <c r="A3442" s="1" t="s">
        <v>82</v>
      </c>
      <c r="B3442" s="1" t="s">
        <v>15605</v>
      </c>
      <c r="C3442" s="1" t="s">
        <v>15606</v>
      </c>
      <c r="D3442" s="1" t="s">
        <v>15585</v>
      </c>
      <c r="F3442" s="1" t="s">
        <v>15607</v>
      </c>
      <c r="G3442" s="1" t="s">
        <v>15608</v>
      </c>
      <c r="H3442" s="2" t="str">
        <f>Tabella1[[#This Row],[Denominazione]]&amp;" - "&amp;Tabella1[[#This Row],[Città]]</f>
        <v>DIMORA DI MARE - GROTTAMMARE</v>
      </c>
    </row>
    <row r="3443" spans="1:8" x14ac:dyDescent="0.25">
      <c r="A3443" s="1" t="s">
        <v>12</v>
      </c>
      <c r="B3443" s="1" t="s">
        <v>14935</v>
      </c>
      <c r="D3443" s="1" t="s">
        <v>14576</v>
      </c>
      <c r="E3443" s="1" t="s">
        <v>14936</v>
      </c>
      <c r="F3443" s="1" t="s">
        <v>14937</v>
      </c>
      <c r="G3443" s="1" t="s">
        <v>14938</v>
      </c>
      <c r="H3443" s="2" t="str">
        <f>Tabella1[[#This Row],[Denominazione]]&amp;" - "&amp;Tabella1[[#This Row],[Città]]</f>
        <v>DIMORA DI MORGIANO - ASCOLI PICENO</v>
      </c>
    </row>
    <row r="3444" spans="1:8" x14ac:dyDescent="0.25">
      <c r="A3444" s="1" t="s">
        <v>82</v>
      </c>
      <c r="B3444" s="1" t="s">
        <v>4170</v>
      </c>
      <c r="C3444" s="1" t="s">
        <v>4171</v>
      </c>
      <c r="D3444" s="1" t="s">
        <v>4151</v>
      </c>
      <c r="G3444" s="1" t="s">
        <v>4172</v>
      </c>
      <c r="H3444" s="2" t="str">
        <f>Tabella1[[#This Row],[Denominazione]]&amp;" - "&amp;Tabella1[[#This Row],[Città]]</f>
        <v>DIMORA GALASTERNA - PIETRARUBBIA</v>
      </c>
    </row>
    <row r="3445" spans="1:8" x14ac:dyDescent="0.25">
      <c r="A3445" s="1" t="s">
        <v>82</v>
      </c>
      <c r="B3445" s="1" t="s">
        <v>15087</v>
      </c>
      <c r="C3445" s="1" t="s">
        <v>15088</v>
      </c>
      <c r="D3445" s="1" t="s">
        <v>14576</v>
      </c>
      <c r="E3445" s="1" t="s">
        <v>14576</v>
      </c>
      <c r="G3445" s="1" t="s">
        <v>15089</v>
      </c>
      <c r="H3445" s="2" t="str">
        <f>Tabella1[[#This Row],[Denominazione]]&amp;" - "&amp;Tabella1[[#This Row],[Città]]</f>
        <v>DIMORA NEL CENTRO STORICO - ASCOLI PICENO</v>
      </c>
    </row>
    <row r="3446" spans="1:8" x14ac:dyDescent="0.25">
      <c r="A3446" s="1" t="s">
        <v>403</v>
      </c>
      <c r="B3446" s="1" t="s">
        <v>11516</v>
      </c>
      <c r="C3446" s="1" t="s">
        <v>11517</v>
      </c>
      <c r="D3446" s="1" t="s">
        <v>11244</v>
      </c>
      <c r="F3446" s="1" t="s">
        <v>11518</v>
      </c>
      <c r="G3446" s="1" t="s">
        <v>11519</v>
      </c>
      <c r="H3446" s="2" t="str">
        <f>Tabella1[[#This Row],[Denominazione]]&amp;" - "&amp;Tabella1[[#This Row],[Città]]</f>
        <v>DIMORAE - CIVITANOVA MARCHE</v>
      </c>
    </row>
    <row r="3447" spans="1:8" x14ac:dyDescent="0.25">
      <c r="A3447" s="1" t="s">
        <v>20</v>
      </c>
      <c r="B3447" s="1" t="s">
        <v>2929</v>
      </c>
      <c r="C3447" s="1" t="s">
        <v>2930</v>
      </c>
      <c r="D3447" s="1" t="s">
        <v>1605</v>
      </c>
      <c r="E3447" s="1" t="s">
        <v>1605</v>
      </c>
      <c r="F3447" s="1" t="s">
        <v>2931</v>
      </c>
      <c r="G3447" s="1" t="s">
        <v>2932</v>
      </c>
      <c r="H3447" s="2" t="str">
        <f>Tabella1[[#This Row],[Denominazione]]&amp;" - "&amp;Tabella1[[#This Row],[Città]]</f>
        <v>DINARICA - MONDOLFO</v>
      </c>
    </row>
    <row r="3448" spans="1:8" x14ac:dyDescent="0.25">
      <c r="A3448" s="1" t="s">
        <v>20</v>
      </c>
      <c r="B3448" s="1" t="s">
        <v>17481</v>
      </c>
      <c r="C3448" s="1" t="s">
        <v>17482</v>
      </c>
      <c r="D3448" s="1" t="s">
        <v>15819</v>
      </c>
      <c r="E3448" s="1" t="s">
        <v>15819</v>
      </c>
      <c r="F3448" s="1" t="s">
        <v>17483</v>
      </c>
      <c r="G3448" s="1" t="s">
        <v>17484</v>
      </c>
      <c r="H3448" s="2" t="str">
        <f>Tabella1[[#This Row],[Denominazione]]&amp;" - "&amp;Tabella1[[#This Row],[Città]]</f>
        <v>DINO - SAN BENEDETTO DEL TRONTO</v>
      </c>
    </row>
    <row r="3449" spans="1:8" x14ac:dyDescent="0.25">
      <c r="A3449" s="1" t="s">
        <v>20</v>
      </c>
      <c r="B3449" s="1" t="s">
        <v>7305</v>
      </c>
      <c r="C3449" s="1" t="s">
        <v>7306</v>
      </c>
      <c r="D3449" s="1" t="s">
        <v>7254</v>
      </c>
      <c r="E3449" s="1" t="s">
        <v>7254</v>
      </c>
      <c r="F3449" s="1" t="s">
        <v>7307</v>
      </c>
      <c r="G3449" s="1" t="s">
        <v>7308</v>
      </c>
      <c r="H3449" s="2" t="str">
        <f>Tabella1[[#This Row],[Denominazione]]&amp;" - "&amp;Tabella1[[#This Row],[Città]]</f>
        <v>DIPENDENZA HOTEL FEDERICO II - JESI</v>
      </c>
    </row>
    <row r="3450" spans="1:8" x14ac:dyDescent="0.25">
      <c r="A3450" s="1" t="s">
        <v>20</v>
      </c>
      <c r="B3450" s="1" t="s">
        <v>19022</v>
      </c>
      <c r="C3450" s="1" t="s">
        <v>19021</v>
      </c>
      <c r="D3450" s="1" t="s">
        <v>18971</v>
      </c>
      <c r="E3450" s="1" t="s">
        <v>18971</v>
      </c>
      <c r="F3450" s="1" t="s">
        <v>18972</v>
      </c>
      <c r="G3450" s="1" t="s">
        <v>18973</v>
      </c>
      <c r="H3450" s="2" t="str">
        <f>Tabella1[[#This Row],[Denominazione]]&amp;" - "&amp;Tabella1[[#This Row],[Città]]</f>
        <v>DIPENDENZA HOTEL ROMA - PETRITOLI</v>
      </c>
    </row>
    <row r="3451" spans="1:8" x14ac:dyDescent="0.25">
      <c r="A3451" s="1" t="s">
        <v>29</v>
      </c>
      <c r="B3451" s="1" t="s">
        <v>3802</v>
      </c>
      <c r="C3451" s="1" t="s">
        <v>3803</v>
      </c>
      <c r="D3451" s="1" t="s">
        <v>2386</v>
      </c>
      <c r="E3451" s="1" t="s">
        <v>2386</v>
      </c>
      <c r="H3451" s="2" t="str">
        <f>Tabella1[[#This Row],[Denominazione]]&amp;" - "&amp;Tabella1[[#This Row],[Città]]</f>
        <v>DISCANNO ANNA MARIA - PESARO</v>
      </c>
    </row>
    <row r="3452" spans="1:8" x14ac:dyDescent="0.25">
      <c r="A3452" s="1" t="s">
        <v>88</v>
      </c>
      <c r="B3452" s="1" t="s">
        <v>12945</v>
      </c>
      <c r="C3452" s="1" t="s">
        <v>12946</v>
      </c>
      <c r="D3452" s="1" t="s">
        <v>12801</v>
      </c>
      <c r="E3452" s="1" t="s">
        <v>12801</v>
      </c>
      <c r="H3452" s="2" t="str">
        <f>Tabella1[[#This Row],[Denominazione]]&amp;" - "&amp;Tabella1[[#This Row],[Città]]</f>
        <v>DISCO KARTING - PORTO RECANATI</v>
      </c>
    </row>
    <row r="3453" spans="1:8" x14ac:dyDescent="0.25">
      <c r="A3453" s="1" t="s">
        <v>35</v>
      </c>
      <c r="B3453" s="1" t="s">
        <v>4308</v>
      </c>
      <c r="C3453" s="1" t="s">
        <v>4309</v>
      </c>
      <c r="D3453" s="1" t="s">
        <v>4272</v>
      </c>
      <c r="E3453" s="1" t="s">
        <v>4272</v>
      </c>
      <c r="F3453" s="1" t="s">
        <v>4310</v>
      </c>
      <c r="G3453" s="1" t="s">
        <v>4311</v>
      </c>
      <c r="H3453" s="2" t="str">
        <f>Tabella1[[#This Row],[Denominazione]]&amp;" - "&amp;Tabella1[[#This Row],[Città]]</f>
        <v>DIVIN AMORE - SAN COSTANZO</v>
      </c>
    </row>
    <row r="3454" spans="1:8" x14ac:dyDescent="0.25">
      <c r="A3454" s="1" t="s">
        <v>29</v>
      </c>
      <c r="B3454" s="1" t="s">
        <v>10649</v>
      </c>
      <c r="C3454" s="1" t="s">
        <v>10650</v>
      </c>
      <c r="D3454" s="1" t="s">
        <v>10630</v>
      </c>
      <c r="E3454" s="1" t="s">
        <v>10630</v>
      </c>
      <c r="G3454" s="1" t="s">
        <v>10651</v>
      </c>
      <c r="H3454" s="2" t="str">
        <f>Tabella1[[#This Row],[Denominazione]]&amp;" - "&amp;Tabella1[[#This Row],[Città]]</f>
        <v>DOLCE DIMORA - APPIGNANO</v>
      </c>
    </row>
    <row r="3455" spans="1:8" x14ac:dyDescent="0.25">
      <c r="A3455" s="1" t="s">
        <v>82</v>
      </c>
      <c r="B3455" s="1" t="s">
        <v>11337</v>
      </c>
      <c r="C3455" s="1" t="s">
        <v>11338</v>
      </c>
      <c r="D3455" s="1" t="s">
        <v>11244</v>
      </c>
      <c r="E3455" s="1" t="s">
        <v>11244</v>
      </c>
      <c r="G3455" s="1" t="s">
        <v>11339</v>
      </c>
      <c r="H3455" s="2" t="str">
        <f>Tabella1[[#This Row],[Denominazione]]&amp;" - "&amp;Tabella1[[#This Row],[Città]]</f>
        <v>DOLCE DORMIRE AFFITTACAMERE - CIVITANOVA MARCHE</v>
      </c>
    </row>
    <row r="3456" spans="1:8" x14ac:dyDescent="0.25">
      <c r="A3456" s="1" t="s">
        <v>6</v>
      </c>
      <c r="B3456" s="1" t="s">
        <v>12392</v>
      </c>
      <c r="D3456" s="1" t="s">
        <v>12382</v>
      </c>
      <c r="E3456" s="1" t="s">
        <v>12393</v>
      </c>
      <c r="F3456" s="1" t="s">
        <v>12394</v>
      </c>
      <c r="G3456" s="1" t="s">
        <v>12395</v>
      </c>
      <c r="H3456" s="2" t="str">
        <f>Tabella1[[#This Row],[Denominazione]]&amp;" - "&amp;Tabella1[[#This Row],[Città]]</f>
        <v>DOLCE FAR NIENTE - MONTECOSARO</v>
      </c>
    </row>
    <row r="3457" spans="1:8" x14ac:dyDescent="0.25">
      <c r="A3457" s="1" t="s">
        <v>82</v>
      </c>
      <c r="B3457" s="1" t="s">
        <v>19605</v>
      </c>
      <c r="C3457" s="1" t="s">
        <v>19606</v>
      </c>
      <c r="D3457" s="1" t="s">
        <v>19541</v>
      </c>
      <c r="E3457" s="1" t="s">
        <v>19607</v>
      </c>
      <c r="F3457" s="1" t="s">
        <v>19608</v>
      </c>
      <c r="G3457" s="1" t="s">
        <v>19609</v>
      </c>
      <c r="H3457" s="2" t="str">
        <f>Tabella1[[#This Row],[Denominazione]]&amp;" - "&amp;Tabella1[[#This Row],[Città]]</f>
        <v>DOLCE SOGNO - SANT'ELPIDIO A MARE</v>
      </c>
    </row>
    <row r="3458" spans="1:8" x14ac:dyDescent="0.25">
      <c r="A3458" s="1" t="s">
        <v>679</v>
      </c>
      <c r="B3458" s="1" t="s">
        <v>19121</v>
      </c>
      <c r="C3458" s="1" t="s">
        <v>19048</v>
      </c>
      <c r="D3458" s="1" t="s">
        <v>18082</v>
      </c>
      <c r="E3458" s="1" t="s">
        <v>18082</v>
      </c>
      <c r="F3458" s="1" t="s">
        <v>19122</v>
      </c>
      <c r="H3458" s="2" t="str">
        <f>Tabella1[[#This Row],[Denominazione]]&amp;" - "&amp;Tabella1[[#This Row],[Città]]</f>
        <v>DOLCE VITA - PORTO SAN GIORGIO</v>
      </c>
    </row>
    <row r="3459" spans="1:8" x14ac:dyDescent="0.25">
      <c r="A3459" s="1" t="s">
        <v>35</v>
      </c>
      <c r="B3459" s="1" t="s">
        <v>16146</v>
      </c>
      <c r="C3459" s="1" t="s">
        <v>16147</v>
      </c>
      <c r="D3459" s="1" t="s">
        <v>16083</v>
      </c>
      <c r="E3459" s="1" t="s">
        <v>16087</v>
      </c>
      <c r="F3459" s="1" t="s">
        <v>16148</v>
      </c>
      <c r="G3459" s="1" t="s">
        <v>16149</v>
      </c>
      <c r="H3459" s="2" t="str">
        <f>Tabella1[[#This Row],[Denominazione]]&amp;" - "&amp;Tabella1[[#This Row],[Città]]</f>
        <v>DOLCI MARCHE - MONTALTO DELLE MARCHE</v>
      </c>
    </row>
    <row r="3460" spans="1:8" x14ac:dyDescent="0.25">
      <c r="A3460" s="1" t="s">
        <v>82</v>
      </c>
      <c r="B3460" s="1" t="s">
        <v>11281</v>
      </c>
      <c r="C3460" s="1" t="s">
        <v>11282</v>
      </c>
      <c r="D3460" s="1" t="s">
        <v>11244</v>
      </c>
      <c r="G3460" s="1" t="s">
        <v>11283</v>
      </c>
      <c r="H3460" s="2" t="str">
        <f>Tabella1[[#This Row],[Denominazione]]&amp;" - "&amp;Tabella1[[#This Row],[Città]]</f>
        <v>DOLCI NOTTE DI MAGA CACAO - CIVITANOVA MARCHE</v>
      </c>
    </row>
    <row r="3461" spans="1:8" x14ac:dyDescent="0.25">
      <c r="A3461" s="1" t="s">
        <v>29</v>
      </c>
      <c r="B3461" s="1" t="s">
        <v>11329</v>
      </c>
      <c r="C3461" s="1" t="s">
        <v>11330</v>
      </c>
      <c r="D3461" s="1" t="s">
        <v>11244</v>
      </c>
      <c r="E3461" s="1" t="s">
        <v>11244</v>
      </c>
      <c r="H3461" s="2" t="str">
        <f>Tabella1[[#This Row],[Denominazione]]&amp;" - "&amp;Tabella1[[#This Row],[Città]]</f>
        <v>DOMAR - CIVITANOVA MARCHE</v>
      </c>
    </row>
    <row r="3462" spans="1:8" x14ac:dyDescent="0.25">
      <c r="A3462" s="1" t="s">
        <v>29</v>
      </c>
      <c r="B3462" s="1" t="s">
        <v>4887</v>
      </c>
      <c r="C3462" s="1" t="s">
        <v>4888</v>
      </c>
      <c r="D3462" s="1" t="s">
        <v>9</v>
      </c>
      <c r="E3462" s="1" t="s">
        <v>4889</v>
      </c>
      <c r="G3462" s="1" t="s">
        <v>4890</v>
      </c>
      <c r="H3462" s="2" t="str">
        <f>Tabella1[[#This Row],[Denominazione]]&amp;" - "&amp;Tabella1[[#This Row],[Città]]</f>
        <v>DOMENICA B&amp;B - URBINO</v>
      </c>
    </row>
    <row r="3463" spans="1:8" x14ac:dyDescent="0.25">
      <c r="A3463" s="1" t="s">
        <v>20</v>
      </c>
      <c r="B3463" s="1" t="s">
        <v>17485</v>
      </c>
      <c r="C3463" s="1" t="s">
        <v>17486</v>
      </c>
      <c r="D3463" s="1" t="s">
        <v>15819</v>
      </c>
      <c r="E3463" s="1" t="s">
        <v>15819</v>
      </c>
      <c r="F3463" s="1" t="s">
        <v>17487</v>
      </c>
      <c r="G3463" s="1" t="s">
        <v>17488</v>
      </c>
      <c r="H3463" s="2" t="str">
        <f>Tabella1[[#This Row],[Denominazione]]&amp;" - "&amp;Tabella1[[#This Row],[Città]]</f>
        <v>DOMINGO - SAN BENEDETTO DEL TRONTO</v>
      </c>
    </row>
    <row r="3464" spans="1:8" x14ac:dyDescent="0.25">
      <c r="A3464" s="1" t="s">
        <v>20</v>
      </c>
      <c r="B3464" s="1" t="s">
        <v>6514</v>
      </c>
      <c r="C3464" s="1" t="s">
        <v>6515</v>
      </c>
      <c r="D3464" s="1" t="s">
        <v>6497</v>
      </c>
      <c r="E3464" s="1" t="s">
        <v>6508</v>
      </c>
      <c r="F3464" s="1" t="s">
        <v>6516</v>
      </c>
      <c r="G3464" s="1" t="s">
        <v>6517</v>
      </c>
      <c r="H3464" s="2" t="str">
        <f>Tabella1[[#This Row],[Denominazione]]&amp;" - "&amp;Tabella1[[#This Row],[Città]]</f>
        <v>DOMUS - CERRETO D'ESI</v>
      </c>
    </row>
    <row r="3465" spans="1:8" x14ac:dyDescent="0.25">
      <c r="A3465" s="1" t="s">
        <v>571</v>
      </c>
      <c r="B3465" s="1" t="s">
        <v>6514</v>
      </c>
      <c r="C3465" s="1" t="s">
        <v>9329</v>
      </c>
      <c r="D3465" s="1" t="s">
        <v>8949</v>
      </c>
      <c r="E3465" s="1" t="s">
        <v>8949</v>
      </c>
      <c r="F3465" s="1" t="s">
        <v>9330</v>
      </c>
      <c r="G3465" s="1" t="s">
        <v>9331</v>
      </c>
      <c r="H3465" s="2" t="str">
        <f>Tabella1[[#This Row],[Denominazione]]&amp;" - "&amp;Tabella1[[#This Row],[Città]]</f>
        <v>DOMUS - SENIGALLIA</v>
      </c>
    </row>
    <row r="3466" spans="1:8" x14ac:dyDescent="0.25">
      <c r="A3466" s="1" t="s">
        <v>12</v>
      </c>
      <c r="B3466" s="1" t="s">
        <v>18506</v>
      </c>
      <c r="C3466" s="1" t="s">
        <v>18507</v>
      </c>
      <c r="D3466" s="1" t="s">
        <v>18499</v>
      </c>
      <c r="E3466" s="1" t="s">
        <v>18508</v>
      </c>
      <c r="G3466" s="1" t="s">
        <v>9439</v>
      </c>
      <c r="H3466" s="2" t="str">
        <f>Tabella1[[#This Row],[Denominazione]]&amp;" - "&amp;Tabella1[[#This Row],[Città]]</f>
        <v>DOMUS APPENNINO - MONTEFALCONE APPENNINO</v>
      </c>
    </row>
    <row r="3467" spans="1:8" x14ac:dyDescent="0.25">
      <c r="A3467" s="1" t="s">
        <v>190</v>
      </c>
      <c r="B3467" s="1" t="s">
        <v>14250</v>
      </c>
      <c r="C3467" s="1" t="s">
        <v>14251</v>
      </c>
      <c r="D3467" s="1" t="s">
        <v>14213</v>
      </c>
      <c r="E3467" s="1" t="s">
        <v>14213</v>
      </c>
      <c r="F3467" s="1" t="s">
        <v>14252</v>
      </c>
      <c r="G3467" s="1" t="s">
        <v>14253</v>
      </c>
      <c r="H3467" s="2" t="str">
        <f>Tabella1[[#This Row],[Denominazione]]&amp;" - "&amp;Tabella1[[#This Row],[Città]]</f>
        <v>DOMUS LAETITIAE - USSITA</v>
      </c>
    </row>
    <row r="3468" spans="1:8" x14ac:dyDescent="0.25">
      <c r="A3468" s="1" t="s">
        <v>6</v>
      </c>
      <c r="B3468" s="1" t="s">
        <v>8692</v>
      </c>
      <c r="C3468" s="1" t="s">
        <v>8693</v>
      </c>
      <c r="D3468" s="1" t="s">
        <v>8683</v>
      </c>
      <c r="E3468" s="1" t="s">
        <v>8683</v>
      </c>
      <c r="F3468" s="1" t="s">
        <v>8694</v>
      </c>
      <c r="G3468" s="1" t="s">
        <v>8695</v>
      </c>
      <c r="H3468" s="2" t="str">
        <f>Tabella1[[#This Row],[Denominazione]]&amp;" - "&amp;Tabella1[[#This Row],[Città]]</f>
        <v>DOMUS MARIAE - OSTRA VETERE</v>
      </c>
    </row>
    <row r="3469" spans="1:8" x14ac:dyDescent="0.25">
      <c r="A3469" s="1" t="s">
        <v>12</v>
      </c>
      <c r="B3469" s="1" t="s">
        <v>9436</v>
      </c>
      <c r="C3469" s="1" t="s">
        <v>9437</v>
      </c>
      <c r="D3469" s="1" t="s">
        <v>8949</v>
      </c>
      <c r="E3469" s="1" t="s">
        <v>9106</v>
      </c>
      <c r="F3469" s="1" t="s">
        <v>9438</v>
      </c>
      <c r="G3469" s="1" t="s">
        <v>9439</v>
      </c>
      <c r="H3469" s="2" t="str">
        <f>Tabella1[[#This Row],[Denominazione]]&amp;" - "&amp;Tabella1[[#This Row],[Città]]</f>
        <v>DOMUS MARINA - SENIGALLIA</v>
      </c>
    </row>
    <row r="3470" spans="1:8" x14ac:dyDescent="0.25">
      <c r="A3470" s="1" t="s">
        <v>190</v>
      </c>
      <c r="B3470" s="1" t="s">
        <v>17376</v>
      </c>
      <c r="C3470" s="1" t="s">
        <v>17377</v>
      </c>
      <c r="D3470" s="1" t="s">
        <v>15819</v>
      </c>
      <c r="E3470" s="1" t="s">
        <v>15819</v>
      </c>
      <c r="F3470" s="1" t="s">
        <v>17378</v>
      </c>
      <c r="G3470" s="1" t="s">
        <v>17379</v>
      </c>
      <c r="H3470" s="2" t="str">
        <f>Tabella1[[#This Row],[Denominazione]]&amp;" - "&amp;Tabella1[[#This Row],[Città]]</f>
        <v>DOMUS MATER GRATIAE - SAN BENEDETTO DEL TRONTO</v>
      </c>
    </row>
    <row r="3471" spans="1:8" x14ac:dyDescent="0.25">
      <c r="A3471" s="1" t="s">
        <v>12</v>
      </c>
      <c r="B3471" s="1" t="s">
        <v>14274</v>
      </c>
      <c r="C3471" s="1" t="s">
        <v>14275</v>
      </c>
      <c r="D3471" s="1" t="s">
        <v>14213</v>
      </c>
      <c r="E3471" s="1" t="s">
        <v>14213</v>
      </c>
      <c r="F3471" s="1" t="s">
        <v>9438</v>
      </c>
      <c r="G3471" s="1" t="s">
        <v>9439</v>
      </c>
      <c r="H3471" s="2" t="str">
        <f>Tabella1[[#This Row],[Denominazione]]&amp;" - "&amp;Tabella1[[#This Row],[Città]]</f>
        <v>DOMUS MONTE BOVE - USSITA</v>
      </c>
    </row>
    <row r="3472" spans="1:8" x14ac:dyDescent="0.25">
      <c r="A3472" s="1" t="s">
        <v>35</v>
      </c>
      <c r="B3472" s="1" t="s">
        <v>16693</v>
      </c>
      <c r="C3472" s="1" t="s">
        <v>16694</v>
      </c>
      <c r="D3472" s="1" t="s">
        <v>16585</v>
      </c>
      <c r="E3472" s="1" t="s">
        <v>16695</v>
      </c>
      <c r="F3472" s="1" t="s">
        <v>16696</v>
      </c>
      <c r="G3472" s="1" t="s">
        <v>16697</v>
      </c>
      <c r="H3472" s="2" t="str">
        <f>Tabella1[[#This Row],[Denominazione]]&amp;" - "&amp;Tabella1[[#This Row],[Città]]</f>
        <v>DOMUS PETRAE - RIPATRANSONE</v>
      </c>
    </row>
    <row r="3473" spans="1:8" x14ac:dyDescent="0.25">
      <c r="A3473" s="1" t="s">
        <v>190</v>
      </c>
      <c r="B3473" s="1" t="s">
        <v>12100</v>
      </c>
      <c r="C3473" s="1" t="s">
        <v>12101</v>
      </c>
      <c r="D3473" s="1" t="s">
        <v>12050</v>
      </c>
      <c r="E3473" s="1" t="s">
        <v>12050</v>
      </c>
      <c r="F3473" s="1" t="s">
        <v>9438</v>
      </c>
      <c r="G3473" s="1" t="s">
        <v>9439</v>
      </c>
      <c r="H3473" s="2" t="str">
        <f>Tabella1[[#This Row],[Denominazione]]&amp;" - "&amp;Tabella1[[#This Row],[Città]]</f>
        <v>DOMUS SAN GIULIANO - MACERATA</v>
      </c>
    </row>
    <row r="3474" spans="1:8" x14ac:dyDescent="0.25">
      <c r="A3474" s="1" t="s">
        <v>190</v>
      </c>
      <c r="B3474" s="1" t="s">
        <v>5046</v>
      </c>
      <c r="D3474" s="1" t="s">
        <v>9</v>
      </c>
      <c r="H3474" s="2" t="str">
        <f>Tabella1[[#This Row],[Denominazione]]&amp;" - "&amp;Tabella1[[#This Row],[Città]]</f>
        <v>DOMUS URBINO PALAZZO ANGELONI - URBINO</v>
      </c>
    </row>
    <row r="3475" spans="1:8" x14ac:dyDescent="0.25">
      <c r="A3475" s="1" t="s">
        <v>190</v>
      </c>
      <c r="B3475" s="1" t="s">
        <v>5047</v>
      </c>
      <c r="D3475" s="1" t="s">
        <v>9</v>
      </c>
      <c r="G3475" s="1" t="s">
        <v>5048</v>
      </c>
      <c r="H3475" s="2" t="str">
        <f>Tabella1[[#This Row],[Denominazione]]&amp;" - "&amp;Tabella1[[#This Row],[Città]]</f>
        <v>DOMUS URBINO PIEVE SAN CASSIANO - URBINO</v>
      </c>
    </row>
    <row r="3476" spans="1:8" x14ac:dyDescent="0.25">
      <c r="A3476" s="1" t="s">
        <v>571</v>
      </c>
      <c r="B3476" s="1" t="s">
        <v>15783</v>
      </c>
      <c r="C3476" s="1" t="s">
        <v>15784</v>
      </c>
      <c r="D3476" s="1" t="s">
        <v>15585</v>
      </c>
      <c r="E3476" s="1" t="s">
        <v>15585</v>
      </c>
      <c r="F3476" s="1" t="s">
        <v>15785</v>
      </c>
      <c r="G3476" s="1" t="s">
        <v>15786</v>
      </c>
      <c r="H3476" s="2" t="str">
        <f>Tabella1[[#This Row],[Denominazione]]&amp;" - "&amp;Tabella1[[#This Row],[Città]]</f>
        <v>DON DIEGO - GROTTAMMARE</v>
      </c>
    </row>
    <row r="3477" spans="1:8" x14ac:dyDescent="0.25">
      <c r="A3477" s="1" t="s">
        <v>679</v>
      </c>
      <c r="B3477" s="1" t="s">
        <v>15783</v>
      </c>
      <c r="C3477" s="1" t="s">
        <v>15818</v>
      </c>
      <c r="D3477" s="1" t="s">
        <v>15585</v>
      </c>
      <c r="H3477" s="2" t="str">
        <f>Tabella1[[#This Row],[Denominazione]]&amp;" - "&amp;Tabella1[[#This Row],[Città]]</f>
        <v>DON DIEGO - GROTTAMMARE</v>
      </c>
    </row>
    <row r="3478" spans="1:8" x14ac:dyDescent="0.25">
      <c r="A3478" s="1" t="s">
        <v>190</v>
      </c>
      <c r="B3478" s="1" t="s">
        <v>1240</v>
      </c>
      <c r="C3478" s="1" t="s">
        <v>1241</v>
      </c>
      <c r="D3478" s="1" t="s">
        <v>682</v>
      </c>
      <c r="E3478" s="1" t="s">
        <v>682</v>
      </c>
      <c r="G3478" s="1" t="s">
        <v>1242</v>
      </c>
      <c r="H3478" s="2" t="str">
        <f>Tabella1[[#This Row],[Denominazione]]&amp;" - "&amp;Tabella1[[#This Row],[Città]]</f>
        <v>DON ORIONE - FANO</v>
      </c>
    </row>
    <row r="3479" spans="1:8" x14ac:dyDescent="0.25">
      <c r="A3479" s="1" t="s">
        <v>679</v>
      </c>
      <c r="B3479" s="1" t="s">
        <v>8230</v>
      </c>
      <c r="D3479" s="1" t="s">
        <v>7889</v>
      </c>
      <c r="E3479" s="1" t="s">
        <v>7895</v>
      </c>
      <c r="G3479" s="1" t="s">
        <v>8231</v>
      </c>
      <c r="H3479" s="2" t="str">
        <f>Tabella1[[#This Row],[Denominazione]]&amp;" - "&amp;Tabella1[[#This Row],[Città]]</f>
        <v>DONATELLA - NUMANA</v>
      </c>
    </row>
    <row r="3480" spans="1:8" x14ac:dyDescent="0.25">
      <c r="A3480" s="1" t="s">
        <v>12</v>
      </c>
      <c r="B3480" s="1" t="s">
        <v>3565</v>
      </c>
      <c r="C3480" s="1" t="s">
        <v>3566</v>
      </c>
      <c r="D3480" s="1" t="s">
        <v>2386</v>
      </c>
      <c r="E3480" s="1" t="s">
        <v>2386</v>
      </c>
      <c r="G3480" s="1" t="s">
        <v>3527</v>
      </c>
      <c r="H3480" s="2" t="str">
        <f>Tabella1[[#This Row],[Denominazione]]&amp;" - "&amp;Tabella1[[#This Row],[Città]]</f>
        <v>DONATI GIORGIA - PESARO</v>
      </c>
    </row>
    <row r="3481" spans="1:8" x14ac:dyDescent="0.25">
      <c r="A3481" s="1" t="s">
        <v>20</v>
      </c>
      <c r="B3481" s="1" t="s">
        <v>16761</v>
      </c>
      <c r="C3481" s="1" t="s">
        <v>16762</v>
      </c>
      <c r="D3481" s="1" t="s">
        <v>16714</v>
      </c>
      <c r="E3481" s="1" t="s">
        <v>16714</v>
      </c>
      <c r="G3481" s="1" t="s">
        <v>16763</v>
      </c>
      <c r="H3481" s="2" t="str">
        <f>Tabella1[[#This Row],[Denominazione]]&amp;" - "&amp;Tabella1[[#This Row],[Città]]</f>
        <v>DONNAROSA HOTEL RISTORANTE - ROCCAFLUVIONE</v>
      </c>
    </row>
    <row r="3482" spans="1:8" x14ac:dyDescent="0.25">
      <c r="A3482" s="1" t="s">
        <v>20</v>
      </c>
      <c r="B3482" s="1" t="s">
        <v>17489</v>
      </c>
      <c r="C3482" s="1" t="s">
        <v>17490</v>
      </c>
      <c r="D3482" s="1" t="s">
        <v>15819</v>
      </c>
      <c r="E3482" s="1" t="s">
        <v>15819</v>
      </c>
      <c r="F3482" s="1" t="s">
        <v>17491</v>
      </c>
      <c r="G3482" s="1" t="s">
        <v>17492</v>
      </c>
      <c r="H3482" s="2" t="str">
        <f>Tabella1[[#This Row],[Denominazione]]&amp;" - "&amp;Tabella1[[#This Row],[Città]]</f>
        <v>DORIA - SAN BENEDETTO DEL TRONTO</v>
      </c>
    </row>
    <row r="3483" spans="1:8" x14ac:dyDescent="0.25">
      <c r="A3483" s="1" t="s">
        <v>20</v>
      </c>
      <c r="B3483" s="1" t="s">
        <v>5589</v>
      </c>
      <c r="C3483" s="1" t="s">
        <v>5590</v>
      </c>
      <c r="D3483" s="1" t="s">
        <v>1864</v>
      </c>
      <c r="E3483" s="1" t="s">
        <v>1864</v>
      </c>
      <c r="F3483" s="1" t="s">
        <v>5591</v>
      </c>
      <c r="G3483" s="1" t="s">
        <v>5592</v>
      </c>
      <c r="H3483" s="2" t="str">
        <f>Tabella1[[#This Row],[Denominazione]]&amp;" - "&amp;Tabella1[[#This Row],[Città]]</f>
        <v>DORICO - ANCONA</v>
      </c>
    </row>
    <row r="3484" spans="1:8" x14ac:dyDescent="0.25">
      <c r="A3484" s="1" t="s">
        <v>29</v>
      </c>
      <c r="B3484" s="1" t="s">
        <v>13537</v>
      </c>
      <c r="C3484" s="1" t="s">
        <v>13538</v>
      </c>
      <c r="D3484" s="1" t="s">
        <v>6072</v>
      </c>
      <c r="E3484" s="1" t="s">
        <v>6072</v>
      </c>
      <c r="G3484" s="1" t="s">
        <v>13539</v>
      </c>
      <c r="H3484" s="2" t="str">
        <f>Tabella1[[#This Row],[Denominazione]]&amp;" - "&amp;Tabella1[[#This Row],[Città]]</f>
        <v>DORMI DA ME - SAN GINESIO</v>
      </c>
    </row>
    <row r="3485" spans="1:8" x14ac:dyDescent="0.25">
      <c r="A3485" s="1" t="s">
        <v>29</v>
      </c>
      <c r="B3485" s="1" t="s">
        <v>16881</v>
      </c>
      <c r="C3485" s="1" t="s">
        <v>16882</v>
      </c>
      <c r="D3485" s="1" t="s">
        <v>15819</v>
      </c>
      <c r="E3485" s="1" t="s">
        <v>15819</v>
      </c>
      <c r="F3485" s="1" t="s">
        <v>16883</v>
      </c>
      <c r="G3485" s="1" t="s">
        <v>16884</v>
      </c>
      <c r="H3485" s="2" t="str">
        <f>Tabella1[[#This Row],[Denominazione]]&amp;" - "&amp;Tabella1[[#This Row],[Città]]</f>
        <v>DREAM FISH - SAN BENEDETTO DEL TRONTO</v>
      </c>
    </row>
    <row r="3486" spans="1:8" x14ac:dyDescent="0.25">
      <c r="A3486" s="1" t="s">
        <v>20</v>
      </c>
      <c r="B3486" s="1" t="s">
        <v>2135</v>
      </c>
      <c r="C3486" s="1" t="s">
        <v>2136</v>
      </c>
      <c r="D3486" s="1" t="s">
        <v>1907</v>
      </c>
      <c r="E3486" s="1" t="s">
        <v>1907</v>
      </c>
      <c r="F3486" s="1" t="s">
        <v>2137</v>
      </c>
      <c r="G3486" s="1" t="s">
        <v>2138</v>
      </c>
      <c r="H3486" s="2" t="str">
        <f>Tabella1[[#This Row],[Denominazione]]&amp;" - "&amp;Tabella1[[#This Row],[Città]]</f>
        <v>DU PARC - GABICCE MARE</v>
      </c>
    </row>
    <row r="3487" spans="1:8" x14ac:dyDescent="0.25">
      <c r="A3487" s="1" t="s">
        <v>12</v>
      </c>
      <c r="B3487" s="1" t="s">
        <v>5403</v>
      </c>
      <c r="C3487" s="1" t="s">
        <v>5404</v>
      </c>
      <c r="D3487" s="1" t="s">
        <v>5358</v>
      </c>
      <c r="G3487" s="1" t="s">
        <v>5405</v>
      </c>
      <c r="H3487" s="2" t="str">
        <f>Tabella1[[#This Row],[Denominazione]]&amp;" - "&amp;Tabella1[[#This Row],[Città]]</f>
        <v>DUCCIO DUCCI - VALLEFOGLIA</v>
      </c>
    </row>
    <row r="3488" spans="1:8" x14ac:dyDescent="0.25">
      <c r="A3488" s="1" t="s">
        <v>20</v>
      </c>
      <c r="B3488" s="1" t="s">
        <v>9513</v>
      </c>
      <c r="C3488" s="1" t="s">
        <v>9514</v>
      </c>
      <c r="D3488" s="1" t="s">
        <v>8949</v>
      </c>
      <c r="E3488" s="1" t="s">
        <v>8949</v>
      </c>
      <c r="F3488" s="1" t="s">
        <v>9515</v>
      </c>
      <c r="G3488" s="1" t="s">
        <v>9516</v>
      </c>
      <c r="H3488" s="2" t="str">
        <f>Tabella1[[#This Row],[Denominazione]]&amp;" - "&amp;Tabella1[[#This Row],[Città]]</f>
        <v>DUCHI DELLA ROVERE - SENIGALLIA</v>
      </c>
    </row>
    <row r="3489" spans="1:8" x14ac:dyDescent="0.25">
      <c r="A3489" s="1" t="s">
        <v>20</v>
      </c>
      <c r="B3489" s="1" t="s">
        <v>3743</v>
      </c>
      <c r="C3489" s="1" t="s">
        <v>3744</v>
      </c>
      <c r="D3489" s="1" t="s">
        <v>2386</v>
      </c>
      <c r="E3489" s="1" t="s">
        <v>2386</v>
      </c>
      <c r="F3489" s="1" t="s">
        <v>3745</v>
      </c>
      <c r="G3489" s="1" t="s">
        <v>3746</v>
      </c>
      <c r="H3489" s="2" t="str">
        <f>Tabella1[[#This Row],[Denominazione]]&amp;" - "&amp;Tabella1[[#This Row],[Città]]</f>
        <v>DUE PALME - PESARO</v>
      </c>
    </row>
    <row r="3490" spans="1:8" x14ac:dyDescent="0.25">
      <c r="A3490" s="1" t="s">
        <v>20</v>
      </c>
      <c r="B3490" s="1" t="s">
        <v>3747</v>
      </c>
      <c r="C3490" s="1" t="s">
        <v>3748</v>
      </c>
      <c r="D3490" s="1" t="s">
        <v>2386</v>
      </c>
      <c r="E3490" s="1" t="s">
        <v>2386</v>
      </c>
      <c r="F3490" s="1" t="s">
        <v>3749</v>
      </c>
      <c r="G3490" s="1" t="s">
        <v>3750</v>
      </c>
      <c r="H3490" s="2" t="str">
        <f>Tabella1[[#This Row],[Denominazione]]&amp;" - "&amp;Tabella1[[#This Row],[Città]]</f>
        <v>DUE PAVONI - PESARO</v>
      </c>
    </row>
    <row r="3491" spans="1:8" x14ac:dyDescent="0.25">
      <c r="A3491" s="1" t="s">
        <v>20</v>
      </c>
      <c r="B3491" s="1" t="s">
        <v>13693</v>
      </c>
      <c r="C3491" s="1" t="s">
        <v>13694</v>
      </c>
      <c r="D3491" s="1" t="s">
        <v>13548</v>
      </c>
      <c r="E3491" s="1" t="s">
        <v>13548</v>
      </c>
      <c r="F3491" s="1" t="s">
        <v>13695</v>
      </c>
      <c r="G3491" s="1" t="s">
        <v>13696</v>
      </c>
      <c r="H3491" s="2" t="str">
        <f>Tabella1[[#This Row],[Denominazione]]&amp;" - "&amp;Tabella1[[#This Row],[Città]]</f>
        <v>DUE TORRI - SAN SEVERINO MARCHE</v>
      </c>
    </row>
    <row r="3492" spans="1:8" x14ac:dyDescent="0.25">
      <c r="A3492" s="1" t="s">
        <v>12</v>
      </c>
      <c r="B3492" s="1" t="s">
        <v>1603</v>
      </c>
      <c r="C3492" s="1" t="s">
        <v>1604</v>
      </c>
      <c r="D3492" s="1" t="s">
        <v>682</v>
      </c>
      <c r="E3492" s="1" t="s">
        <v>1605</v>
      </c>
      <c r="G3492" s="1" t="s">
        <v>1606</v>
      </c>
      <c r="H3492" s="2" t="str">
        <f>Tabella1[[#This Row],[Denominazione]]&amp;" - "&amp;Tabella1[[#This Row],[Città]]</f>
        <v>EBE UBALDI - FANO</v>
      </c>
    </row>
    <row r="3493" spans="1:8" x14ac:dyDescent="0.25">
      <c r="A3493" s="1" t="s">
        <v>20</v>
      </c>
      <c r="B3493" s="1" t="s">
        <v>1183</v>
      </c>
      <c r="C3493" s="1" t="s">
        <v>1184</v>
      </c>
      <c r="D3493" s="1" t="s">
        <v>682</v>
      </c>
      <c r="E3493" s="1" t="s">
        <v>682</v>
      </c>
      <c r="F3493" s="1" t="s">
        <v>1185</v>
      </c>
      <c r="G3493" s="1" t="s">
        <v>1186</v>
      </c>
      <c r="H3493" s="2" t="str">
        <f>Tabella1[[#This Row],[Denominazione]]&amp;" - "&amp;Tabella1[[#This Row],[Città]]</f>
        <v>EDELWEISS - FANO</v>
      </c>
    </row>
    <row r="3494" spans="1:8" x14ac:dyDescent="0.25">
      <c r="A3494" s="1" t="s">
        <v>82</v>
      </c>
      <c r="B3494" s="1" t="s">
        <v>1183</v>
      </c>
      <c r="C3494" s="1" t="s">
        <v>1407</v>
      </c>
      <c r="D3494" s="1" t="s">
        <v>682</v>
      </c>
      <c r="E3494" s="1" t="s">
        <v>1040</v>
      </c>
      <c r="F3494" s="1" t="s">
        <v>1408</v>
      </c>
      <c r="G3494" s="1" t="s">
        <v>1409</v>
      </c>
      <c r="H3494" s="2" t="str">
        <f>Tabella1[[#This Row],[Denominazione]]&amp;" - "&amp;Tabella1[[#This Row],[Città]]</f>
        <v>EDELWEISS - FANO</v>
      </c>
    </row>
    <row r="3495" spans="1:8" x14ac:dyDescent="0.25">
      <c r="A3495" s="1" t="s">
        <v>403</v>
      </c>
      <c r="B3495" s="1" t="s">
        <v>2139</v>
      </c>
      <c r="C3495" s="1" t="s">
        <v>2140</v>
      </c>
      <c r="D3495" s="1" t="s">
        <v>1907</v>
      </c>
      <c r="E3495" s="1" t="s">
        <v>1907</v>
      </c>
      <c r="F3495" s="1" t="s">
        <v>2141</v>
      </c>
      <c r="G3495" s="1" t="s">
        <v>2142</v>
      </c>
      <c r="H3495" s="2" t="str">
        <f>Tabella1[[#This Row],[Denominazione]]&amp;" - "&amp;Tabella1[[#This Row],[Città]]</f>
        <v>EDEN - GABICCE MARE</v>
      </c>
    </row>
    <row r="3496" spans="1:8" x14ac:dyDescent="0.25">
      <c r="A3496" s="1" t="s">
        <v>20</v>
      </c>
      <c r="B3496" s="1" t="s">
        <v>2139</v>
      </c>
      <c r="C3496" s="1" t="s">
        <v>13858</v>
      </c>
      <c r="D3496" s="1" t="s">
        <v>13756</v>
      </c>
      <c r="E3496" s="1" t="s">
        <v>13756</v>
      </c>
      <c r="F3496" s="1" t="s">
        <v>13859</v>
      </c>
      <c r="G3496" s="1" t="s">
        <v>13860</v>
      </c>
      <c r="H3496" s="2" t="str">
        <f>Tabella1[[#This Row],[Denominazione]]&amp;" - "&amp;Tabella1[[#This Row],[Città]]</f>
        <v>EDEN - SARNANO</v>
      </c>
    </row>
    <row r="3497" spans="1:8" x14ac:dyDescent="0.25">
      <c r="A3497" s="1" t="s">
        <v>20</v>
      </c>
      <c r="B3497" s="1" t="s">
        <v>2139</v>
      </c>
      <c r="C3497" s="1" t="s">
        <v>15756</v>
      </c>
      <c r="D3497" s="1" t="s">
        <v>15585</v>
      </c>
      <c r="E3497" s="1" t="s">
        <v>15585</v>
      </c>
      <c r="F3497" s="1" t="s">
        <v>15757</v>
      </c>
      <c r="G3497" s="1" t="s">
        <v>15758</v>
      </c>
      <c r="H3497" s="2" t="str">
        <f>Tabella1[[#This Row],[Denominazione]]&amp;" - "&amp;Tabella1[[#This Row],[Città]]</f>
        <v>EDEN - GROTTAMMARE</v>
      </c>
    </row>
    <row r="3498" spans="1:8" x14ac:dyDescent="0.25">
      <c r="A3498" s="1" t="s">
        <v>20</v>
      </c>
      <c r="B3498" s="1" t="s">
        <v>2139</v>
      </c>
      <c r="C3498" s="1" t="s">
        <v>18182</v>
      </c>
      <c r="D3498" s="1" t="s">
        <v>17932</v>
      </c>
      <c r="E3498" s="1" t="s">
        <v>17932</v>
      </c>
      <c r="F3498" s="1" t="s">
        <v>18183</v>
      </c>
      <c r="G3498" s="1" t="s">
        <v>18184</v>
      </c>
      <c r="H3498" s="2" t="str">
        <f>Tabella1[[#This Row],[Denominazione]]&amp;" - "&amp;Tabella1[[#This Row],[Città]]</f>
        <v>EDEN - FERMO</v>
      </c>
    </row>
    <row r="3499" spans="1:8" x14ac:dyDescent="0.25">
      <c r="A3499" s="1" t="s">
        <v>679</v>
      </c>
      <c r="B3499" s="1" t="s">
        <v>8181</v>
      </c>
      <c r="C3499" s="1" t="s">
        <v>8182</v>
      </c>
      <c r="D3499" s="1" t="s">
        <v>7889</v>
      </c>
      <c r="E3499" s="1" t="s">
        <v>7889</v>
      </c>
      <c r="F3499" s="1" t="s">
        <v>8183</v>
      </c>
      <c r="G3499" s="1" t="s">
        <v>8081</v>
      </c>
      <c r="H3499" s="2" t="str">
        <f>Tabella1[[#This Row],[Denominazione]]&amp;" - "&amp;Tabella1[[#This Row],[Città]]</f>
        <v>EDEN GIGLI - NUMANA</v>
      </c>
    </row>
    <row r="3500" spans="1:8" x14ac:dyDescent="0.25">
      <c r="A3500" s="1" t="s">
        <v>20</v>
      </c>
      <c r="B3500" s="1" t="s">
        <v>7801</v>
      </c>
      <c r="C3500" s="1" t="s">
        <v>7802</v>
      </c>
      <c r="D3500" s="1" t="s">
        <v>7718</v>
      </c>
      <c r="E3500" s="1" t="s">
        <v>7718</v>
      </c>
      <c r="G3500" s="1" t="s">
        <v>7803</v>
      </c>
      <c r="H3500" s="2" t="str">
        <f>Tabella1[[#This Row],[Denominazione]]&amp;" - "&amp;Tabella1[[#This Row],[Città]]</f>
        <v>EDEN PARK HOTEL - MONTEMARCIANO</v>
      </c>
    </row>
    <row r="3501" spans="1:8" x14ac:dyDescent="0.25">
      <c r="A3501" s="1" t="s">
        <v>82</v>
      </c>
      <c r="B3501" s="1" t="s">
        <v>11787</v>
      </c>
      <c r="C3501" s="1" t="s">
        <v>11788</v>
      </c>
      <c r="D3501" s="1" t="s">
        <v>11769</v>
      </c>
      <c r="E3501" s="1" t="s">
        <v>11769</v>
      </c>
      <c r="G3501" s="1" t="s">
        <v>11789</v>
      </c>
      <c r="H3501" s="2" t="str">
        <f>Tabella1[[#This Row],[Denominazione]]&amp;" - "&amp;Tabella1[[#This Row],[Città]]</f>
        <v>EDILFALZETTI 2000 SNC DI FALZETTI DANIELA E LISIANA - ESANATOGLIA</v>
      </c>
    </row>
    <row r="3502" spans="1:8" x14ac:dyDescent="0.25">
      <c r="A3502" s="1" t="s">
        <v>20</v>
      </c>
      <c r="B3502" s="1" t="s">
        <v>5989</v>
      </c>
      <c r="C3502" s="1" t="s">
        <v>5990</v>
      </c>
      <c r="D3502" s="1" t="s">
        <v>1864</v>
      </c>
      <c r="F3502" s="1" t="s">
        <v>5991</v>
      </c>
      <c r="G3502" s="1" t="s">
        <v>5992</v>
      </c>
      <c r="H3502" s="2" t="str">
        <f>Tabella1[[#This Row],[Denominazione]]&amp;" - "&amp;Tabella1[[#This Row],[Città]]</f>
        <v>EGO HOTEL - ANCONA</v>
      </c>
    </row>
    <row r="3503" spans="1:8" x14ac:dyDescent="0.25">
      <c r="A3503" s="1" t="s">
        <v>20</v>
      </c>
      <c r="B3503" s="1" t="s">
        <v>1163</v>
      </c>
      <c r="C3503" s="1" t="s">
        <v>1164</v>
      </c>
      <c r="D3503" s="1" t="s">
        <v>682</v>
      </c>
      <c r="E3503" s="1" t="s">
        <v>682</v>
      </c>
      <c r="F3503" s="1" t="s">
        <v>1165</v>
      </c>
      <c r="G3503" s="1" t="s">
        <v>1166</v>
      </c>
      <c r="H3503" s="2" t="str">
        <f>Tabella1[[#This Row],[Denominazione]]&amp;" - "&amp;Tabella1[[#This Row],[Città]]</f>
        <v>EKO - FANO</v>
      </c>
    </row>
    <row r="3504" spans="1:8" x14ac:dyDescent="0.25">
      <c r="A3504" s="1" t="s">
        <v>6</v>
      </c>
      <c r="B3504" s="1" t="s">
        <v>1270</v>
      </c>
      <c r="C3504" s="1" t="s">
        <v>1271</v>
      </c>
      <c r="D3504" s="1" t="s">
        <v>682</v>
      </c>
      <c r="E3504" s="1" t="s">
        <v>1272</v>
      </c>
      <c r="G3504" s="1" t="s">
        <v>1273</v>
      </c>
      <c r="H3504" s="2" t="str">
        <f>Tabella1[[#This Row],[Denominazione]]&amp;" - "&amp;Tabella1[[#This Row],[Città]]</f>
        <v>EL FUNTANON - FANO</v>
      </c>
    </row>
    <row r="3505" spans="1:8" x14ac:dyDescent="0.25">
      <c r="A3505" s="1" t="s">
        <v>35</v>
      </c>
      <c r="B3505" s="1" t="s">
        <v>1743</v>
      </c>
      <c r="C3505" s="1" t="s">
        <v>1744</v>
      </c>
      <c r="D3505" s="1" t="s">
        <v>1724</v>
      </c>
      <c r="E3505" s="1" t="s">
        <v>1724</v>
      </c>
      <c r="F3505" s="1" t="s">
        <v>1745</v>
      </c>
      <c r="G3505" s="1" t="s">
        <v>1746</v>
      </c>
      <c r="H3505" s="2" t="str">
        <f>Tabella1[[#This Row],[Denominazione]]&amp;" - "&amp;Tabella1[[#This Row],[Città]]</f>
        <v>EL GATAREL - FOSSOMBRONE</v>
      </c>
    </row>
    <row r="3506" spans="1:8" x14ac:dyDescent="0.25">
      <c r="A3506" s="1" t="s">
        <v>35</v>
      </c>
      <c r="B3506" s="1" t="s">
        <v>1747</v>
      </c>
      <c r="C3506" s="1" t="s">
        <v>1748</v>
      </c>
      <c r="D3506" s="1" t="s">
        <v>1724</v>
      </c>
      <c r="E3506" s="1" t="s">
        <v>1749</v>
      </c>
      <c r="H3506" s="2" t="str">
        <f>Tabella1[[#This Row],[Denominazione]]&amp;" - "&amp;Tabella1[[#This Row],[Città]]</f>
        <v>EL MOR - FOSSOMBRONE</v>
      </c>
    </row>
    <row r="3507" spans="1:8" x14ac:dyDescent="0.25">
      <c r="A3507" s="1" t="s">
        <v>20</v>
      </c>
      <c r="B3507" s="1" t="s">
        <v>9536</v>
      </c>
      <c r="C3507" s="1" t="s">
        <v>9537</v>
      </c>
      <c r="D3507" s="1" t="s">
        <v>8949</v>
      </c>
      <c r="E3507" s="1" t="s">
        <v>8949</v>
      </c>
      <c r="F3507" s="1" t="s">
        <v>9538</v>
      </c>
      <c r="G3507" s="1" t="s">
        <v>9539</v>
      </c>
      <c r="H3507" s="2" t="str">
        <f>Tabella1[[#This Row],[Denominazione]]&amp;" - "&amp;Tabella1[[#This Row],[Città]]</f>
        <v>ELEONORA - SENIGALLIA</v>
      </c>
    </row>
    <row r="3508" spans="1:8" x14ac:dyDescent="0.25">
      <c r="A3508" s="1" t="s">
        <v>12</v>
      </c>
      <c r="B3508" s="1" t="s">
        <v>6246</v>
      </c>
      <c r="C3508" s="1" t="s">
        <v>6247</v>
      </c>
      <c r="D3508" s="1" t="s">
        <v>6049</v>
      </c>
      <c r="E3508" s="1" t="s">
        <v>6049</v>
      </c>
      <c r="H3508" s="2" t="str">
        <f>Tabella1[[#This Row],[Denominazione]]&amp;" - "&amp;Tabella1[[#This Row],[Città]]</f>
        <v>ELEONORA MASSACCESI - ARCEVIA</v>
      </c>
    </row>
    <row r="3509" spans="1:8" x14ac:dyDescent="0.25">
      <c r="A3509" s="1" t="s">
        <v>12</v>
      </c>
      <c r="B3509" s="1" t="s">
        <v>6147</v>
      </c>
      <c r="C3509" s="1" t="s">
        <v>6148</v>
      </c>
      <c r="D3509" s="1" t="s">
        <v>6049</v>
      </c>
      <c r="E3509" s="1" t="s">
        <v>6050</v>
      </c>
      <c r="G3509" s="1" t="s">
        <v>6149</v>
      </c>
      <c r="H3509" s="2" t="str">
        <f>Tabella1[[#This Row],[Denominazione]]&amp;" - "&amp;Tabella1[[#This Row],[Città]]</f>
        <v>ELIO LATINI - ARCEVIA</v>
      </c>
    </row>
    <row r="3510" spans="1:8" x14ac:dyDescent="0.25">
      <c r="A3510" s="1" t="s">
        <v>20</v>
      </c>
      <c r="B3510" s="1" t="s">
        <v>1101</v>
      </c>
      <c r="C3510" s="1" t="s">
        <v>1102</v>
      </c>
      <c r="D3510" s="1" t="s">
        <v>682</v>
      </c>
      <c r="E3510" s="1" t="s">
        <v>682</v>
      </c>
      <c r="F3510" s="1" t="s">
        <v>1103</v>
      </c>
      <c r="G3510" s="1" t="s">
        <v>1104</v>
      </c>
      <c r="H3510" s="2" t="str">
        <f>Tabella1[[#This Row],[Denominazione]]&amp;" - "&amp;Tabella1[[#This Row],[Città]]</f>
        <v>ELISABETH DUE - FANO</v>
      </c>
    </row>
    <row r="3511" spans="1:8" x14ac:dyDescent="0.25">
      <c r="A3511" s="1" t="s">
        <v>12</v>
      </c>
      <c r="B3511" s="1" t="s">
        <v>2789</v>
      </c>
      <c r="C3511" s="1" t="s">
        <v>2790</v>
      </c>
      <c r="D3511" s="1" t="s">
        <v>1605</v>
      </c>
      <c r="H3511" s="2" t="str">
        <f>Tabella1[[#This Row],[Denominazione]]&amp;" - "&amp;Tabella1[[#This Row],[Città]]</f>
        <v>ELISABETTA GABRIELLI RIVOSECCHI - MONDOLFO</v>
      </c>
    </row>
    <row r="3512" spans="1:8" x14ac:dyDescent="0.25">
      <c r="A3512" s="1" t="s">
        <v>35</v>
      </c>
      <c r="B3512" s="1" t="s">
        <v>11963</v>
      </c>
      <c r="D3512" s="1" t="s">
        <v>11883</v>
      </c>
      <c r="E3512" s="1" t="s">
        <v>11883</v>
      </c>
      <c r="F3512" s="1" t="s">
        <v>11964</v>
      </c>
      <c r="G3512" s="1" t="s">
        <v>11965</v>
      </c>
      <c r="H3512" s="2" t="str">
        <f>Tabella1[[#This Row],[Denominazione]]&amp;" - "&amp;Tabella1[[#This Row],[Città]]</f>
        <v>ELISEI NICOLA - GUALDO</v>
      </c>
    </row>
    <row r="3513" spans="1:8" x14ac:dyDescent="0.25">
      <c r="A3513" s="1" t="s">
        <v>679</v>
      </c>
      <c r="B3513" s="1" t="s">
        <v>15821</v>
      </c>
      <c r="C3513" s="1" t="s">
        <v>2811</v>
      </c>
      <c r="D3513" s="1" t="s">
        <v>15585</v>
      </c>
      <c r="H3513" s="2" t="str">
        <f>Tabella1[[#This Row],[Denominazione]]&amp;" - "&amp;Tabella1[[#This Row],[Città]]</f>
        <v>ELISEI STELLINA - GROTTAMMARE</v>
      </c>
    </row>
    <row r="3514" spans="1:8" x14ac:dyDescent="0.25">
      <c r="A3514" s="1" t="s">
        <v>20</v>
      </c>
      <c r="B3514" s="1" t="s">
        <v>3751</v>
      </c>
      <c r="C3514" s="1" t="s">
        <v>3752</v>
      </c>
      <c r="D3514" s="1" t="s">
        <v>2386</v>
      </c>
      <c r="E3514" s="1" t="s">
        <v>2386</v>
      </c>
      <c r="F3514" s="1" t="s">
        <v>3753</v>
      </c>
      <c r="G3514" s="1" t="s">
        <v>3754</v>
      </c>
      <c r="H3514" s="2" t="str">
        <f>Tabella1[[#This Row],[Denominazione]]&amp;" - "&amp;Tabella1[[#This Row],[Città]]</f>
        <v>EMBASSY - PESARO</v>
      </c>
    </row>
    <row r="3515" spans="1:8" x14ac:dyDescent="0.25">
      <c r="A3515" s="1" t="s">
        <v>12</v>
      </c>
      <c r="B3515" s="1" t="s">
        <v>2797</v>
      </c>
      <c r="C3515" s="1" t="s">
        <v>2798</v>
      </c>
      <c r="D3515" s="1" t="s">
        <v>1605</v>
      </c>
      <c r="G3515" s="1" t="s">
        <v>2799</v>
      </c>
      <c r="H3515" s="2" t="str">
        <f>Tabella1[[#This Row],[Denominazione]]&amp;" - "&amp;Tabella1[[#This Row],[Città]]</f>
        <v>EMILI SILVANA - MONDOLFO</v>
      </c>
    </row>
    <row r="3516" spans="1:8" x14ac:dyDescent="0.25">
      <c r="A3516" s="1" t="s">
        <v>20</v>
      </c>
      <c r="B3516" s="1" t="s">
        <v>5596</v>
      </c>
      <c r="C3516" s="1" t="s">
        <v>5453</v>
      </c>
      <c r="D3516" s="1" t="s">
        <v>1864</v>
      </c>
      <c r="E3516" s="1" t="s">
        <v>5597</v>
      </c>
      <c r="F3516" s="1" t="s">
        <v>5598</v>
      </c>
      <c r="G3516" s="1" t="s">
        <v>5599</v>
      </c>
      <c r="H3516" s="2" t="str">
        <f>Tabella1[[#This Row],[Denominazione]]&amp;" - "&amp;Tabella1[[#This Row],[Città]]</f>
        <v>EMILIA - ANCONA</v>
      </c>
    </row>
    <row r="3517" spans="1:8" x14ac:dyDescent="0.25">
      <c r="A3517" s="1" t="s">
        <v>82</v>
      </c>
      <c r="B3517" s="1" t="s">
        <v>2513</v>
      </c>
      <c r="C3517" s="1" t="s">
        <v>2514</v>
      </c>
      <c r="D3517" s="1" t="s">
        <v>2425</v>
      </c>
      <c r="E3517" s="1" t="s">
        <v>2425</v>
      </c>
      <c r="G3517" s="1" t="s">
        <v>2347</v>
      </c>
      <c r="H3517" s="2" t="str">
        <f>Tabella1[[#This Row],[Denominazione]]&amp;" - "&amp;Tabella1[[#This Row],[Città]]</f>
        <v>EMPORIO LA LOGGIA - GRADARA</v>
      </c>
    </row>
    <row r="3518" spans="1:8" x14ac:dyDescent="0.25">
      <c r="A3518" s="1" t="s">
        <v>20</v>
      </c>
      <c r="B3518" s="1" t="s">
        <v>12810</v>
      </c>
      <c r="C3518" s="1" t="s">
        <v>12811</v>
      </c>
      <c r="D3518" s="1" t="s">
        <v>12801</v>
      </c>
      <c r="E3518" s="1" t="s">
        <v>12801</v>
      </c>
      <c r="F3518" s="1" t="s">
        <v>12812</v>
      </c>
      <c r="G3518" s="1" t="s">
        <v>12813</v>
      </c>
      <c r="H3518" s="2" t="str">
        <f>Tabella1[[#This Row],[Denominazione]]&amp;" - "&amp;Tabella1[[#This Row],[Città]]</f>
        <v>ENZO - PORTO RECANATI</v>
      </c>
    </row>
    <row r="3519" spans="1:8" x14ac:dyDescent="0.25">
      <c r="A3519" s="1" t="s">
        <v>29</v>
      </c>
      <c r="B3519" s="1" t="s">
        <v>13327</v>
      </c>
      <c r="C3519" s="1" t="s">
        <v>13328</v>
      </c>
      <c r="D3519" s="1" t="s">
        <v>13298</v>
      </c>
      <c r="E3519" s="1" t="s">
        <v>13298</v>
      </c>
      <c r="F3519" s="1" t="s">
        <v>13329</v>
      </c>
      <c r="G3519" s="1" t="s">
        <v>13330</v>
      </c>
      <c r="H3519" s="2" t="str">
        <f>Tabella1[[#This Row],[Denominazione]]&amp;" - "&amp;Tabella1[[#This Row],[Città]]</f>
        <v>ERBAIUOLA B&amp;B DI GIBELLINI FRANCA - RECANATI</v>
      </c>
    </row>
    <row r="3520" spans="1:8" x14ac:dyDescent="0.25">
      <c r="A3520" s="1" t="s">
        <v>679</v>
      </c>
      <c r="B3520" s="1" t="s">
        <v>17189</v>
      </c>
      <c r="C3520" s="1" t="s">
        <v>17190</v>
      </c>
      <c r="D3520" s="1" t="s">
        <v>15819</v>
      </c>
      <c r="E3520" s="1" t="s">
        <v>15819</v>
      </c>
      <c r="H3520" s="2" t="str">
        <f>Tabella1[[#This Row],[Denominazione]]&amp;" - "&amp;Tabella1[[#This Row],[Città]]</f>
        <v>EREDI LAGALLA ROSSANA DI RICCI ENRICO E C. SAS - SAN BENEDETTO DEL TRONTO</v>
      </c>
    </row>
    <row r="3521" spans="1:8" x14ac:dyDescent="0.25">
      <c r="A3521" s="1" t="s">
        <v>190</v>
      </c>
      <c r="B3521" s="1" t="s">
        <v>1243</v>
      </c>
      <c r="C3521" s="1" t="s">
        <v>1244</v>
      </c>
      <c r="D3521" s="1" t="s">
        <v>682</v>
      </c>
      <c r="E3521" s="1" t="s">
        <v>1245</v>
      </c>
      <c r="H3521" s="2" t="str">
        <f>Tabella1[[#This Row],[Denominazione]]&amp;" - "&amp;Tabella1[[#This Row],[Città]]</f>
        <v>EREMO DI MONTE GIOVE - FANO</v>
      </c>
    </row>
    <row r="3522" spans="1:8" x14ac:dyDescent="0.25">
      <c r="A3522" s="1" t="s">
        <v>190</v>
      </c>
      <c r="B3522" s="1" t="s">
        <v>4425</v>
      </c>
      <c r="C3522" s="1" t="s">
        <v>4419</v>
      </c>
      <c r="D3522" s="1" t="s">
        <v>4397</v>
      </c>
      <c r="E3522" s="1" t="s">
        <v>4426</v>
      </c>
      <c r="F3522" s="1" t="s">
        <v>4427</v>
      </c>
      <c r="G3522" s="1" t="s">
        <v>4428</v>
      </c>
      <c r="H3522" s="2" t="str">
        <f>Tabella1[[#This Row],[Denominazione]]&amp;" - "&amp;Tabella1[[#This Row],[Città]]</f>
        <v>EREMO SAN DONATO - SANT'ANGELO IN VADO</v>
      </c>
    </row>
    <row r="3523" spans="1:8" x14ac:dyDescent="0.25">
      <c r="A3523" s="1" t="s">
        <v>12</v>
      </c>
      <c r="B3523" s="1" t="s">
        <v>9075</v>
      </c>
      <c r="C3523" s="1" t="s">
        <v>9076</v>
      </c>
      <c r="D3523" s="1" t="s">
        <v>8949</v>
      </c>
      <c r="E3523" s="1" t="s">
        <v>8949</v>
      </c>
      <c r="G3523" s="1" t="s">
        <v>9077</v>
      </c>
      <c r="H3523" s="2" t="str">
        <f>Tabella1[[#This Row],[Denominazione]]&amp;" - "&amp;Tabella1[[#This Row],[Città]]</f>
        <v>ERRICO VINCENZO - SENIGALLIA</v>
      </c>
    </row>
    <row r="3524" spans="1:8" x14ac:dyDescent="0.25">
      <c r="A3524" s="1" t="s">
        <v>35</v>
      </c>
      <c r="B3524" s="1" t="s">
        <v>18877</v>
      </c>
      <c r="C3524" s="1" t="s">
        <v>18878</v>
      </c>
      <c r="D3524" s="1" t="s">
        <v>18876</v>
      </c>
      <c r="E3524" s="1" t="s">
        <v>18876</v>
      </c>
      <c r="H3524" s="2" t="str">
        <f>Tabella1[[#This Row],[Denominazione]]&amp;" - "&amp;Tabella1[[#This Row],[Città]]</f>
        <v>ESCHITO - MONTOTTONE</v>
      </c>
    </row>
    <row r="3525" spans="1:8" x14ac:dyDescent="0.25">
      <c r="A3525" s="1" t="s">
        <v>12</v>
      </c>
      <c r="B3525" s="1" t="s">
        <v>692</v>
      </c>
      <c r="C3525" s="1" t="s">
        <v>693</v>
      </c>
      <c r="D3525" s="1" t="s">
        <v>682</v>
      </c>
      <c r="E3525" s="1" t="s">
        <v>682</v>
      </c>
      <c r="G3525" s="1" t="s">
        <v>694</v>
      </c>
      <c r="H3525" s="2" t="str">
        <f>Tabella1[[#This Row],[Denominazione]]&amp;" - "&amp;Tabella1[[#This Row],[Città]]</f>
        <v>ESPOSITO MARIACHIARA - FANO</v>
      </c>
    </row>
    <row r="3526" spans="1:8" x14ac:dyDescent="0.25">
      <c r="A3526" s="1" t="s">
        <v>82</v>
      </c>
      <c r="B3526" s="1" t="s">
        <v>150</v>
      </c>
      <c r="C3526" s="1" t="s">
        <v>151</v>
      </c>
      <c r="D3526" s="1" t="s">
        <v>102</v>
      </c>
      <c r="E3526" s="1" t="s">
        <v>102</v>
      </c>
      <c r="F3526" s="1" t="s">
        <v>146</v>
      </c>
      <c r="G3526" s="1" t="s">
        <v>147</v>
      </c>
      <c r="H3526" s="2" t="str">
        <f>Tabella1[[#This Row],[Denominazione]]&amp;" - "&amp;Tabella1[[#This Row],[Città]]</f>
        <v>ESSICCATOIO - APECCHIO</v>
      </c>
    </row>
    <row r="3527" spans="1:8" x14ac:dyDescent="0.25">
      <c r="A3527" s="1" t="s">
        <v>12</v>
      </c>
      <c r="B3527" s="1" t="s">
        <v>6220</v>
      </c>
      <c r="C3527" s="1" t="s">
        <v>6221</v>
      </c>
      <c r="D3527" s="1" t="s">
        <v>6049</v>
      </c>
      <c r="E3527" s="1" t="s">
        <v>6100</v>
      </c>
      <c r="G3527" s="1" t="s">
        <v>6207</v>
      </c>
      <c r="H3527" s="2" t="str">
        <f>Tabella1[[#This Row],[Denominazione]]&amp;" - "&amp;Tabella1[[#This Row],[Città]]</f>
        <v>ESTER JOHANNES HENDRIK - VIA LORETELLO 38 - ARCEVIA</v>
      </c>
    </row>
    <row r="3528" spans="1:8" x14ac:dyDescent="0.25">
      <c r="A3528" s="1" t="s">
        <v>12</v>
      </c>
      <c r="B3528" s="1" t="s">
        <v>6205</v>
      </c>
      <c r="C3528" s="1" t="s">
        <v>6206</v>
      </c>
      <c r="D3528" s="1" t="s">
        <v>6049</v>
      </c>
      <c r="E3528" s="1" t="s">
        <v>6100</v>
      </c>
      <c r="G3528" s="1" t="s">
        <v>6207</v>
      </c>
      <c r="H3528" s="2" t="str">
        <f>Tabella1[[#This Row],[Denominazione]]&amp;" - "&amp;Tabella1[[#This Row],[Città]]</f>
        <v>ESTER JOHANNES HENDRIK - VIA LORETELLO 40 - ARCEVIA</v>
      </c>
    </row>
    <row r="3529" spans="1:8" x14ac:dyDescent="0.25">
      <c r="A3529" s="1" t="s">
        <v>679</v>
      </c>
      <c r="B3529" s="1" t="s">
        <v>11698</v>
      </c>
      <c r="C3529" s="1" t="s">
        <v>11699</v>
      </c>
      <c r="D3529" s="1" t="s">
        <v>11244</v>
      </c>
      <c r="E3529" s="1" t="s">
        <v>11244</v>
      </c>
      <c r="F3529" s="1" t="s">
        <v>11700</v>
      </c>
      <c r="H3529" s="2" t="str">
        <f>Tabella1[[#This Row],[Denominazione]]&amp;" - "&amp;Tabella1[[#This Row],[Città]]</f>
        <v>ET'NA' - CIVITANOVA MARCHE</v>
      </c>
    </row>
    <row r="3530" spans="1:8" x14ac:dyDescent="0.25">
      <c r="A3530" s="1" t="s">
        <v>679</v>
      </c>
      <c r="B3530" s="1" t="s">
        <v>8339</v>
      </c>
      <c r="C3530" s="1" t="s">
        <v>8340</v>
      </c>
      <c r="D3530" s="1" t="s">
        <v>7889</v>
      </c>
      <c r="E3530" s="1" t="s">
        <v>7889</v>
      </c>
      <c r="G3530" s="1" t="s">
        <v>8341</v>
      </c>
      <c r="H3530" s="2" t="str">
        <f>Tabella1[[#This Row],[Denominazione]]&amp;" - "&amp;Tabella1[[#This Row],[Città]]</f>
        <v>EUGENIO FIORANELLI - NUMANA</v>
      </c>
    </row>
    <row r="3531" spans="1:8" x14ac:dyDescent="0.25">
      <c r="A3531" s="1" t="s">
        <v>679</v>
      </c>
      <c r="B3531" s="1" t="s">
        <v>9964</v>
      </c>
      <c r="C3531" s="1" t="s">
        <v>9806</v>
      </c>
      <c r="D3531" s="1" t="s">
        <v>8949</v>
      </c>
      <c r="E3531" s="1" t="s">
        <v>8949</v>
      </c>
      <c r="F3531" s="1" t="s">
        <v>9936</v>
      </c>
      <c r="H3531" s="2" t="str">
        <f>Tabella1[[#This Row],[Denominazione]]&amp;" - "&amp;Tabella1[[#This Row],[Città]]</f>
        <v>EUROBEACH - ALBONETTI SILVANA - BAGNI N° 161 - SENIGALLIA</v>
      </c>
    </row>
    <row r="3532" spans="1:8" x14ac:dyDescent="0.25">
      <c r="A3532" s="1" t="s">
        <v>679</v>
      </c>
      <c r="B3532" s="1" t="s">
        <v>9935</v>
      </c>
      <c r="C3532" s="1" t="s">
        <v>9806</v>
      </c>
      <c r="D3532" s="1" t="s">
        <v>8949</v>
      </c>
      <c r="E3532" s="1" t="s">
        <v>9106</v>
      </c>
      <c r="F3532" s="1" t="s">
        <v>9936</v>
      </c>
      <c r="H3532" s="2" t="str">
        <f>Tabella1[[#This Row],[Denominazione]]&amp;" - "&amp;Tabella1[[#This Row],[Città]]</f>
        <v>EUROBEACH - BAGNI N° 162 - SENIGALLIA</v>
      </c>
    </row>
    <row r="3533" spans="1:8" x14ac:dyDescent="0.25">
      <c r="A3533" s="1" t="s">
        <v>20</v>
      </c>
      <c r="B3533" s="1" t="s">
        <v>9580</v>
      </c>
      <c r="C3533" s="1" t="s">
        <v>9581</v>
      </c>
      <c r="D3533" s="1" t="s">
        <v>8949</v>
      </c>
      <c r="E3533" s="1" t="s">
        <v>8949</v>
      </c>
      <c r="F3533" s="1" t="s">
        <v>9582</v>
      </c>
      <c r="G3533" s="1" t="s">
        <v>9583</v>
      </c>
      <c r="H3533" s="2" t="str">
        <f>Tabella1[[#This Row],[Denominazione]]&amp;" - "&amp;Tabella1[[#This Row],[Città]]</f>
        <v>EUROPA - SENIGALLIA</v>
      </c>
    </row>
    <row r="3534" spans="1:8" x14ac:dyDescent="0.25">
      <c r="A3534" s="1" t="s">
        <v>20</v>
      </c>
      <c r="B3534" s="1" t="s">
        <v>9580</v>
      </c>
      <c r="C3534" s="1" t="s">
        <v>15441</v>
      </c>
      <c r="D3534" s="1" t="s">
        <v>15349</v>
      </c>
      <c r="E3534" s="1" t="s">
        <v>15349</v>
      </c>
      <c r="F3534" s="1" t="s">
        <v>15442</v>
      </c>
      <c r="G3534" s="1" t="s">
        <v>15443</v>
      </c>
      <c r="H3534" s="2" t="str">
        <f>Tabella1[[#This Row],[Denominazione]]&amp;" - "&amp;Tabella1[[#This Row],[Città]]</f>
        <v>EUROPA - CUPRA MARITTIMA</v>
      </c>
    </row>
    <row r="3535" spans="1:8" x14ac:dyDescent="0.25">
      <c r="A3535" s="1" t="s">
        <v>29</v>
      </c>
      <c r="B3535" s="1" t="s">
        <v>12400</v>
      </c>
      <c r="C3535" s="1" t="s">
        <v>12401</v>
      </c>
      <c r="D3535" s="1" t="s">
        <v>12382</v>
      </c>
      <c r="E3535" s="1" t="s">
        <v>12382</v>
      </c>
      <c r="F3535" s="1" t="s">
        <v>12402</v>
      </c>
      <c r="G3535" s="1" t="s">
        <v>12403</v>
      </c>
      <c r="H3535" s="2" t="str">
        <f>Tabella1[[#This Row],[Denominazione]]&amp;" - "&amp;Tabella1[[#This Row],[Città]]</f>
        <v>EUROPE - MONTECOSARO</v>
      </c>
    </row>
    <row r="3536" spans="1:8" x14ac:dyDescent="0.25">
      <c r="A3536" s="1" t="s">
        <v>20</v>
      </c>
      <c r="B3536" s="1" t="s">
        <v>15618</v>
      </c>
      <c r="C3536" s="1" t="s">
        <v>15619</v>
      </c>
      <c r="D3536" s="1" t="s">
        <v>15585</v>
      </c>
      <c r="E3536" s="1" t="s">
        <v>15585</v>
      </c>
      <c r="F3536" s="1" t="s">
        <v>15620</v>
      </c>
      <c r="G3536" s="1" t="s">
        <v>15621</v>
      </c>
      <c r="H3536" s="2" t="str">
        <f>Tabella1[[#This Row],[Denominazione]]&amp;" - "&amp;Tabella1[[#This Row],[Città]]</f>
        <v>EUROTEL - GROTTAMMARE</v>
      </c>
    </row>
    <row r="3537" spans="1:8" x14ac:dyDescent="0.25">
      <c r="A3537" s="1" t="s">
        <v>29</v>
      </c>
      <c r="B3537" s="1" t="s">
        <v>2601</v>
      </c>
      <c r="C3537" s="1" t="s">
        <v>2602</v>
      </c>
      <c r="D3537" s="1" t="s">
        <v>2594</v>
      </c>
      <c r="E3537" s="1" t="s">
        <v>2603</v>
      </c>
      <c r="G3537" s="1" t="s">
        <v>2604</v>
      </c>
      <c r="H3537" s="2" t="str">
        <f>Tabella1[[#This Row],[Denominazione]]&amp;" - "&amp;Tabella1[[#This Row],[Città]]</f>
        <v>EUSEBI MAURIZIO - MERCATELLO SUL METAURO</v>
      </c>
    </row>
    <row r="3538" spans="1:8" x14ac:dyDescent="0.25">
      <c r="A3538" s="1" t="s">
        <v>82</v>
      </c>
      <c r="B3538" s="1" t="s">
        <v>3423</v>
      </c>
      <c r="C3538" s="1" t="s">
        <v>3424</v>
      </c>
      <c r="D3538" s="1" t="s">
        <v>2386</v>
      </c>
      <c r="G3538" s="1" t="s">
        <v>3425</v>
      </c>
      <c r="H3538" s="2" t="str">
        <f>Tabella1[[#This Row],[Denominazione]]&amp;" - "&amp;Tabella1[[#This Row],[Città]]</f>
        <v>EVANGELISTA FERNANDA - PESARO</v>
      </c>
    </row>
    <row r="3539" spans="1:8" x14ac:dyDescent="0.25">
      <c r="A3539" s="1" t="s">
        <v>20</v>
      </c>
      <c r="B3539" s="1" t="s">
        <v>1127</v>
      </c>
      <c r="C3539" s="1" t="s">
        <v>1128</v>
      </c>
      <c r="D3539" s="1" t="s">
        <v>682</v>
      </c>
      <c r="E3539" s="1" t="s">
        <v>682</v>
      </c>
      <c r="F3539" s="1" t="s">
        <v>1115</v>
      </c>
      <c r="G3539" s="1" t="s">
        <v>1116</v>
      </c>
      <c r="H3539" s="2" t="str">
        <f>Tabella1[[#This Row],[Denominazione]]&amp;" - "&amp;Tabella1[[#This Row],[Città]]</f>
        <v>EXCELSIOR - FANO</v>
      </c>
    </row>
    <row r="3540" spans="1:8" x14ac:dyDescent="0.25">
      <c r="A3540" s="1" t="s">
        <v>20</v>
      </c>
      <c r="B3540" s="1" t="s">
        <v>1127</v>
      </c>
      <c r="C3540" s="1" t="s">
        <v>1947</v>
      </c>
      <c r="D3540" s="1" t="s">
        <v>1907</v>
      </c>
      <c r="F3540" s="1" t="s">
        <v>1948</v>
      </c>
      <c r="G3540" s="1" t="s">
        <v>1949</v>
      </c>
      <c r="H3540" s="2" t="str">
        <f>Tabella1[[#This Row],[Denominazione]]&amp;" - "&amp;Tabella1[[#This Row],[Città]]</f>
        <v>EXCELSIOR - GABICCE MARE</v>
      </c>
    </row>
    <row r="3541" spans="1:8" x14ac:dyDescent="0.25">
      <c r="A3541" s="1" t="s">
        <v>20</v>
      </c>
      <c r="B3541" s="1" t="s">
        <v>1127</v>
      </c>
      <c r="C3541" s="1" t="s">
        <v>4060</v>
      </c>
      <c r="D3541" s="1" t="s">
        <v>2386</v>
      </c>
      <c r="E3541" s="1" t="s">
        <v>2386</v>
      </c>
      <c r="F3541" s="1" t="s">
        <v>4061</v>
      </c>
      <c r="G3541" s="1" t="s">
        <v>4062</v>
      </c>
      <c r="H3541" s="2" t="str">
        <f>Tabella1[[#This Row],[Denominazione]]&amp;" - "&amp;Tabella1[[#This Row],[Città]]</f>
        <v>EXCELSIOR - PESARO</v>
      </c>
    </row>
    <row r="3542" spans="1:8" x14ac:dyDescent="0.25">
      <c r="A3542" s="1" t="s">
        <v>20</v>
      </c>
      <c r="B3542" s="1" t="s">
        <v>1127</v>
      </c>
      <c r="C3542" s="1" t="s">
        <v>17443</v>
      </c>
      <c r="D3542" s="1" t="s">
        <v>15819</v>
      </c>
      <c r="E3542" s="1" t="s">
        <v>15819</v>
      </c>
      <c r="F3542" s="1" t="s">
        <v>17444</v>
      </c>
      <c r="G3542" s="1" t="s">
        <v>17445</v>
      </c>
      <c r="H3542" s="2" t="str">
        <f>Tabella1[[#This Row],[Denominazione]]&amp;" - "&amp;Tabella1[[#This Row],[Città]]</f>
        <v>EXCELSIOR - SAN BENEDETTO DEL TRONTO</v>
      </c>
    </row>
    <row r="3543" spans="1:8" x14ac:dyDescent="0.25">
      <c r="A3543" s="1" t="s">
        <v>20</v>
      </c>
      <c r="B3543" s="1" t="s">
        <v>5632</v>
      </c>
      <c r="C3543" s="1" t="s">
        <v>5633</v>
      </c>
      <c r="D3543" s="1" t="s">
        <v>1864</v>
      </c>
      <c r="E3543" s="1" t="s">
        <v>1864</v>
      </c>
      <c r="F3543" s="1" t="s">
        <v>5634</v>
      </c>
      <c r="G3543" s="1" t="s">
        <v>5635</v>
      </c>
      <c r="H3543" s="2" t="str">
        <f>Tabella1[[#This Row],[Denominazione]]&amp;" - "&amp;Tabella1[[#This Row],[Città]]</f>
        <v>EXCELSIOR LA FONTE - ANCONA</v>
      </c>
    </row>
    <row r="3544" spans="1:8" x14ac:dyDescent="0.25">
      <c r="A3544" s="1" t="s">
        <v>12</v>
      </c>
      <c r="B3544" s="1" t="s">
        <v>11931</v>
      </c>
      <c r="C3544" s="1" t="s">
        <v>11932</v>
      </c>
      <c r="D3544" s="1" t="s">
        <v>11883</v>
      </c>
      <c r="G3544" s="1" t="s">
        <v>11933</v>
      </c>
      <c r="H3544" s="2" t="str">
        <f>Tabella1[[#This Row],[Denominazione]]&amp;" - "&amp;Tabella1[[#This Row],[Città]]</f>
        <v>FABRIZIO ERMINI - GUALDO</v>
      </c>
    </row>
    <row r="3545" spans="1:8" x14ac:dyDescent="0.25">
      <c r="A3545" s="1" t="s">
        <v>12</v>
      </c>
      <c r="B3545" s="1" t="s">
        <v>2048</v>
      </c>
      <c r="C3545" s="1" t="s">
        <v>2049</v>
      </c>
      <c r="D3545" s="1" t="s">
        <v>1907</v>
      </c>
      <c r="H3545" s="2" t="str">
        <f>Tabella1[[#This Row],[Denominazione]]&amp;" - "&amp;Tabella1[[#This Row],[Città]]</f>
        <v>FACONDINI MARINO - GABICCE MARE</v>
      </c>
    </row>
    <row r="3546" spans="1:8" x14ac:dyDescent="0.25">
      <c r="A3546" s="1" t="s">
        <v>12</v>
      </c>
      <c r="B3546" s="1" t="s">
        <v>13036</v>
      </c>
      <c r="C3546" s="1" t="s">
        <v>13037</v>
      </c>
      <c r="D3546" s="1" t="s">
        <v>13026</v>
      </c>
      <c r="E3546" s="1" t="s">
        <v>13026</v>
      </c>
      <c r="H3546" s="2" t="str">
        <f>Tabella1[[#This Row],[Denominazione]]&amp;" - "&amp;Tabella1[[#This Row],[Città]]</f>
        <v>FAGIOLI ARMIDA APP.TO VIA BEETHOVEN - POTENZA PICENA</v>
      </c>
    </row>
    <row r="3547" spans="1:8" x14ac:dyDescent="0.25">
      <c r="A3547" s="1" t="s">
        <v>12</v>
      </c>
      <c r="B3547" s="1" t="s">
        <v>13038</v>
      </c>
      <c r="C3547" s="1" t="s">
        <v>13039</v>
      </c>
      <c r="D3547" s="1" t="s">
        <v>13026</v>
      </c>
      <c r="E3547" s="1" t="s">
        <v>13026</v>
      </c>
      <c r="H3547" s="2" t="str">
        <f>Tabella1[[#This Row],[Denominazione]]&amp;" - "&amp;Tabella1[[#This Row],[Città]]</f>
        <v>FAGIOLI ARMIDA APP.TO VIA ROSSINI - POTENZA PICENA</v>
      </c>
    </row>
    <row r="3548" spans="1:8" x14ac:dyDescent="0.25">
      <c r="A3548" s="1" t="s">
        <v>12</v>
      </c>
      <c r="B3548" s="1" t="s">
        <v>8689</v>
      </c>
      <c r="C3548" s="1" t="s">
        <v>8690</v>
      </c>
      <c r="D3548" s="1" t="s">
        <v>8683</v>
      </c>
      <c r="G3548" s="1" t="s">
        <v>8691</v>
      </c>
      <c r="H3548" s="2" t="str">
        <f>Tabella1[[#This Row],[Denominazione]]&amp;" - "&amp;Tabella1[[#This Row],[Città]]</f>
        <v>FALLERONI TONINO - OSTRA VETERE</v>
      </c>
    </row>
    <row r="3549" spans="1:8" x14ac:dyDescent="0.25">
      <c r="A3549" s="1" t="s">
        <v>12</v>
      </c>
      <c r="B3549" s="1" t="s">
        <v>11916</v>
      </c>
      <c r="C3549" s="1" t="s">
        <v>11917</v>
      </c>
      <c r="D3549" s="1" t="s">
        <v>11883</v>
      </c>
      <c r="G3549" s="1" t="s">
        <v>11918</v>
      </c>
      <c r="H3549" s="2" t="str">
        <f>Tabella1[[#This Row],[Denominazione]]&amp;" - "&amp;Tabella1[[#This Row],[Città]]</f>
        <v>FALLI LORENZO - GUALDO</v>
      </c>
    </row>
    <row r="3550" spans="1:8" x14ac:dyDescent="0.25">
      <c r="A3550" s="1" t="s">
        <v>20</v>
      </c>
      <c r="B3550" s="1" t="s">
        <v>2984</v>
      </c>
      <c r="C3550" s="1" t="s">
        <v>2985</v>
      </c>
      <c r="D3550" s="1" t="s">
        <v>1605</v>
      </c>
      <c r="E3550" s="1" t="s">
        <v>1605</v>
      </c>
      <c r="G3550" s="1" t="s">
        <v>2986</v>
      </c>
      <c r="H3550" s="2" t="str">
        <f>Tabella1[[#This Row],[Denominazione]]&amp;" - "&amp;Tabella1[[#This Row],[Città]]</f>
        <v>FAMILY BEACH RESORT IL GIRASOLE - MONDOLFO</v>
      </c>
    </row>
    <row r="3551" spans="1:8" x14ac:dyDescent="0.25">
      <c r="A3551" s="1" t="s">
        <v>571</v>
      </c>
      <c r="B3551" s="1" t="s">
        <v>682</v>
      </c>
      <c r="C3551" s="1" t="s">
        <v>1192</v>
      </c>
      <c r="D3551" s="1" t="s">
        <v>682</v>
      </c>
      <c r="E3551" s="1" t="s">
        <v>682</v>
      </c>
      <c r="F3551" s="1" t="s">
        <v>1193</v>
      </c>
      <c r="G3551" s="1" t="s">
        <v>1194</v>
      </c>
      <c r="H3551" s="2" t="str">
        <f>Tabella1[[#This Row],[Denominazione]]&amp;" - "&amp;Tabella1[[#This Row],[Città]]</f>
        <v>FANO - FANO</v>
      </c>
    </row>
    <row r="3552" spans="1:8" x14ac:dyDescent="0.25">
      <c r="A3552" s="1" t="s">
        <v>679</v>
      </c>
      <c r="B3552" s="1" t="s">
        <v>1024</v>
      </c>
      <c r="C3552" s="1" t="s">
        <v>994</v>
      </c>
      <c r="D3552" s="1" t="s">
        <v>682</v>
      </c>
      <c r="E3552" s="1" t="s">
        <v>682</v>
      </c>
      <c r="H3552" s="2" t="str">
        <f>Tabella1[[#This Row],[Denominazione]]&amp;" - "&amp;Tabella1[[#This Row],[Città]]</f>
        <v>FANTASY BEACH DI TONELLI EMANUELE - FANO</v>
      </c>
    </row>
    <row r="3553" spans="1:8" x14ac:dyDescent="0.25">
      <c r="A3553" s="1" t="s">
        <v>571</v>
      </c>
      <c r="B3553" s="1" t="s">
        <v>11767</v>
      </c>
      <c r="C3553" s="1" t="s">
        <v>11768</v>
      </c>
      <c r="D3553" s="1" t="s">
        <v>11769</v>
      </c>
      <c r="E3553" s="1" t="s">
        <v>11770</v>
      </c>
      <c r="G3553" s="1" t="s">
        <v>11771</v>
      </c>
      <c r="H3553" s="2" t="str">
        <f>Tabella1[[#This Row],[Denominazione]]&amp;" - "&amp;Tabella1[[#This Row],[Città]]</f>
        <v>FARANGHE CAMPING - ESANATOGLIA</v>
      </c>
    </row>
    <row r="3554" spans="1:8" x14ac:dyDescent="0.25">
      <c r="A3554" s="1" t="s">
        <v>6</v>
      </c>
      <c r="B3554" s="1" t="s">
        <v>11778</v>
      </c>
      <c r="C3554" s="1" t="s">
        <v>11779</v>
      </c>
      <c r="D3554" s="1" t="s">
        <v>11769</v>
      </c>
      <c r="E3554" s="1" t="s">
        <v>11769</v>
      </c>
      <c r="G3554" s="1" t="s">
        <v>11780</v>
      </c>
      <c r="H3554" s="2" t="str">
        <f>Tabella1[[#This Row],[Denominazione]]&amp;" - "&amp;Tabella1[[#This Row],[Città]]</f>
        <v>FARANGHE DI BOES MARCUS PETRUS CONTRY HOUSE - ESANATOGLIA</v>
      </c>
    </row>
    <row r="3555" spans="1:8" x14ac:dyDescent="0.25">
      <c r="A3555" s="1" t="s">
        <v>20</v>
      </c>
      <c r="B3555" s="1" t="s">
        <v>9756</v>
      </c>
      <c r="C3555" s="1" t="s">
        <v>9757</v>
      </c>
      <c r="D3555" s="1" t="s">
        <v>8949</v>
      </c>
      <c r="E3555" s="1" t="s">
        <v>8949</v>
      </c>
      <c r="F3555" s="1" t="s">
        <v>9758</v>
      </c>
      <c r="G3555" s="1" t="s">
        <v>9759</v>
      </c>
      <c r="H3555" s="2" t="str">
        <f>Tabella1[[#This Row],[Denominazione]]&amp;" - "&amp;Tabella1[[#This Row],[Città]]</f>
        <v>FARO - SENIGALLIA</v>
      </c>
    </row>
    <row r="3556" spans="1:8" x14ac:dyDescent="0.25">
      <c r="A3556" s="1" t="s">
        <v>35</v>
      </c>
      <c r="B3556" s="1" t="s">
        <v>4367</v>
      </c>
      <c r="C3556" s="1" t="s">
        <v>4368</v>
      </c>
      <c r="D3556" s="1" t="s">
        <v>4359</v>
      </c>
      <c r="E3556" s="1" t="s">
        <v>4359</v>
      </c>
      <c r="G3556" s="1" t="s">
        <v>4369</v>
      </c>
      <c r="H3556" s="2" t="str">
        <f>Tabella1[[#This Row],[Denominazione]]&amp;" - "&amp;Tabella1[[#This Row],[Città]]</f>
        <v>FARROTECA MONTEROSSO - SAN LORENZO IN CAMPO</v>
      </c>
    </row>
    <row r="3557" spans="1:8" x14ac:dyDescent="0.25">
      <c r="A3557" s="1" t="s">
        <v>12</v>
      </c>
      <c r="B3557" s="1" t="s">
        <v>3575</v>
      </c>
      <c r="C3557" s="1" t="s">
        <v>3576</v>
      </c>
      <c r="D3557" s="1" t="s">
        <v>2386</v>
      </c>
      <c r="E3557" s="1" t="s">
        <v>2386</v>
      </c>
      <c r="G3557" s="1" t="s">
        <v>3527</v>
      </c>
      <c r="H3557" s="2" t="str">
        <f>Tabella1[[#This Row],[Denominazione]]&amp;" - "&amp;Tabella1[[#This Row],[Città]]</f>
        <v>FASANO GIUSEPPE - PESARO</v>
      </c>
    </row>
    <row r="3558" spans="1:8" x14ac:dyDescent="0.25">
      <c r="A3558" s="1" t="s">
        <v>35</v>
      </c>
      <c r="B3558" s="1" t="s">
        <v>7782</v>
      </c>
      <c r="C3558" s="1" t="s">
        <v>7783</v>
      </c>
      <c r="D3558" s="1" t="s">
        <v>7718</v>
      </c>
      <c r="E3558" s="1" t="s">
        <v>7718</v>
      </c>
      <c r="G3558" s="1" t="s">
        <v>7784</v>
      </c>
      <c r="H3558" s="2" t="str">
        <f>Tabella1[[#This Row],[Denominazione]]&amp;" - "&amp;Tabella1[[#This Row],[Città]]</f>
        <v>FATA - MONTEMARCIANO</v>
      </c>
    </row>
    <row r="3559" spans="1:8" x14ac:dyDescent="0.25">
      <c r="A3559" s="1" t="s">
        <v>35</v>
      </c>
      <c r="B3559" s="1" t="s">
        <v>10808</v>
      </c>
      <c r="C3559" s="1" t="s">
        <v>10809</v>
      </c>
      <c r="D3559" s="1" t="s">
        <v>10737</v>
      </c>
      <c r="E3559" s="1" t="s">
        <v>10810</v>
      </c>
      <c r="H3559" s="2" t="str">
        <f>Tabella1[[#This Row],[Denominazione]]&amp;" - "&amp;Tabella1[[#This Row],[Città]]</f>
        <v>FATTORIA DI CIGNANO - CAMERINO</v>
      </c>
    </row>
    <row r="3560" spans="1:8" x14ac:dyDescent="0.25">
      <c r="A3560" s="1" t="s">
        <v>35</v>
      </c>
      <c r="B3560" s="1" t="s">
        <v>3391</v>
      </c>
      <c r="C3560" s="1" t="s">
        <v>3392</v>
      </c>
      <c r="D3560" s="1" t="s">
        <v>3305</v>
      </c>
      <c r="E3560" s="1" t="s">
        <v>3305</v>
      </c>
      <c r="H3560" s="2" t="str">
        <f>Tabella1[[#This Row],[Denominazione]]&amp;" - "&amp;Tabella1[[#This Row],[Città]]</f>
        <v>FATTORIA DI MONTESECCO - PERGOLA</v>
      </c>
    </row>
    <row r="3561" spans="1:8" x14ac:dyDescent="0.25">
      <c r="A3561" s="1" t="s">
        <v>35</v>
      </c>
      <c r="B3561" s="1" t="s">
        <v>11082</v>
      </c>
      <c r="C3561" s="1" t="s">
        <v>11083</v>
      </c>
      <c r="D3561" s="1" t="s">
        <v>11058</v>
      </c>
      <c r="E3561" s="1" t="s">
        <v>11058</v>
      </c>
      <c r="F3561" s="1" t="s">
        <v>11084</v>
      </c>
      <c r="G3561" s="1" t="s">
        <v>11085</v>
      </c>
      <c r="H3561" s="2" t="str">
        <f>Tabella1[[#This Row],[Denominazione]]&amp;" - "&amp;Tabella1[[#This Row],[Città]]</f>
        <v>FATTORIA FONTE PENNICI - CINGOLI</v>
      </c>
    </row>
    <row r="3562" spans="1:8" x14ac:dyDescent="0.25">
      <c r="A3562" s="1" t="s">
        <v>35</v>
      </c>
      <c r="B3562" s="1" t="s">
        <v>10168</v>
      </c>
      <c r="C3562" s="1" t="s">
        <v>10169</v>
      </c>
      <c r="D3562" s="1" t="s">
        <v>10117</v>
      </c>
      <c r="E3562" s="1" t="s">
        <v>10117</v>
      </c>
      <c r="F3562" s="1" t="s">
        <v>10170</v>
      </c>
      <c r="G3562" s="1" t="s">
        <v>10171</v>
      </c>
      <c r="H3562" s="2" t="str">
        <f>Tabella1[[#This Row],[Denominazione]]&amp;" - "&amp;Tabella1[[#This Row],[Città]]</f>
        <v>FATTORIA FONTEGELONI - SERRA SAN QUIRICO</v>
      </c>
    </row>
    <row r="3563" spans="1:8" x14ac:dyDescent="0.25">
      <c r="A3563" s="1" t="s">
        <v>35</v>
      </c>
      <c r="B3563" s="1" t="s">
        <v>10180</v>
      </c>
      <c r="C3563" s="1" t="s">
        <v>10181</v>
      </c>
      <c r="D3563" s="1" t="s">
        <v>10117</v>
      </c>
      <c r="E3563" s="1" t="s">
        <v>10117</v>
      </c>
      <c r="G3563" s="1" t="s">
        <v>10182</v>
      </c>
      <c r="H3563" s="2" t="str">
        <f>Tabella1[[#This Row],[Denominazione]]&amp;" - "&amp;Tabella1[[#This Row],[Città]]</f>
        <v>FATTORIA ITALIA - SERRA SAN QUIRICO</v>
      </c>
    </row>
    <row r="3564" spans="1:8" x14ac:dyDescent="0.25">
      <c r="A3564" s="1" t="s">
        <v>35</v>
      </c>
      <c r="B3564" s="1" t="s">
        <v>6931</v>
      </c>
      <c r="C3564" s="1" t="s">
        <v>6932</v>
      </c>
      <c r="D3564" s="1" t="s">
        <v>6790</v>
      </c>
      <c r="E3564" s="1" t="s">
        <v>6790</v>
      </c>
      <c r="G3564" s="1" t="s">
        <v>6933</v>
      </c>
      <c r="H3564" s="2" t="str">
        <f>Tabella1[[#This Row],[Denominazione]]&amp;" - "&amp;Tabella1[[#This Row],[Città]]</f>
        <v>FATTORIA LA GINESTRA - FABRIANO</v>
      </c>
    </row>
    <row r="3565" spans="1:8" x14ac:dyDescent="0.25">
      <c r="A3565" s="1" t="s">
        <v>35</v>
      </c>
      <c r="B3565" s="1" t="s">
        <v>13723</v>
      </c>
      <c r="C3565" s="1" t="s">
        <v>13724</v>
      </c>
      <c r="D3565" s="1" t="s">
        <v>13548</v>
      </c>
      <c r="E3565" s="1" t="s">
        <v>13548</v>
      </c>
      <c r="F3565" s="1" t="s">
        <v>13725</v>
      </c>
      <c r="G3565" s="1" t="s">
        <v>13726</v>
      </c>
      <c r="H3565" s="2" t="str">
        <f>Tabella1[[#This Row],[Denominazione]]&amp;" - "&amp;Tabella1[[#This Row],[Città]]</f>
        <v>FATTORIA LE ORIGINI - SAN SEVERINO MARCHE</v>
      </c>
    </row>
    <row r="3566" spans="1:8" x14ac:dyDescent="0.25">
      <c r="A3566" s="1" t="s">
        <v>20</v>
      </c>
      <c r="B3566" s="1" t="s">
        <v>17603</v>
      </c>
      <c r="C3566" s="1" t="s">
        <v>17604</v>
      </c>
      <c r="D3566" s="1" t="s">
        <v>15819</v>
      </c>
      <c r="E3566" s="1" t="s">
        <v>15819</v>
      </c>
      <c r="F3566" s="1" t="s">
        <v>17605</v>
      </c>
      <c r="G3566" s="1" t="s">
        <v>17606</v>
      </c>
      <c r="H3566" s="2" t="str">
        <f>Tabella1[[#This Row],[Denominazione]]&amp;" - "&amp;Tabella1[[#This Row],[Città]]</f>
        <v>FAUSTO - SAN BENEDETTO DEL TRONTO</v>
      </c>
    </row>
    <row r="3567" spans="1:8" x14ac:dyDescent="0.25">
      <c r="A3567" s="1" t="s">
        <v>12</v>
      </c>
      <c r="B3567" s="1" t="s">
        <v>9285</v>
      </c>
      <c r="C3567" s="1" t="s">
        <v>9286</v>
      </c>
      <c r="D3567" s="1" t="s">
        <v>8949</v>
      </c>
      <c r="E3567" s="1" t="s">
        <v>8949</v>
      </c>
      <c r="G3567" s="1" t="s">
        <v>9037</v>
      </c>
      <c r="H3567" s="2" t="str">
        <f>Tabella1[[#This Row],[Denominazione]]&amp;" - "&amp;Tabella1[[#This Row],[Città]]</f>
        <v>FAVI UMBERTO - SENIGALLIA</v>
      </c>
    </row>
    <row r="3568" spans="1:8" x14ac:dyDescent="0.25">
      <c r="A3568" s="1" t="s">
        <v>679</v>
      </c>
      <c r="B3568" s="1" t="s">
        <v>11705</v>
      </c>
      <c r="C3568" s="1" t="s">
        <v>11706</v>
      </c>
      <c r="D3568" s="1" t="s">
        <v>11244</v>
      </c>
      <c r="E3568" s="1" t="s">
        <v>11244</v>
      </c>
      <c r="F3568" s="1" t="s">
        <v>11707</v>
      </c>
      <c r="H3568" s="2" t="str">
        <f>Tabella1[[#This Row],[Denominazione]]&amp;" - "&amp;Tabella1[[#This Row],[Città]]</f>
        <v>FEDERICO - CIVITANOVA MARCHE</v>
      </c>
    </row>
    <row r="3569" spans="1:8" x14ac:dyDescent="0.25">
      <c r="A3569" s="1" t="s">
        <v>82</v>
      </c>
      <c r="B3569" s="1" t="s">
        <v>8892</v>
      </c>
      <c r="C3569" s="1" t="s">
        <v>8893</v>
      </c>
      <c r="D3569" s="1" t="s">
        <v>8849</v>
      </c>
      <c r="E3569" s="1" t="s">
        <v>8849</v>
      </c>
      <c r="G3569" s="1" t="s">
        <v>8894</v>
      </c>
      <c r="H3569" s="2" t="str">
        <f>Tabella1[[#This Row],[Denominazione]]&amp;" - "&amp;Tabella1[[#This Row],[Città]]</f>
        <v>FEDERICO I - SASSOFERRATO</v>
      </c>
    </row>
    <row r="3570" spans="1:8" x14ac:dyDescent="0.25">
      <c r="A3570" s="1" t="s">
        <v>679</v>
      </c>
      <c r="B3570" s="1" t="s">
        <v>19381</v>
      </c>
      <c r="C3570" s="1" t="s">
        <v>19382</v>
      </c>
      <c r="D3570" s="1" t="s">
        <v>19283</v>
      </c>
      <c r="E3570" s="1" t="s">
        <v>19363</v>
      </c>
      <c r="H3570" s="2" t="str">
        <f>Tabella1[[#This Row],[Denominazione]]&amp;" - "&amp;Tabella1[[#This Row],[Città]]</f>
        <v>FELIZIANI REBECCA - PORTO SANT'ELPIDIO</v>
      </c>
    </row>
    <row r="3571" spans="1:8" x14ac:dyDescent="0.25">
      <c r="A3571" s="1" t="s">
        <v>20</v>
      </c>
      <c r="B3571" s="1" t="s">
        <v>14246</v>
      </c>
      <c r="D3571" s="1" t="s">
        <v>14213</v>
      </c>
      <c r="E3571" s="1" t="s">
        <v>14247</v>
      </c>
      <c r="F3571" s="1" t="s">
        <v>14248</v>
      </c>
      <c r="G3571" s="1" t="s">
        <v>14249</v>
      </c>
      <c r="H3571" s="2" t="str">
        <f>Tabella1[[#This Row],[Denominazione]]&amp;" - "&amp;Tabella1[[#This Row],[Città]]</f>
        <v>FELYCITA - USSITA</v>
      </c>
    </row>
    <row r="3572" spans="1:8" x14ac:dyDescent="0.25">
      <c r="A3572" s="1" t="s">
        <v>20</v>
      </c>
      <c r="B3572" s="1" t="s">
        <v>17493</v>
      </c>
      <c r="C3572" s="1" t="s">
        <v>17494</v>
      </c>
      <c r="D3572" s="1" t="s">
        <v>15819</v>
      </c>
      <c r="E3572" s="1" t="s">
        <v>15819</v>
      </c>
      <c r="F3572" s="1" t="s">
        <v>17495</v>
      </c>
      <c r="G3572" s="1" t="s">
        <v>17496</v>
      </c>
      <c r="H3572" s="2" t="str">
        <f>Tabella1[[#This Row],[Denominazione]]&amp;" - "&amp;Tabella1[[#This Row],[Città]]</f>
        <v>FENIX - SAN BENEDETTO DEL TRONTO</v>
      </c>
    </row>
    <row r="3573" spans="1:8" x14ac:dyDescent="0.25">
      <c r="A3573" s="1" t="s">
        <v>82</v>
      </c>
      <c r="B3573" s="1" t="s">
        <v>13666</v>
      </c>
      <c r="C3573" s="1" t="s">
        <v>13667</v>
      </c>
      <c r="D3573" s="1" t="s">
        <v>13548</v>
      </c>
      <c r="E3573" s="1" t="s">
        <v>13548</v>
      </c>
      <c r="H3573" s="2" t="str">
        <f>Tabella1[[#This Row],[Denominazione]]&amp;" - "&amp;Tabella1[[#This Row],[Città]]</f>
        <v>FERONIA - CASE E APPARTAMENTI PER VACANZE - SAN SEVERINO MARCHE</v>
      </c>
    </row>
    <row r="3574" spans="1:8" x14ac:dyDescent="0.25">
      <c r="A3574" s="1" t="s">
        <v>190</v>
      </c>
      <c r="B3574" s="1" t="s">
        <v>16376</v>
      </c>
      <c r="D3574" s="1" t="s">
        <v>16312</v>
      </c>
      <c r="E3574" s="1" t="s">
        <v>16376</v>
      </c>
      <c r="G3574" s="1" t="s">
        <v>16377</v>
      </c>
      <c r="H3574" s="2" t="str">
        <f>Tabella1[[#This Row],[Denominazione]]&amp;" - "&amp;Tabella1[[#This Row],[Città]]</f>
        <v>FERRA' - MONTEMONACO</v>
      </c>
    </row>
    <row r="3575" spans="1:8" x14ac:dyDescent="0.25">
      <c r="A3575" s="1" t="s">
        <v>20</v>
      </c>
      <c r="B3575" s="1" t="s">
        <v>13911</v>
      </c>
      <c r="C3575" s="1" t="s">
        <v>13912</v>
      </c>
      <c r="D3575" s="1" t="s">
        <v>13894</v>
      </c>
      <c r="E3575" s="1" t="s">
        <v>13894</v>
      </c>
      <c r="F3575" s="1" t="s">
        <v>13913</v>
      </c>
      <c r="G3575" s="1" t="s">
        <v>13914</v>
      </c>
      <c r="H3575" s="2" t="str">
        <f>Tabella1[[#This Row],[Denominazione]]&amp;" - "&amp;Tabella1[[#This Row],[Città]]</f>
        <v>FERRANTI - SERRAPETRONA</v>
      </c>
    </row>
    <row r="3576" spans="1:8" x14ac:dyDescent="0.25">
      <c r="A3576" s="1" t="s">
        <v>20</v>
      </c>
      <c r="B3576" s="1" t="s">
        <v>17285</v>
      </c>
      <c r="C3576" s="1" t="s">
        <v>17286</v>
      </c>
      <c r="D3576" s="1" t="s">
        <v>15819</v>
      </c>
      <c r="E3576" s="1" t="s">
        <v>15819</v>
      </c>
      <c r="F3576" s="1" t="s">
        <v>17287</v>
      </c>
      <c r="G3576" s="1" t="s">
        <v>17288</v>
      </c>
      <c r="H3576" s="2" t="str">
        <f>Tabella1[[#This Row],[Denominazione]]&amp;" - "&amp;Tabella1[[#This Row],[Città]]</f>
        <v>FERRARA - SAN BENEDETTO DEL TRONTO</v>
      </c>
    </row>
    <row r="3577" spans="1:8" x14ac:dyDescent="0.25">
      <c r="A3577" s="1" t="s">
        <v>12</v>
      </c>
      <c r="B3577" s="1" t="s">
        <v>14798</v>
      </c>
      <c r="D3577" s="1" t="s">
        <v>14576</v>
      </c>
      <c r="H3577" s="2" t="str">
        <f>Tabella1[[#This Row],[Denominazione]]&amp;" - "&amp;Tabella1[[#This Row],[Città]]</f>
        <v>FERRETTI FAUSTA - ASCOLI PICENO</v>
      </c>
    </row>
    <row r="3578" spans="1:8" x14ac:dyDescent="0.25">
      <c r="A3578" s="1" t="s">
        <v>82</v>
      </c>
      <c r="B3578" s="1" t="s">
        <v>14964</v>
      </c>
      <c r="C3578" s="1" t="s">
        <v>14965</v>
      </c>
      <c r="D3578" s="1" t="s">
        <v>14576</v>
      </c>
      <c r="E3578" s="1" t="s">
        <v>14576</v>
      </c>
      <c r="G3578" s="1" t="s">
        <v>14966</v>
      </c>
      <c r="H3578" s="2" t="str">
        <f>Tabella1[[#This Row],[Denominazione]]&amp;" - "&amp;Tabella1[[#This Row],[Città]]</f>
        <v>FERRETTI ROSANNA - ASCOLI PICENO</v>
      </c>
    </row>
    <row r="3579" spans="1:8" x14ac:dyDescent="0.25">
      <c r="A3579" s="1" t="s">
        <v>35</v>
      </c>
      <c r="B3579" s="1" t="s">
        <v>15212</v>
      </c>
      <c r="C3579" s="1" t="s">
        <v>15213</v>
      </c>
      <c r="D3579" s="1" t="s">
        <v>15197</v>
      </c>
      <c r="G3579" s="1" t="s">
        <v>15214</v>
      </c>
      <c r="H3579" s="2" t="str">
        <f>Tabella1[[#This Row],[Denominazione]]&amp;" - "&amp;Tabella1[[#This Row],[Città]]</f>
        <v>FERRI ENRICO - CASTORANO</v>
      </c>
    </row>
    <row r="3580" spans="1:8" x14ac:dyDescent="0.25">
      <c r="A3580" s="1" t="s">
        <v>29</v>
      </c>
      <c r="B3580" s="1" t="s">
        <v>13016</v>
      </c>
      <c r="C3580" s="1" t="s">
        <v>13017</v>
      </c>
      <c r="D3580" s="1" t="s">
        <v>12801</v>
      </c>
      <c r="E3580" s="1" t="s">
        <v>12801</v>
      </c>
      <c r="F3580" s="1" t="s">
        <v>13018</v>
      </c>
      <c r="G3580" s="1" t="s">
        <v>13019</v>
      </c>
      <c r="H3580" s="2" t="str">
        <f>Tabella1[[#This Row],[Denominazione]]&amp;" - "&amp;Tabella1[[#This Row],[Città]]</f>
        <v>FESTINA LENTE - PORTO RECANATI</v>
      </c>
    </row>
    <row r="3581" spans="1:8" x14ac:dyDescent="0.25">
      <c r="A3581" s="1" t="s">
        <v>1200</v>
      </c>
      <c r="B3581" s="1" t="s">
        <v>1203</v>
      </c>
      <c r="C3581" s="1" t="s">
        <v>1202</v>
      </c>
      <c r="D3581" s="1" t="s">
        <v>682</v>
      </c>
      <c r="E3581" s="1" t="s">
        <v>682</v>
      </c>
      <c r="H3581" s="2" t="str">
        <f>Tabella1[[#This Row],[Denominazione]]&amp;" - "&amp;Tabella1[[#This Row],[Città]]</f>
        <v>FILIPPETTI CLAUDIO - AGRICAMPEGGIO - FANO</v>
      </c>
    </row>
    <row r="3582" spans="1:8" x14ac:dyDescent="0.25">
      <c r="A3582" s="1" t="s">
        <v>1200</v>
      </c>
      <c r="B3582" s="1" t="s">
        <v>1201</v>
      </c>
      <c r="C3582" s="1" t="s">
        <v>1202</v>
      </c>
      <c r="D3582" s="1" t="s">
        <v>682</v>
      </c>
      <c r="E3582" s="1" t="s">
        <v>682</v>
      </c>
      <c r="H3582" s="2" t="str">
        <f>Tabella1[[#This Row],[Denominazione]]&amp;" - "&amp;Tabella1[[#This Row],[Città]]</f>
        <v>FILIPPETTI DANTE - AGRICAMPEGGIO - FANO</v>
      </c>
    </row>
    <row r="3583" spans="1:8" x14ac:dyDescent="0.25">
      <c r="A3583" s="1" t="s">
        <v>1200</v>
      </c>
      <c r="B3583" s="1" t="s">
        <v>1217</v>
      </c>
      <c r="C3583" s="1" t="s">
        <v>1202</v>
      </c>
      <c r="D3583" s="1" t="s">
        <v>682</v>
      </c>
      <c r="E3583" s="1" t="s">
        <v>682</v>
      </c>
      <c r="H3583" s="2" t="str">
        <f>Tabella1[[#This Row],[Denominazione]]&amp;" - "&amp;Tabella1[[#This Row],[Città]]</f>
        <v>FILIPPETTI NANDO - AGRICAMPEGGIO - FANO</v>
      </c>
    </row>
    <row r="3584" spans="1:8" x14ac:dyDescent="0.25">
      <c r="A3584" s="1" t="s">
        <v>12</v>
      </c>
      <c r="B3584" s="1" t="s">
        <v>6637</v>
      </c>
      <c r="C3584" s="1" t="s">
        <v>6638</v>
      </c>
      <c r="D3584" s="1" t="s">
        <v>6536</v>
      </c>
      <c r="G3584" s="1" t="s">
        <v>6639</v>
      </c>
      <c r="H3584" s="2" t="str">
        <f>Tabella1[[#This Row],[Denominazione]]&amp;" - "&amp;Tabella1[[#This Row],[Città]]</f>
        <v>FILIPPO CAPOTONDI - CORINALDO</v>
      </c>
    </row>
    <row r="3585" spans="1:8" x14ac:dyDescent="0.25">
      <c r="A3585" s="1" t="s">
        <v>35</v>
      </c>
      <c r="B3585" s="1" t="s">
        <v>8821</v>
      </c>
      <c r="C3585" s="1" t="s">
        <v>8822</v>
      </c>
      <c r="D3585" s="1" t="s">
        <v>8801</v>
      </c>
      <c r="E3585" s="1" t="s">
        <v>8801</v>
      </c>
      <c r="F3585" s="1" t="s">
        <v>8823</v>
      </c>
      <c r="G3585" s="1" t="s">
        <v>8824</v>
      </c>
      <c r="H3585" s="2" t="str">
        <f>Tabella1[[#This Row],[Denominazione]]&amp;" - "&amp;Tabella1[[#This Row],[Città]]</f>
        <v>FILODIVINO - SAN MARCELLO</v>
      </c>
    </row>
    <row r="3586" spans="1:8" x14ac:dyDescent="0.25">
      <c r="A3586" s="1" t="s">
        <v>6</v>
      </c>
      <c r="B3586" s="1" t="s">
        <v>9790</v>
      </c>
      <c r="C3586" s="1" t="s">
        <v>9791</v>
      </c>
      <c r="D3586" s="1" t="s">
        <v>8949</v>
      </c>
      <c r="E3586" s="1" t="s">
        <v>8949</v>
      </c>
      <c r="F3586" s="1" t="s">
        <v>9792</v>
      </c>
      <c r="G3586" s="1" t="s">
        <v>9793</v>
      </c>
      <c r="H3586" s="2" t="str">
        <f>Tabella1[[#This Row],[Denominazione]]&amp;" - "&amp;Tabella1[[#This Row],[Città]]</f>
        <v>FINIS AFRICAE - SENIGALLIA</v>
      </c>
    </row>
    <row r="3587" spans="1:8" x14ac:dyDescent="0.25">
      <c r="A3587" s="1" t="s">
        <v>6</v>
      </c>
      <c r="B3587" s="1" t="s">
        <v>4220</v>
      </c>
      <c r="D3587" s="1" t="s">
        <v>4175</v>
      </c>
      <c r="E3587" s="1" t="s">
        <v>4221</v>
      </c>
      <c r="F3587" s="1" t="s">
        <v>4222</v>
      </c>
      <c r="G3587" s="1" t="s">
        <v>4223</v>
      </c>
      <c r="H3587" s="2" t="str">
        <f>Tabella1[[#This Row],[Denominazione]]&amp;" - "&amp;Tabella1[[#This Row],[Città]]</f>
        <v>FINOCCHIETTO - PIOBBICO</v>
      </c>
    </row>
    <row r="3588" spans="1:8" x14ac:dyDescent="0.25">
      <c r="A3588" s="1" t="s">
        <v>35</v>
      </c>
      <c r="B3588" s="1" t="s">
        <v>16068</v>
      </c>
      <c r="C3588" s="1" t="s">
        <v>16069</v>
      </c>
      <c r="D3588" s="1" t="s">
        <v>16040</v>
      </c>
      <c r="H3588" s="2" t="str">
        <f>Tabella1[[#This Row],[Denominazione]]&amp;" - "&amp;Tabella1[[#This Row],[Città]]</f>
        <v>FIOR DI LOTO - MONSAMPOLO DEL TRONTO</v>
      </c>
    </row>
    <row r="3589" spans="1:8" x14ac:dyDescent="0.25">
      <c r="A3589" s="1" t="s">
        <v>679</v>
      </c>
      <c r="B3589" s="1" t="s">
        <v>8198</v>
      </c>
      <c r="C3589" s="1" t="s">
        <v>8199</v>
      </c>
      <c r="D3589" s="1" t="s">
        <v>7889</v>
      </c>
      <c r="E3589" s="1" t="s">
        <v>8200</v>
      </c>
      <c r="G3589" s="1" t="s">
        <v>8201</v>
      </c>
      <c r="H3589" s="2" t="str">
        <f>Tabella1[[#This Row],[Denominazione]]&amp;" - "&amp;Tabella1[[#This Row],[Città]]</f>
        <v>FIOR DI MARE - NUMANA</v>
      </c>
    </row>
    <row r="3590" spans="1:8" x14ac:dyDescent="0.25">
      <c r="A3590" s="1" t="s">
        <v>12</v>
      </c>
      <c r="B3590" s="1" t="s">
        <v>2981</v>
      </c>
      <c r="C3590" s="1" t="s">
        <v>2982</v>
      </c>
      <c r="D3590" s="1" t="s">
        <v>1605</v>
      </c>
      <c r="G3590" s="1" t="s">
        <v>2983</v>
      </c>
      <c r="H3590" s="2" t="str">
        <f>Tabella1[[#This Row],[Denominazione]]&amp;" - "&amp;Tabella1[[#This Row],[Città]]</f>
        <v>FIORDALISO,GIGLIO,GIRASOLE,IRIS,MARGHERITA,ORCHIDEA,VIOLETTA - MONDOLFO</v>
      </c>
    </row>
    <row r="3591" spans="1:8" x14ac:dyDescent="0.25">
      <c r="A3591" s="1" t="s">
        <v>679</v>
      </c>
      <c r="B3591" s="1" t="s">
        <v>12829</v>
      </c>
      <c r="D3591" s="1" t="s">
        <v>12801</v>
      </c>
      <c r="E3591" s="1" t="s">
        <v>12801</v>
      </c>
      <c r="H3591" s="2" t="str">
        <f>Tabella1[[#This Row],[Denominazione]]&amp;" - "&amp;Tabella1[[#This Row],[Città]]</f>
        <v>FIORE - PORTO RECANATI</v>
      </c>
    </row>
    <row r="3592" spans="1:8" x14ac:dyDescent="0.25">
      <c r="A3592" s="1" t="s">
        <v>35</v>
      </c>
      <c r="B3592" s="1" t="s">
        <v>18025</v>
      </c>
      <c r="C3592" s="1" t="s">
        <v>18026</v>
      </c>
      <c r="D3592" s="1" t="s">
        <v>17932</v>
      </c>
      <c r="E3592" s="1" t="s">
        <v>17932</v>
      </c>
      <c r="F3592" s="1" t="s">
        <v>18027</v>
      </c>
      <c r="G3592" s="1" t="s">
        <v>18028</v>
      </c>
      <c r="H3592" s="2" t="str">
        <f>Tabella1[[#This Row],[Denominazione]]&amp;" - "&amp;Tabella1[[#This Row],[Città]]</f>
        <v>FIORE DI CAMPO - FERMO</v>
      </c>
    </row>
    <row r="3593" spans="1:8" x14ac:dyDescent="0.25">
      <c r="A3593" s="1" t="s">
        <v>20</v>
      </c>
      <c r="B3593" s="1" t="s">
        <v>9741</v>
      </c>
      <c r="C3593" s="1" t="s">
        <v>9742</v>
      </c>
      <c r="D3593" s="1" t="s">
        <v>8949</v>
      </c>
      <c r="E3593" s="1" t="s">
        <v>8949</v>
      </c>
      <c r="F3593" s="1" t="s">
        <v>9743</v>
      </c>
      <c r="G3593" s="1" t="s">
        <v>9744</v>
      </c>
      <c r="H3593" s="2" t="str">
        <f>Tabella1[[#This Row],[Denominazione]]&amp;" - "&amp;Tabella1[[#This Row],[Città]]</f>
        <v>FIORELLA - SENIGALLIA</v>
      </c>
    </row>
    <row r="3594" spans="1:8" x14ac:dyDescent="0.25">
      <c r="A3594" s="1" t="s">
        <v>12</v>
      </c>
      <c r="B3594" s="1" t="s">
        <v>804</v>
      </c>
      <c r="C3594" s="1" t="s">
        <v>805</v>
      </c>
      <c r="D3594" s="1" t="s">
        <v>682</v>
      </c>
      <c r="E3594" s="1" t="s">
        <v>682</v>
      </c>
      <c r="G3594" s="1" t="s">
        <v>806</v>
      </c>
      <c r="H3594" s="2" t="str">
        <f>Tabella1[[#This Row],[Denominazione]]&amp;" - "&amp;Tabella1[[#This Row],[Città]]</f>
        <v>FIORELLI ATTILIO - FANO</v>
      </c>
    </row>
    <row r="3595" spans="1:8" x14ac:dyDescent="0.25">
      <c r="A3595" s="1" t="s">
        <v>35</v>
      </c>
      <c r="B3595" s="1" t="s">
        <v>15183</v>
      </c>
      <c r="C3595" s="1" t="s">
        <v>15184</v>
      </c>
      <c r="D3595" s="1" t="s">
        <v>15151</v>
      </c>
      <c r="E3595" s="1" t="s">
        <v>15185</v>
      </c>
      <c r="F3595" s="1" t="s">
        <v>15186</v>
      </c>
      <c r="G3595" s="1" t="s">
        <v>15187</v>
      </c>
      <c r="H3595" s="2" t="str">
        <f>Tabella1[[#This Row],[Denominazione]]&amp;" - "&amp;Tabella1[[#This Row],[Città]]</f>
        <v>FIORENIRE - CASTIGNANO</v>
      </c>
    </row>
    <row r="3596" spans="1:8" x14ac:dyDescent="0.25">
      <c r="A3596" s="1" t="s">
        <v>12</v>
      </c>
      <c r="B3596" s="1" t="s">
        <v>13145</v>
      </c>
      <c r="C3596" s="1" t="s">
        <v>13146</v>
      </c>
      <c r="D3596" s="1" t="s">
        <v>13026</v>
      </c>
      <c r="E3596" s="1" t="s">
        <v>13105</v>
      </c>
      <c r="G3596" s="1" t="s">
        <v>13147</v>
      </c>
      <c r="H3596" s="2" t="str">
        <f>Tabella1[[#This Row],[Denominazione]]&amp;" - "&amp;Tabella1[[#This Row],[Città]]</f>
        <v>FIORENZA ZACCONI - POTENZA PICENA</v>
      </c>
    </row>
    <row r="3597" spans="1:8" x14ac:dyDescent="0.25">
      <c r="A3597" s="1" t="s">
        <v>35</v>
      </c>
      <c r="B3597" s="1" t="s">
        <v>5914</v>
      </c>
      <c r="C3597" s="1" t="s">
        <v>5915</v>
      </c>
      <c r="D3597" s="1" t="s">
        <v>1864</v>
      </c>
      <c r="F3597" s="1" t="s">
        <v>5916</v>
      </c>
      <c r="G3597" s="1" t="s">
        <v>5917</v>
      </c>
      <c r="H3597" s="2" t="str">
        <f>Tabella1[[#This Row],[Denominazione]]&amp;" - "&amp;Tabella1[[#This Row],[Città]]</f>
        <v>FIORI DEL CONERO - ANCONA</v>
      </c>
    </row>
    <row r="3598" spans="1:8" x14ac:dyDescent="0.25">
      <c r="A3598" s="1" t="s">
        <v>35</v>
      </c>
      <c r="B3598" s="1" t="s">
        <v>10375</v>
      </c>
      <c r="C3598" s="1" t="s">
        <v>10376</v>
      </c>
      <c r="D3598" s="1" t="s">
        <v>10206</v>
      </c>
      <c r="G3598" s="1" t="s">
        <v>10377</v>
      </c>
      <c r="H3598" s="2" t="str">
        <f>Tabella1[[#This Row],[Denominazione]]&amp;" - "&amp;Tabella1[[#This Row],[Città]]</f>
        <v>FIORI DI CAMPO - SIROLO</v>
      </c>
    </row>
    <row r="3599" spans="1:8" x14ac:dyDescent="0.25">
      <c r="A3599" s="1" t="s">
        <v>82</v>
      </c>
      <c r="B3599" s="1" t="s">
        <v>15687</v>
      </c>
      <c r="C3599" s="1" t="s">
        <v>15688</v>
      </c>
      <c r="D3599" s="1" t="s">
        <v>15585</v>
      </c>
      <c r="E3599" s="1" t="s">
        <v>15585</v>
      </c>
      <c r="G3599" s="1" t="s">
        <v>15689</v>
      </c>
      <c r="H3599" s="2" t="str">
        <f>Tabella1[[#This Row],[Denominazione]]&amp;" - "&amp;Tabella1[[#This Row],[Città]]</f>
        <v>FISCALS COMPUTERS di PEROTTI ENRICO SNC - GROTTAMMARE</v>
      </c>
    </row>
    <row r="3600" spans="1:8" x14ac:dyDescent="0.25">
      <c r="A3600" s="1" t="s">
        <v>679</v>
      </c>
      <c r="B3600" s="1" t="s">
        <v>15411</v>
      </c>
      <c r="C3600" s="1" t="s">
        <v>15403</v>
      </c>
      <c r="D3600" s="1" t="s">
        <v>15349</v>
      </c>
      <c r="E3600" s="1" t="s">
        <v>15349</v>
      </c>
      <c r="H3600" s="2" t="str">
        <f>Tabella1[[#This Row],[Denominazione]]&amp;" - "&amp;Tabella1[[#This Row],[Città]]</f>
        <v>FLAMMINI STEFANO 1 - CUPRA MARITTIMA</v>
      </c>
    </row>
    <row r="3601" spans="1:8" x14ac:dyDescent="0.25">
      <c r="A3601" s="1" t="s">
        <v>679</v>
      </c>
      <c r="B3601" s="1" t="s">
        <v>15409</v>
      </c>
      <c r="C3601" s="1" t="s">
        <v>15410</v>
      </c>
      <c r="D3601" s="1" t="s">
        <v>15349</v>
      </c>
      <c r="E3601" s="1" t="s">
        <v>15349</v>
      </c>
      <c r="H3601" s="2" t="str">
        <f>Tabella1[[#This Row],[Denominazione]]&amp;" - "&amp;Tabella1[[#This Row],[Città]]</f>
        <v>FLAMMINI STEFANO N.2 - CUPRA MARITTIMA</v>
      </c>
    </row>
    <row r="3602" spans="1:8" x14ac:dyDescent="0.25">
      <c r="A3602" s="1" t="s">
        <v>20</v>
      </c>
      <c r="B3602" s="1" t="s">
        <v>17497</v>
      </c>
      <c r="C3602" s="1" t="s">
        <v>17498</v>
      </c>
      <c r="D3602" s="1" t="s">
        <v>15819</v>
      </c>
      <c r="E3602" s="1" t="s">
        <v>15819</v>
      </c>
      <c r="F3602" s="1" t="s">
        <v>17499</v>
      </c>
      <c r="G3602" s="1" t="s">
        <v>17500</v>
      </c>
      <c r="H3602" s="2" t="str">
        <f>Tabella1[[#This Row],[Denominazione]]&amp;" - "&amp;Tabella1[[#This Row],[Città]]</f>
        <v>FLORENCE - SAN BENEDETTO DEL TRONTO</v>
      </c>
    </row>
    <row r="3603" spans="1:8" x14ac:dyDescent="0.25">
      <c r="A3603" s="1" t="s">
        <v>679</v>
      </c>
      <c r="B3603" s="1" t="s">
        <v>15822</v>
      </c>
      <c r="C3603" s="1" t="s">
        <v>15823</v>
      </c>
      <c r="D3603" s="1" t="s">
        <v>15585</v>
      </c>
      <c r="H3603" s="2" t="str">
        <f>Tabella1[[#This Row],[Denominazione]]&amp;" - "&amp;Tabella1[[#This Row],[Città]]</f>
        <v>FLORIDA - GROTTAMMARE</v>
      </c>
    </row>
    <row r="3604" spans="1:8" x14ac:dyDescent="0.25">
      <c r="A3604" s="1" t="s">
        <v>679</v>
      </c>
      <c r="B3604" s="1" t="s">
        <v>8202</v>
      </c>
      <c r="C3604" s="1" t="s">
        <v>8203</v>
      </c>
      <c r="D3604" s="1" t="s">
        <v>7889</v>
      </c>
      <c r="E3604" s="1" t="s">
        <v>7889</v>
      </c>
      <c r="G3604" s="1" t="s">
        <v>8204</v>
      </c>
      <c r="H3604" s="2" t="str">
        <f>Tabella1[[#This Row],[Denominazione]]&amp;" - "&amp;Tabella1[[#This Row],[Città]]</f>
        <v>FLORIDA 16 - NUMANA</v>
      </c>
    </row>
    <row r="3605" spans="1:8" x14ac:dyDescent="0.25">
      <c r="A3605" s="1" t="s">
        <v>679</v>
      </c>
      <c r="B3605" s="1" t="s">
        <v>12846</v>
      </c>
      <c r="D3605" s="1" t="s">
        <v>12801</v>
      </c>
      <c r="H3605" s="2" t="str">
        <f>Tabella1[[#This Row],[Denominazione]]&amp;" - "&amp;Tabella1[[#This Row],[Città]]</f>
        <v>FLORIDITA - PORTO RECANATI</v>
      </c>
    </row>
    <row r="3606" spans="1:8" x14ac:dyDescent="0.25">
      <c r="A3606" s="1" t="s">
        <v>190</v>
      </c>
      <c r="B3606" s="1" t="s">
        <v>16375</v>
      </c>
      <c r="D3606" s="1" t="s">
        <v>16312</v>
      </c>
      <c r="E3606" s="1" t="s">
        <v>1883</v>
      </c>
      <c r="H3606" s="2" t="str">
        <f>Tabella1[[#This Row],[Denominazione]]&amp;" - "&amp;Tabella1[[#This Row],[Città]]</f>
        <v>FOCE 1 - MONTEMONACO</v>
      </c>
    </row>
    <row r="3607" spans="1:8" x14ac:dyDescent="0.25">
      <c r="A3607" s="1" t="s">
        <v>12</v>
      </c>
      <c r="B3607" s="1" t="s">
        <v>13079</v>
      </c>
      <c r="C3607" s="1" t="s">
        <v>13080</v>
      </c>
      <c r="D3607" s="1" t="s">
        <v>13026</v>
      </c>
      <c r="E3607" s="1" t="s">
        <v>13026</v>
      </c>
      <c r="H3607" s="2" t="str">
        <f>Tabella1[[#This Row],[Denominazione]]&amp;" - "&amp;Tabella1[[#This Row],[Città]]</f>
        <v>FOGLIA LIDA - POTENZA PICENA</v>
      </c>
    </row>
    <row r="3608" spans="1:8" x14ac:dyDescent="0.25">
      <c r="A3608" s="1" t="s">
        <v>571</v>
      </c>
      <c r="B3608" s="1" t="s">
        <v>17868</v>
      </c>
      <c r="C3608" s="1" t="s">
        <v>17869</v>
      </c>
      <c r="D3608" s="1" t="s">
        <v>17839</v>
      </c>
      <c r="E3608" s="1" t="s">
        <v>17839</v>
      </c>
      <c r="F3608" s="1" t="s">
        <v>17870</v>
      </c>
      <c r="G3608" s="1" t="s">
        <v>17871</v>
      </c>
      <c r="H3608" s="2" t="str">
        <f>Tabella1[[#This Row],[Denominazione]]&amp;" - "&amp;Tabella1[[#This Row],[Città]]</f>
        <v>FONTANA MARINA - CAMPOFILONE</v>
      </c>
    </row>
    <row r="3609" spans="1:8" x14ac:dyDescent="0.25">
      <c r="A3609" s="1" t="s">
        <v>12</v>
      </c>
      <c r="B3609" s="1" t="s">
        <v>5492</v>
      </c>
      <c r="C3609" s="1" t="s">
        <v>5493</v>
      </c>
      <c r="D3609" s="1" t="s">
        <v>1864</v>
      </c>
      <c r="G3609" s="1" t="s">
        <v>5494</v>
      </c>
      <c r="H3609" s="2" t="str">
        <f>Tabella1[[#This Row],[Denominazione]]&amp;" - "&amp;Tabella1[[#This Row],[Città]]</f>
        <v>FONTE DEL CONERO - ANCONA</v>
      </c>
    </row>
    <row r="3610" spans="1:8" x14ac:dyDescent="0.25">
      <c r="A3610" s="1" t="s">
        <v>6</v>
      </c>
      <c r="B3610" s="1" t="s">
        <v>492</v>
      </c>
      <c r="C3610" s="1" t="s">
        <v>493</v>
      </c>
      <c r="D3610" s="1" t="s">
        <v>316</v>
      </c>
      <c r="E3610" s="1" t="s">
        <v>316</v>
      </c>
      <c r="G3610" s="1" t="s">
        <v>494</v>
      </c>
      <c r="H3610" s="2" t="str">
        <f>Tabella1[[#This Row],[Denominazione]]&amp;" - "&amp;Tabella1[[#This Row],[Città]]</f>
        <v>FONTE DELL'OLMO - CAGLI</v>
      </c>
    </row>
    <row r="3611" spans="1:8" x14ac:dyDescent="0.25">
      <c r="A3611" s="1" t="s">
        <v>29</v>
      </c>
      <c r="B3611" s="1" t="s">
        <v>19285</v>
      </c>
      <c r="C3611" s="1" t="s">
        <v>19286</v>
      </c>
      <c r="D3611" s="1" t="s">
        <v>19283</v>
      </c>
      <c r="E3611" s="1" t="s">
        <v>19285</v>
      </c>
      <c r="H3611" s="2" t="str">
        <f>Tabella1[[#This Row],[Denominazione]]&amp;" - "&amp;Tabella1[[#This Row],[Città]]</f>
        <v>FONTE DI MARE - PORTO SANT'ELPIDIO</v>
      </c>
    </row>
    <row r="3612" spans="1:8" x14ac:dyDescent="0.25">
      <c r="A3612" s="1" t="s">
        <v>35</v>
      </c>
      <c r="B3612" s="1" t="s">
        <v>18703</v>
      </c>
      <c r="D3612" s="1" t="s">
        <v>18702</v>
      </c>
      <c r="E3612" s="1" t="s">
        <v>18704</v>
      </c>
      <c r="F3612" s="1" t="s">
        <v>18705</v>
      </c>
      <c r="G3612" s="1" t="s">
        <v>18706</v>
      </c>
      <c r="H3612" s="2" t="str">
        <f>Tabella1[[#This Row],[Denominazione]]&amp;" - "&amp;Tabella1[[#This Row],[Città]]</f>
        <v>FONTE DI S. ANDREA - MONTELPARO</v>
      </c>
    </row>
    <row r="3613" spans="1:8" x14ac:dyDescent="0.25">
      <c r="A3613" s="1" t="s">
        <v>82</v>
      </c>
      <c r="B3613" s="1" t="s">
        <v>13755</v>
      </c>
      <c r="D3613" s="1" t="s">
        <v>13756</v>
      </c>
      <c r="F3613" s="1" t="s">
        <v>13757</v>
      </c>
      <c r="G3613" s="1" t="s">
        <v>13758</v>
      </c>
      <c r="H3613" s="2" t="str">
        <f>Tabella1[[#This Row],[Denominazione]]&amp;" - "&amp;Tabella1[[#This Row],[Città]]</f>
        <v>FONTE LE CASTELLANE DI FABI CARLA - SARNANO</v>
      </c>
    </row>
    <row r="3614" spans="1:8" x14ac:dyDescent="0.25">
      <c r="A3614" s="1" t="s">
        <v>35</v>
      </c>
      <c r="B3614" s="1" t="s">
        <v>241</v>
      </c>
      <c r="C3614" s="1" t="s">
        <v>242</v>
      </c>
      <c r="D3614" s="1" t="s">
        <v>227</v>
      </c>
      <c r="E3614" s="1" t="s">
        <v>243</v>
      </c>
      <c r="F3614" s="1" t="s">
        <v>244</v>
      </c>
      <c r="G3614" s="1" t="s">
        <v>245</v>
      </c>
      <c r="H3614" s="2" t="str">
        <f>Tabella1[[#This Row],[Denominazione]]&amp;" - "&amp;Tabella1[[#This Row],[Città]]</f>
        <v>FONTE PAROLLA AGRITURISMO - BARCHI</v>
      </c>
    </row>
    <row r="3615" spans="1:8" x14ac:dyDescent="0.25">
      <c r="A3615" s="1" t="s">
        <v>35</v>
      </c>
      <c r="B3615" s="1" t="s">
        <v>19570</v>
      </c>
      <c r="C3615" s="1" t="s">
        <v>19571</v>
      </c>
      <c r="D3615" s="1" t="s">
        <v>19541</v>
      </c>
      <c r="E3615" s="1" t="s">
        <v>19564</v>
      </c>
      <c r="F3615" s="1" t="s">
        <v>19572</v>
      </c>
      <c r="G3615" s="1" t="s">
        <v>19573</v>
      </c>
      <c r="H3615" s="2" t="str">
        <f>Tabella1[[#This Row],[Denominazione]]&amp;" - "&amp;Tabella1[[#This Row],[Città]]</f>
        <v>FONTE ROSSA - SANT'ELPIDIO A MARE</v>
      </c>
    </row>
    <row r="3616" spans="1:8" x14ac:dyDescent="0.25">
      <c r="A3616" s="1" t="s">
        <v>35</v>
      </c>
      <c r="B3616" s="1" t="s">
        <v>123</v>
      </c>
      <c r="D3616" s="1" t="s">
        <v>102</v>
      </c>
      <c r="E3616" s="1" t="s">
        <v>124</v>
      </c>
      <c r="F3616" s="1" t="s">
        <v>125</v>
      </c>
      <c r="G3616" s="1" t="s">
        <v>126</v>
      </c>
      <c r="H3616" s="2" t="str">
        <f>Tabella1[[#This Row],[Denominazione]]&amp;" - "&amp;Tabella1[[#This Row],[Città]]</f>
        <v>FONTE SOMMA - APECCHIO</v>
      </c>
    </row>
    <row r="3617" spans="1:8" x14ac:dyDescent="0.25">
      <c r="A3617" s="1" t="s">
        <v>12</v>
      </c>
      <c r="B3617" s="1" t="s">
        <v>3056</v>
      </c>
      <c r="C3617" s="1" t="s">
        <v>3057</v>
      </c>
      <c r="D3617" s="1" t="s">
        <v>3038</v>
      </c>
      <c r="G3617" s="1" t="s">
        <v>3058</v>
      </c>
      <c r="H3617" s="2" t="str">
        <f>Tabella1[[#This Row],[Denominazione]]&amp;" - "&amp;Tabella1[[#This Row],[Città]]</f>
        <v>FONTEBRUNA - MONTECICCARDO</v>
      </c>
    </row>
    <row r="3618" spans="1:8" x14ac:dyDescent="0.25">
      <c r="A3618" s="1" t="s">
        <v>35</v>
      </c>
      <c r="B3618" s="1" t="s">
        <v>14115</v>
      </c>
      <c r="C3618" s="1" t="s">
        <v>14116</v>
      </c>
      <c r="D3618" s="1" t="s">
        <v>14065</v>
      </c>
      <c r="E3618" s="1" t="s">
        <v>14065</v>
      </c>
      <c r="F3618" s="1" t="s">
        <v>14117</v>
      </c>
      <c r="G3618" s="1" t="s">
        <v>14118</v>
      </c>
      <c r="H3618" s="2" t="str">
        <f>Tabella1[[#This Row],[Denominazione]]&amp;" - "&amp;Tabella1[[#This Row],[Città]]</f>
        <v>FONTECHIARA - TREIA</v>
      </c>
    </row>
    <row r="3619" spans="1:8" x14ac:dyDescent="0.25">
      <c r="A3619" s="1" t="s">
        <v>12</v>
      </c>
      <c r="B3619" s="1" t="s">
        <v>13788</v>
      </c>
      <c r="C3619" s="1" t="s">
        <v>13789</v>
      </c>
      <c r="D3619" s="1" t="s">
        <v>13756</v>
      </c>
      <c r="G3619" s="1" t="s">
        <v>13790</v>
      </c>
      <c r="H3619" s="2" t="str">
        <f>Tabella1[[#This Row],[Denominazione]]&amp;" - "&amp;Tabella1[[#This Row],[Città]]</f>
        <v>FONTEMARTA - SARNANO</v>
      </c>
    </row>
    <row r="3620" spans="1:8" x14ac:dyDescent="0.25">
      <c r="A3620" s="1" t="s">
        <v>82</v>
      </c>
      <c r="B3620" s="1" t="s">
        <v>11867</v>
      </c>
      <c r="C3620" s="1" t="s">
        <v>11868</v>
      </c>
      <c r="D3620" s="1" t="s">
        <v>11869</v>
      </c>
      <c r="E3620" s="1" t="s">
        <v>11869</v>
      </c>
      <c r="F3620" s="1" t="s">
        <v>11870</v>
      </c>
      <c r="G3620" s="1" t="s">
        <v>11871</v>
      </c>
      <c r="H3620" s="2" t="str">
        <f>Tabella1[[#This Row],[Denominazione]]&amp;" - "&amp;Tabella1[[#This Row],[Città]]</f>
        <v>FONTERAMA  FASHION FUR di MOSCETTI MAURIZIO - GAGLIOLE</v>
      </c>
    </row>
    <row r="3621" spans="1:8" x14ac:dyDescent="0.25">
      <c r="A3621" s="1" t="s">
        <v>82</v>
      </c>
      <c r="B3621" s="1" t="s">
        <v>11878</v>
      </c>
      <c r="C3621" s="1" t="s">
        <v>11879</v>
      </c>
      <c r="D3621" s="1" t="s">
        <v>11869</v>
      </c>
      <c r="E3621" s="1" t="s">
        <v>11880</v>
      </c>
      <c r="F3621" s="1" t="s">
        <v>11870</v>
      </c>
      <c r="G3621" s="1" t="s">
        <v>11871</v>
      </c>
      <c r="H3621" s="2" t="str">
        <f>Tabella1[[#This Row],[Denominazione]]&amp;" - "&amp;Tabella1[[#This Row],[Città]]</f>
        <v>FONTERAMA di BENI MARIA TERESA - GAGLIOLE</v>
      </c>
    </row>
    <row r="3622" spans="1:8" x14ac:dyDescent="0.25">
      <c r="A3622" s="1" t="s">
        <v>35</v>
      </c>
      <c r="B3622" s="1" t="s">
        <v>14180</v>
      </c>
      <c r="C3622" s="1" t="s">
        <v>14181</v>
      </c>
      <c r="D3622" s="1" t="s">
        <v>14065</v>
      </c>
      <c r="E3622" s="1" t="s">
        <v>14065</v>
      </c>
      <c r="G3622" s="1" t="s">
        <v>14182</v>
      </c>
      <c r="H3622" s="2" t="str">
        <f>Tabella1[[#This Row],[Denominazione]]&amp;" - "&amp;Tabella1[[#This Row],[Città]]</f>
        <v>FORESTALE LUTI - TREIA</v>
      </c>
    </row>
    <row r="3623" spans="1:8" x14ac:dyDescent="0.25">
      <c r="A3623" s="1" t="s">
        <v>88</v>
      </c>
      <c r="B3623" s="1" t="s">
        <v>19677</v>
      </c>
      <c r="D3623" s="1" t="s">
        <v>19649</v>
      </c>
      <c r="G3623" s="1" t="s">
        <v>19678</v>
      </c>
      <c r="H3623" s="2" t="str">
        <f>Tabella1[[#This Row],[Denominazione]]&amp;" - "&amp;Tabella1[[#This Row],[Città]]</f>
        <v>FORESTCAMP - SMERILLO</v>
      </c>
    </row>
    <row r="3624" spans="1:8" x14ac:dyDescent="0.25">
      <c r="A3624" s="1" t="s">
        <v>35</v>
      </c>
      <c r="B3624" s="1" t="s">
        <v>246</v>
      </c>
      <c r="C3624" s="1" t="s">
        <v>247</v>
      </c>
      <c r="D3624" s="1" t="s">
        <v>227</v>
      </c>
      <c r="F3624" s="1" t="s">
        <v>248</v>
      </c>
      <c r="G3624" s="1" t="s">
        <v>249</v>
      </c>
      <c r="H3624" s="2" t="str">
        <f>Tabella1[[#This Row],[Denominazione]]&amp;" - "&amp;Tabella1[[#This Row],[Città]]</f>
        <v>FORESTERIA AGRITURISTICA STRADA DEI CAMPIOLI - BARCHI</v>
      </c>
    </row>
    <row r="3625" spans="1:8" x14ac:dyDescent="0.25">
      <c r="A3625" s="1" t="s">
        <v>186</v>
      </c>
      <c r="B3625" s="1" t="s">
        <v>13492</v>
      </c>
      <c r="C3625" s="1" t="s">
        <v>13493</v>
      </c>
      <c r="D3625" s="1" t="s">
        <v>6072</v>
      </c>
      <c r="E3625" s="1" t="s">
        <v>6072</v>
      </c>
      <c r="F3625" s="1" t="s">
        <v>13494</v>
      </c>
      <c r="G3625" s="1" t="s">
        <v>13495</v>
      </c>
      <c r="H3625" s="2" t="str">
        <f>Tabella1[[#This Row],[Denominazione]]&amp;" - "&amp;Tabella1[[#This Row],[Città]]</f>
        <v>FORESTERIA COMUNALE - SAN GINESIO</v>
      </c>
    </row>
    <row r="3626" spans="1:8" x14ac:dyDescent="0.25">
      <c r="A3626" s="1" t="s">
        <v>186</v>
      </c>
      <c r="B3626" s="1" t="s">
        <v>18718</v>
      </c>
      <c r="C3626" s="1" t="s">
        <v>18719</v>
      </c>
      <c r="D3626" s="1" t="s">
        <v>18702</v>
      </c>
      <c r="G3626" s="1" t="s">
        <v>18720</v>
      </c>
      <c r="H3626" s="2" t="str">
        <f>Tabella1[[#This Row],[Denominazione]]&amp;" - "&amp;Tabella1[[#This Row],[Città]]</f>
        <v>FORESTERIA DEL VIANDANTE - MONTELPARO</v>
      </c>
    </row>
    <row r="3627" spans="1:8" x14ac:dyDescent="0.25">
      <c r="A3627" s="1" t="s">
        <v>82</v>
      </c>
      <c r="B3627" s="1" t="s">
        <v>12200</v>
      </c>
      <c r="C3627" s="1" t="s">
        <v>12201</v>
      </c>
      <c r="D3627" s="1" t="s">
        <v>12050</v>
      </c>
      <c r="E3627" s="1" t="s">
        <v>12050</v>
      </c>
      <c r="G3627" s="1" t="s">
        <v>8361</v>
      </c>
      <c r="H3627" s="2" t="str">
        <f>Tabella1[[#This Row],[Denominazione]]&amp;" - "&amp;Tabella1[[#This Row],[Città]]</f>
        <v>FORESTERIA OPERA ARTE - MACERATA</v>
      </c>
    </row>
    <row r="3628" spans="1:8" x14ac:dyDescent="0.25">
      <c r="A3628" s="1" t="s">
        <v>190</v>
      </c>
      <c r="B3628" s="1" t="s">
        <v>12074</v>
      </c>
      <c r="C3628" s="1" t="s">
        <v>12075</v>
      </c>
      <c r="D3628" s="1" t="s">
        <v>12050</v>
      </c>
      <c r="E3628" s="1" t="s">
        <v>12050</v>
      </c>
      <c r="G3628" s="1" t="s">
        <v>12076</v>
      </c>
      <c r="H3628" s="2" t="str">
        <f>Tabella1[[#This Row],[Denominazione]]&amp;" - "&amp;Tabella1[[#This Row],[Città]]</f>
        <v>FORESTERIA ROMA 1 interno 14 - MACERATA</v>
      </c>
    </row>
    <row r="3629" spans="1:8" x14ac:dyDescent="0.25">
      <c r="A3629" s="1" t="s">
        <v>29</v>
      </c>
      <c r="B3629" s="1" t="s">
        <v>15061</v>
      </c>
      <c r="C3629" s="1" t="s">
        <v>15062</v>
      </c>
      <c r="D3629" s="1" t="s">
        <v>14576</v>
      </c>
      <c r="E3629" s="1" t="s">
        <v>14576</v>
      </c>
      <c r="H3629" s="2" t="str">
        <f>Tabella1[[#This Row],[Denominazione]]&amp;" - "&amp;Tabella1[[#This Row],[Città]]</f>
        <v>FORMAGIU NINA - ASCOLI PICENO</v>
      </c>
    </row>
    <row r="3630" spans="1:8" x14ac:dyDescent="0.25">
      <c r="A3630" s="1" t="s">
        <v>35</v>
      </c>
      <c r="B3630" s="1" t="s">
        <v>10659</v>
      </c>
      <c r="C3630" s="1" t="s">
        <v>10660</v>
      </c>
      <c r="D3630" s="1" t="s">
        <v>10654</v>
      </c>
      <c r="E3630" s="1" t="s">
        <v>10654</v>
      </c>
      <c r="F3630" s="1" t="s">
        <v>10661</v>
      </c>
      <c r="G3630" s="1" t="s">
        <v>10662</v>
      </c>
      <c r="H3630" s="2" t="str">
        <f>Tabella1[[#This Row],[Denominazione]]&amp;" - "&amp;Tabella1[[#This Row],[Città]]</f>
        <v>FORNACI SABINE - BELFORTE DEL CHIENTI</v>
      </c>
    </row>
    <row r="3631" spans="1:8" x14ac:dyDescent="0.25">
      <c r="A3631" s="1" t="s">
        <v>12</v>
      </c>
      <c r="B3631" s="1" t="s">
        <v>1914</v>
      </c>
      <c r="C3631" s="1" t="s">
        <v>1915</v>
      </c>
      <c r="D3631" s="1" t="s">
        <v>1907</v>
      </c>
      <c r="G3631" s="1" t="s">
        <v>1916</v>
      </c>
      <c r="H3631" s="2" t="str">
        <f>Tabella1[[#This Row],[Denominazione]]&amp;" - "&amp;Tabella1[[#This Row],[Città]]</f>
        <v>FORONCHI ELVIRA - GABICCE MARE</v>
      </c>
    </row>
    <row r="3632" spans="1:8" x14ac:dyDescent="0.25">
      <c r="A3632" s="1" t="s">
        <v>12</v>
      </c>
      <c r="B3632" s="1" t="s">
        <v>1912</v>
      </c>
      <c r="C3632" s="1" t="s">
        <v>1913</v>
      </c>
      <c r="D3632" s="1" t="s">
        <v>1907</v>
      </c>
      <c r="H3632" s="2" t="str">
        <f>Tabella1[[#This Row],[Denominazione]]&amp;" - "&amp;Tabella1[[#This Row],[Città]]</f>
        <v>FORONCHI GIUSEPPE - GABICCE MARE</v>
      </c>
    </row>
    <row r="3633" spans="1:8" x14ac:dyDescent="0.25">
      <c r="A3633" s="1" t="s">
        <v>20</v>
      </c>
      <c r="B3633" s="1" t="s">
        <v>5627</v>
      </c>
      <c r="C3633" s="1" t="s">
        <v>5628</v>
      </c>
      <c r="D3633" s="1" t="s">
        <v>1864</v>
      </c>
      <c r="E3633" s="1" t="s">
        <v>5629</v>
      </c>
      <c r="F3633" s="1" t="s">
        <v>5630</v>
      </c>
      <c r="G3633" s="1" t="s">
        <v>5631</v>
      </c>
      <c r="H3633" s="2" t="str">
        <f>Tabella1[[#This Row],[Denominazione]]&amp;" - "&amp;Tabella1[[#This Row],[Città]]</f>
        <v>FORTINO NAPOLEONICO - ANCONA</v>
      </c>
    </row>
    <row r="3634" spans="1:8" x14ac:dyDescent="0.25">
      <c r="A3634" s="1" t="s">
        <v>20</v>
      </c>
      <c r="B3634" s="1" t="s">
        <v>5605</v>
      </c>
      <c r="C3634" s="1" t="s">
        <v>5606</v>
      </c>
      <c r="D3634" s="1" t="s">
        <v>1864</v>
      </c>
      <c r="E3634" s="1" t="s">
        <v>1864</v>
      </c>
      <c r="F3634" s="1" t="s">
        <v>5607</v>
      </c>
      <c r="G3634" s="1" t="s">
        <v>5608</v>
      </c>
      <c r="H3634" s="2" t="str">
        <f>Tabella1[[#This Row],[Denominazione]]&amp;" - "&amp;Tabella1[[#This Row],[Città]]</f>
        <v>FORTUNA - ANCONA</v>
      </c>
    </row>
    <row r="3635" spans="1:8" x14ac:dyDescent="0.25">
      <c r="A3635" s="1" t="s">
        <v>35</v>
      </c>
      <c r="B3635" s="1" t="s">
        <v>15342</v>
      </c>
      <c r="C3635" s="1" t="s">
        <v>15343</v>
      </c>
      <c r="D3635" s="1" t="s">
        <v>15282</v>
      </c>
      <c r="E3635" s="1" t="s">
        <v>15344</v>
      </c>
      <c r="F3635" s="1" t="s">
        <v>15345</v>
      </c>
      <c r="G3635" s="1" t="s">
        <v>15346</v>
      </c>
      <c r="H3635" s="2" t="str">
        <f>Tabella1[[#This Row],[Denominazione]]&amp;" - "&amp;Tabella1[[#This Row],[Città]]</f>
        <v>FORTUNA VERDE - COSSIGNANO</v>
      </c>
    </row>
    <row r="3636" spans="1:8" x14ac:dyDescent="0.25">
      <c r="A3636" s="1" t="s">
        <v>12</v>
      </c>
      <c r="B3636" s="1" t="s">
        <v>13416</v>
      </c>
      <c r="C3636" s="1" t="s">
        <v>13417</v>
      </c>
      <c r="D3636" s="1" t="s">
        <v>13298</v>
      </c>
      <c r="E3636" s="1" t="s">
        <v>13298</v>
      </c>
      <c r="G3636" s="1" t="s">
        <v>13418</v>
      </c>
      <c r="H3636" s="2" t="str">
        <f>Tabella1[[#This Row],[Denominazione]]&amp;" - "&amp;Tabella1[[#This Row],[Città]]</f>
        <v>FOSCHI CARLO - RECANATI</v>
      </c>
    </row>
    <row r="3637" spans="1:8" x14ac:dyDescent="0.25">
      <c r="A3637" s="1" t="s">
        <v>12</v>
      </c>
      <c r="B3637" s="1" t="s">
        <v>9172</v>
      </c>
      <c r="C3637" s="1" t="s">
        <v>9173</v>
      </c>
      <c r="D3637" s="1" t="s">
        <v>8949</v>
      </c>
      <c r="E3637" s="1" t="s">
        <v>8949</v>
      </c>
      <c r="G3637" s="1" t="s">
        <v>9037</v>
      </c>
      <c r="H3637" s="2" t="str">
        <f>Tabella1[[#This Row],[Denominazione]]&amp;" - "&amp;Tabella1[[#This Row],[Città]]</f>
        <v>FOSCI ANTONIO - SENIGALLIA</v>
      </c>
    </row>
    <row r="3638" spans="1:8" x14ac:dyDescent="0.25">
      <c r="A3638" s="1" t="s">
        <v>82</v>
      </c>
      <c r="B3638" s="1" t="s">
        <v>13236</v>
      </c>
      <c r="C3638" s="1" t="s">
        <v>13237</v>
      </c>
      <c r="D3638" s="1" t="s">
        <v>13026</v>
      </c>
      <c r="E3638" s="1" t="s">
        <v>13026</v>
      </c>
      <c r="G3638" s="1" t="s">
        <v>13238</v>
      </c>
      <c r="H3638" s="2" t="str">
        <f>Tabella1[[#This Row],[Denominazione]]&amp;" - "&amp;Tabella1[[#This Row],[Città]]</f>
        <v>FRAL DI BROCCOLO LAMBERTO E C. SNC - POTENZA PICENA</v>
      </c>
    </row>
    <row r="3639" spans="1:8" x14ac:dyDescent="0.25">
      <c r="A3639" s="1" t="s">
        <v>12</v>
      </c>
      <c r="B3639" s="1" t="s">
        <v>3556</v>
      </c>
      <c r="C3639" s="1" t="s">
        <v>3557</v>
      </c>
      <c r="D3639" s="1" t="s">
        <v>2386</v>
      </c>
      <c r="E3639" s="1" t="s">
        <v>2386</v>
      </c>
      <c r="G3639" s="1" t="s">
        <v>3555</v>
      </c>
      <c r="H3639" s="2" t="str">
        <f>Tabella1[[#This Row],[Denominazione]]&amp;" - "&amp;Tabella1[[#This Row],[Città]]</f>
        <v>FRANCA ETTORE - PESARO</v>
      </c>
    </row>
    <row r="3640" spans="1:8" x14ac:dyDescent="0.25">
      <c r="A3640" s="1" t="s">
        <v>12</v>
      </c>
      <c r="B3640" s="1" t="s">
        <v>3552</v>
      </c>
      <c r="C3640" s="1" t="s">
        <v>3553</v>
      </c>
      <c r="D3640" s="1" t="s">
        <v>2386</v>
      </c>
      <c r="E3640" s="1" t="s">
        <v>3554</v>
      </c>
      <c r="G3640" s="1" t="s">
        <v>3555</v>
      </c>
      <c r="H3640" s="2" t="str">
        <f>Tabella1[[#This Row],[Denominazione]]&amp;" - "&amp;Tabella1[[#This Row],[Città]]</f>
        <v>FRANCA GIACOMO - PESARO</v>
      </c>
    </row>
    <row r="3641" spans="1:8" x14ac:dyDescent="0.25">
      <c r="A3641" s="1" t="s">
        <v>12</v>
      </c>
      <c r="B3641" s="1" t="s">
        <v>6243</v>
      </c>
      <c r="C3641" s="1" t="s">
        <v>6244</v>
      </c>
      <c r="D3641" s="1" t="s">
        <v>6049</v>
      </c>
      <c r="E3641" s="1" t="s">
        <v>6134</v>
      </c>
      <c r="G3641" s="1" t="s">
        <v>6245</v>
      </c>
      <c r="H3641" s="2" t="str">
        <f>Tabella1[[#This Row],[Denominazione]]&amp;" - "&amp;Tabella1[[#This Row],[Città]]</f>
        <v>FRANCESCO PIERAGOSTINI - ARCEVIA</v>
      </c>
    </row>
    <row r="3642" spans="1:8" x14ac:dyDescent="0.25">
      <c r="A3642" s="1" t="s">
        <v>12</v>
      </c>
      <c r="B3642" s="1" t="s">
        <v>2876</v>
      </c>
      <c r="C3642" s="1" t="s">
        <v>2877</v>
      </c>
      <c r="D3642" s="1" t="s">
        <v>1605</v>
      </c>
      <c r="E3642" s="1" t="s">
        <v>1605</v>
      </c>
      <c r="H3642" s="2" t="str">
        <f>Tabella1[[#This Row],[Denominazione]]&amp;" - "&amp;Tabella1[[#This Row],[Città]]</f>
        <v>FRANCESCONI CARLA - MONDOLFO</v>
      </c>
    </row>
    <row r="3643" spans="1:8" x14ac:dyDescent="0.25">
      <c r="A3643" s="1" t="s">
        <v>12</v>
      </c>
      <c r="B3643" s="1" t="s">
        <v>2515</v>
      </c>
      <c r="C3643" s="1" t="s">
        <v>2516</v>
      </c>
      <c r="D3643" s="1" t="s">
        <v>2425</v>
      </c>
      <c r="E3643" s="1" t="s">
        <v>2425</v>
      </c>
      <c r="G3643" s="1" t="s">
        <v>2517</v>
      </c>
      <c r="H3643" s="2" t="str">
        <f>Tabella1[[#This Row],[Denominazione]]&amp;" - "&amp;Tabella1[[#This Row],[Città]]</f>
        <v>FRANCHINI FEDERICA - GRADARA</v>
      </c>
    </row>
    <row r="3644" spans="1:8" x14ac:dyDescent="0.25">
      <c r="A3644" s="1" t="s">
        <v>6</v>
      </c>
      <c r="B3644" s="1" t="s">
        <v>3412</v>
      </c>
      <c r="C3644" s="1" t="s">
        <v>3413</v>
      </c>
      <c r="D3644" s="1" t="s">
        <v>3305</v>
      </c>
      <c r="H3644" s="2" t="str">
        <f>Tabella1[[#This Row],[Denominazione]]&amp;" - "&amp;Tabella1[[#This Row],[Città]]</f>
        <v>FRANCO CASTELLANO - PERGOLA</v>
      </c>
    </row>
    <row r="3645" spans="1:8" x14ac:dyDescent="0.25">
      <c r="A3645" s="1" t="s">
        <v>12</v>
      </c>
      <c r="B3645" s="1" t="s">
        <v>1528</v>
      </c>
      <c r="D3645" s="1" t="s">
        <v>682</v>
      </c>
      <c r="G3645" s="1" t="s">
        <v>1529</v>
      </c>
      <c r="H3645" s="2" t="str">
        <f>Tabella1[[#This Row],[Denominazione]]&amp;" - "&amp;Tabella1[[#This Row],[Città]]</f>
        <v>FRANCOLINI MARINELLI RITA - FANO</v>
      </c>
    </row>
    <row r="3646" spans="1:8" x14ac:dyDescent="0.25">
      <c r="A3646" s="1" t="s">
        <v>35</v>
      </c>
      <c r="B3646" s="1" t="s">
        <v>18063</v>
      </c>
      <c r="C3646" s="1" t="s">
        <v>18064</v>
      </c>
      <c r="D3646" s="1" t="s">
        <v>17932</v>
      </c>
      <c r="E3646" s="1" t="s">
        <v>17932</v>
      </c>
      <c r="H3646" s="2" t="str">
        <f>Tabella1[[#This Row],[Denominazione]]&amp;" - "&amp;Tabella1[[#This Row],[Città]]</f>
        <v>FRATEL CONVENTUAL - FERMO</v>
      </c>
    </row>
    <row r="3647" spans="1:8" x14ac:dyDescent="0.25">
      <c r="A3647" s="1" t="s">
        <v>35</v>
      </c>
      <c r="B3647" s="1" t="s">
        <v>3210</v>
      </c>
      <c r="C3647" s="1" t="s">
        <v>3211</v>
      </c>
      <c r="D3647" s="1" t="s">
        <v>3182</v>
      </c>
      <c r="E3647" s="1" t="s">
        <v>3182</v>
      </c>
      <c r="G3647" s="1" t="s">
        <v>3212</v>
      </c>
      <c r="H3647" s="2" t="str">
        <f>Tabella1[[#This Row],[Denominazione]]&amp;" - "&amp;Tabella1[[#This Row],[Città]]</f>
        <v>FRATICELLI MASSIMO - MONTEMAGGIORE AL METAURO</v>
      </c>
    </row>
    <row r="3648" spans="1:8" x14ac:dyDescent="0.25">
      <c r="A3648" s="1" t="s">
        <v>35</v>
      </c>
      <c r="B3648" s="1" t="s">
        <v>3405</v>
      </c>
      <c r="C3648" s="1" t="s">
        <v>3406</v>
      </c>
      <c r="D3648" s="1" t="s">
        <v>3305</v>
      </c>
      <c r="E3648" s="1" t="s">
        <v>3407</v>
      </c>
      <c r="F3648" s="1" t="s">
        <v>3408</v>
      </c>
      <c r="G3648" s="1" t="s">
        <v>3409</v>
      </c>
      <c r="H3648" s="2" t="str">
        <f>Tabella1[[#This Row],[Denominazione]]&amp;" - "&amp;Tabella1[[#This Row],[Città]]</f>
        <v>FRATTABELLA - PERGOLA</v>
      </c>
    </row>
    <row r="3649" spans="1:8" x14ac:dyDescent="0.25">
      <c r="A3649" s="1" t="s">
        <v>679</v>
      </c>
      <c r="B3649" s="1" t="s">
        <v>7770</v>
      </c>
      <c r="C3649" s="1" t="s">
        <v>7771</v>
      </c>
      <c r="D3649" s="1" t="s">
        <v>7718</v>
      </c>
      <c r="E3649" s="1" t="s">
        <v>7748</v>
      </c>
      <c r="H3649" s="2" t="str">
        <f>Tabella1[[#This Row],[Denominazione]]&amp;" - "&amp;Tabella1[[#This Row],[Città]]</f>
        <v>FRONTEMARE - MONTEMARCIANO</v>
      </c>
    </row>
    <row r="3650" spans="1:8" x14ac:dyDescent="0.25">
      <c r="A3650" s="1" t="s">
        <v>88</v>
      </c>
      <c r="B3650" s="1" t="s">
        <v>19308</v>
      </c>
      <c r="D3650" s="1" t="s">
        <v>19283</v>
      </c>
      <c r="G3650" s="1" t="s">
        <v>19309</v>
      </c>
      <c r="H3650" s="2" t="str">
        <f>Tabella1[[#This Row],[Denominazione]]&amp;" - "&amp;Tabella1[[#This Row],[Città]]</f>
        <v>FRONTEMARE PARKING - PORTO SANT'ELPIDIO</v>
      </c>
    </row>
    <row r="3651" spans="1:8" x14ac:dyDescent="0.25">
      <c r="A3651" s="1" t="s">
        <v>82</v>
      </c>
      <c r="B3651" s="1" t="s">
        <v>8365</v>
      </c>
      <c r="C3651" s="1" t="s">
        <v>8366</v>
      </c>
      <c r="D3651" s="1" t="s">
        <v>7889</v>
      </c>
      <c r="E3651" s="1" t="s">
        <v>7889</v>
      </c>
      <c r="G3651" s="1" t="s">
        <v>8367</v>
      </c>
      <c r="H3651" s="2" t="str">
        <f>Tabella1[[#This Row],[Denominazione]]&amp;" - "&amp;Tabella1[[#This Row],[Città]]</f>
        <v>FUED IMMOBILIARE SRL APP.TI NUMANA - NUMANA</v>
      </c>
    </row>
    <row r="3652" spans="1:8" x14ac:dyDescent="0.25">
      <c r="A3652" s="1" t="s">
        <v>82</v>
      </c>
      <c r="B3652" s="1" t="s">
        <v>10439</v>
      </c>
      <c r="C3652" s="1" t="s">
        <v>10440</v>
      </c>
      <c r="D3652" s="1" t="s">
        <v>10206</v>
      </c>
      <c r="E3652" s="1" t="s">
        <v>10206</v>
      </c>
      <c r="G3652" s="1" t="s">
        <v>8367</v>
      </c>
      <c r="H3652" s="2" t="str">
        <f>Tabella1[[#This Row],[Denominazione]]&amp;" - "&amp;Tabella1[[#This Row],[Città]]</f>
        <v>FUED IMMOBILIARE SRL APP.TI SIROLO - SIROLO</v>
      </c>
    </row>
    <row r="3653" spans="1:8" x14ac:dyDescent="0.25">
      <c r="A3653" s="1" t="s">
        <v>20</v>
      </c>
      <c r="B3653" s="1" t="s">
        <v>2151</v>
      </c>
      <c r="C3653" s="1" t="s">
        <v>2152</v>
      </c>
      <c r="D3653" s="1" t="s">
        <v>1907</v>
      </c>
      <c r="E3653" s="1" t="s">
        <v>1907</v>
      </c>
      <c r="F3653" s="1" t="s">
        <v>2153</v>
      </c>
      <c r="G3653" s="1" t="s">
        <v>2154</v>
      </c>
      <c r="H3653" s="2" t="str">
        <f>Tabella1[[#This Row],[Denominazione]]&amp;" - "&amp;Tabella1[[#This Row],[Città]]</f>
        <v>FULVIA - GABICCE MARE</v>
      </c>
    </row>
    <row r="3654" spans="1:8" x14ac:dyDescent="0.25">
      <c r="A3654" s="1" t="s">
        <v>29</v>
      </c>
      <c r="B3654" s="1" t="s">
        <v>6339</v>
      </c>
      <c r="C3654" s="1" t="s">
        <v>6340</v>
      </c>
      <c r="D3654" s="1" t="s">
        <v>6290</v>
      </c>
      <c r="E3654" s="1" t="s">
        <v>6290</v>
      </c>
      <c r="G3654" s="1" t="s">
        <v>6341</v>
      </c>
      <c r="H3654" s="2" t="str">
        <f>Tabella1[[#This Row],[Denominazione]]&amp;" - "&amp;Tabella1[[#This Row],[Città]]</f>
        <v>FUORI DI PORTA - CAMERANO</v>
      </c>
    </row>
    <row r="3655" spans="1:8" x14ac:dyDescent="0.25">
      <c r="A3655" s="1" t="s">
        <v>12</v>
      </c>
      <c r="B3655" s="1" t="s">
        <v>3127</v>
      </c>
      <c r="C3655" s="1" t="s">
        <v>3128</v>
      </c>
      <c r="D3655" s="1" t="s">
        <v>3100</v>
      </c>
      <c r="G3655" s="1" t="s">
        <v>853</v>
      </c>
      <c r="H3655" s="2" t="str">
        <f>Tabella1[[#This Row],[Denominazione]]&amp;" - "&amp;Tabella1[[#This Row],[Città]]</f>
        <v>FURIASSI LUIZA - MONTEFELCINO</v>
      </c>
    </row>
    <row r="3656" spans="1:8" x14ac:dyDescent="0.25">
      <c r="A3656" s="1" t="s">
        <v>12</v>
      </c>
      <c r="B3656" s="1" t="s">
        <v>926</v>
      </c>
      <c r="C3656" s="1" t="s">
        <v>927</v>
      </c>
      <c r="D3656" s="1" t="s">
        <v>682</v>
      </c>
      <c r="E3656" s="1" t="s">
        <v>682</v>
      </c>
      <c r="G3656" s="1" t="s">
        <v>928</v>
      </c>
      <c r="H3656" s="2" t="str">
        <f>Tabella1[[#This Row],[Denominazione]]&amp;" - "&amp;Tabella1[[#This Row],[Città]]</f>
        <v>FURLANI MAGDA - FANO</v>
      </c>
    </row>
    <row r="3657" spans="1:8" x14ac:dyDescent="0.25">
      <c r="A3657" s="1" t="s">
        <v>20</v>
      </c>
      <c r="B3657" s="1" t="s">
        <v>8486</v>
      </c>
      <c r="C3657" s="1" t="s">
        <v>8487</v>
      </c>
      <c r="D3657" s="1" t="s">
        <v>8454</v>
      </c>
      <c r="E3657" s="1" t="s">
        <v>8454</v>
      </c>
      <c r="F3657" s="1" t="s">
        <v>8488</v>
      </c>
      <c r="G3657" s="1" t="s">
        <v>8489</v>
      </c>
      <c r="H3657" s="2" t="str">
        <f>Tabella1[[#This Row],[Denominazione]]&amp;" - "&amp;Tabella1[[#This Row],[Città]]</f>
        <v>G HOTEL - OSIMO</v>
      </c>
    </row>
    <row r="3658" spans="1:8" x14ac:dyDescent="0.25">
      <c r="A3658" s="1" t="s">
        <v>12</v>
      </c>
      <c r="B3658" s="1" t="s">
        <v>5560</v>
      </c>
      <c r="C3658" s="1" t="s">
        <v>5561</v>
      </c>
      <c r="D3658" s="1" t="s">
        <v>1864</v>
      </c>
      <c r="E3658" s="1" t="s">
        <v>1864</v>
      </c>
      <c r="G3658" s="1" t="s">
        <v>5562</v>
      </c>
      <c r="H3658" s="2" t="str">
        <f>Tabella1[[#This Row],[Denominazione]]&amp;" - "&amp;Tabella1[[#This Row],[Città]]</f>
        <v>G. &amp; D. APPARTAMENTO AD USO TURISTICO - ANCONA</v>
      </c>
    </row>
    <row r="3659" spans="1:8" x14ac:dyDescent="0.25">
      <c r="A3659" s="1" t="s">
        <v>20</v>
      </c>
      <c r="B3659" s="1" t="s">
        <v>9501</v>
      </c>
      <c r="C3659" s="1" t="s">
        <v>9502</v>
      </c>
      <c r="D3659" s="1" t="s">
        <v>8949</v>
      </c>
      <c r="E3659" s="1" t="s">
        <v>8949</v>
      </c>
      <c r="F3659" s="1" t="s">
        <v>9503</v>
      </c>
      <c r="G3659" s="1" t="s">
        <v>9504</v>
      </c>
      <c r="H3659" s="2" t="str">
        <f>Tabella1[[#This Row],[Denominazione]]&amp;" - "&amp;Tabella1[[#This Row],[Città]]</f>
        <v>GABBIANO - SENIGALLIA</v>
      </c>
    </row>
    <row r="3660" spans="1:8" x14ac:dyDescent="0.25">
      <c r="A3660" s="1" t="s">
        <v>20</v>
      </c>
      <c r="B3660" s="1" t="s">
        <v>9501</v>
      </c>
      <c r="C3660" s="1" t="s">
        <v>11568</v>
      </c>
      <c r="D3660" s="1" t="s">
        <v>11244</v>
      </c>
      <c r="E3660" s="1" t="s">
        <v>11244</v>
      </c>
      <c r="G3660" s="1" t="s">
        <v>11569</v>
      </c>
      <c r="H3660" s="2" t="str">
        <f>Tabella1[[#This Row],[Denominazione]]&amp;" - "&amp;Tabella1[[#This Row],[Città]]</f>
        <v>GABBIANO - CIVITANOVA MARCHE</v>
      </c>
    </row>
    <row r="3661" spans="1:8" x14ac:dyDescent="0.25">
      <c r="A3661" s="1" t="s">
        <v>679</v>
      </c>
      <c r="B3661" s="1" t="s">
        <v>9501</v>
      </c>
      <c r="C3661" s="1" t="s">
        <v>15377</v>
      </c>
      <c r="D3661" s="1" t="s">
        <v>15349</v>
      </c>
      <c r="E3661" s="1" t="s">
        <v>15378</v>
      </c>
      <c r="G3661" s="1" t="s">
        <v>15379</v>
      </c>
      <c r="H3661" s="2" t="str">
        <f>Tabella1[[#This Row],[Denominazione]]&amp;" - "&amp;Tabella1[[#This Row],[Città]]</f>
        <v>GABBIANO - CUPRA MARITTIMA</v>
      </c>
    </row>
    <row r="3662" spans="1:8" x14ac:dyDescent="0.25">
      <c r="A3662" s="1" t="s">
        <v>20</v>
      </c>
      <c r="B3662" s="1" t="s">
        <v>2155</v>
      </c>
      <c r="C3662" s="1" t="s">
        <v>2156</v>
      </c>
      <c r="D3662" s="1" t="s">
        <v>1907</v>
      </c>
      <c r="E3662" s="1" t="s">
        <v>1907</v>
      </c>
      <c r="F3662" s="1" t="s">
        <v>2157</v>
      </c>
      <c r="G3662" s="1" t="s">
        <v>2158</v>
      </c>
      <c r="H3662" s="2" t="str">
        <f>Tabella1[[#This Row],[Denominazione]]&amp;" - "&amp;Tabella1[[#This Row],[Città]]</f>
        <v>GABICCE - GABICCE MARE</v>
      </c>
    </row>
    <row r="3663" spans="1:8" x14ac:dyDescent="0.25">
      <c r="A3663" s="1" t="s">
        <v>679</v>
      </c>
      <c r="B3663" s="1" t="s">
        <v>15428</v>
      </c>
      <c r="C3663" s="1" t="s">
        <v>15429</v>
      </c>
      <c r="D3663" s="1" t="s">
        <v>15349</v>
      </c>
      <c r="E3663" s="1" t="s">
        <v>15349</v>
      </c>
      <c r="H3663" s="2" t="str">
        <f>Tabella1[[#This Row],[Denominazione]]&amp;" - "&amp;Tabella1[[#This Row],[Città]]</f>
        <v>GABRY - CUPRA MARITTIMA</v>
      </c>
    </row>
    <row r="3664" spans="1:8" x14ac:dyDescent="0.25">
      <c r="A3664" s="1" t="s">
        <v>12</v>
      </c>
      <c r="B3664" s="1" t="s">
        <v>1579</v>
      </c>
      <c r="C3664" s="1" t="s">
        <v>1580</v>
      </c>
      <c r="D3664" s="1" t="s">
        <v>682</v>
      </c>
      <c r="G3664" s="1" t="s">
        <v>1581</v>
      </c>
      <c r="H3664" s="2" t="str">
        <f>Tabella1[[#This Row],[Denominazione]]&amp;" - "&amp;Tabella1[[#This Row],[Città]]</f>
        <v>GAGLIARDINI LUISELLA - FANO</v>
      </c>
    </row>
    <row r="3665" spans="1:8" x14ac:dyDescent="0.25">
      <c r="A3665" s="1" t="s">
        <v>403</v>
      </c>
      <c r="B3665" s="1" t="s">
        <v>17062</v>
      </c>
      <c r="D3665" s="1" t="s">
        <v>15819</v>
      </c>
      <c r="F3665" s="1" t="s">
        <v>17063</v>
      </c>
      <c r="G3665" s="1" t="s">
        <v>17064</v>
      </c>
      <c r="H3665" s="2" t="str">
        <f>Tabella1[[#This Row],[Denominazione]]&amp;" - "&amp;Tabella1[[#This Row],[Città]]</f>
        <v>GALILEO RESIDENCE - SAN BENEDETTO DEL TRONTO</v>
      </c>
    </row>
    <row r="3666" spans="1:8" x14ac:dyDescent="0.25">
      <c r="A3666" s="1" t="s">
        <v>12</v>
      </c>
      <c r="B3666" s="1" t="s">
        <v>9228</v>
      </c>
      <c r="C3666" s="1" t="s">
        <v>9229</v>
      </c>
      <c r="D3666" s="1" t="s">
        <v>8949</v>
      </c>
      <c r="E3666" s="1" t="s">
        <v>8949</v>
      </c>
      <c r="G3666" s="1" t="s">
        <v>9230</v>
      </c>
      <c r="H3666" s="2" t="str">
        <f>Tabella1[[#This Row],[Denominazione]]&amp;" - "&amp;Tabella1[[#This Row],[Città]]</f>
        <v>GALIMBERTI ILARIA - SENIGALLIA</v>
      </c>
    </row>
    <row r="3667" spans="1:8" x14ac:dyDescent="0.25">
      <c r="A3667" s="1" t="s">
        <v>20</v>
      </c>
      <c r="B3667" s="1" t="s">
        <v>13301</v>
      </c>
      <c r="C3667" s="1" t="s">
        <v>13302</v>
      </c>
      <c r="D3667" s="1" t="s">
        <v>13298</v>
      </c>
      <c r="E3667" s="1" t="s">
        <v>13298</v>
      </c>
      <c r="F3667" s="1" t="s">
        <v>13303</v>
      </c>
      <c r="G3667" s="1" t="s">
        <v>13304</v>
      </c>
      <c r="H3667" s="2" t="str">
        <f>Tabella1[[#This Row],[Denominazione]]&amp;" - "&amp;Tabella1[[#This Row],[Città]]</f>
        <v>GALLERY HOTEL RECANATI - RECANATI</v>
      </c>
    </row>
    <row r="3668" spans="1:8" x14ac:dyDescent="0.25">
      <c r="A3668" s="1" t="s">
        <v>12</v>
      </c>
      <c r="B3668" s="1" t="s">
        <v>9186</v>
      </c>
      <c r="C3668" s="1" t="s">
        <v>9187</v>
      </c>
      <c r="D3668" s="1" t="s">
        <v>8949</v>
      </c>
      <c r="E3668" s="1" t="s">
        <v>8949</v>
      </c>
      <c r="G3668" s="1" t="s">
        <v>9188</v>
      </c>
      <c r="H3668" s="2" t="str">
        <f>Tabella1[[#This Row],[Denominazione]]&amp;" - "&amp;Tabella1[[#This Row],[Città]]</f>
        <v>GALLI GIANCARLO - SENIGALLIA</v>
      </c>
    </row>
    <row r="3669" spans="1:8" x14ac:dyDescent="0.25">
      <c r="A3669" s="1" t="s">
        <v>12</v>
      </c>
      <c r="B3669" s="1" t="s">
        <v>1933</v>
      </c>
      <c r="C3669" s="1" t="s">
        <v>1934</v>
      </c>
      <c r="D3669" s="1" t="s">
        <v>1907</v>
      </c>
      <c r="H3669" s="2" t="str">
        <f>Tabella1[[#This Row],[Denominazione]]&amp;" - "&amp;Tabella1[[#This Row],[Città]]</f>
        <v>GALLI MARIA PIA, FILIPPINI MARIA - GABICCE MARE</v>
      </c>
    </row>
    <row r="3670" spans="1:8" x14ac:dyDescent="0.25">
      <c r="A3670" s="1" t="s">
        <v>82</v>
      </c>
      <c r="B3670" s="1" t="s">
        <v>7151</v>
      </c>
      <c r="C3670" s="1" t="s">
        <v>7152</v>
      </c>
      <c r="D3670" s="1" t="s">
        <v>5735</v>
      </c>
      <c r="G3670" s="1" t="s">
        <v>7150</v>
      </c>
      <c r="H3670" s="2" t="str">
        <f>Tabella1[[#This Row],[Denominazione]]&amp;" - "&amp;Tabella1[[#This Row],[Città]]</f>
        <v>GAMBELLI - VIA ALFIERI - FALCONARA MARITTIMA</v>
      </c>
    </row>
    <row r="3671" spans="1:8" x14ac:dyDescent="0.25">
      <c r="A3671" s="1" t="s">
        <v>82</v>
      </c>
      <c r="B3671" s="1" t="s">
        <v>7148</v>
      </c>
      <c r="C3671" s="1" t="s">
        <v>7149</v>
      </c>
      <c r="D3671" s="1" t="s">
        <v>5735</v>
      </c>
      <c r="G3671" s="1" t="s">
        <v>7150</v>
      </c>
      <c r="H3671" s="2" t="str">
        <f>Tabella1[[#This Row],[Denominazione]]&amp;" - "&amp;Tabella1[[#This Row],[Città]]</f>
        <v>GAMBELLI - VIA TASSO - FALCONARA MARITTIMA</v>
      </c>
    </row>
    <row r="3672" spans="1:8" x14ac:dyDescent="0.25">
      <c r="A3672" s="1" t="s">
        <v>12</v>
      </c>
      <c r="B3672" s="1" t="s">
        <v>13077</v>
      </c>
      <c r="C3672" s="1" t="s">
        <v>13078</v>
      </c>
      <c r="D3672" s="1" t="s">
        <v>13026</v>
      </c>
      <c r="E3672" s="1" t="s">
        <v>13026</v>
      </c>
      <c r="H3672" s="2" t="str">
        <f>Tabella1[[#This Row],[Denominazione]]&amp;" - "&amp;Tabella1[[#This Row],[Città]]</f>
        <v>GANDOLFI CARLO - POTENZA PICENA</v>
      </c>
    </row>
    <row r="3673" spans="1:8" x14ac:dyDescent="0.25">
      <c r="A3673" s="1" t="s">
        <v>20</v>
      </c>
      <c r="B3673" s="1" t="s">
        <v>2159</v>
      </c>
      <c r="C3673" s="1" t="s">
        <v>2160</v>
      </c>
      <c r="D3673" s="1" t="s">
        <v>1907</v>
      </c>
      <c r="E3673" s="1" t="s">
        <v>1907</v>
      </c>
      <c r="F3673" s="1" t="s">
        <v>2161</v>
      </c>
      <c r="G3673" s="1" t="s">
        <v>2162</v>
      </c>
      <c r="H3673" s="2" t="str">
        <f>Tabella1[[#This Row],[Denominazione]]&amp;" - "&amp;Tabella1[[#This Row],[Città]]</f>
        <v>GARDEN - GABICCE MARE</v>
      </c>
    </row>
    <row r="3674" spans="1:8" x14ac:dyDescent="0.25">
      <c r="A3674" s="1" t="s">
        <v>20</v>
      </c>
      <c r="B3674" s="1" t="s">
        <v>2159</v>
      </c>
      <c r="C3674" s="1" t="s">
        <v>2926</v>
      </c>
      <c r="D3674" s="1" t="s">
        <v>1605</v>
      </c>
      <c r="E3674" s="1" t="s">
        <v>1605</v>
      </c>
      <c r="F3674" s="1" t="s">
        <v>2927</v>
      </c>
      <c r="G3674" s="1" t="s">
        <v>2928</v>
      </c>
      <c r="H3674" s="2" t="str">
        <f>Tabella1[[#This Row],[Denominazione]]&amp;" - "&amp;Tabella1[[#This Row],[Città]]</f>
        <v>GARDEN - MONDOLFO</v>
      </c>
    </row>
    <row r="3675" spans="1:8" x14ac:dyDescent="0.25">
      <c r="A3675" s="1" t="s">
        <v>20</v>
      </c>
      <c r="B3675" s="1" t="s">
        <v>2159</v>
      </c>
      <c r="C3675" s="1" t="s">
        <v>17501</v>
      </c>
      <c r="D3675" s="1" t="s">
        <v>15819</v>
      </c>
      <c r="E3675" s="1" t="s">
        <v>15819</v>
      </c>
      <c r="F3675" s="1" t="s">
        <v>17502</v>
      </c>
      <c r="G3675" s="1" t="s">
        <v>17503</v>
      </c>
      <c r="H3675" s="2" t="str">
        <f>Tabella1[[#This Row],[Denominazione]]&amp;" - "&amp;Tabella1[[#This Row],[Città]]</f>
        <v>GARDEN - SAN BENEDETTO DEL TRONTO</v>
      </c>
    </row>
    <row r="3676" spans="1:8" x14ac:dyDescent="0.25">
      <c r="A3676" s="1" t="s">
        <v>20</v>
      </c>
      <c r="B3676" s="1" t="s">
        <v>2159</v>
      </c>
      <c r="C3676" s="1" t="s">
        <v>19154</v>
      </c>
      <c r="D3676" s="1" t="s">
        <v>18082</v>
      </c>
      <c r="E3676" s="1" t="s">
        <v>18082</v>
      </c>
      <c r="F3676" s="1" t="s">
        <v>19155</v>
      </c>
      <c r="G3676" s="1" t="s">
        <v>19156</v>
      </c>
      <c r="H3676" s="2" t="str">
        <f>Tabella1[[#This Row],[Denominazione]]&amp;" - "&amp;Tabella1[[#This Row],[Città]]</f>
        <v>GARDEN - PORTO SAN GIORGIO</v>
      </c>
    </row>
    <row r="3677" spans="1:8" x14ac:dyDescent="0.25">
      <c r="A3677" s="1" t="s">
        <v>571</v>
      </c>
      <c r="B3677" s="1" t="s">
        <v>17701</v>
      </c>
      <c r="C3677" s="1" t="s">
        <v>17702</v>
      </c>
      <c r="D3677" s="1" t="s">
        <v>17703</v>
      </c>
      <c r="E3677" s="1" t="s">
        <v>985</v>
      </c>
      <c r="F3677" s="1" t="s">
        <v>17704</v>
      </c>
      <c r="G3677" s="1" t="s">
        <v>17705</v>
      </c>
      <c r="H3677" s="2" t="str">
        <f>Tabella1[[#This Row],[Denominazione]]&amp;" - "&amp;Tabella1[[#This Row],[Città]]</f>
        <v>GARDEN RIVER - ALTIDONA</v>
      </c>
    </row>
    <row r="3678" spans="1:8" x14ac:dyDescent="0.25">
      <c r="A3678" s="1" t="s">
        <v>12</v>
      </c>
      <c r="B3678" s="1" t="s">
        <v>1470</v>
      </c>
      <c r="C3678" s="1" t="s">
        <v>1471</v>
      </c>
      <c r="D3678" s="1" t="s">
        <v>682</v>
      </c>
      <c r="H3678" s="2" t="str">
        <f>Tabella1[[#This Row],[Denominazione]]&amp;" - "&amp;Tabella1[[#This Row],[Città]]</f>
        <v>GASPARINI TARCISIO - FANO</v>
      </c>
    </row>
    <row r="3679" spans="1:8" x14ac:dyDescent="0.25">
      <c r="A3679" s="1" t="s">
        <v>12</v>
      </c>
      <c r="B3679" s="1" t="s">
        <v>1577</v>
      </c>
      <c r="C3679" s="1" t="s">
        <v>1578</v>
      </c>
      <c r="D3679" s="1" t="s">
        <v>682</v>
      </c>
      <c r="E3679" s="1" t="s">
        <v>682</v>
      </c>
      <c r="G3679" s="1" t="s">
        <v>697</v>
      </c>
      <c r="H3679" s="2" t="str">
        <f>Tabella1[[#This Row],[Denominazione]]&amp;" - "&amp;Tabella1[[#This Row],[Città]]</f>
        <v>GASPARONI LUIGI APP.TO VIA DE GASPERI 16 - FANO</v>
      </c>
    </row>
    <row r="3680" spans="1:8" x14ac:dyDescent="0.25">
      <c r="A3680" s="1" t="s">
        <v>12</v>
      </c>
      <c r="B3680" s="1" t="s">
        <v>695</v>
      </c>
      <c r="C3680" s="1" t="s">
        <v>696</v>
      </c>
      <c r="D3680" s="1" t="s">
        <v>682</v>
      </c>
      <c r="E3680" s="1" t="s">
        <v>682</v>
      </c>
      <c r="G3680" s="1" t="s">
        <v>697</v>
      </c>
      <c r="H3680" s="2" t="str">
        <f>Tabella1[[#This Row],[Denominazione]]&amp;" - "&amp;Tabella1[[#This Row],[Città]]</f>
        <v>GASPARONI LUIGI APP.TO VIA DE GASPERI 18 - FANO</v>
      </c>
    </row>
    <row r="3681" spans="1:8" x14ac:dyDescent="0.25">
      <c r="A3681" s="1" t="s">
        <v>12</v>
      </c>
      <c r="B3681" s="1" t="s">
        <v>1575</v>
      </c>
      <c r="C3681" s="1" t="s">
        <v>1576</v>
      </c>
      <c r="D3681" s="1" t="s">
        <v>682</v>
      </c>
      <c r="E3681" s="1" t="s">
        <v>682</v>
      </c>
      <c r="G3681" s="1" t="s">
        <v>697</v>
      </c>
      <c r="H3681" s="2" t="str">
        <f>Tabella1[[#This Row],[Denominazione]]&amp;" - "&amp;Tabella1[[#This Row],[Città]]</f>
        <v>GASPARONI LUIGI APP.TO VIA DE GASPERI 22 - FANO</v>
      </c>
    </row>
    <row r="3682" spans="1:8" x14ac:dyDescent="0.25">
      <c r="A3682" s="1" t="s">
        <v>12</v>
      </c>
      <c r="B3682" s="1" t="s">
        <v>9098</v>
      </c>
      <c r="C3682" s="1" t="s">
        <v>9099</v>
      </c>
      <c r="D3682" s="1" t="s">
        <v>8949</v>
      </c>
      <c r="E3682" s="1" t="s">
        <v>8949</v>
      </c>
      <c r="G3682" s="1" t="s">
        <v>9037</v>
      </c>
      <c r="H3682" s="2" t="str">
        <f>Tabella1[[#This Row],[Denominazione]]&amp;" - "&amp;Tabella1[[#This Row],[Città]]</f>
        <v>GASPERINI DONATELLA - SENIGALLIA</v>
      </c>
    </row>
    <row r="3683" spans="1:8" x14ac:dyDescent="0.25">
      <c r="A3683" s="1" t="s">
        <v>12</v>
      </c>
      <c r="B3683" s="1" t="s">
        <v>3562</v>
      </c>
      <c r="C3683" s="1" t="s">
        <v>3563</v>
      </c>
      <c r="D3683" s="1" t="s">
        <v>2386</v>
      </c>
      <c r="E3683" s="1" t="s">
        <v>2386</v>
      </c>
      <c r="G3683" s="1" t="s">
        <v>3564</v>
      </c>
      <c r="H3683" s="2" t="str">
        <f>Tabella1[[#This Row],[Denominazione]]&amp;" - "&amp;Tabella1[[#This Row],[Città]]</f>
        <v>GATTONI GABRIELE - PESARO</v>
      </c>
    </row>
    <row r="3684" spans="1:8" x14ac:dyDescent="0.25">
      <c r="A3684" s="1" t="s">
        <v>12</v>
      </c>
      <c r="B3684" s="1" t="s">
        <v>2036</v>
      </c>
      <c r="C3684" s="1" t="s">
        <v>2037</v>
      </c>
      <c r="D3684" s="1" t="s">
        <v>1907</v>
      </c>
      <c r="H3684" s="2" t="str">
        <f>Tabella1[[#This Row],[Denominazione]]&amp;" - "&amp;Tabella1[[#This Row],[Città]]</f>
        <v>GAUDENZI ANNA MARIA - GABICCE MARE</v>
      </c>
    </row>
    <row r="3685" spans="1:8" x14ac:dyDescent="0.25">
      <c r="A3685" s="1" t="s">
        <v>12</v>
      </c>
      <c r="B3685" s="1" t="s">
        <v>2035</v>
      </c>
      <c r="C3685" s="1" t="s">
        <v>1932</v>
      </c>
      <c r="D3685" s="1" t="s">
        <v>1907</v>
      </c>
      <c r="H3685" s="2" t="str">
        <f>Tabella1[[#This Row],[Denominazione]]&amp;" - "&amp;Tabella1[[#This Row],[Città]]</f>
        <v>GAUDENZI IVANA - GABICCE MARE</v>
      </c>
    </row>
    <row r="3686" spans="1:8" x14ac:dyDescent="0.25">
      <c r="A3686" s="1" t="s">
        <v>12</v>
      </c>
      <c r="B3686" s="1" t="s">
        <v>2006</v>
      </c>
      <c r="C3686" s="1" t="s">
        <v>1995</v>
      </c>
      <c r="D3686" s="1" t="s">
        <v>1907</v>
      </c>
      <c r="H3686" s="2" t="str">
        <f>Tabella1[[#This Row],[Denominazione]]&amp;" - "&amp;Tabella1[[#This Row],[Città]]</f>
        <v>GAUDENZI LUCIANO - GABICCE MARE</v>
      </c>
    </row>
    <row r="3687" spans="1:8" x14ac:dyDescent="0.25">
      <c r="A3687" s="1" t="s">
        <v>12</v>
      </c>
      <c r="B3687" s="1" t="s">
        <v>2004</v>
      </c>
      <c r="C3687" s="1" t="s">
        <v>2005</v>
      </c>
      <c r="D3687" s="1" t="s">
        <v>1907</v>
      </c>
      <c r="H3687" s="2" t="str">
        <f>Tabella1[[#This Row],[Denominazione]]&amp;" - "&amp;Tabella1[[#This Row],[Città]]</f>
        <v>GAUDENZI MARCO - GABICCE MARE</v>
      </c>
    </row>
    <row r="3688" spans="1:8" x14ac:dyDescent="0.25">
      <c r="A3688" s="1" t="s">
        <v>12</v>
      </c>
      <c r="B3688" s="1" t="s">
        <v>2016</v>
      </c>
      <c r="C3688" s="1" t="s">
        <v>1932</v>
      </c>
      <c r="D3688" s="1" t="s">
        <v>1907</v>
      </c>
      <c r="H3688" s="2" t="str">
        <f>Tabella1[[#This Row],[Denominazione]]&amp;" - "&amp;Tabella1[[#This Row],[Città]]</f>
        <v>GAUDENZI MARIA LUISA - GABICCE MARE</v>
      </c>
    </row>
    <row r="3689" spans="1:8" x14ac:dyDescent="0.25">
      <c r="A3689" s="1" t="s">
        <v>12</v>
      </c>
      <c r="B3689" s="1" t="s">
        <v>1927</v>
      </c>
      <c r="C3689" s="1" t="s">
        <v>1928</v>
      </c>
      <c r="D3689" s="1" t="s">
        <v>1907</v>
      </c>
      <c r="H3689" s="2" t="str">
        <f>Tabella1[[#This Row],[Denominazione]]&amp;" - "&amp;Tabella1[[#This Row],[Città]]</f>
        <v>GAUDENZI VENERINA - GABICCE MARE</v>
      </c>
    </row>
    <row r="3690" spans="1:8" x14ac:dyDescent="0.25">
      <c r="A3690" s="1" t="s">
        <v>20</v>
      </c>
      <c r="B3690" s="1" t="s">
        <v>6949</v>
      </c>
      <c r="C3690" s="1" t="s">
        <v>6950</v>
      </c>
      <c r="D3690" s="1" t="s">
        <v>6790</v>
      </c>
      <c r="E3690" s="1" t="s">
        <v>6790</v>
      </c>
      <c r="F3690" s="1" t="s">
        <v>6951</v>
      </c>
      <c r="G3690" s="1" t="s">
        <v>6952</v>
      </c>
      <c r="H3690" s="2" t="str">
        <f>Tabella1[[#This Row],[Denominazione]]&amp;" - "&amp;Tabella1[[#This Row],[Città]]</f>
        <v>GENTILE DA FABRIANO - FABRIANO</v>
      </c>
    </row>
    <row r="3691" spans="1:8" x14ac:dyDescent="0.25">
      <c r="A3691" s="1" t="s">
        <v>12</v>
      </c>
      <c r="B3691" s="1" t="s">
        <v>2518</v>
      </c>
      <c r="C3691" s="1" t="s">
        <v>2519</v>
      </c>
      <c r="D3691" s="1" t="s">
        <v>2425</v>
      </c>
      <c r="E3691" s="1" t="s">
        <v>2425</v>
      </c>
      <c r="G3691" s="1" t="s">
        <v>2520</v>
      </c>
      <c r="H3691" s="2" t="str">
        <f>Tabella1[[#This Row],[Denominazione]]&amp;" - "&amp;Tabella1[[#This Row],[Città]]</f>
        <v>GERBONI ROMEO - GRADARA</v>
      </c>
    </row>
    <row r="3692" spans="1:8" x14ac:dyDescent="0.25">
      <c r="A3692" s="1" t="s">
        <v>12</v>
      </c>
      <c r="B3692" s="1" t="s">
        <v>17795</v>
      </c>
      <c r="C3692" s="1" t="s">
        <v>17796</v>
      </c>
      <c r="D3692" s="1" t="s">
        <v>17745</v>
      </c>
      <c r="G3692" s="1" t="s">
        <v>17797</v>
      </c>
      <c r="H3692" s="2" t="str">
        <f>Tabella1[[#This Row],[Denominazione]]&amp;" - "&amp;Tabella1[[#This Row],[Città]]</f>
        <v>GERIG ROBERT ANTHONY - AMANDOLA</v>
      </c>
    </row>
    <row r="3693" spans="1:8" x14ac:dyDescent="0.25">
      <c r="A3693" s="1" t="s">
        <v>12</v>
      </c>
      <c r="B3693" s="1" t="s">
        <v>7234</v>
      </c>
      <c r="C3693" s="1" t="s">
        <v>7235</v>
      </c>
      <c r="D3693" s="1" t="s">
        <v>7200</v>
      </c>
      <c r="E3693" s="1" t="s">
        <v>7236</v>
      </c>
      <c r="G3693" s="1" t="s">
        <v>7237</v>
      </c>
      <c r="H3693" s="2" t="str">
        <f>Tabella1[[#This Row],[Denominazione]]&amp;" - "&amp;Tabella1[[#This Row],[Città]]</f>
        <v>GHIANDA - GENGA</v>
      </c>
    </row>
    <row r="3694" spans="1:8" x14ac:dyDescent="0.25">
      <c r="A3694" s="1" t="s">
        <v>20</v>
      </c>
      <c r="B3694" s="1" t="s">
        <v>104</v>
      </c>
      <c r="C3694" s="1" t="s">
        <v>105</v>
      </c>
      <c r="D3694" s="1" t="s">
        <v>102</v>
      </c>
      <c r="G3694" s="1" t="s">
        <v>106</v>
      </c>
      <c r="H3694" s="2" t="str">
        <f>Tabella1[[#This Row],[Denominazione]]&amp;" - "&amp;Tabella1[[#This Row],[Città]]</f>
        <v>GHIGHETTA - APECCHIO</v>
      </c>
    </row>
    <row r="3695" spans="1:8" x14ac:dyDescent="0.25">
      <c r="A3695" s="1" t="s">
        <v>12</v>
      </c>
      <c r="B3695" s="1" t="s">
        <v>2044</v>
      </c>
      <c r="C3695" s="1" t="s">
        <v>2045</v>
      </c>
      <c r="D3695" s="1" t="s">
        <v>1907</v>
      </c>
      <c r="H3695" s="2" t="str">
        <f>Tabella1[[#This Row],[Denominazione]]&amp;" - "&amp;Tabella1[[#This Row],[Città]]</f>
        <v>GIAGNOLINI GIOVANNI - GABICCE MARE</v>
      </c>
    </row>
    <row r="3696" spans="1:8" x14ac:dyDescent="0.25">
      <c r="A3696" s="1" t="s">
        <v>679</v>
      </c>
      <c r="B3696" s="1" t="s">
        <v>9988</v>
      </c>
      <c r="C3696" s="1" t="s">
        <v>9845</v>
      </c>
      <c r="D3696" s="1" t="s">
        <v>8949</v>
      </c>
      <c r="E3696" s="1" t="s">
        <v>8949</v>
      </c>
      <c r="G3696" s="1" t="s">
        <v>9989</v>
      </c>
      <c r="H3696" s="2" t="str">
        <f>Tabella1[[#This Row],[Denominazione]]&amp;" - "&amp;Tabella1[[#This Row],[Città]]</f>
        <v>GIALLO SOLE S.A.S di MANCINI SIMONE &amp; C. - BAGNI N° 40 - SENIGALLIA</v>
      </c>
    </row>
    <row r="3697" spans="1:8" x14ac:dyDescent="0.25">
      <c r="A3697" s="1" t="s">
        <v>679</v>
      </c>
      <c r="B3697" s="1" t="s">
        <v>13290</v>
      </c>
      <c r="D3697" s="1" t="s">
        <v>13026</v>
      </c>
      <c r="E3697" s="1" t="s">
        <v>13105</v>
      </c>
      <c r="H3697" s="2" t="str">
        <f>Tabella1[[#This Row],[Denominazione]]&amp;" - "&amp;Tabella1[[#This Row],[Città]]</f>
        <v>GIAMIRMA - POTENZA PICENA</v>
      </c>
    </row>
    <row r="3698" spans="1:8" x14ac:dyDescent="0.25">
      <c r="A3698" s="1" t="s">
        <v>12</v>
      </c>
      <c r="B3698" s="1" t="s">
        <v>10106</v>
      </c>
      <c r="C3698" s="1" t="s">
        <v>10107</v>
      </c>
      <c r="D3698" s="1" t="s">
        <v>10074</v>
      </c>
      <c r="G3698" s="1" t="s">
        <v>10108</v>
      </c>
      <c r="H3698" s="2" t="str">
        <f>Tabella1[[#This Row],[Denominazione]]&amp;" - "&amp;Tabella1[[#This Row],[Città]]</f>
        <v>GIANCAMILLI LINO - SERRA DE' CONTI</v>
      </c>
    </row>
    <row r="3699" spans="1:8" x14ac:dyDescent="0.25">
      <c r="A3699" s="1" t="s">
        <v>679</v>
      </c>
      <c r="B3699" s="1" t="s">
        <v>11645</v>
      </c>
      <c r="C3699" s="1" t="s">
        <v>11646</v>
      </c>
      <c r="D3699" s="1" t="s">
        <v>11244</v>
      </c>
      <c r="E3699" s="1" t="s">
        <v>11244</v>
      </c>
      <c r="H3699" s="2" t="str">
        <f>Tabella1[[#This Row],[Denominazione]]&amp;" - "&amp;Tabella1[[#This Row],[Città]]</f>
        <v>GIANFRANCO - CIVITANOVA MARCHE</v>
      </c>
    </row>
    <row r="3700" spans="1:8" x14ac:dyDescent="0.25">
      <c r="A3700" s="1" t="s">
        <v>12</v>
      </c>
      <c r="B3700" s="1" t="s">
        <v>13103</v>
      </c>
      <c r="C3700" s="1" t="s">
        <v>13104</v>
      </c>
      <c r="D3700" s="1" t="s">
        <v>13026</v>
      </c>
      <c r="E3700" s="1" t="s">
        <v>13105</v>
      </c>
      <c r="H3700" s="2" t="str">
        <f>Tabella1[[#This Row],[Denominazione]]&amp;" - "&amp;Tabella1[[#This Row],[Città]]</f>
        <v>GIANNINI ENZO - POTENZA PICENA</v>
      </c>
    </row>
    <row r="3701" spans="1:8" x14ac:dyDescent="0.25">
      <c r="A3701" s="1" t="s">
        <v>20</v>
      </c>
      <c r="B3701" s="1" t="s">
        <v>12825</v>
      </c>
      <c r="C3701" s="1" t="s">
        <v>12826</v>
      </c>
      <c r="D3701" s="1" t="s">
        <v>12801</v>
      </c>
      <c r="E3701" s="1" t="s">
        <v>12801</v>
      </c>
      <c r="F3701" s="1" t="s">
        <v>12827</v>
      </c>
      <c r="G3701" s="1" t="s">
        <v>12828</v>
      </c>
      <c r="H3701" s="2" t="str">
        <f>Tabella1[[#This Row],[Denominazione]]&amp;" - "&amp;Tabella1[[#This Row],[Città]]</f>
        <v>GIANNINO - PORTO RECANATI</v>
      </c>
    </row>
    <row r="3702" spans="1:8" x14ac:dyDescent="0.25">
      <c r="A3702" s="1" t="s">
        <v>679</v>
      </c>
      <c r="B3702" s="1" t="s">
        <v>7105</v>
      </c>
      <c r="C3702" s="1" t="s">
        <v>7106</v>
      </c>
      <c r="D3702" s="1" t="s">
        <v>5735</v>
      </c>
      <c r="E3702" s="1" t="s">
        <v>5735</v>
      </c>
      <c r="F3702" s="1" t="s">
        <v>7107</v>
      </c>
      <c r="G3702" s="1" t="s">
        <v>7108</v>
      </c>
      <c r="H3702" s="2" t="str">
        <f>Tabella1[[#This Row],[Denominazione]]&amp;" - "&amp;Tabella1[[#This Row],[Città]]</f>
        <v>GIEMME BAR' S Bagni 18 - FALCONARA MARITTIMA</v>
      </c>
    </row>
    <row r="3703" spans="1:8" x14ac:dyDescent="0.25">
      <c r="A3703" s="1" t="s">
        <v>679</v>
      </c>
      <c r="B3703" s="1" t="s">
        <v>11655</v>
      </c>
      <c r="C3703" s="1" t="s">
        <v>11656</v>
      </c>
      <c r="D3703" s="1" t="s">
        <v>11244</v>
      </c>
      <c r="E3703" s="1" t="s">
        <v>11244</v>
      </c>
      <c r="H3703" s="2" t="str">
        <f>Tabella1[[#This Row],[Denominazione]]&amp;" - "&amp;Tabella1[[#This Row],[Città]]</f>
        <v>GIGETTA - CIVITANOVA MARCHE</v>
      </c>
    </row>
    <row r="3704" spans="1:8" x14ac:dyDescent="0.25">
      <c r="A3704" s="1" t="s">
        <v>20</v>
      </c>
      <c r="B3704" s="1" t="s">
        <v>19364</v>
      </c>
      <c r="C3704" s="1" t="s">
        <v>19365</v>
      </c>
      <c r="D3704" s="1" t="s">
        <v>19283</v>
      </c>
      <c r="E3704" s="1" t="s">
        <v>19363</v>
      </c>
      <c r="F3704" s="1" t="s">
        <v>19366</v>
      </c>
      <c r="G3704" s="1" t="s">
        <v>19367</v>
      </c>
      <c r="H3704" s="2" t="str">
        <f>Tabella1[[#This Row],[Denominazione]]&amp;" - "&amp;Tabella1[[#This Row],[Città]]</f>
        <v>GILDA MUSIC HOTEL - PORTO SANT'ELPIDIO</v>
      </c>
    </row>
    <row r="3705" spans="1:8" x14ac:dyDescent="0.25">
      <c r="A3705" s="1" t="s">
        <v>679</v>
      </c>
      <c r="B3705" s="1" t="s">
        <v>15944</v>
      </c>
      <c r="D3705" s="1" t="s">
        <v>15585</v>
      </c>
      <c r="F3705" s="1" t="s">
        <v>15720</v>
      </c>
      <c r="G3705" s="1" t="s">
        <v>15721</v>
      </c>
      <c r="H3705" s="2" t="str">
        <f>Tabella1[[#This Row],[Denominazione]]&amp;" - "&amp;Tabella1[[#This Row],[Città]]</f>
        <v>GIN'G BEACH - GROTTAMMARE</v>
      </c>
    </row>
    <row r="3706" spans="1:8" x14ac:dyDescent="0.25">
      <c r="A3706" s="1" t="s">
        <v>20</v>
      </c>
      <c r="B3706" s="1" t="s">
        <v>5624</v>
      </c>
      <c r="C3706" s="1" t="s">
        <v>5625</v>
      </c>
      <c r="D3706" s="1" t="s">
        <v>1864</v>
      </c>
      <c r="E3706" s="1" t="s">
        <v>1864</v>
      </c>
      <c r="G3706" s="1" t="s">
        <v>5626</v>
      </c>
      <c r="H3706" s="2" t="str">
        <f>Tabella1[[#This Row],[Denominazione]]&amp;" - "&amp;Tabella1[[#This Row],[Città]]</f>
        <v>GINO - ANCONA</v>
      </c>
    </row>
    <row r="3707" spans="1:8" x14ac:dyDescent="0.25">
      <c r="A3707" s="1" t="s">
        <v>20</v>
      </c>
      <c r="B3707" s="1" t="s">
        <v>17595</v>
      </c>
      <c r="C3707" s="1" t="s">
        <v>17596</v>
      </c>
      <c r="D3707" s="1" t="s">
        <v>15819</v>
      </c>
      <c r="E3707" s="1" t="s">
        <v>15819</v>
      </c>
      <c r="F3707" s="1" t="s">
        <v>17597</v>
      </c>
      <c r="G3707" s="1" t="s">
        <v>17598</v>
      </c>
      <c r="H3707" s="2" t="str">
        <f>Tabella1[[#This Row],[Denominazione]]&amp;" - "&amp;Tabella1[[#This Row],[Città]]</f>
        <v>GIOIA - SAN BENEDETTO DEL TRONTO</v>
      </c>
    </row>
    <row r="3708" spans="1:8" x14ac:dyDescent="0.25">
      <c r="A3708" s="1" t="s">
        <v>679</v>
      </c>
      <c r="B3708" s="1" t="s">
        <v>12847</v>
      </c>
      <c r="D3708" s="1" t="s">
        <v>12801</v>
      </c>
      <c r="H3708" s="2" t="str">
        <f>Tabella1[[#This Row],[Denominazione]]&amp;" - "&amp;Tabella1[[#This Row],[Città]]</f>
        <v>GIOIA DI PUGLIA - PORTO RECANATI</v>
      </c>
    </row>
    <row r="3709" spans="1:8" x14ac:dyDescent="0.25">
      <c r="A3709" s="1" t="s">
        <v>12</v>
      </c>
      <c r="B3709" s="1" t="s">
        <v>3596</v>
      </c>
      <c r="C3709" s="1" t="s">
        <v>3597</v>
      </c>
      <c r="D3709" s="1" t="s">
        <v>2386</v>
      </c>
      <c r="E3709" s="1" t="s">
        <v>2386</v>
      </c>
      <c r="H3709" s="2" t="str">
        <f>Tabella1[[#This Row],[Denominazione]]&amp;" - "&amp;Tabella1[[#This Row],[Città]]</f>
        <v>GIOMMI OSCAR - PESARO</v>
      </c>
    </row>
    <row r="3710" spans="1:8" x14ac:dyDescent="0.25">
      <c r="A3710" s="1" t="s">
        <v>12</v>
      </c>
      <c r="B3710" s="1" t="s">
        <v>1488</v>
      </c>
      <c r="C3710" s="1" t="s">
        <v>1489</v>
      </c>
      <c r="D3710" s="1" t="s">
        <v>682</v>
      </c>
      <c r="H3710" s="2" t="str">
        <f>Tabella1[[#This Row],[Denominazione]]&amp;" - "&amp;Tabella1[[#This Row],[Città]]</f>
        <v>GIORGI MARA - FANO</v>
      </c>
    </row>
    <row r="3711" spans="1:8" x14ac:dyDescent="0.25">
      <c r="A3711" s="1" t="s">
        <v>12</v>
      </c>
      <c r="B3711" s="1" t="s">
        <v>2800</v>
      </c>
      <c r="C3711" s="1" t="s">
        <v>2801</v>
      </c>
      <c r="D3711" s="1" t="s">
        <v>1605</v>
      </c>
      <c r="G3711" s="1" t="s">
        <v>2802</v>
      </c>
      <c r="H3711" s="2" t="str">
        <f>Tabella1[[#This Row],[Denominazione]]&amp;" - "&amp;Tabella1[[#This Row],[Città]]</f>
        <v>GIORGIA SORCI SIMONI - MONDOLFO</v>
      </c>
    </row>
    <row r="3712" spans="1:8" x14ac:dyDescent="0.25">
      <c r="A3712" s="1" t="s">
        <v>12</v>
      </c>
      <c r="B3712" s="1" t="s">
        <v>16570</v>
      </c>
      <c r="C3712" s="1" t="s">
        <v>16571</v>
      </c>
      <c r="D3712" s="1" t="s">
        <v>16440</v>
      </c>
      <c r="E3712" s="1" t="s">
        <v>16440</v>
      </c>
      <c r="H3712" s="2" t="str">
        <f>Tabella1[[#This Row],[Denominazione]]&amp;" - "&amp;Tabella1[[#This Row],[Città]]</f>
        <v>GIOSTRA LUISA - OFFIDA</v>
      </c>
    </row>
    <row r="3713" spans="1:8" x14ac:dyDescent="0.25">
      <c r="A3713" s="1" t="s">
        <v>679</v>
      </c>
      <c r="B3713" s="1" t="s">
        <v>15402</v>
      </c>
      <c r="C3713" s="1" t="s">
        <v>15403</v>
      </c>
      <c r="D3713" s="1" t="s">
        <v>15349</v>
      </c>
      <c r="E3713" s="1" t="s">
        <v>15349</v>
      </c>
      <c r="F3713" s="1" t="s">
        <v>15404</v>
      </c>
      <c r="H3713" s="2" t="str">
        <f>Tabella1[[#This Row],[Denominazione]]&amp;" - "&amp;Tabella1[[#This Row],[Città]]</f>
        <v>GIOSUE' ALDO  CONC. N. 15B - CUPRA MARITTIMA</v>
      </c>
    </row>
    <row r="3714" spans="1:8" x14ac:dyDescent="0.25">
      <c r="A3714" s="1" t="s">
        <v>679</v>
      </c>
      <c r="B3714" s="1" t="s">
        <v>15405</v>
      </c>
      <c r="C3714" s="1" t="s">
        <v>15406</v>
      </c>
      <c r="D3714" s="1" t="s">
        <v>15349</v>
      </c>
      <c r="E3714" s="1" t="s">
        <v>15349</v>
      </c>
      <c r="F3714" s="1" t="s">
        <v>15404</v>
      </c>
      <c r="H3714" s="2" t="str">
        <f>Tabella1[[#This Row],[Denominazione]]&amp;" - "&amp;Tabella1[[#This Row],[Città]]</f>
        <v>GIOSUE' ALDO CONC. N. 17 - CUPRA MARITTIMA</v>
      </c>
    </row>
    <row r="3715" spans="1:8" x14ac:dyDescent="0.25">
      <c r="A3715" s="1" t="s">
        <v>679</v>
      </c>
      <c r="B3715" s="1" t="s">
        <v>15412</v>
      </c>
      <c r="C3715" s="1" t="s">
        <v>15406</v>
      </c>
      <c r="D3715" s="1" t="s">
        <v>15349</v>
      </c>
      <c r="E3715" s="1" t="s">
        <v>15349</v>
      </c>
      <c r="F3715" s="1" t="s">
        <v>15404</v>
      </c>
      <c r="H3715" s="2" t="str">
        <f>Tabella1[[#This Row],[Denominazione]]&amp;" - "&amp;Tabella1[[#This Row],[Città]]</f>
        <v>GIOSUE' DORIANA CONC. N. 19 - CUPRA MARITTIMA</v>
      </c>
    </row>
    <row r="3716" spans="1:8" x14ac:dyDescent="0.25">
      <c r="A3716" s="1" t="s">
        <v>679</v>
      </c>
      <c r="B3716" s="1" t="s">
        <v>15527</v>
      </c>
      <c r="C3716" s="1" t="s">
        <v>15528</v>
      </c>
      <c r="D3716" s="1" t="s">
        <v>15349</v>
      </c>
      <c r="E3716" s="1" t="s">
        <v>15349</v>
      </c>
      <c r="F3716" s="1" t="s">
        <v>15404</v>
      </c>
      <c r="H3716" s="2" t="str">
        <f>Tabella1[[#This Row],[Denominazione]]&amp;" - "&amp;Tabella1[[#This Row],[Città]]</f>
        <v>GIOUSE' ALDO CONC. N. 20 - CUPRA MARITTIMA</v>
      </c>
    </row>
    <row r="3717" spans="1:8" x14ac:dyDescent="0.25">
      <c r="A3717" s="1" t="s">
        <v>20</v>
      </c>
      <c r="B3717" s="1" t="s">
        <v>2163</v>
      </c>
      <c r="C3717" s="1" t="s">
        <v>2164</v>
      </c>
      <c r="D3717" s="1" t="s">
        <v>1907</v>
      </c>
      <c r="E3717" s="1" t="s">
        <v>1907</v>
      </c>
      <c r="F3717" s="1" t="s">
        <v>2165</v>
      </c>
      <c r="G3717" s="1" t="s">
        <v>2166</v>
      </c>
      <c r="H3717" s="2" t="str">
        <f>Tabella1[[#This Row],[Denominazione]]&amp;" - "&amp;Tabella1[[#This Row],[Città]]</f>
        <v>GIOVANNA REGINA - GABICCE MARE</v>
      </c>
    </row>
    <row r="3718" spans="1:8" x14ac:dyDescent="0.25">
      <c r="A3718" s="1" t="s">
        <v>679</v>
      </c>
      <c r="B3718" s="1" t="s">
        <v>12845</v>
      </c>
      <c r="D3718" s="1" t="s">
        <v>12801</v>
      </c>
      <c r="E3718" s="1" t="s">
        <v>12801</v>
      </c>
      <c r="H3718" s="2" t="str">
        <f>Tabella1[[#This Row],[Denominazione]]&amp;" - "&amp;Tabella1[[#This Row],[Città]]</f>
        <v>GIOVANNI - PORTO RECANATI</v>
      </c>
    </row>
    <row r="3719" spans="1:8" x14ac:dyDescent="0.25">
      <c r="A3719" s="1" t="s">
        <v>679</v>
      </c>
      <c r="B3719" s="1" t="s">
        <v>11619</v>
      </c>
      <c r="C3719" s="1" t="s">
        <v>11620</v>
      </c>
      <c r="D3719" s="1" t="s">
        <v>11244</v>
      </c>
      <c r="E3719" s="1" t="s">
        <v>11244</v>
      </c>
      <c r="F3719" s="1" t="s">
        <v>11621</v>
      </c>
      <c r="G3719" s="1" t="s">
        <v>11622</v>
      </c>
      <c r="H3719" s="2" t="str">
        <f>Tabella1[[#This Row],[Denominazione]]&amp;" - "&amp;Tabella1[[#This Row],[Città]]</f>
        <v>GIOVANNI &amp; ANNA - CIVITANOVA MARCHE</v>
      </c>
    </row>
    <row r="3720" spans="1:8" x14ac:dyDescent="0.25">
      <c r="A3720" s="1" t="s">
        <v>679</v>
      </c>
      <c r="B3720" s="1" t="s">
        <v>10019</v>
      </c>
      <c r="C3720" s="1" t="s">
        <v>9845</v>
      </c>
      <c r="D3720" s="1" t="s">
        <v>8949</v>
      </c>
      <c r="E3720" s="1" t="s">
        <v>8949</v>
      </c>
      <c r="H3720" s="2" t="str">
        <f>Tabella1[[#This Row],[Denominazione]]&amp;" - "&amp;Tabella1[[#This Row],[Città]]</f>
        <v>GIOVANNI e OLGA - BAGNI N° 11 - SENIGALLIA</v>
      </c>
    </row>
    <row r="3721" spans="1:8" x14ac:dyDescent="0.25">
      <c r="A3721" s="1" t="s">
        <v>12</v>
      </c>
      <c r="B3721" s="1" t="s">
        <v>7563</v>
      </c>
      <c r="D3721" s="1" t="s">
        <v>7385</v>
      </c>
      <c r="H3721" s="2" t="str">
        <f>Tabella1[[#This Row],[Denominazione]]&amp;" - "&amp;Tabella1[[#This Row],[Città]]</f>
        <v>GIOVANNI PAPA - LORETO</v>
      </c>
    </row>
    <row r="3722" spans="1:8" x14ac:dyDescent="0.25">
      <c r="A3722" s="1" t="s">
        <v>35</v>
      </c>
      <c r="B3722" s="1" t="s">
        <v>4205</v>
      </c>
      <c r="C3722" s="1" t="s">
        <v>4206</v>
      </c>
      <c r="D3722" s="1" t="s">
        <v>4175</v>
      </c>
      <c r="E3722" s="1" t="s">
        <v>4175</v>
      </c>
      <c r="G3722" s="1" t="s">
        <v>4207</v>
      </c>
      <c r="H3722" s="2" t="str">
        <f>Tabella1[[#This Row],[Denominazione]]&amp;" - "&amp;Tabella1[[#This Row],[Città]]</f>
        <v>GIOVANNI XVII - PIOBBICO</v>
      </c>
    </row>
    <row r="3723" spans="1:8" x14ac:dyDescent="0.25">
      <c r="A3723" s="1" t="s">
        <v>20</v>
      </c>
      <c r="B3723" s="1" t="s">
        <v>11541</v>
      </c>
      <c r="C3723" s="1" t="s">
        <v>11542</v>
      </c>
      <c r="D3723" s="1" t="s">
        <v>11244</v>
      </c>
      <c r="E3723" s="1" t="s">
        <v>11244</v>
      </c>
      <c r="F3723" s="1" t="s">
        <v>11543</v>
      </c>
      <c r="G3723" s="1" t="s">
        <v>11544</v>
      </c>
      <c r="H3723" s="2" t="str">
        <f>Tabella1[[#This Row],[Denominazione]]&amp;" - "&amp;Tabella1[[#This Row],[Città]]</f>
        <v>GIRASOLE - CIVITANOVA MARCHE</v>
      </c>
    </row>
    <row r="3724" spans="1:8" x14ac:dyDescent="0.25">
      <c r="A3724" s="1" t="s">
        <v>20</v>
      </c>
      <c r="B3724" s="1" t="s">
        <v>11541</v>
      </c>
      <c r="C3724" s="1" t="s">
        <v>17507</v>
      </c>
      <c r="D3724" s="1" t="s">
        <v>15819</v>
      </c>
      <c r="E3724" s="1" t="s">
        <v>15819</v>
      </c>
      <c r="F3724" s="1" t="s">
        <v>17508</v>
      </c>
      <c r="G3724" s="1" t="s">
        <v>17509</v>
      </c>
      <c r="H3724" s="2" t="str">
        <f>Tabella1[[#This Row],[Denominazione]]&amp;" - "&amp;Tabella1[[#This Row],[Città]]</f>
        <v>GIRASOLE - SAN BENEDETTO DEL TRONTO</v>
      </c>
    </row>
    <row r="3725" spans="1:8" x14ac:dyDescent="0.25">
      <c r="A3725" s="1" t="s">
        <v>571</v>
      </c>
      <c r="B3725" s="1" t="s">
        <v>11541</v>
      </c>
      <c r="C3725" s="1" t="s">
        <v>18100</v>
      </c>
      <c r="D3725" s="1" t="s">
        <v>17932</v>
      </c>
      <c r="E3725" s="1" t="s">
        <v>17932</v>
      </c>
      <c r="F3725" s="1" t="s">
        <v>18101</v>
      </c>
      <c r="G3725" s="1" t="s">
        <v>18102</v>
      </c>
      <c r="H3725" s="2" t="str">
        <f>Tabella1[[#This Row],[Denominazione]]&amp;" - "&amp;Tabella1[[#This Row],[Città]]</f>
        <v>GIRASOLE - FERMO</v>
      </c>
    </row>
    <row r="3726" spans="1:8" x14ac:dyDescent="0.25">
      <c r="A3726" s="1" t="s">
        <v>6</v>
      </c>
      <c r="B3726" s="1" t="s">
        <v>5250</v>
      </c>
      <c r="C3726" s="1" t="s">
        <v>5251</v>
      </c>
      <c r="D3726" s="1" t="s">
        <v>9</v>
      </c>
      <c r="E3726" s="1" t="s">
        <v>9</v>
      </c>
      <c r="F3726" s="1" t="s">
        <v>10</v>
      </c>
      <c r="G3726" s="1" t="s">
        <v>11</v>
      </c>
      <c r="H3726" s="2" t="str">
        <f>Tabella1[[#This Row],[Denominazione]]&amp;" - "&amp;Tabella1[[#This Row],[Città]]</f>
        <v>GIRFALCO country house B&amp;B - URBINO</v>
      </c>
    </row>
    <row r="3727" spans="1:8" x14ac:dyDescent="0.25">
      <c r="A3727" s="1" t="s">
        <v>679</v>
      </c>
      <c r="B3727" s="1" t="s">
        <v>13291</v>
      </c>
      <c r="D3727" s="1" t="s">
        <v>13026</v>
      </c>
      <c r="E3727" s="1" t="s">
        <v>13105</v>
      </c>
      <c r="F3727" s="1" t="s">
        <v>13292</v>
      </c>
      <c r="H3727" s="2" t="str">
        <f>Tabella1[[#This Row],[Denominazione]]&amp;" - "&amp;Tabella1[[#This Row],[Città]]</f>
        <v>GIRI BEACH - POTENZA PICENA</v>
      </c>
    </row>
    <row r="3728" spans="1:8" x14ac:dyDescent="0.25">
      <c r="A3728" s="1" t="s">
        <v>12</v>
      </c>
      <c r="B3728" s="1" t="s">
        <v>865</v>
      </c>
      <c r="C3728" s="1" t="s">
        <v>866</v>
      </c>
      <c r="D3728" s="1" t="s">
        <v>682</v>
      </c>
      <c r="H3728" s="2" t="str">
        <f>Tabella1[[#This Row],[Denominazione]]&amp;" - "&amp;Tabella1[[#This Row],[Città]]</f>
        <v>GIROLAMETTI DANIELA - FANO</v>
      </c>
    </row>
    <row r="3729" spans="1:8" x14ac:dyDescent="0.25">
      <c r="A3729" s="1" t="s">
        <v>20</v>
      </c>
      <c r="B3729" s="1" t="s">
        <v>9497</v>
      </c>
      <c r="C3729" s="1" t="s">
        <v>9498</v>
      </c>
      <c r="D3729" s="1" t="s">
        <v>8949</v>
      </c>
      <c r="E3729" s="1" t="s">
        <v>8949</v>
      </c>
      <c r="F3729" s="1" t="s">
        <v>9499</v>
      </c>
      <c r="G3729" s="1" t="s">
        <v>9500</v>
      </c>
      <c r="H3729" s="2" t="str">
        <f>Tabella1[[#This Row],[Denominazione]]&amp;" - "&amp;Tabella1[[#This Row],[Città]]</f>
        <v>GIULIETTA - SENIGALLIA</v>
      </c>
    </row>
    <row r="3730" spans="1:8" x14ac:dyDescent="0.25">
      <c r="A3730" s="1" t="s">
        <v>12</v>
      </c>
      <c r="B3730" s="1" t="s">
        <v>3924</v>
      </c>
      <c r="C3730" s="1" t="s">
        <v>3925</v>
      </c>
      <c r="D3730" s="1" t="s">
        <v>2386</v>
      </c>
      <c r="G3730" s="1" t="s">
        <v>3926</v>
      </c>
      <c r="H3730" s="2" t="str">
        <f>Tabella1[[#This Row],[Denominazione]]&amp;" - "&amp;Tabella1[[#This Row],[Città]]</f>
        <v>GIULIO ANTONIO CECCHI - PESARO</v>
      </c>
    </row>
    <row r="3731" spans="1:8" x14ac:dyDescent="0.25">
      <c r="A3731" s="1" t="s">
        <v>12</v>
      </c>
      <c r="B3731" s="1" t="s">
        <v>7390</v>
      </c>
      <c r="C3731" s="1" t="s">
        <v>7391</v>
      </c>
      <c r="D3731" s="1" t="s">
        <v>7385</v>
      </c>
      <c r="G3731" s="1" t="s">
        <v>7392</v>
      </c>
      <c r="H3731" s="2" t="str">
        <f>Tabella1[[#This Row],[Denominazione]]&amp;" - "&amp;Tabella1[[#This Row],[Città]]</f>
        <v>GIULIO FIORI - LORETO</v>
      </c>
    </row>
    <row r="3732" spans="1:8" x14ac:dyDescent="0.25">
      <c r="A3732" s="1" t="s">
        <v>12</v>
      </c>
      <c r="B3732" s="1" t="s">
        <v>320</v>
      </c>
      <c r="C3732" s="1" t="s">
        <v>321</v>
      </c>
      <c r="D3732" s="1" t="s">
        <v>316</v>
      </c>
      <c r="E3732" s="1" t="s">
        <v>322</v>
      </c>
      <c r="H3732" s="2" t="str">
        <f>Tabella1[[#This Row],[Denominazione]]&amp;" - "&amp;Tabella1[[#This Row],[Città]]</f>
        <v>GIUNTI FRANCESCO - CAGLI</v>
      </c>
    </row>
    <row r="3733" spans="1:8" x14ac:dyDescent="0.25">
      <c r="A3733" s="1" t="s">
        <v>29</v>
      </c>
      <c r="B3733" s="1" t="s">
        <v>12653</v>
      </c>
      <c r="C3733" s="1" t="s">
        <v>12654</v>
      </c>
      <c r="D3733" s="1" t="s">
        <v>12635</v>
      </c>
      <c r="E3733" s="1" t="s">
        <v>12635</v>
      </c>
      <c r="G3733" s="1" t="s">
        <v>12655</v>
      </c>
      <c r="H3733" s="2" t="str">
        <f>Tabella1[[#This Row],[Denominazione]]&amp;" - "&amp;Tabella1[[#This Row],[Città]]</f>
        <v>GIUSEPPE CARBONI - PENNA SAN GIOVANNI</v>
      </c>
    </row>
    <row r="3734" spans="1:8" x14ac:dyDescent="0.25">
      <c r="A3734" s="1" t="s">
        <v>20</v>
      </c>
      <c r="B3734" s="1" t="s">
        <v>2167</v>
      </c>
      <c r="C3734" s="1" t="s">
        <v>2168</v>
      </c>
      <c r="D3734" s="1" t="s">
        <v>1907</v>
      </c>
      <c r="E3734" s="1" t="s">
        <v>1907</v>
      </c>
      <c r="F3734" s="1" t="s">
        <v>2169</v>
      </c>
      <c r="H3734" s="2" t="str">
        <f>Tabella1[[#This Row],[Denominazione]]&amp;" - "&amp;Tabella1[[#This Row],[Città]]</f>
        <v>GIUSEPPINA - GABICCE MARE</v>
      </c>
    </row>
    <row r="3735" spans="1:8" x14ac:dyDescent="0.25">
      <c r="A3735" s="1" t="s">
        <v>12</v>
      </c>
      <c r="B3735" s="1" t="s">
        <v>13067</v>
      </c>
      <c r="C3735" s="1" t="s">
        <v>13068</v>
      </c>
      <c r="D3735" s="1" t="s">
        <v>13026</v>
      </c>
      <c r="E3735" s="1" t="s">
        <v>13026</v>
      </c>
      <c r="H3735" s="2" t="str">
        <f>Tabella1[[#This Row],[Denominazione]]&amp;" - "&amp;Tabella1[[#This Row],[Città]]</f>
        <v>GIUSTINI LOREDANA - POTENZA PICENA</v>
      </c>
    </row>
    <row r="3736" spans="1:8" x14ac:dyDescent="0.25">
      <c r="A3736" s="1" t="s">
        <v>29</v>
      </c>
      <c r="B3736" s="1" t="s">
        <v>7383</v>
      </c>
      <c r="C3736" s="1" t="s">
        <v>7384</v>
      </c>
      <c r="D3736" s="1" t="s">
        <v>7385</v>
      </c>
      <c r="E3736" s="1" t="s">
        <v>7385</v>
      </c>
      <c r="G3736" s="1" t="s">
        <v>7386</v>
      </c>
      <c r="H3736" s="2" t="str">
        <f>Tabella1[[#This Row],[Denominazione]]&amp;" - "&amp;Tabella1[[#This Row],[Città]]</f>
        <v>GLI ALBERETTI - LORETO</v>
      </c>
    </row>
    <row r="3737" spans="1:8" x14ac:dyDescent="0.25">
      <c r="A3737" s="1" t="s">
        <v>35</v>
      </c>
      <c r="B3737" s="1" t="s">
        <v>3382</v>
      </c>
      <c r="C3737" s="1" t="s">
        <v>3383</v>
      </c>
      <c r="D3737" s="1" t="s">
        <v>3305</v>
      </c>
      <c r="E3737" s="1" t="s">
        <v>3384</v>
      </c>
      <c r="F3737" s="1" t="s">
        <v>3385</v>
      </c>
      <c r="G3737" s="1" t="s">
        <v>3386</v>
      </c>
      <c r="H3737" s="2" t="str">
        <f>Tabella1[[#This Row],[Denominazione]]&amp;" - "&amp;Tabella1[[#This Row],[Città]]</f>
        <v>GLI IPPOCASTANI - PERGOLA</v>
      </c>
    </row>
    <row r="3738" spans="1:8" x14ac:dyDescent="0.25">
      <c r="A3738" s="1" t="s">
        <v>29</v>
      </c>
      <c r="B3738" s="1" t="s">
        <v>16409</v>
      </c>
      <c r="C3738" s="1" t="s">
        <v>16407</v>
      </c>
      <c r="D3738" s="1" t="s">
        <v>16396</v>
      </c>
      <c r="E3738" s="1" t="s">
        <v>16396</v>
      </c>
      <c r="F3738" s="1" t="s">
        <v>16410</v>
      </c>
      <c r="G3738" s="1" t="s">
        <v>16411</v>
      </c>
      <c r="H3738" s="2" t="str">
        <f>Tabella1[[#This Row],[Denominazione]]&amp;" - "&amp;Tabella1[[#This Row],[Città]]</f>
        <v>GLI ORTI DI SAN GIACOMO - MONTEPRANDONE</v>
      </c>
    </row>
    <row r="3739" spans="1:8" x14ac:dyDescent="0.25">
      <c r="A3739" s="1" t="s">
        <v>35</v>
      </c>
      <c r="B3739" s="1" t="s">
        <v>18610</v>
      </c>
      <c r="C3739" s="1" t="s">
        <v>18611</v>
      </c>
      <c r="D3739" s="1" t="s">
        <v>18589</v>
      </c>
      <c r="G3739" s="1" t="s">
        <v>18612</v>
      </c>
      <c r="H3739" s="2" t="str">
        <f>Tabella1[[#This Row],[Denominazione]]&amp;" - "&amp;Tabella1[[#This Row],[Città]]</f>
        <v>GLI ULIVI - MONTE GIBERTO</v>
      </c>
    </row>
    <row r="3740" spans="1:8" x14ac:dyDescent="0.25">
      <c r="A3740" s="1" t="s">
        <v>6</v>
      </c>
      <c r="B3740" s="1" t="s">
        <v>7834</v>
      </c>
      <c r="C3740" s="1" t="s">
        <v>7835</v>
      </c>
      <c r="D3740" s="1" t="s">
        <v>7824</v>
      </c>
      <c r="E3740" s="1" t="s">
        <v>7824</v>
      </c>
      <c r="F3740" s="1" t="s">
        <v>7836</v>
      </c>
      <c r="G3740" s="1" t="s">
        <v>7837</v>
      </c>
      <c r="H3740" s="2" t="str">
        <f>Tabella1[[#This Row],[Denominazione]]&amp;" - "&amp;Tabella1[[#This Row],[Città]]</f>
        <v>GLI ULIVI DEL MONTE - MONTE SAN VITO</v>
      </c>
    </row>
    <row r="3741" spans="1:8" x14ac:dyDescent="0.25">
      <c r="A3741" s="1" t="s">
        <v>20</v>
      </c>
      <c r="B3741" s="1" t="s">
        <v>2170</v>
      </c>
      <c r="C3741" s="1" t="s">
        <v>2171</v>
      </c>
      <c r="D3741" s="1" t="s">
        <v>1907</v>
      </c>
      <c r="E3741" s="1" t="s">
        <v>1907</v>
      </c>
      <c r="F3741" s="1" t="s">
        <v>2172</v>
      </c>
      <c r="G3741" s="1" t="s">
        <v>2173</v>
      </c>
      <c r="H3741" s="2" t="str">
        <f>Tabella1[[#This Row],[Denominazione]]&amp;" - "&amp;Tabella1[[#This Row],[Città]]</f>
        <v>GLORIA - GABICCE MARE</v>
      </c>
    </row>
    <row r="3742" spans="1:8" x14ac:dyDescent="0.25">
      <c r="A3742" s="1" t="s">
        <v>679</v>
      </c>
      <c r="B3742" s="1" t="s">
        <v>17344</v>
      </c>
      <c r="C3742" s="1" t="s">
        <v>9843</v>
      </c>
      <c r="D3742" s="1" t="s">
        <v>15819</v>
      </c>
      <c r="H3742" s="2" t="str">
        <f>Tabella1[[#This Row],[Denominazione]]&amp;" - "&amp;Tabella1[[#This Row],[Città]]</f>
        <v>GOLDEN BEACH - SAN BENEDETTO DEL TRONTO</v>
      </c>
    </row>
    <row r="3743" spans="1:8" x14ac:dyDescent="0.25">
      <c r="A3743" s="1" t="s">
        <v>6</v>
      </c>
      <c r="B3743" s="1" t="s">
        <v>16226</v>
      </c>
      <c r="C3743" s="1" t="s">
        <v>16227</v>
      </c>
      <c r="D3743" s="1" t="s">
        <v>16202</v>
      </c>
      <c r="E3743" s="1" t="s">
        <v>16203</v>
      </c>
      <c r="F3743" s="1" t="s">
        <v>16228</v>
      </c>
      <c r="G3743" s="1" t="s">
        <v>16229</v>
      </c>
      <c r="H3743" s="2" t="str">
        <f>Tabella1[[#This Row],[Denominazione]]&amp;" - "&amp;Tabella1[[#This Row],[Città]]</f>
        <v>GOLF CLUB - COUNTRY HOUSE I LAURI - MONTEFIORE DELL'ASO</v>
      </c>
    </row>
    <row r="3744" spans="1:8" x14ac:dyDescent="0.25">
      <c r="A3744" s="1" t="s">
        <v>35</v>
      </c>
      <c r="B3744" s="1" t="s">
        <v>14098</v>
      </c>
      <c r="C3744" s="1" t="s">
        <v>14099</v>
      </c>
      <c r="D3744" s="1" t="s">
        <v>14065</v>
      </c>
      <c r="E3744" s="1" t="s">
        <v>14065</v>
      </c>
      <c r="H3744" s="2" t="str">
        <f>Tabella1[[#This Row],[Denominazione]]&amp;" - "&amp;Tabella1[[#This Row],[Città]]</f>
        <v>GOLF DI SCHITO di RAPACCINI PASQUALE - TREIA</v>
      </c>
    </row>
    <row r="3745" spans="1:8" x14ac:dyDescent="0.25">
      <c r="A3745" s="1" t="s">
        <v>20</v>
      </c>
      <c r="B3745" s="1" t="s">
        <v>16990</v>
      </c>
      <c r="C3745" s="1" t="s">
        <v>16991</v>
      </c>
      <c r="D3745" s="1" t="s">
        <v>15819</v>
      </c>
      <c r="E3745" s="1" t="s">
        <v>15819</v>
      </c>
      <c r="F3745" s="1" t="s">
        <v>16992</v>
      </c>
      <c r="G3745" s="1" t="s">
        <v>16993</v>
      </c>
      <c r="H3745" s="2" t="str">
        <f>Tabella1[[#This Row],[Denominazione]]&amp;" - "&amp;Tabella1[[#This Row],[Città]]</f>
        <v>GOOD TRUCK LA SOSTA - SAN BENEDETTO DEL TRONTO</v>
      </c>
    </row>
    <row r="3746" spans="1:8" x14ac:dyDescent="0.25">
      <c r="A3746" s="1" t="s">
        <v>12</v>
      </c>
      <c r="B3746" s="1" t="s">
        <v>8818</v>
      </c>
      <c r="C3746" s="1" t="s">
        <v>8819</v>
      </c>
      <c r="D3746" s="1" t="s">
        <v>8801</v>
      </c>
      <c r="E3746" s="1" t="s">
        <v>8801</v>
      </c>
      <c r="G3746" s="1" t="s">
        <v>8820</v>
      </c>
      <c r="H3746" s="2" t="str">
        <f>Tabella1[[#This Row],[Denominazione]]&amp;" - "&amp;Tabella1[[#This Row],[Città]]</f>
        <v>GOODAIR JULIE KAREN - SAN MARCELLO</v>
      </c>
    </row>
    <row r="3747" spans="1:8" x14ac:dyDescent="0.25">
      <c r="A3747" s="1" t="s">
        <v>82</v>
      </c>
      <c r="B3747" s="1" t="s">
        <v>18302</v>
      </c>
      <c r="C3747" s="1" t="s">
        <v>18303</v>
      </c>
      <c r="D3747" s="1" t="s">
        <v>17932</v>
      </c>
      <c r="G3747" s="1" t="s">
        <v>18304</v>
      </c>
      <c r="H3747" s="2" t="str">
        <f>Tabella1[[#This Row],[Denominazione]]&amp;" - "&amp;Tabella1[[#This Row],[Città]]</f>
        <v>GOODNIGHT MOON - FERMO</v>
      </c>
    </row>
    <row r="3748" spans="1:8" x14ac:dyDescent="0.25">
      <c r="A3748" s="1" t="s">
        <v>12</v>
      </c>
      <c r="B3748" s="1" t="s">
        <v>17</v>
      </c>
      <c r="C3748" s="1" t="s">
        <v>18</v>
      </c>
      <c r="D3748" s="1" t="s">
        <v>15</v>
      </c>
      <c r="E3748" s="1" t="s">
        <v>15</v>
      </c>
      <c r="G3748" s="1" t="s">
        <v>19</v>
      </c>
      <c r="H3748" s="2" t="str">
        <f>Tabella1[[#This Row],[Denominazione]]&amp;" - "&amp;Tabella1[[#This Row],[Città]]</f>
        <v>GORGOLINI ALESSANDRO - ACQUALAGNA</v>
      </c>
    </row>
    <row r="3749" spans="1:8" x14ac:dyDescent="0.25">
      <c r="A3749" s="1" t="s">
        <v>12</v>
      </c>
      <c r="B3749" s="1" t="s">
        <v>9207</v>
      </c>
      <c r="C3749" s="1" t="s">
        <v>9208</v>
      </c>
      <c r="D3749" s="1" t="s">
        <v>8949</v>
      </c>
      <c r="E3749" s="1" t="s">
        <v>8949</v>
      </c>
      <c r="G3749" s="1" t="s">
        <v>9037</v>
      </c>
      <c r="H3749" s="2" t="str">
        <f>Tabella1[[#This Row],[Denominazione]]&amp;" - "&amp;Tabella1[[#This Row],[Città]]</f>
        <v>GORI LAURA - SENIGALLIA</v>
      </c>
    </row>
    <row r="3750" spans="1:8" x14ac:dyDescent="0.25">
      <c r="A3750" s="1" t="s">
        <v>12</v>
      </c>
      <c r="B3750" s="1" t="s">
        <v>9184</v>
      </c>
      <c r="C3750" s="1" t="s">
        <v>9185</v>
      </c>
      <c r="D3750" s="1" t="s">
        <v>8949</v>
      </c>
      <c r="E3750" s="1" t="s">
        <v>8949</v>
      </c>
      <c r="G3750" s="1" t="s">
        <v>9037</v>
      </c>
      <c r="H3750" s="2" t="str">
        <f>Tabella1[[#This Row],[Denominazione]]&amp;" - "&amp;Tabella1[[#This Row],[Città]]</f>
        <v>GRAMACCIONI GIANFRANCO - SENIGALLIA</v>
      </c>
    </row>
    <row r="3751" spans="1:8" x14ac:dyDescent="0.25">
      <c r="A3751" s="1" t="s">
        <v>12</v>
      </c>
      <c r="B3751" s="1" t="s">
        <v>2987</v>
      </c>
      <c r="C3751" s="1" t="s">
        <v>2988</v>
      </c>
      <c r="D3751" s="1" t="s">
        <v>1605</v>
      </c>
      <c r="E3751" s="1" t="s">
        <v>1605</v>
      </c>
      <c r="G3751" s="1" t="s">
        <v>853</v>
      </c>
      <c r="H3751" s="2" t="str">
        <f>Tabella1[[#This Row],[Denominazione]]&amp;" - "&amp;Tabella1[[#This Row],[Città]]</f>
        <v>GRAMOLINI NADIA - MONDOLFO</v>
      </c>
    </row>
    <row r="3752" spans="1:8" x14ac:dyDescent="0.25">
      <c r="A3752" s="1" t="s">
        <v>20</v>
      </c>
      <c r="B3752" s="1" t="s">
        <v>9524</v>
      </c>
      <c r="C3752" s="1" t="s">
        <v>9525</v>
      </c>
      <c r="D3752" s="1" t="s">
        <v>8949</v>
      </c>
      <c r="E3752" s="1" t="s">
        <v>8949</v>
      </c>
      <c r="F3752" s="1" t="s">
        <v>9526</v>
      </c>
      <c r="G3752" s="1" t="s">
        <v>9527</v>
      </c>
      <c r="H3752" s="2" t="str">
        <f>Tabella1[[#This Row],[Denominazione]]&amp;" - "&amp;Tabella1[[#This Row],[Città]]</f>
        <v>GRAND HOTEL EXCELSIOR - SENIGALLIA</v>
      </c>
    </row>
    <row r="3753" spans="1:8" x14ac:dyDescent="0.25">
      <c r="A3753" s="1" t="s">
        <v>20</v>
      </c>
      <c r="B3753" s="1" t="s">
        <v>2174</v>
      </c>
      <c r="C3753" s="1" t="s">
        <v>2175</v>
      </c>
      <c r="D3753" s="1" t="s">
        <v>1907</v>
      </c>
      <c r="E3753" s="1" t="s">
        <v>1907</v>
      </c>
      <c r="F3753" s="1" t="s">
        <v>2176</v>
      </c>
      <c r="G3753" s="1" t="s">
        <v>2177</v>
      </c>
      <c r="H3753" s="2" t="str">
        <f>Tabella1[[#This Row],[Denominazione]]&amp;" - "&amp;Tabella1[[#This Row],[Città]]</f>
        <v>GRAND HOTEL MICHELACCI - GABICCE MARE</v>
      </c>
    </row>
    <row r="3754" spans="1:8" x14ac:dyDescent="0.25">
      <c r="A3754" s="1" t="s">
        <v>20</v>
      </c>
      <c r="B3754" s="1" t="s">
        <v>5582</v>
      </c>
      <c r="C3754" s="1" t="s">
        <v>5583</v>
      </c>
      <c r="D3754" s="1" t="s">
        <v>1864</v>
      </c>
      <c r="E3754" s="1" t="s">
        <v>1864</v>
      </c>
      <c r="F3754" s="1" t="s">
        <v>5584</v>
      </c>
      <c r="G3754" s="1" t="s">
        <v>5585</v>
      </c>
      <c r="H3754" s="2" t="str">
        <f>Tabella1[[#This Row],[Denominazione]]&amp;" - "&amp;Tabella1[[#This Row],[Città]]</f>
        <v>GRAND HOTEL PASSETTO - ANCONA</v>
      </c>
    </row>
    <row r="3755" spans="1:8" x14ac:dyDescent="0.25">
      <c r="A3755" s="1" t="s">
        <v>20</v>
      </c>
      <c r="B3755" s="1" t="s">
        <v>3644</v>
      </c>
      <c r="C3755" s="1" t="s">
        <v>3645</v>
      </c>
      <c r="D3755" s="1" t="s">
        <v>2386</v>
      </c>
      <c r="E3755" s="1" t="s">
        <v>2386</v>
      </c>
      <c r="F3755" s="1" t="s">
        <v>3646</v>
      </c>
      <c r="G3755" s="1" t="s">
        <v>3647</v>
      </c>
      <c r="H3755" s="2" t="str">
        <f>Tabella1[[#This Row],[Denominazione]]&amp;" - "&amp;Tabella1[[#This Row],[Città]]</f>
        <v>GRAND HOTEL VITTORIA - PESARO</v>
      </c>
    </row>
    <row r="3756" spans="1:8" x14ac:dyDescent="0.25">
      <c r="A3756" s="1" t="s">
        <v>12</v>
      </c>
      <c r="B3756" s="1" t="s">
        <v>5841</v>
      </c>
      <c r="C3756" s="1" t="s">
        <v>5842</v>
      </c>
      <c r="D3756" s="1" t="s">
        <v>1864</v>
      </c>
      <c r="G3756" s="1" t="s">
        <v>5843</v>
      </c>
      <c r="H3756" s="2" t="str">
        <f>Tabella1[[#This Row],[Denominazione]]&amp;" - "&amp;Tabella1[[#This Row],[Città]]</f>
        <v>GRANDE ISTRICE - ANCONA</v>
      </c>
    </row>
    <row r="3757" spans="1:8" x14ac:dyDescent="0.25">
      <c r="A3757" s="1" t="s">
        <v>82</v>
      </c>
      <c r="B3757" s="1" t="s">
        <v>5214</v>
      </c>
      <c r="C3757" s="1" t="s">
        <v>5062</v>
      </c>
      <c r="D3757" s="1" t="s">
        <v>9</v>
      </c>
      <c r="E3757" s="1" t="s">
        <v>9</v>
      </c>
      <c r="H3757" s="2" t="str">
        <f>Tabella1[[#This Row],[Denominazione]]&amp;" - "&amp;Tabella1[[#This Row],[Città]]</f>
        <v>GRASSI ERMANNO - URBINO</v>
      </c>
    </row>
    <row r="3758" spans="1:8" x14ac:dyDescent="0.25">
      <c r="A3758" s="1" t="s">
        <v>82</v>
      </c>
      <c r="B3758" s="1" t="s">
        <v>7138</v>
      </c>
      <c r="C3758" s="1" t="s">
        <v>7139</v>
      </c>
      <c r="D3758" s="1" t="s">
        <v>5735</v>
      </c>
      <c r="G3758" s="1" t="s">
        <v>7140</v>
      </c>
      <c r="H3758" s="2" t="str">
        <f>Tabella1[[#This Row],[Denominazione]]&amp;" - "&amp;Tabella1[[#This Row],[Città]]</f>
        <v>GRAZIOSO APPARTAMENTO - FALCONARA MARITTIMA</v>
      </c>
    </row>
    <row r="3759" spans="1:8" x14ac:dyDescent="0.25">
      <c r="A3759" s="1" t="s">
        <v>571</v>
      </c>
      <c r="B3759" s="1" t="s">
        <v>9633</v>
      </c>
      <c r="C3759" s="1" t="s">
        <v>9634</v>
      </c>
      <c r="D3759" s="1" t="s">
        <v>8949</v>
      </c>
      <c r="E3759" s="1" t="s">
        <v>8949</v>
      </c>
      <c r="F3759" s="1" t="s">
        <v>9635</v>
      </c>
      <c r="G3759" s="1" t="s">
        <v>9636</v>
      </c>
      <c r="H3759" s="2" t="str">
        <f>Tabella1[[#This Row],[Denominazione]]&amp;" - "&amp;Tabella1[[#This Row],[Città]]</f>
        <v>GREEN CAMPING - SENIGALLIA</v>
      </c>
    </row>
    <row r="3760" spans="1:8" x14ac:dyDescent="0.25">
      <c r="A3760" s="1" t="s">
        <v>6092</v>
      </c>
      <c r="B3760" s="1" t="s">
        <v>10429</v>
      </c>
      <c r="C3760" s="1" t="s">
        <v>10430</v>
      </c>
      <c r="D3760" s="1" t="s">
        <v>10206</v>
      </c>
      <c r="E3760" s="1" t="s">
        <v>10206</v>
      </c>
      <c r="F3760" s="1" t="s">
        <v>10431</v>
      </c>
      <c r="G3760" s="1" t="s">
        <v>10432</v>
      </c>
      <c r="H3760" s="2" t="str">
        <f>Tabella1[[#This Row],[Denominazione]]&amp;" - "&amp;Tabella1[[#This Row],[Città]]</f>
        <v>GREEN GARDEN - SIROLO</v>
      </c>
    </row>
    <row r="3761" spans="1:8" x14ac:dyDescent="0.25">
      <c r="A3761" s="1" t="s">
        <v>29</v>
      </c>
      <c r="B3761" s="1" t="s">
        <v>7419</v>
      </c>
      <c r="C3761" s="1" t="s">
        <v>7420</v>
      </c>
      <c r="D3761" s="1" t="s">
        <v>7385</v>
      </c>
      <c r="H3761" s="2" t="str">
        <f>Tabella1[[#This Row],[Denominazione]]&amp;" - "&amp;Tabella1[[#This Row],[Città]]</f>
        <v>GREEN HOUSE PICCHIO - LORETO</v>
      </c>
    </row>
    <row r="3762" spans="1:8" x14ac:dyDescent="0.25">
      <c r="A3762" s="1" t="s">
        <v>6</v>
      </c>
      <c r="B3762" s="1" t="s">
        <v>13989</v>
      </c>
      <c r="C3762" s="1" t="s">
        <v>13990</v>
      </c>
      <c r="D3762" s="1" t="s">
        <v>13946</v>
      </c>
      <c r="G3762" s="1" t="s">
        <v>13991</v>
      </c>
      <c r="H3762" s="2" t="str">
        <f>Tabella1[[#This Row],[Denominazione]]&amp;" - "&amp;Tabella1[[#This Row],[Città]]</f>
        <v>GREEN PLANET - TOLENTINO</v>
      </c>
    </row>
    <row r="3763" spans="1:8" x14ac:dyDescent="0.25">
      <c r="A3763" s="1" t="s">
        <v>82</v>
      </c>
      <c r="B3763" s="1" t="s">
        <v>501</v>
      </c>
      <c r="C3763" s="1" t="s">
        <v>502</v>
      </c>
      <c r="D3763" s="1" t="s">
        <v>316</v>
      </c>
      <c r="E3763" s="1" t="s">
        <v>316</v>
      </c>
      <c r="F3763" s="1" t="s">
        <v>503</v>
      </c>
      <c r="G3763" s="1" t="s">
        <v>504</v>
      </c>
      <c r="H3763" s="2" t="str">
        <f>Tabella1[[#This Row],[Denominazione]]&amp;" - "&amp;Tabella1[[#This Row],[Città]]</f>
        <v>GREENE PETER ANDREW - CAGLI</v>
      </c>
    </row>
    <row r="3764" spans="1:8" x14ac:dyDescent="0.25">
      <c r="A3764" s="1" t="s">
        <v>12</v>
      </c>
      <c r="B3764" s="1" t="s">
        <v>1805</v>
      </c>
      <c r="C3764" s="1" t="s">
        <v>1806</v>
      </c>
      <c r="D3764" s="1" t="s">
        <v>1796</v>
      </c>
      <c r="G3764" s="1" t="s">
        <v>1807</v>
      </c>
      <c r="H3764" s="2" t="str">
        <f>Tabella1[[#This Row],[Denominazione]]&amp;" - "&amp;Tabella1[[#This Row],[Città]]</f>
        <v>GREGORI GIUSEPPINA - FRATTE ROSA</v>
      </c>
    </row>
    <row r="3765" spans="1:8" x14ac:dyDescent="0.25">
      <c r="A3765" s="1" t="s">
        <v>12</v>
      </c>
      <c r="B3765" s="1" t="s">
        <v>12292</v>
      </c>
      <c r="C3765" s="1" t="s">
        <v>12293</v>
      </c>
      <c r="D3765" s="1" t="s">
        <v>12290</v>
      </c>
      <c r="E3765" s="1" t="s">
        <v>12290</v>
      </c>
      <c r="G3765" s="1" t="s">
        <v>12294</v>
      </c>
      <c r="H3765" s="2" t="str">
        <f>Tabella1[[#This Row],[Denominazione]]&amp;" - "&amp;Tabella1[[#This Row],[Città]]</f>
        <v>GRILLI CICILIONI LUCIANA - MOGLIANO</v>
      </c>
    </row>
    <row r="3766" spans="1:8" x14ac:dyDescent="0.25">
      <c r="A3766" s="1" t="s">
        <v>12</v>
      </c>
      <c r="B3766" s="1" t="s">
        <v>1498</v>
      </c>
      <c r="C3766" s="1" t="s">
        <v>1499</v>
      </c>
      <c r="D3766" s="1" t="s">
        <v>682</v>
      </c>
      <c r="G3766" s="1" t="s">
        <v>1500</v>
      </c>
      <c r="H3766" s="2" t="str">
        <f>Tabella1[[#This Row],[Denominazione]]&amp;" - "&amp;Tabella1[[#This Row],[Città]]</f>
        <v>GRILLI FRANCO - FANO</v>
      </c>
    </row>
    <row r="3767" spans="1:8" x14ac:dyDescent="0.25">
      <c r="A3767" s="1" t="s">
        <v>679</v>
      </c>
      <c r="B3767" s="1" t="s">
        <v>15903</v>
      </c>
      <c r="C3767" s="1" t="s">
        <v>15839</v>
      </c>
      <c r="D3767" s="1" t="s">
        <v>15585</v>
      </c>
      <c r="H3767" s="2" t="str">
        <f>Tabella1[[#This Row],[Denominazione]]&amp;" - "&amp;Tabella1[[#This Row],[Città]]</f>
        <v>GRILLO - GROTTAMMARE</v>
      </c>
    </row>
    <row r="3768" spans="1:8" x14ac:dyDescent="0.25">
      <c r="A3768" s="1" t="s">
        <v>12</v>
      </c>
      <c r="B3768" s="1" t="s">
        <v>11909</v>
      </c>
      <c r="C3768" s="1" t="s">
        <v>11910</v>
      </c>
      <c r="D3768" s="1" t="s">
        <v>11883</v>
      </c>
      <c r="G3768" s="1" t="s">
        <v>11911</v>
      </c>
      <c r="H3768" s="2" t="str">
        <f>Tabella1[[#This Row],[Denominazione]]&amp;" - "&amp;Tabella1[[#This Row],[Città]]</f>
        <v>GRISI JAMES ROBERT - GUALDO</v>
      </c>
    </row>
    <row r="3769" spans="1:8" x14ac:dyDescent="0.25">
      <c r="A3769" s="1" t="s">
        <v>12</v>
      </c>
      <c r="B3769" s="1" t="s">
        <v>11883</v>
      </c>
      <c r="C3769" s="1" t="s">
        <v>11947</v>
      </c>
      <c r="D3769" s="1" t="s">
        <v>11883</v>
      </c>
      <c r="E3769" s="1" t="s">
        <v>11948</v>
      </c>
      <c r="F3769" s="1" t="s">
        <v>11949</v>
      </c>
      <c r="G3769" s="1" t="s">
        <v>11952</v>
      </c>
      <c r="H3769" s="2" t="str">
        <f>Tabella1[[#This Row],[Denominazione]]&amp;" - "&amp;Tabella1[[#This Row],[Città]]</f>
        <v>GUALDO - GUALDO</v>
      </c>
    </row>
    <row r="3770" spans="1:8" x14ac:dyDescent="0.25">
      <c r="A3770" s="1" t="s">
        <v>20</v>
      </c>
      <c r="B3770" s="1" t="s">
        <v>16356</v>
      </c>
      <c r="C3770" s="1" t="s">
        <v>16357</v>
      </c>
      <c r="D3770" s="1" t="s">
        <v>16312</v>
      </c>
      <c r="E3770" s="1" t="s">
        <v>16312</v>
      </c>
      <c r="F3770" s="1" t="s">
        <v>16358</v>
      </c>
      <c r="G3770" s="1" t="s">
        <v>16359</v>
      </c>
      <c r="H3770" s="2" t="str">
        <f>Tabella1[[#This Row],[Denominazione]]&amp;" - "&amp;Tabella1[[#This Row],[Città]]</f>
        <v>GUERRIN MESCHINO - MONTEMONACO</v>
      </c>
    </row>
    <row r="3771" spans="1:8" x14ac:dyDescent="0.25">
      <c r="A3771" s="1" t="s">
        <v>12</v>
      </c>
      <c r="B3771" s="1" t="s">
        <v>1490</v>
      </c>
      <c r="C3771" s="1" t="s">
        <v>1491</v>
      </c>
      <c r="D3771" s="1" t="s">
        <v>682</v>
      </c>
      <c r="E3771" s="1" t="s">
        <v>1492</v>
      </c>
      <c r="H3771" s="2" t="str">
        <f>Tabella1[[#This Row],[Denominazione]]&amp;" - "&amp;Tabella1[[#This Row],[Città]]</f>
        <v>GUIDARELLI GUIDO - FANO</v>
      </c>
    </row>
    <row r="3772" spans="1:8" x14ac:dyDescent="0.25">
      <c r="A3772" s="1" t="s">
        <v>12</v>
      </c>
      <c r="B3772" s="1" t="s">
        <v>15018</v>
      </c>
      <c r="C3772" s="1" t="s">
        <v>15019</v>
      </c>
      <c r="D3772" s="1" t="s">
        <v>14576</v>
      </c>
      <c r="G3772" s="1" t="s">
        <v>15020</v>
      </c>
      <c r="H3772" s="2" t="str">
        <f>Tabella1[[#This Row],[Denominazione]]&amp;" - "&amp;Tabella1[[#This Row],[Città]]</f>
        <v>GUIDOTTI ANNALISA MARIA - ASCOLI PICENO</v>
      </c>
    </row>
    <row r="3773" spans="1:8" x14ac:dyDescent="0.25">
      <c r="A3773" s="1" t="s">
        <v>12</v>
      </c>
      <c r="B3773" s="1" t="s">
        <v>3531</v>
      </c>
      <c r="C3773" s="1" t="s">
        <v>3532</v>
      </c>
      <c r="D3773" s="1" t="s">
        <v>2386</v>
      </c>
      <c r="E3773" s="1" t="s">
        <v>2386</v>
      </c>
      <c r="G3773" s="1" t="s">
        <v>3533</v>
      </c>
      <c r="H3773" s="2" t="str">
        <f>Tabella1[[#This Row],[Denominazione]]&amp;" - "&amp;Tabella1[[#This Row],[Città]]</f>
        <v>GURINI GRAZIELLA APP.TO 237 - PESARO</v>
      </c>
    </row>
    <row r="3774" spans="1:8" x14ac:dyDescent="0.25">
      <c r="A3774" s="1" t="s">
        <v>12</v>
      </c>
      <c r="B3774" s="1" t="s">
        <v>3534</v>
      </c>
      <c r="C3774" s="1" t="s">
        <v>3535</v>
      </c>
      <c r="D3774" s="1" t="s">
        <v>2386</v>
      </c>
      <c r="E3774" s="1" t="s">
        <v>2386</v>
      </c>
      <c r="G3774" s="1" t="s">
        <v>3533</v>
      </c>
      <c r="H3774" s="2" t="str">
        <f>Tabella1[[#This Row],[Denominazione]]&amp;" - "&amp;Tabella1[[#This Row],[Città]]</f>
        <v>GURINI GRAZIELLA APP.TO 239 - PESARO</v>
      </c>
    </row>
    <row r="3775" spans="1:8" x14ac:dyDescent="0.25">
      <c r="A3775" s="1" t="s">
        <v>20</v>
      </c>
      <c r="B3775" s="1" t="s">
        <v>17599</v>
      </c>
      <c r="C3775" s="1" t="s">
        <v>17600</v>
      </c>
      <c r="D3775" s="1" t="s">
        <v>15819</v>
      </c>
      <c r="E3775" s="1" t="s">
        <v>15819</v>
      </c>
      <c r="F3775" s="1" t="s">
        <v>17601</v>
      </c>
      <c r="G3775" s="1" t="s">
        <v>17602</v>
      </c>
      <c r="H3775" s="2" t="str">
        <f>Tabella1[[#This Row],[Denominazione]]&amp;" - "&amp;Tabella1[[#This Row],[Città]]</f>
        <v>HAITI - SAN BENEDETTO DEL TRONTO</v>
      </c>
    </row>
    <row r="3776" spans="1:8" x14ac:dyDescent="0.25">
      <c r="A3776" s="1" t="s">
        <v>20</v>
      </c>
      <c r="B3776" s="1" t="s">
        <v>9489</v>
      </c>
      <c r="C3776" s="1" t="s">
        <v>9490</v>
      </c>
      <c r="D3776" s="1" t="s">
        <v>8949</v>
      </c>
      <c r="E3776" s="1" t="s">
        <v>8949</v>
      </c>
      <c r="F3776" s="1" t="s">
        <v>9491</v>
      </c>
      <c r="G3776" s="1" t="s">
        <v>9492</v>
      </c>
      <c r="H3776" s="2" t="str">
        <f>Tabella1[[#This Row],[Denominazione]]&amp;" - "&amp;Tabella1[[#This Row],[Città]]</f>
        <v>HAMBURG - SENIGALLIA</v>
      </c>
    </row>
    <row r="3777" spans="1:8" x14ac:dyDescent="0.25">
      <c r="A3777" s="1" t="s">
        <v>679</v>
      </c>
      <c r="B3777" s="1" t="s">
        <v>2849</v>
      </c>
      <c r="C3777" s="1" t="s">
        <v>2850</v>
      </c>
      <c r="D3777" s="1" t="s">
        <v>1605</v>
      </c>
      <c r="E3777" s="1" t="s">
        <v>1456</v>
      </c>
      <c r="H3777" s="2" t="str">
        <f>Tabella1[[#This Row],[Denominazione]]&amp;" - "&amp;Tabella1[[#This Row],[Città]]</f>
        <v>HAPPY DAYS BEACH - MONDOLFO</v>
      </c>
    </row>
    <row r="3778" spans="1:8" x14ac:dyDescent="0.25">
      <c r="A3778" s="1" t="s">
        <v>679</v>
      </c>
      <c r="B3778" s="1" t="s">
        <v>17155</v>
      </c>
      <c r="C3778" s="1" t="s">
        <v>17156</v>
      </c>
      <c r="D3778" s="1" t="s">
        <v>15819</v>
      </c>
      <c r="H3778" s="2" t="str">
        <f>Tabella1[[#This Row],[Denominazione]]&amp;" - "&amp;Tabella1[[#This Row],[Città]]</f>
        <v>HAPPY SUN BEACH - SAN BENEDETTO DEL TRONTO</v>
      </c>
    </row>
    <row r="3779" spans="1:8" x14ac:dyDescent="0.25">
      <c r="A3779" s="1" t="s">
        <v>29</v>
      </c>
      <c r="B3779" s="1" t="s">
        <v>19623</v>
      </c>
      <c r="C3779" s="1" t="s">
        <v>19624</v>
      </c>
      <c r="D3779" s="1" t="s">
        <v>19541</v>
      </c>
      <c r="E3779" s="1" t="s">
        <v>19541</v>
      </c>
      <c r="G3779" s="1" t="s">
        <v>19625</v>
      </c>
      <c r="H3779" s="2" t="str">
        <f>Tabella1[[#This Row],[Denominazione]]&amp;" - "&amp;Tabella1[[#This Row],[Città]]</f>
        <v>HARMONIA - SANT'ELPIDIO A MARE</v>
      </c>
    </row>
    <row r="3780" spans="1:8" x14ac:dyDescent="0.25">
      <c r="A3780" s="1" t="s">
        <v>20</v>
      </c>
      <c r="B3780" s="1" t="s">
        <v>17510</v>
      </c>
      <c r="C3780" s="1" t="s">
        <v>17511</v>
      </c>
      <c r="D3780" s="1" t="s">
        <v>15819</v>
      </c>
      <c r="E3780" s="1" t="s">
        <v>15819</v>
      </c>
      <c r="F3780" s="1" t="s">
        <v>17512</v>
      </c>
      <c r="G3780" s="1" t="s">
        <v>17130</v>
      </c>
      <c r="H3780" s="2" t="str">
        <f>Tabella1[[#This Row],[Denominazione]]&amp;" - "&amp;Tabella1[[#This Row],[Città]]</f>
        <v>HAUS CHARLOTTE - SAN BENEDETTO DEL TRONTO</v>
      </c>
    </row>
    <row r="3781" spans="1:8" x14ac:dyDescent="0.25">
      <c r="A3781" s="1" t="s">
        <v>679</v>
      </c>
      <c r="B3781" s="1" t="s">
        <v>17210</v>
      </c>
      <c r="D3781" s="1" t="s">
        <v>15819</v>
      </c>
      <c r="H3781" s="2" t="str">
        <f>Tabella1[[#This Row],[Denominazione]]&amp;" - "&amp;Tabella1[[#This Row],[Città]]</f>
        <v>HAWAII - SAN BENEDETTO DEL TRONTO</v>
      </c>
    </row>
    <row r="3782" spans="1:8" x14ac:dyDescent="0.25">
      <c r="A3782" s="1" t="s">
        <v>679</v>
      </c>
      <c r="B3782" s="1" t="s">
        <v>9977</v>
      </c>
      <c r="C3782" s="1" t="s">
        <v>9845</v>
      </c>
      <c r="D3782" s="1" t="s">
        <v>8949</v>
      </c>
      <c r="E3782" s="1" t="s">
        <v>8949</v>
      </c>
      <c r="H3782" s="2" t="str">
        <f>Tabella1[[#This Row],[Denominazione]]&amp;" - "&amp;Tabella1[[#This Row],[Città]]</f>
        <v>HAWAII BEACH - BAGNI N° 29 BIS - SENIGALLIA</v>
      </c>
    </row>
    <row r="3783" spans="1:8" x14ac:dyDescent="0.25">
      <c r="A3783" s="1" t="s">
        <v>12</v>
      </c>
      <c r="B3783" s="1" t="s">
        <v>12040</v>
      </c>
      <c r="C3783" s="1" t="s">
        <v>12041</v>
      </c>
      <c r="D3783" s="1" t="s">
        <v>11981</v>
      </c>
      <c r="E3783" s="1" t="s">
        <v>11981</v>
      </c>
      <c r="G3783" s="1" t="s">
        <v>12042</v>
      </c>
      <c r="H3783" s="2" t="str">
        <f>Tabella1[[#This Row],[Denominazione]]&amp;" - "&amp;Tabella1[[#This Row],[Città]]</f>
        <v>HOFSTEEDE SARAH - LORO PICENO</v>
      </c>
    </row>
    <row r="3784" spans="1:8" x14ac:dyDescent="0.25">
      <c r="A3784" s="1" t="s">
        <v>20</v>
      </c>
      <c r="B3784" s="1" t="s">
        <v>3995</v>
      </c>
      <c r="C3784" s="1" t="s">
        <v>3996</v>
      </c>
      <c r="D3784" s="1" t="s">
        <v>2386</v>
      </c>
      <c r="F3784" s="1" t="s">
        <v>3997</v>
      </c>
      <c r="G3784" s="1" t="s">
        <v>3998</v>
      </c>
      <c r="H3784" s="2" t="str">
        <f>Tabella1[[#This Row],[Denominazione]]&amp;" - "&amp;Tabella1[[#This Row],[Città]]</f>
        <v>HOLIDAY - PESARO</v>
      </c>
    </row>
    <row r="3785" spans="1:8" x14ac:dyDescent="0.25">
      <c r="A3785" s="1" t="s">
        <v>571</v>
      </c>
      <c r="B3785" s="1" t="s">
        <v>3995</v>
      </c>
      <c r="C3785" s="1" t="s">
        <v>9607</v>
      </c>
      <c r="D3785" s="1" t="s">
        <v>8949</v>
      </c>
      <c r="E3785" s="1" t="s">
        <v>8949</v>
      </c>
      <c r="F3785" s="1" t="s">
        <v>9608</v>
      </c>
      <c r="G3785" s="1" t="s">
        <v>9609</v>
      </c>
      <c r="H3785" s="2" t="str">
        <f>Tabella1[[#This Row],[Denominazione]]&amp;" - "&amp;Tabella1[[#This Row],[Città]]</f>
        <v>HOLIDAY - SENIGALLIA</v>
      </c>
    </row>
    <row r="3786" spans="1:8" x14ac:dyDescent="0.25">
      <c r="A3786" s="1" t="s">
        <v>20</v>
      </c>
      <c r="B3786" s="1" t="s">
        <v>3995</v>
      </c>
      <c r="C3786" s="1" t="s">
        <v>17513</v>
      </c>
      <c r="D3786" s="1" t="s">
        <v>15819</v>
      </c>
      <c r="E3786" s="1" t="s">
        <v>15819</v>
      </c>
      <c r="F3786" s="1" t="s">
        <v>17514</v>
      </c>
      <c r="G3786" s="1" t="s">
        <v>17515</v>
      </c>
      <c r="H3786" s="2" t="str">
        <f>Tabella1[[#This Row],[Denominazione]]&amp;" - "&amp;Tabella1[[#This Row],[Città]]</f>
        <v>HOLIDAY - SAN BENEDETTO DEL TRONTO</v>
      </c>
    </row>
    <row r="3787" spans="1:8" x14ac:dyDescent="0.25">
      <c r="A3787" s="1" t="s">
        <v>571</v>
      </c>
      <c r="B3787" s="1" t="s">
        <v>3995</v>
      </c>
      <c r="C3787" s="1" t="s">
        <v>19413</v>
      </c>
      <c r="D3787" s="1" t="s">
        <v>19283</v>
      </c>
      <c r="E3787" s="1" t="s">
        <v>19414</v>
      </c>
      <c r="F3787" s="1" t="s">
        <v>19415</v>
      </c>
      <c r="G3787" s="1" t="s">
        <v>19416</v>
      </c>
      <c r="H3787" s="2" t="str">
        <f>Tabella1[[#This Row],[Denominazione]]&amp;" - "&amp;Tabella1[[#This Row],[Città]]</f>
        <v>HOLIDAY - PORTO SANT'ELPIDIO</v>
      </c>
    </row>
    <row r="3788" spans="1:8" x14ac:dyDescent="0.25">
      <c r="A3788" s="1" t="s">
        <v>20</v>
      </c>
      <c r="B3788" s="1" t="s">
        <v>17516</v>
      </c>
      <c r="C3788" s="1" t="s">
        <v>17517</v>
      </c>
      <c r="D3788" s="1" t="s">
        <v>15819</v>
      </c>
      <c r="E3788" s="1" t="s">
        <v>15819</v>
      </c>
      <c r="F3788" s="1" t="s">
        <v>17514</v>
      </c>
      <c r="G3788" s="1" t="s">
        <v>17518</v>
      </c>
      <c r="H3788" s="2" t="str">
        <f>Tabella1[[#This Row],[Denominazione]]&amp;" - "&amp;Tabella1[[#This Row],[Città]]</f>
        <v>HOLIDAY DEPENDANCE - SAN BENEDETTO DEL TRONTO</v>
      </c>
    </row>
    <row r="3789" spans="1:8" x14ac:dyDescent="0.25">
      <c r="A3789" s="1" t="s">
        <v>82</v>
      </c>
      <c r="B3789" s="1" t="s">
        <v>17401</v>
      </c>
      <c r="C3789" s="1" t="s">
        <v>17402</v>
      </c>
      <c r="D3789" s="1" t="s">
        <v>15819</v>
      </c>
      <c r="E3789" s="1" t="s">
        <v>17403</v>
      </c>
      <c r="G3789" s="1" t="s">
        <v>17404</v>
      </c>
      <c r="H3789" s="2" t="str">
        <f>Tabella1[[#This Row],[Denominazione]]&amp;" - "&amp;Tabella1[[#This Row],[Città]]</f>
        <v>HOLIDAY HOUSE - F.LLI DESIATI E SCAFETTA A. SNC - SAN BENEDETTO DEL TRONTO</v>
      </c>
    </row>
    <row r="3790" spans="1:8" x14ac:dyDescent="0.25">
      <c r="A3790" s="1" t="s">
        <v>403</v>
      </c>
      <c r="B3790" s="1" t="s">
        <v>19412</v>
      </c>
      <c r="C3790" s="1" t="s">
        <v>19413</v>
      </c>
      <c r="D3790" s="1" t="s">
        <v>19283</v>
      </c>
      <c r="E3790" s="1" t="s">
        <v>19414</v>
      </c>
      <c r="F3790" s="1" t="s">
        <v>19415</v>
      </c>
      <c r="G3790" s="1" t="s">
        <v>19416</v>
      </c>
      <c r="H3790" s="2" t="str">
        <f>Tabella1[[#This Row],[Denominazione]]&amp;" - "&amp;Tabella1[[#This Row],[Città]]</f>
        <v>HOLIDAY S.R.L. - PORTO SANT'ELPIDIO</v>
      </c>
    </row>
    <row r="3791" spans="1:8" x14ac:dyDescent="0.25">
      <c r="A3791" s="1" t="s">
        <v>20</v>
      </c>
      <c r="B3791" s="1" t="s">
        <v>9676</v>
      </c>
      <c r="C3791" s="1" t="s">
        <v>9677</v>
      </c>
      <c r="D3791" s="1" t="s">
        <v>8949</v>
      </c>
      <c r="E3791" s="1" t="s">
        <v>8949</v>
      </c>
      <c r="F3791" s="1" t="s">
        <v>9678</v>
      </c>
      <c r="G3791" s="1" t="s">
        <v>9679</v>
      </c>
      <c r="H3791" s="2" t="str">
        <f>Tabella1[[#This Row],[Denominazione]]&amp;" - "&amp;Tabella1[[#This Row],[Città]]</f>
        <v>HOLLYWOOD - SENIGALLIA</v>
      </c>
    </row>
    <row r="3792" spans="1:8" x14ac:dyDescent="0.25">
      <c r="A3792" s="1" t="s">
        <v>29</v>
      </c>
      <c r="B3792" s="1" t="s">
        <v>15055</v>
      </c>
      <c r="C3792" s="1" t="s">
        <v>15056</v>
      </c>
      <c r="D3792" s="1" t="s">
        <v>14576</v>
      </c>
      <c r="E3792" s="1" t="s">
        <v>14576</v>
      </c>
      <c r="H3792" s="2" t="str">
        <f>Tabella1[[#This Row],[Denominazione]]&amp;" - "&amp;Tabella1[[#This Row],[Città]]</f>
        <v>HOME SWEET HOME - ASCOLI PICENO</v>
      </c>
    </row>
    <row r="3793" spans="1:8" x14ac:dyDescent="0.25">
      <c r="A3793" s="1" t="s">
        <v>82</v>
      </c>
      <c r="B3793" s="1" t="s">
        <v>16854</v>
      </c>
      <c r="C3793" s="1" t="s">
        <v>16855</v>
      </c>
      <c r="D3793" s="1" t="s">
        <v>15819</v>
      </c>
      <c r="E3793" s="1" t="s">
        <v>15819</v>
      </c>
      <c r="G3793" s="1" t="s">
        <v>16856</v>
      </c>
      <c r="H3793" s="2" t="str">
        <f>Tabella1[[#This Row],[Denominazione]]&amp;" - "&amp;Tabella1[[#This Row],[Città]]</f>
        <v>HOSTAL AL PORTO - SAN BENEDETTO DEL TRONTO</v>
      </c>
    </row>
    <row r="3794" spans="1:8" x14ac:dyDescent="0.25">
      <c r="A3794" s="1" t="s">
        <v>20</v>
      </c>
      <c r="B3794" s="1" t="s">
        <v>16412</v>
      </c>
      <c r="C3794" s="1" t="s">
        <v>16413</v>
      </c>
      <c r="D3794" s="1" t="s">
        <v>16396</v>
      </c>
      <c r="E3794" s="1" t="s">
        <v>16396</v>
      </c>
      <c r="F3794" s="1" t="s">
        <v>16414</v>
      </c>
      <c r="G3794" s="1" t="s">
        <v>16415</v>
      </c>
      <c r="H3794" s="2" t="str">
        <f>Tabella1[[#This Row],[Denominazione]]&amp;" - "&amp;Tabella1[[#This Row],[Città]]</f>
        <v>HOSTARIA DEL CAVALIERE - MONTEPRANDONE</v>
      </c>
    </row>
    <row r="3795" spans="1:8" x14ac:dyDescent="0.25">
      <c r="A3795" s="1" t="s">
        <v>20</v>
      </c>
      <c r="B3795" s="1" t="s">
        <v>6465</v>
      </c>
      <c r="C3795" s="1" t="s">
        <v>6466</v>
      </c>
      <c r="D3795" s="1" t="s">
        <v>6467</v>
      </c>
      <c r="E3795" s="1" t="s">
        <v>6467</v>
      </c>
      <c r="F3795" s="1" t="s">
        <v>6468</v>
      </c>
      <c r="G3795" s="1" t="s">
        <v>6469</v>
      </c>
      <c r="H3795" s="2" t="str">
        <f>Tabella1[[#This Row],[Denominazione]]&amp;" - "&amp;Tabella1[[#This Row],[Città]]</f>
        <v>HOSTARIA DELLA POSTA - CASTELPLANIO</v>
      </c>
    </row>
    <row r="3796" spans="1:8" x14ac:dyDescent="0.25">
      <c r="A3796" s="1" t="s">
        <v>679</v>
      </c>
      <c r="B3796" s="1" t="s">
        <v>11657</v>
      </c>
      <c r="C3796" s="1" t="s">
        <v>11658</v>
      </c>
      <c r="D3796" s="1" t="s">
        <v>11244</v>
      </c>
      <c r="E3796" s="1" t="s">
        <v>11244</v>
      </c>
      <c r="F3796" s="1" t="s">
        <v>11659</v>
      </c>
      <c r="G3796" s="1" t="s">
        <v>11660</v>
      </c>
      <c r="H3796" s="2" t="str">
        <f>Tabella1[[#This Row],[Denominazione]]&amp;" - "&amp;Tabella1[[#This Row],[Città]]</f>
        <v>HOSVI - CONCESSIONE N 23 - CIVITANOVA MARCHE</v>
      </c>
    </row>
    <row r="3797" spans="1:8" x14ac:dyDescent="0.25">
      <c r="A3797" s="1" t="s">
        <v>20</v>
      </c>
      <c r="B3797" s="1" t="s">
        <v>6953</v>
      </c>
      <c r="C3797" s="1" t="s">
        <v>6954</v>
      </c>
      <c r="D3797" s="1" t="s">
        <v>6790</v>
      </c>
      <c r="E3797" s="1" t="s">
        <v>6790</v>
      </c>
      <c r="F3797" s="1" t="s">
        <v>6955</v>
      </c>
      <c r="G3797" s="1" t="s">
        <v>6956</v>
      </c>
      <c r="H3797" s="2" t="str">
        <f>Tabella1[[#This Row],[Denominazione]]&amp;" - "&amp;Tabella1[[#This Row],[Città]]</f>
        <v>HOTEL 2000 - FABRIANO</v>
      </c>
    </row>
    <row r="3798" spans="1:8" x14ac:dyDescent="0.25">
      <c r="A3798" s="1" t="s">
        <v>20</v>
      </c>
      <c r="B3798" s="1" t="s">
        <v>14004</v>
      </c>
      <c r="C3798" s="1" t="s">
        <v>14005</v>
      </c>
      <c r="D3798" s="1" t="s">
        <v>13946</v>
      </c>
      <c r="E3798" s="1" t="s">
        <v>13946</v>
      </c>
      <c r="F3798" s="1" t="s">
        <v>14006</v>
      </c>
      <c r="G3798" s="1" t="s">
        <v>14007</v>
      </c>
      <c r="H3798" s="2" t="str">
        <f>Tabella1[[#This Row],[Denominazione]]&amp;" - "&amp;Tabella1[[#This Row],[Città]]</f>
        <v>HOTEL 77 - TOLENTINO</v>
      </c>
    </row>
    <row r="3799" spans="1:8" x14ac:dyDescent="0.25">
      <c r="A3799" s="1" t="s">
        <v>20</v>
      </c>
      <c r="B3799" s="1" t="s">
        <v>8248</v>
      </c>
      <c r="C3799" s="1" t="s">
        <v>8249</v>
      </c>
      <c r="D3799" s="1" t="s">
        <v>7889</v>
      </c>
      <c r="E3799" s="1" t="s">
        <v>7889</v>
      </c>
      <c r="F3799" s="1" t="s">
        <v>8250</v>
      </c>
      <c r="G3799" s="1" t="s">
        <v>8251</v>
      </c>
      <c r="H3799" s="2" t="str">
        <f>Tabella1[[#This Row],[Denominazione]]&amp;" - "&amp;Tabella1[[#This Row],[Città]]</f>
        <v>HOTEL ALESSANDRA - NUMANA</v>
      </c>
    </row>
    <row r="3800" spans="1:8" x14ac:dyDescent="0.25">
      <c r="A3800" s="1" t="s">
        <v>20</v>
      </c>
      <c r="B3800" s="1" t="s">
        <v>8013</v>
      </c>
      <c r="C3800" s="1" t="s">
        <v>8014</v>
      </c>
      <c r="D3800" s="1" t="s">
        <v>7889</v>
      </c>
      <c r="E3800" s="1" t="s">
        <v>7889</v>
      </c>
      <c r="F3800" s="1" t="s">
        <v>8015</v>
      </c>
      <c r="G3800" s="1" t="s">
        <v>8016</v>
      </c>
      <c r="H3800" s="2" t="str">
        <f>Tabella1[[#This Row],[Denominazione]]&amp;" - "&amp;Tabella1[[#This Row],[Città]]</f>
        <v>HOTEL ALEXANDER - NUMANA</v>
      </c>
    </row>
    <row r="3801" spans="1:8" x14ac:dyDescent="0.25">
      <c r="A3801" s="1" t="s">
        <v>20</v>
      </c>
      <c r="B3801" s="1" t="s">
        <v>6191</v>
      </c>
      <c r="C3801" s="1" t="s">
        <v>6192</v>
      </c>
      <c r="D3801" s="1" t="s">
        <v>6049</v>
      </c>
      <c r="E3801" s="1" t="s">
        <v>6049</v>
      </c>
      <c r="G3801" s="1" t="s">
        <v>6193</v>
      </c>
      <c r="H3801" s="2" t="str">
        <f>Tabella1[[#This Row],[Denominazione]]&amp;" - "&amp;Tabella1[[#This Row],[Città]]</f>
        <v>HOTEL ALLE TERRAZZE - ARCEVIA</v>
      </c>
    </row>
    <row r="3802" spans="1:8" x14ac:dyDescent="0.25">
      <c r="A3802" s="1" t="s">
        <v>20</v>
      </c>
      <c r="B3802" s="1" t="s">
        <v>17528</v>
      </c>
      <c r="C3802" s="1" t="s">
        <v>17529</v>
      </c>
      <c r="D3802" s="1" t="s">
        <v>15819</v>
      </c>
      <c r="E3802" s="1" t="s">
        <v>15819</v>
      </c>
      <c r="F3802" s="1" t="s">
        <v>17530</v>
      </c>
      <c r="G3802" s="1" t="s">
        <v>17531</v>
      </c>
      <c r="H3802" s="2" t="str">
        <f>Tabella1[[#This Row],[Denominazione]]&amp;" - "&amp;Tabella1[[#This Row],[Città]]</f>
        <v>HOTEL ALTIS - SAN BENEDETTO DEL TRONTO</v>
      </c>
    </row>
    <row r="3803" spans="1:8" x14ac:dyDescent="0.25">
      <c r="A3803" s="1" t="s">
        <v>20</v>
      </c>
      <c r="B3803" s="1" t="s">
        <v>2828</v>
      </c>
      <c r="C3803" s="1" t="s">
        <v>2829</v>
      </c>
      <c r="D3803" s="1" t="s">
        <v>1605</v>
      </c>
      <c r="E3803" s="1" t="s">
        <v>1605</v>
      </c>
      <c r="F3803" s="1" t="s">
        <v>2830</v>
      </c>
      <c r="G3803" s="1" t="s">
        <v>2831</v>
      </c>
      <c r="H3803" s="2" t="str">
        <f>Tabella1[[#This Row],[Denominazione]]&amp;" - "&amp;Tabella1[[#This Row],[Città]]</f>
        <v>HOTEL AMBASSADOR - MONDOLFO</v>
      </c>
    </row>
    <row r="3804" spans="1:8" x14ac:dyDescent="0.25">
      <c r="A3804" s="1" t="s">
        <v>20</v>
      </c>
      <c r="B3804" s="1" t="s">
        <v>2828</v>
      </c>
      <c r="C3804" s="1" t="s">
        <v>3542</v>
      </c>
      <c r="D3804" s="1" t="s">
        <v>2386</v>
      </c>
      <c r="E3804" s="1" t="s">
        <v>2386</v>
      </c>
      <c r="F3804" s="1" t="s">
        <v>3543</v>
      </c>
      <c r="G3804" s="1" t="s">
        <v>3544</v>
      </c>
      <c r="H3804" s="2" t="str">
        <f>Tabella1[[#This Row],[Denominazione]]&amp;" - "&amp;Tabella1[[#This Row],[Città]]</f>
        <v>HOTEL AMBASSADOR - PESARO</v>
      </c>
    </row>
    <row r="3805" spans="1:8" x14ac:dyDescent="0.25">
      <c r="A3805" s="1" t="s">
        <v>20</v>
      </c>
      <c r="B3805" s="1" t="s">
        <v>2828</v>
      </c>
      <c r="C3805" s="1" t="s">
        <v>15725</v>
      </c>
      <c r="D3805" s="1" t="s">
        <v>15585</v>
      </c>
      <c r="E3805" s="1" t="s">
        <v>15585</v>
      </c>
      <c r="F3805" s="1" t="s">
        <v>15726</v>
      </c>
      <c r="G3805" s="1" t="s">
        <v>15727</v>
      </c>
      <c r="H3805" s="2" t="str">
        <f>Tabella1[[#This Row],[Denominazione]]&amp;" - "&amp;Tabella1[[#This Row],[Città]]</f>
        <v>HOTEL AMBASSADOR - GROTTAMMARE</v>
      </c>
    </row>
    <row r="3806" spans="1:8" x14ac:dyDescent="0.25">
      <c r="A3806" s="1" t="s">
        <v>20</v>
      </c>
      <c r="B3806" s="1" t="s">
        <v>599</v>
      </c>
      <c r="C3806" s="1" t="s">
        <v>600</v>
      </c>
      <c r="D3806" s="1" t="s">
        <v>579</v>
      </c>
      <c r="E3806" s="1" t="s">
        <v>579</v>
      </c>
      <c r="F3806" s="1" t="s">
        <v>601</v>
      </c>
      <c r="G3806" s="1" t="s">
        <v>602</v>
      </c>
      <c r="H3806" s="2" t="str">
        <f>Tabella1[[#This Row],[Denominazione]]&amp;" - "&amp;Tabella1[[#This Row],[Città]]</f>
        <v>HOTEL ANNA - CARPEGNA</v>
      </c>
    </row>
    <row r="3807" spans="1:8" x14ac:dyDescent="0.25">
      <c r="A3807" s="1" t="s">
        <v>20</v>
      </c>
      <c r="B3807" s="1" t="s">
        <v>599</v>
      </c>
      <c r="C3807" s="1" t="s">
        <v>7462</v>
      </c>
      <c r="D3807" s="1" t="s">
        <v>7385</v>
      </c>
      <c r="E3807" s="1" t="s">
        <v>7385</v>
      </c>
      <c r="H3807" s="2" t="str">
        <f>Tabella1[[#This Row],[Denominazione]]&amp;" - "&amp;Tabella1[[#This Row],[Città]]</f>
        <v>HOTEL ANNA - LORETO</v>
      </c>
    </row>
    <row r="3808" spans="1:8" x14ac:dyDescent="0.25">
      <c r="A3808" s="1" t="s">
        <v>20</v>
      </c>
      <c r="B3808" s="1" t="s">
        <v>4518</v>
      </c>
      <c r="C3808" s="1" t="s">
        <v>4519</v>
      </c>
      <c r="D3808" s="1" t="s">
        <v>4493</v>
      </c>
      <c r="E3808" s="1" t="s">
        <v>4493</v>
      </c>
      <c r="F3808" s="1" t="s">
        <v>4520</v>
      </c>
      <c r="G3808" s="1" t="s">
        <v>4521</v>
      </c>
      <c r="H3808" s="2" t="str">
        <f>Tabella1[[#This Row],[Denominazione]]&amp;" - "&amp;Tabella1[[#This Row],[Città]]</f>
        <v>HOTEL ARCA - SASSOCORVARO</v>
      </c>
    </row>
    <row r="3809" spans="1:8" x14ac:dyDescent="0.25">
      <c r="A3809" s="1" t="s">
        <v>20</v>
      </c>
      <c r="B3809" s="1" t="s">
        <v>12154</v>
      </c>
      <c r="C3809" s="1" t="s">
        <v>12155</v>
      </c>
      <c r="D3809" s="1" t="s">
        <v>12050</v>
      </c>
      <c r="E3809" s="1" t="s">
        <v>12050</v>
      </c>
      <c r="F3809" s="1" t="s">
        <v>12156</v>
      </c>
      <c r="G3809" s="1" t="s">
        <v>12157</v>
      </c>
      <c r="H3809" s="2" t="str">
        <f>Tabella1[[#This Row],[Denominazione]]&amp;" - "&amp;Tabella1[[#This Row],[Città]]</f>
        <v>HOTEL ARCADIA - MACERATA</v>
      </c>
    </row>
    <row r="3810" spans="1:8" x14ac:dyDescent="0.25">
      <c r="A3810" s="1" t="s">
        <v>20</v>
      </c>
      <c r="B3810" s="1" t="s">
        <v>17463</v>
      </c>
      <c r="C3810" s="1" t="s">
        <v>17464</v>
      </c>
      <c r="D3810" s="1" t="s">
        <v>15819</v>
      </c>
      <c r="E3810" s="1" t="s">
        <v>15819</v>
      </c>
      <c r="F3810" s="1" t="s">
        <v>17465</v>
      </c>
      <c r="G3810" s="1" t="s">
        <v>17466</v>
      </c>
      <c r="H3810" s="2" t="str">
        <f>Tabella1[[#This Row],[Denominazione]]&amp;" - "&amp;Tabella1[[#This Row],[Città]]</f>
        <v>HOTEL ARLECCHINO - SAN BENEDETTO DEL TRONTO</v>
      </c>
    </row>
    <row r="3811" spans="1:8" x14ac:dyDescent="0.25">
      <c r="A3811" s="1" t="s">
        <v>20</v>
      </c>
      <c r="B3811" s="1" t="s">
        <v>1921</v>
      </c>
      <c r="C3811" s="1" t="s">
        <v>1922</v>
      </c>
      <c r="D3811" s="1" t="s">
        <v>1907</v>
      </c>
      <c r="E3811" s="1" t="s">
        <v>1907</v>
      </c>
      <c r="F3811" s="1" t="s">
        <v>1923</v>
      </c>
      <c r="G3811" s="1" t="s">
        <v>1924</v>
      </c>
      <c r="H3811" s="2" t="str">
        <f>Tabella1[[#This Row],[Denominazione]]&amp;" - "&amp;Tabella1[[#This Row],[Città]]</f>
        <v>HOTEL ATHENA - GABICCE MARE</v>
      </c>
    </row>
    <row r="3812" spans="1:8" x14ac:dyDescent="0.25">
      <c r="A3812" s="1" t="s">
        <v>20</v>
      </c>
      <c r="B3812" s="1" t="s">
        <v>3930</v>
      </c>
      <c r="C3812" s="1" t="s">
        <v>3931</v>
      </c>
      <c r="D3812" s="1" t="s">
        <v>2386</v>
      </c>
      <c r="E3812" s="1" t="s">
        <v>2386</v>
      </c>
      <c r="F3812" s="1" t="s">
        <v>3932</v>
      </c>
      <c r="G3812" s="1" t="s">
        <v>3933</v>
      </c>
      <c r="H3812" s="2" t="str">
        <f>Tabella1[[#This Row],[Denominazione]]&amp;" - "&amp;Tabella1[[#This Row],[Città]]</f>
        <v>HOTEL ATLANTIC - PESARO</v>
      </c>
    </row>
    <row r="3813" spans="1:8" x14ac:dyDescent="0.25">
      <c r="A3813" s="1" t="s">
        <v>20</v>
      </c>
      <c r="B3813" s="1" t="s">
        <v>1969</v>
      </c>
      <c r="C3813" s="1" t="s">
        <v>1970</v>
      </c>
      <c r="D3813" s="1" t="s">
        <v>1907</v>
      </c>
      <c r="E3813" s="1" t="s">
        <v>1907</v>
      </c>
      <c r="F3813" s="1" t="s">
        <v>1971</v>
      </c>
      <c r="G3813" s="1" t="s">
        <v>1972</v>
      </c>
      <c r="H3813" s="2" t="str">
        <f>Tabella1[[#This Row],[Denominazione]]&amp;" - "&amp;Tabella1[[#This Row],[Città]]</f>
        <v>HOTEL ATLAS - GABICCE MARE</v>
      </c>
    </row>
    <row r="3814" spans="1:8" x14ac:dyDescent="0.25">
      <c r="A3814" s="1" t="s">
        <v>20</v>
      </c>
      <c r="B3814" s="1" t="s">
        <v>8245</v>
      </c>
      <c r="C3814" s="1" t="s">
        <v>8246</v>
      </c>
      <c r="D3814" s="1" t="s">
        <v>7889</v>
      </c>
      <c r="E3814" s="1" t="s">
        <v>7889</v>
      </c>
      <c r="G3814" s="1" t="s">
        <v>8247</v>
      </c>
      <c r="H3814" s="2" t="str">
        <f>Tabella1[[#This Row],[Denominazione]]&amp;" - "&amp;Tabella1[[#This Row],[Città]]</f>
        <v>HOTEL BABY GIGLI MEUBLE' - NUMANA</v>
      </c>
    </row>
    <row r="3815" spans="1:8" x14ac:dyDescent="0.25">
      <c r="A3815" s="1" t="s">
        <v>20</v>
      </c>
      <c r="B3815" s="1" t="s">
        <v>17435</v>
      </c>
      <c r="C3815" s="1" t="s">
        <v>17436</v>
      </c>
      <c r="D3815" s="1" t="s">
        <v>15819</v>
      </c>
      <c r="E3815" s="1" t="s">
        <v>15819</v>
      </c>
      <c r="F3815" s="1" t="s">
        <v>17437</v>
      </c>
      <c r="G3815" s="1" t="s">
        <v>17438</v>
      </c>
      <c r="H3815" s="2" t="str">
        <f>Tabella1[[#This Row],[Denominazione]]&amp;" - "&amp;Tabella1[[#This Row],[Città]]</f>
        <v>HOTEL BAHIA - SAN BENEDETTO DEL TRONTO</v>
      </c>
    </row>
    <row r="3816" spans="1:8" x14ac:dyDescent="0.25">
      <c r="A3816" s="1" t="s">
        <v>20</v>
      </c>
      <c r="B3816" s="1" t="s">
        <v>15521</v>
      </c>
      <c r="C3816" s="1" t="s">
        <v>15522</v>
      </c>
      <c r="D3816" s="1" t="s">
        <v>15349</v>
      </c>
      <c r="F3816" s="1" t="s">
        <v>15517</v>
      </c>
      <c r="G3816" s="1" t="s">
        <v>15516</v>
      </c>
      <c r="H3816" s="2" t="str">
        <f>Tabella1[[#This Row],[Denominazione]]&amp;" - "&amp;Tabella1[[#This Row],[Città]]</f>
        <v>HOTEL BAIA MARINA - CUPRA MARITTIMA</v>
      </c>
    </row>
    <row r="3817" spans="1:8" x14ac:dyDescent="0.25">
      <c r="A3817" s="1" t="s">
        <v>20</v>
      </c>
      <c r="B3817" s="1" t="s">
        <v>10251</v>
      </c>
      <c r="C3817" s="1" t="s">
        <v>10252</v>
      </c>
      <c r="D3817" s="1" t="s">
        <v>10206</v>
      </c>
      <c r="E3817" s="1" t="s">
        <v>10206</v>
      </c>
      <c r="F3817" s="1" t="s">
        <v>10253</v>
      </c>
      <c r="G3817" s="1" t="s">
        <v>10254</v>
      </c>
      <c r="H3817" s="2" t="str">
        <f>Tabella1[[#This Row],[Denominazione]]&amp;" - "&amp;Tabella1[[#This Row],[Città]]</f>
        <v>HOTEL BEATRICE - SIROLO</v>
      </c>
    </row>
    <row r="3818" spans="1:8" x14ac:dyDescent="0.25">
      <c r="A3818" s="1" t="s">
        <v>20</v>
      </c>
      <c r="B3818" s="1" t="s">
        <v>9707</v>
      </c>
      <c r="C3818" s="1" t="s">
        <v>9708</v>
      </c>
      <c r="D3818" s="1" t="s">
        <v>8949</v>
      </c>
      <c r="E3818" s="1" t="s">
        <v>8949</v>
      </c>
      <c r="F3818" s="1" t="s">
        <v>9709</v>
      </c>
      <c r="G3818" s="1" t="s">
        <v>9710</v>
      </c>
      <c r="H3818" s="2" t="str">
        <f>Tabella1[[#This Row],[Denominazione]]&amp;" - "&amp;Tabella1[[#This Row],[Città]]</f>
        <v>HOTEL BEAURIVAGE - SENIGALLIA</v>
      </c>
    </row>
    <row r="3819" spans="1:8" x14ac:dyDescent="0.25">
      <c r="A3819" s="1" t="s">
        <v>20</v>
      </c>
      <c r="B3819" s="1" t="s">
        <v>9693</v>
      </c>
      <c r="C3819" s="1" t="s">
        <v>9694</v>
      </c>
      <c r="D3819" s="1" t="s">
        <v>8949</v>
      </c>
      <c r="E3819" s="1" t="s">
        <v>8949</v>
      </c>
      <c r="F3819" s="1" t="s">
        <v>9695</v>
      </c>
      <c r="G3819" s="1" t="s">
        <v>9696</v>
      </c>
      <c r="H3819" s="2" t="str">
        <f>Tabella1[[#This Row],[Denominazione]]&amp;" - "&amp;Tabella1[[#This Row],[Città]]</f>
        <v>HOTEL BEL SIT - SENIGALLIA</v>
      </c>
    </row>
    <row r="3820" spans="1:8" x14ac:dyDescent="0.25">
      <c r="A3820" s="1" t="s">
        <v>20</v>
      </c>
      <c r="B3820" s="1" t="s">
        <v>7908</v>
      </c>
      <c r="C3820" s="1" t="s">
        <v>7909</v>
      </c>
      <c r="D3820" s="1" t="s">
        <v>7889</v>
      </c>
      <c r="E3820" s="1" t="s">
        <v>7889</v>
      </c>
      <c r="F3820" s="1" t="s">
        <v>7910</v>
      </c>
      <c r="G3820" s="1" t="s">
        <v>7911</v>
      </c>
      <c r="H3820" s="2" t="str">
        <f>Tabella1[[#This Row],[Denominazione]]&amp;" - "&amp;Tabella1[[#This Row],[Città]]</f>
        <v>HOTEL BELLAVISTA - NUMANA</v>
      </c>
    </row>
    <row r="3821" spans="1:8" x14ac:dyDescent="0.25">
      <c r="A3821" s="1" t="s">
        <v>20</v>
      </c>
      <c r="B3821" s="1" t="s">
        <v>16426</v>
      </c>
      <c r="C3821" s="1" t="s">
        <v>16427</v>
      </c>
      <c r="D3821" s="1" t="s">
        <v>16396</v>
      </c>
      <c r="F3821" s="1" t="s">
        <v>16428</v>
      </c>
      <c r="G3821" s="1" t="s">
        <v>16429</v>
      </c>
      <c r="H3821" s="2" t="str">
        <f>Tabella1[[#This Row],[Denominazione]]&amp;" - "&amp;Tabella1[[#This Row],[Città]]</f>
        <v>HOTEL BELVEDERE - MONTEPRANDONE</v>
      </c>
    </row>
    <row r="3822" spans="1:8" x14ac:dyDescent="0.25">
      <c r="A3822" s="1" t="s">
        <v>20</v>
      </c>
      <c r="B3822" s="1" t="s">
        <v>12821</v>
      </c>
      <c r="C3822" s="1" t="s">
        <v>12822</v>
      </c>
      <c r="D3822" s="1" t="s">
        <v>12801</v>
      </c>
      <c r="E3822" s="1" t="s">
        <v>12801</v>
      </c>
      <c r="F3822" s="1" t="s">
        <v>12823</v>
      </c>
      <c r="G3822" s="1" t="s">
        <v>12824</v>
      </c>
      <c r="H3822" s="2" t="str">
        <f>Tabella1[[#This Row],[Denominazione]]&amp;" - "&amp;Tabella1[[#This Row],[Città]]</f>
        <v>HOTEL BIANCHI NICOLA - PORTO RECANATI</v>
      </c>
    </row>
    <row r="3823" spans="1:8" x14ac:dyDescent="0.25">
      <c r="A3823" s="1" t="s">
        <v>20</v>
      </c>
      <c r="B3823" s="1" t="s">
        <v>13838</v>
      </c>
      <c r="C3823" s="1" t="s">
        <v>13839</v>
      </c>
      <c r="D3823" s="1" t="s">
        <v>13756</v>
      </c>
      <c r="E3823" s="1" t="s">
        <v>13756</v>
      </c>
      <c r="F3823" s="1" t="s">
        <v>13840</v>
      </c>
      <c r="G3823" s="1" t="s">
        <v>13841</v>
      </c>
      <c r="H3823" s="2" t="str">
        <f>Tabella1[[#This Row],[Denominazione]]&amp;" - "&amp;Tabella1[[#This Row],[Città]]</f>
        <v>HOTEL BRUNFORTE - SARNANO</v>
      </c>
    </row>
    <row r="3824" spans="1:8" x14ac:dyDescent="0.25">
      <c r="A3824" s="1" t="s">
        <v>20</v>
      </c>
      <c r="B3824" s="1" t="s">
        <v>1696</v>
      </c>
      <c r="C3824" s="1" t="s">
        <v>1697</v>
      </c>
      <c r="D3824" s="1" t="s">
        <v>1653</v>
      </c>
      <c r="E3824" s="1" t="s">
        <v>1653</v>
      </c>
      <c r="G3824" s="1" t="s">
        <v>1698</v>
      </c>
      <c r="H3824" s="2" t="str">
        <f>Tabella1[[#This Row],[Denominazione]]&amp;" - "&amp;Tabella1[[#This Row],[Città]]</f>
        <v>HOTEL BUCCI DI PARLATO CLAUDIA - FERMIGNANO</v>
      </c>
    </row>
    <row r="3825" spans="1:8" x14ac:dyDescent="0.25">
      <c r="A3825" s="1" t="s">
        <v>20</v>
      </c>
      <c r="B3825" s="1" t="s">
        <v>3455</v>
      </c>
      <c r="C3825" s="1" t="s">
        <v>3456</v>
      </c>
      <c r="D3825" s="1" t="s">
        <v>2386</v>
      </c>
      <c r="E3825" s="1" t="s">
        <v>2386</v>
      </c>
      <c r="F3825" s="1" t="s">
        <v>3457</v>
      </c>
      <c r="G3825" s="1" t="s">
        <v>3458</v>
      </c>
      <c r="H3825" s="2" t="str">
        <f>Tabella1[[#This Row],[Denominazione]]&amp;" - "&amp;Tabella1[[#This Row],[Città]]</f>
        <v>HOTEL CAESAR - PESARO</v>
      </c>
    </row>
    <row r="3826" spans="1:8" x14ac:dyDescent="0.25">
      <c r="A3826" s="1" t="s">
        <v>20</v>
      </c>
      <c r="B3826" s="1" t="s">
        <v>11759</v>
      </c>
      <c r="C3826" s="1" t="s">
        <v>11760</v>
      </c>
      <c r="D3826" s="1" t="s">
        <v>11728</v>
      </c>
      <c r="E3826" s="1" t="s">
        <v>11728</v>
      </c>
      <c r="F3826" s="1" t="s">
        <v>11761</v>
      </c>
      <c r="G3826" s="1" t="s">
        <v>11762</v>
      </c>
      <c r="H3826" s="2" t="str">
        <f>Tabella1[[#This Row],[Denominazione]]&amp;" - "&amp;Tabella1[[#This Row],[Città]]</f>
        <v>HOTEL CAMERLENGO - CORRIDONIA</v>
      </c>
    </row>
    <row r="3827" spans="1:8" x14ac:dyDescent="0.25">
      <c r="A3827" s="1" t="s">
        <v>20</v>
      </c>
      <c r="B3827" s="1" t="s">
        <v>15495</v>
      </c>
      <c r="C3827" s="1" t="s">
        <v>15496</v>
      </c>
      <c r="D3827" s="1" t="s">
        <v>15349</v>
      </c>
      <c r="E3827" s="1" t="s">
        <v>15349</v>
      </c>
      <c r="F3827" s="1" t="s">
        <v>15497</v>
      </c>
      <c r="G3827" s="1" t="s">
        <v>15498</v>
      </c>
      <c r="H3827" s="2" t="str">
        <f>Tabella1[[#This Row],[Denominazione]]&amp;" - "&amp;Tabella1[[#This Row],[Città]]</f>
        <v>HOTEL CAPITAL - CUPRA MARITTIMA</v>
      </c>
    </row>
    <row r="3828" spans="1:8" x14ac:dyDescent="0.25">
      <c r="A3828" s="1" t="s">
        <v>20</v>
      </c>
      <c r="B3828" s="1" t="s">
        <v>3502</v>
      </c>
      <c r="C3828" s="1" t="s">
        <v>3503</v>
      </c>
      <c r="D3828" s="1" t="s">
        <v>2386</v>
      </c>
      <c r="F3828" s="1" t="s">
        <v>3504</v>
      </c>
      <c r="G3828" s="1" t="s">
        <v>3505</v>
      </c>
      <c r="H3828" s="2" t="str">
        <f>Tabella1[[#This Row],[Denominazione]]&amp;" - "&amp;Tabella1[[#This Row],[Città]]</f>
        <v>HOTEL CAPITOL - PESARO</v>
      </c>
    </row>
    <row r="3829" spans="1:8" x14ac:dyDescent="0.25">
      <c r="A3829" s="1" t="s">
        <v>20</v>
      </c>
      <c r="B3829" s="1" t="s">
        <v>17474</v>
      </c>
      <c r="C3829" s="1" t="s">
        <v>17475</v>
      </c>
      <c r="D3829" s="1" t="s">
        <v>15819</v>
      </c>
      <c r="E3829" s="1" t="s">
        <v>15819</v>
      </c>
      <c r="F3829" s="1" t="s">
        <v>17476</v>
      </c>
      <c r="G3829" s="1" t="s">
        <v>17477</v>
      </c>
      <c r="H3829" s="2" t="str">
        <f>Tabella1[[#This Row],[Denominazione]]&amp;" - "&amp;Tabella1[[#This Row],[Città]]</f>
        <v>HOTEL CAPRI - SAN BENEDETTO DEL TRONTO</v>
      </c>
    </row>
    <row r="3830" spans="1:8" x14ac:dyDescent="0.25">
      <c r="A3830" s="1" t="s">
        <v>20</v>
      </c>
      <c r="B3830" s="1" t="s">
        <v>3724</v>
      </c>
      <c r="C3830" s="1" t="s">
        <v>3725</v>
      </c>
      <c r="D3830" s="1" t="s">
        <v>2386</v>
      </c>
      <c r="E3830" s="1" t="s">
        <v>2386</v>
      </c>
      <c r="F3830" s="1" t="s">
        <v>3726</v>
      </c>
      <c r="G3830" s="1" t="s">
        <v>3727</v>
      </c>
      <c r="H3830" s="2" t="str">
        <f>Tabella1[[#This Row],[Denominazione]]&amp;" - "&amp;Tabella1[[#This Row],[Città]]</f>
        <v>HOTEL CARAVELLE - PESARO</v>
      </c>
    </row>
    <row r="3831" spans="1:8" x14ac:dyDescent="0.25">
      <c r="A3831" s="1" t="s">
        <v>20</v>
      </c>
      <c r="B3831" s="1" t="s">
        <v>17665</v>
      </c>
      <c r="C3831" s="1" t="s">
        <v>17666</v>
      </c>
      <c r="D3831" s="1" t="s">
        <v>17659</v>
      </c>
      <c r="E3831" s="1" t="s">
        <v>17659</v>
      </c>
      <c r="G3831" s="1" t="s">
        <v>17667</v>
      </c>
      <c r="H3831" s="2" t="str">
        <f>Tabella1[[#This Row],[Denominazione]]&amp;" - "&amp;Tabella1[[#This Row],[Città]]</f>
        <v>HOTEL CARLO - SPINETOLI</v>
      </c>
    </row>
    <row r="3832" spans="1:8" x14ac:dyDescent="0.25">
      <c r="A3832" s="1" t="s">
        <v>20</v>
      </c>
      <c r="B3832" s="1" t="s">
        <v>16521</v>
      </c>
      <c r="C3832" s="1" t="s">
        <v>16522</v>
      </c>
      <c r="D3832" s="1" t="s">
        <v>16440</v>
      </c>
      <c r="E3832" s="1" t="s">
        <v>16440</v>
      </c>
      <c r="F3832" s="1" t="s">
        <v>16523</v>
      </c>
      <c r="G3832" s="1" t="s">
        <v>16524</v>
      </c>
      <c r="H3832" s="2" t="str">
        <f>Tabella1[[#This Row],[Denominazione]]&amp;" - "&amp;Tabella1[[#This Row],[Città]]</f>
        <v>HOTEL CAROLINE - OFFIDA</v>
      </c>
    </row>
    <row r="3833" spans="1:8" x14ac:dyDescent="0.25">
      <c r="A3833" s="1" t="s">
        <v>20</v>
      </c>
      <c r="B3833" s="1" t="s">
        <v>15229</v>
      </c>
      <c r="C3833" s="1" t="s">
        <v>15230</v>
      </c>
      <c r="D3833" s="1" t="s">
        <v>15226</v>
      </c>
      <c r="E3833" s="1" t="s">
        <v>15226</v>
      </c>
      <c r="F3833" s="1" t="s">
        <v>15231</v>
      </c>
      <c r="G3833" s="1" t="s">
        <v>15232</v>
      </c>
      <c r="H3833" s="2" t="str">
        <f>Tabella1[[#This Row],[Denominazione]]&amp;" - "&amp;Tabella1[[#This Row],[Città]]</f>
        <v>HOTEL CASALE - COLLI DEL TRONTO</v>
      </c>
    </row>
    <row r="3834" spans="1:8" x14ac:dyDescent="0.25">
      <c r="A3834" s="1" t="s">
        <v>20</v>
      </c>
      <c r="B3834" s="1" t="s">
        <v>2128</v>
      </c>
      <c r="C3834" s="1" t="s">
        <v>2129</v>
      </c>
      <c r="D3834" s="1" t="s">
        <v>1907</v>
      </c>
      <c r="E3834" s="1" t="s">
        <v>1907</v>
      </c>
      <c r="F3834" s="1" t="s">
        <v>2130</v>
      </c>
      <c r="G3834" s="1" t="s">
        <v>2131</v>
      </c>
      <c r="H3834" s="2" t="str">
        <f>Tabella1[[#This Row],[Denominazione]]&amp;" - "&amp;Tabella1[[#This Row],[Città]]</f>
        <v>HOTEL CAVALLUCCIO MARINO - GABICCE MARE</v>
      </c>
    </row>
    <row r="3835" spans="1:8" x14ac:dyDescent="0.25">
      <c r="A3835" s="1" t="s">
        <v>20</v>
      </c>
      <c r="B3835" s="1" t="s">
        <v>7450</v>
      </c>
      <c r="C3835" s="1" t="s">
        <v>7451</v>
      </c>
      <c r="D3835" s="1" t="s">
        <v>7385</v>
      </c>
      <c r="E3835" s="1" t="s">
        <v>7385</v>
      </c>
      <c r="F3835" s="1" t="s">
        <v>7452</v>
      </c>
      <c r="G3835" s="1" t="s">
        <v>7453</v>
      </c>
      <c r="H3835" s="2" t="str">
        <f>Tabella1[[#This Row],[Denominazione]]&amp;" - "&amp;Tabella1[[#This Row],[Città]]</f>
        <v>HOTEL CENTRALE DI PAOLO E CINZIA DI FRONTINI PAOLO - LORETO</v>
      </c>
    </row>
    <row r="3836" spans="1:8" x14ac:dyDescent="0.25">
      <c r="A3836" s="1" t="s">
        <v>20</v>
      </c>
      <c r="B3836" s="1" t="s">
        <v>3149</v>
      </c>
      <c r="C3836" s="1" t="s">
        <v>3150</v>
      </c>
      <c r="D3836" s="1" t="s">
        <v>3131</v>
      </c>
      <c r="E3836" s="1" t="s">
        <v>3131</v>
      </c>
      <c r="F3836" s="1" t="s">
        <v>3147</v>
      </c>
      <c r="G3836" s="1" t="s">
        <v>3148</v>
      </c>
      <c r="H3836" s="2" t="str">
        <f>Tabella1[[#This Row],[Denominazione]]&amp;" - "&amp;Tabella1[[#This Row],[Città]]</f>
        <v>HOTEL CENTRO BENESSERE VILLA DI CARLO - MONTE GRIMANO TERME</v>
      </c>
    </row>
    <row r="3837" spans="1:8" x14ac:dyDescent="0.25">
      <c r="A3837" s="1" t="s">
        <v>20</v>
      </c>
      <c r="B3837" s="1" t="s">
        <v>8035</v>
      </c>
      <c r="C3837" s="1" t="s">
        <v>8036</v>
      </c>
      <c r="D3837" s="1" t="s">
        <v>7889</v>
      </c>
      <c r="E3837" s="1" t="s">
        <v>7889</v>
      </c>
      <c r="F3837" s="1" t="s">
        <v>8037</v>
      </c>
      <c r="G3837" s="1" t="s">
        <v>8038</v>
      </c>
      <c r="H3837" s="2" t="str">
        <f>Tabella1[[#This Row],[Denominazione]]&amp;" - "&amp;Tabella1[[#This Row],[Città]]</f>
        <v>HOTEL CENTRO VACANZE DE ANGELIS - NUMANA</v>
      </c>
    </row>
    <row r="3838" spans="1:8" x14ac:dyDescent="0.25">
      <c r="A3838" s="1" t="s">
        <v>20</v>
      </c>
      <c r="B3838" s="1" t="s">
        <v>11549</v>
      </c>
      <c r="C3838" s="1" t="s">
        <v>11550</v>
      </c>
      <c r="D3838" s="1" t="s">
        <v>11244</v>
      </c>
      <c r="E3838" s="1" t="s">
        <v>11244</v>
      </c>
      <c r="F3838" s="1" t="s">
        <v>11551</v>
      </c>
      <c r="G3838" s="1" t="s">
        <v>11552</v>
      </c>
      <c r="H3838" s="2" t="str">
        <f>Tabella1[[#This Row],[Denominazione]]&amp;" - "&amp;Tabella1[[#This Row],[Città]]</f>
        <v>HOTEL CHIARALUNA - CIVITANOVA MARCHE</v>
      </c>
    </row>
    <row r="3839" spans="1:8" x14ac:dyDescent="0.25">
      <c r="A3839" s="1" t="s">
        <v>20</v>
      </c>
      <c r="B3839" s="1" t="s">
        <v>5616</v>
      </c>
      <c r="C3839" s="1" t="s">
        <v>5617</v>
      </c>
      <c r="D3839" s="1" t="s">
        <v>1864</v>
      </c>
      <c r="E3839" s="1" t="s">
        <v>1864</v>
      </c>
      <c r="F3839" s="1" t="s">
        <v>5618</v>
      </c>
      <c r="G3839" s="1" t="s">
        <v>5619</v>
      </c>
      <c r="H3839" s="2" t="str">
        <f>Tabella1[[#This Row],[Denominazione]]&amp;" - "&amp;Tabella1[[#This Row],[Città]]</f>
        <v>HOTEL CITY - ANCONA</v>
      </c>
    </row>
    <row r="3840" spans="1:8" x14ac:dyDescent="0.25">
      <c r="A3840" s="1" t="s">
        <v>20</v>
      </c>
      <c r="B3840" s="1" t="s">
        <v>6029</v>
      </c>
      <c r="C3840" s="1" t="s">
        <v>6030</v>
      </c>
      <c r="D3840" s="1" t="s">
        <v>1864</v>
      </c>
      <c r="F3840" s="1" t="s">
        <v>5618</v>
      </c>
      <c r="G3840" s="1" t="s">
        <v>5619</v>
      </c>
      <c r="H3840" s="2" t="str">
        <f>Tabella1[[#This Row],[Denominazione]]&amp;" - "&amp;Tabella1[[#This Row],[Città]]</f>
        <v>HOTEL CITY DIPENDENZA - ANCONA</v>
      </c>
    </row>
    <row r="3841" spans="1:8" x14ac:dyDescent="0.25">
      <c r="A3841" s="1" t="s">
        <v>20</v>
      </c>
      <c r="B3841" s="1" t="s">
        <v>13973</v>
      </c>
      <c r="C3841" s="1" t="s">
        <v>13974</v>
      </c>
      <c r="D3841" s="1" t="s">
        <v>13946</v>
      </c>
      <c r="E3841" s="1" t="s">
        <v>13946</v>
      </c>
      <c r="F3841" s="1" t="s">
        <v>13975</v>
      </c>
      <c r="G3841" s="1" t="s">
        <v>13976</v>
      </c>
      <c r="H3841" s="2" t="str">
        <f>Tabella1[[#This Row],[Denominazione]]&amp;" - "&amp;Tabella1[[#This Row],[Città]]</f>
        <v>HOTEL CLUENTUM - TOLENTINO</v>
      </c>
    </row>
    <row r="3842" spans="1:8" x14ac:dyDescent="0.25">
      <c r="A3842" s="1" t="s">
        <v>20</v>
      </c>
      <c r="B3842" s="1" t="s">
        <v>6314</v>
      </c>
      <c r="C3842" s="1" t="s">
        <v>6315</v>
      </c>
      <c r="D3842" s="1" t="s">
        <v>6290</v>
      </c>
      <c r="E3842" s="1" t="s">
        <v>6290</v>
      </c>
      <c r="F3842" s="1" t="s">
        <v>6316</v>
      </c>
      <c r="G3842" s="1" t="s">
        <v>6317</v>
      </c>
      <c r="H3842" s="2" t="str">
        <f>Tabella1[[#This Row],[Denominazione]]&amp;" - "&amp;Tabella1[[#This Row],[Città]]</f>
        <v>HOTEL CONCORDE - CAMERANO</v>
      </c>
    </row>
    <row r="3843" spans="1:8" x14ac:dyDescent="0.25">
      <c r="A3843" s="1" t="s">
        <v>20</v>
      </c>
      <c r="B3843" s="1" t="s">
        <v>3921</v>
      </c>
      <c r="C3843" s="1" t="s">
        <v>3922</v>
      </c>
      <c r="D3843" s="1" t="s">
        <v>2386</v>
      </c>
      <c r="E3843" s="1" t="s">
        <v>2386</v>
      </c>
      <c r="G3843" s="1" t="s">
        <v>3923</v>
      </c>
      <c r="H3843" s="2" t="str">
        <f>Tabella1[[#This Row],[Denominazione]]&amp;" - "&amp;Tabella1[[#This Row],[Città]]</f>
        <v>HOTEL CONTINENTAL - PESARO</v>
      </c>
    </row>
    <row r="3844" spans="1:8" x14ac:dyDescent="0.25">
      <c r="A3844" s="1" t="s">
        <v>20</v>
      </c>
      <c r="B3844" s="1" t="s">
        <v>11384</v>
      </c>
      <c r="C3844" s="1" t="s">
        <v>11385</v>
      </c>
      <c r="D3844" s="1" t="s">
        <v>11244</v>
      </c>
      <c r="E3844" s="1" t="s">
        <v>11244</v>
      </c>
      <c r="F3844" s="1" t="s">
        <v>11386</v>
      </c>
      <c r="G3844" s="1" t="s">
        <v>11387</v>
      </c>
      <c r="H3844" s="2" t="str">
        <f>Tabella1[[#This Row],[Denominazione]]&amp;" - "&amp;Tabella1[[#This Row],[Città]]</f>
        <v>HOTEL COSMOPOLITAN - CIVITANOVA MARCHE</v>
      </c>
    </row>
    <row r="3845" spans="1:8" x14ac:dyDescent="0.25">
      <c r="A3845" s="1" t="s">
        <v>20</v>
      </c>
      <c r="B3845" s="1" t="s">
        <v>17519</v>
      </c>
      <c r="C3845" s="1" t="s">
        <v>17520</v>
      </c>
      <c r="D3845" s="1" t="s">
        <v>15819</v>
      </c>
      <c r="E3845" s="1" t="s">
        <v>15819</v>
      </c>
      <c r="F3845" s="1" t="s">
        <v>17521</v>
      </c>
      <c r="G3845" s="1" t="s">
        <v>17522</v>
      </c>
      <c r="H3845" s="2" t="str">
        <f>Tabella1[[#This Row],[Denominazione]]&amp;" - "&amp;Tabella1[[#This Row],[Città]]</f>
        <v>HOTEL CRISTALL - SAN BENEDETTO DEL TRONTO</v>
      </c>
    </row>
    <row r="3846" spans="1:8" x14ac:dyDescent="0.25">
      <c r="A3846" s="1" t="s">
        <v>20</v>
      </c>
      <c r="B3846" s="1" t="s">
        <v>8960</v>
      </c>
      <c r="C3846" s="1" t="s">
        <v>8961</v>
      </c>
      <c r="D3846" s="1" t="s">
        <v>8949</v>
      </c>
      <c r="E3846" s="1" t="s">
        <v>8949</v>
      </c>
      <c r="G3846" s="1" t="s">
        <v>8962</v>
      </c>
      <c r="H3846" s="2" t="str">
        <f>Tabella1[[#This Row],[Denominazione]]&amp;" - "&amp;Tabella1[[#This Row],[Città]]</f>
        <v>HOTEL CRISTALLO - SENIGALLIA</v>
      </c>
    </row>
    <row r="3847" spans="1:8" x14ac:dyDescent="0.25">
      <c r="A3847" s="1" t="s">
        <v>20</v>
      </c>
      <c r="B3847" s="1" t="s">
        <v>1257</v>
      </c>
      <c r="C3847" s="1" t="s">
        <v>1258</v>
      </c>
      <c r="D3847" s="1" t="s">
        <v>682</v>
      </c>
      <c r="E3847" s="1" t="s">
        <v>682</v>
      </c>
      <c r="F3847" s="1" t="s">
        <v>1259</v>
      </c>
      <c r="G3847" s="1" t="s">
        <v>1260</v>
      </c>
      <c r="H3847" s="2" t="str">
        <f>Tabella1[[#This Row],[Denominazione]]&amp;" - "&amp;Tabella1[[#This Row],[Città]]</f>
        <v>HOTEL DE LA VILLE - FANO</v>
      </c>
    </row>
    <row r="3848" spans="1:8" x14ac:dyDescent="0.25">
      <c r="A3848" s="1" t="s">
        <v>20</v>
      </c>
      <c r="B3848" s="1" t="s">
        <v>1257</v>
      </c>
      <c r="C3848" s="1" t="s">
        <v>9591</v>
      </c>
      <c r="D3848" s="1" t="s">
        <v>8949</v>
      </c>
      <c r="E3848" s="1" t="s">
        <v>8949</v>
      </c>
      <c r="F3848" s="1" t="s">
        <v>9592</v>
      </c>
      <c r="G3848" s="1" t="s">
        <v>9593</v>
      </c>
      <c r="H3848" s="2" t="str">
        <f>Tabella1[[#This Row],[Denominazione]]&amp;" - "&amp;Tabella1[[#This Row],[Città]]</f>
        <v>HOTEL DE LA VILLE - SENIGALLIA</v>
      </c>
    </row>
    <row r="3849" spans="1:8" x14ac:dyDescent="0.25">
      <c r="A3849" s="1" t="s">
        <v>20</v>
      </c>
      <c r="B3849" s="1" t="s">
        <v>7331</v>
      </c>
      <c r="C3849" s="1" t="s">
        <v>7332</v>
      </c>
      <c r="D3849" s="1" t="s">
        <v>7254</v>
      </c>
      <c r="E3849" s="1" t="s">
        <v>7254</v>
      </c>
      <c r="F3849" s="1" t="s">
        <v>7333</v>
      </c>
      <c r="G3849" s="1" t="s">
        <v>7334</v>
      </c>
      <c r="H3849" s="2" t="str">
        <f>Tabella1[[#This Row],[Denominazione]]&amp;" - "&amp;Tabella1[[#This Row],[Città]]</f>
        <v>HOTEL DEI NANI - JESI</v>
      </c>
    </row>
    <row r="3850" spans="1:8" x14ac:dyDescent="0.25">
      <c r="A3850" s="1" t="s">
        <v>20</v>
      </c>
      <c r="B3850" s="1" t="s">
        <v>16182</v>
      </c>
      <c r="C3850" s="1" t="s">
        <v>16183</v>
      </c>
      <c r="D3850" s="1" t="s">
        <v>16165</v>
      </c>
      <c r="E3850" s="1" t="s">
        <v>16165</v>
      </c>
      <c r="F3850" s="1" t="s">
        <v>16184</v>
      </c>
      <c r="G3850" s="1" t="s">
        <v>16185</v>
      </c>
      <c r="H3850" s="2" t="str">
        <f>Tabella1[[#This Row],[Denominazione]]&amp;" - "&amp;Tabella1[[#This Row],[Città]]</f>
        <v>HOTEL DEL DUCA - MONTEDINOVE</v>
      </c>
    </row>
    <row r="3851" spans="1:8" x14ac:dyDescent="0.25">
      <c r="A3851" s="1" t="s">
        <v>20</v>
      </c>
      <c r="B3851" s="1" t="s">
        <v>16234</v>
      </c>
      <c r="C3851" s="1" t="s">
        <v>16235</v>
      </c>
      <c r="D3851" s="1" t="s">
        <v>16202</v>
      </c>
      <c r="E3851" s="1" t="s">
        <v>16203</v>
      </c>
      <c r="F3851" s="1" t="s">
        <v>16236</v>
      </c>
      <c r="G3851" s="1" t="s">
        <v>16237</v>
      </c>
      <c r="H3851" s="2" t="str">
        <f>Tabella1[[#This Row],[Denominazione]]&amp;" - "&amp;Tabella1[[#This Row],[Città]]</f>
        <v>HOTEL DEL PARCO - MONTEFIORE DELL'ASO</v>
      </c>
    </row>
    <row r="3852" spans="1:8" x14ac:dyDescent="0.25">
      <c r="A3852" s="1" t="s">
        <v>20</v>
      </c>
      <c r="B3852" s="1" t="s">
        <v>12231</v>
      </c>
      <c r="C3852" s="1" t="s">
        <v>12232</v>
      </c>
      <c r="D3852" s="1" t="s">
        <v>12208</v>
      </c>
      <c r="E3852" s="1" t="s">
        <v>12208</v>
      </c>
      <c r="F3852" s="1" t="s">
        <v>12233</v>
      </c>
      <c r="G3852" s="1" t="s">
        <v>12234</v>
      </c>
      <c r="H3852" s="2" t="str">
        <f>Tabella1[[#This Row],[Denominazione]]&amp;" - "&amp;Tabella1[[#This Row],[Città]]</f>
        <v>HOTEL DELLA LOGGIA - MATELICA</v>
      </c>
    </row>
    <row r="3853" spans="1:8" x14ac:dyDescent="0.25">
      <c r="A3853" s="1" t="s">
        <v>20</v>
      </c>
      <c r="B3853" s="1" t="s">
        <v>5612</v>
      </c>
      <c r="C3853" s="1" t="s">
        <v>5613</v>
      </c>
      <c r="D3853" s="1" t="s">
        <v>1864</v>
      </c>
      <c r="E3853" s="1" t="s">
        <v>1864</v>
      </c>
      <c r="F3853" s="1" t="s">
        <v>5614</v>
      </c>
      <c r="G3853" s="1" t="s">
        <v>5615</v>
      </c>
      <c r="H3853" s="2" t="str">
        <f>Tabella1[[#This Row],[Denominazione]]&amp;" - "&amp;Tabella1[[#This Row],[Città]]</f>
        <v>HOTEL DELLA ROSA - ANCONA</v>
      </c>
    </row>
    <row r="3854" spans="1:8" x14ac:dyDescent="0.25">
      <c r="A3854" s="1" t="s">
        <v>20</v>
      </c>
      <c r="B3854" s="1" t="s">
        <v>5519</v>
      </c>
      <c r="C3854" s="1" t="s">
        <v>5520</v>
      </c>
      <c r="D3854" s="1" t="s">
        <v>1864</v>
      </c>
      <c r="E3854" s="1" t="s">
        <v>1864</v>
      </c>
      <c r="F3854" s="1" t="s">
        <v>5521</v>
      </c>
      <c r="G3854" s="1" t="s">
        <v>5522</v>
      </c>
      <c r="H3854" s="2" t="str">
        <f>Tabella1[[#This Row],[Denominazione]]&amp;" - "&amp;Tabella1[[#This Row],[Città]]</f>
        <v>HOTEL DELLA VITTORIA - ANCONA</v>
      </c>
    </row>
    <row r="3855" spans="1:8" x14ac:dyDescent="0.25">
      <c r="A3855" s="1" t="s">
        <v>20</v>
      </c>
      <c r="B3855" s="1" t="s">
        <v>8750</v>
      </c>
      <c r="C3855" s="1" t="s">
        <v>8751</v>
      </c>
      <c r="D3855" s="1" t="s">
        <v>8731</v>
      </c>
      <c r="E3855" s="1" t="s">
        <v>8731</v>
      </c>
      <c r="F3855" s="1" t="s">
        <v>8752</v>
      </c>
      <c r="G3855" s="1" t="s">
        <v>8753</v>
      </c>
      <c r="H3855" s="2" t="str">
        <f>Tabella1[[#This Row],[Denominazione]]&amp;" - "&amp;Tabella1[[#This Row],[Città]]</f>
        <v>HOTEL DURANTI - POLVERIGI</v>
      </c>
    </row>
    <row r="3856" spans="1:8" x14ac:dyDescent="0.25">
      <c r="A3856" s="1" t="s">
        <v>20</v>
      </c>
      <c r="B3856" s="1" t="s">
        <v>8256</v>
      </c>
      <c r="C3856" s="1" t="s">
        <v>8257</v>
      </c>
      <c r="D3856" s="1" t="s">
        <v>7889</v>
      </c>
      <c r="E3856" s="1" t="s">
        <v>7889</v>
      </c>
      <c r="G3856" s="1" t="s">
        <v>7960</v>
      </c>
      <c r="H3856" s="2" t="str">
        <f>Tabella1[[#This Row],[Denominazione]]&amp;" - "&amp;Tabella1[[#This Row],[Città]]</f>
        <v>HOTEL EDEN GIGLI - NUMANA</v>
      </c>
    </row>
    <row r="3857" spans="1:8" x14ac:dyDescent="0.25">
      <c r="A3857" s="1" t="s">
        <v>679</v>
      </c>
      <c r="B3857" s="1" t="s">
        <v>9955</v>
      </c>
      <c r="C3857" s="1" t="s">
        <v>9956</v>
      </c>
      <c r="D3857" s="1" t="s">
        <v>8949</v>
      </c>
      <c r="E3857" s="1" t="s">
        <v>8949</v>
      </c>
      <c r="H3857" s="2" t="str">
        <f>Tabella1[[#This Row],[Denominazione]]&amp;" - "&amp;Tabella1[[#This Row],[Città]]</f>
        <v>HOTEL ELENA - BAGNI N° 18 - SENIGALLIA</v>
      </c>
    </row>
    <row r="3858" spans="1:8" x14ac:dyDescent="0.25">
      <c r="A3858" s="1" t="s">
        <v>20</v>
      </c>
      <c r="B3858" s="1" t="s">
        <v>3429</v>
      </c>
      <c r="C3858" s="1" t="s">
        <v>3430</v>
      </c>
      <c r="D3858" s="1" t="s">
        <v>2386</v>
      </c>
      <c r="F3858" s="1" t="s">
        <v>3431</v>
      </c>
      <c r="G3858" s="1" t="s">
        <v>3432</v>
      </c>
      <c r="H3858" s="2" t="str">
        <f>Tabella1[[#This Row],[Denominazione]]&amp;" - "&amp;Tabella1[[#This Row],[Città]]</f>
        <v>HOTEL ELVEZIA - PESARO</v>
      </c>
    </row>
    <row r="3859" spans="1:8" x14ac:dyDescent="0.25">
      <c r="A3859" s="1" t="s">
        <v>20</v>
      </c>
      <c r="B3859" s="1" t="s">
        <v>10248</v>
      </c>
      <c r="C3859" s="1" t="s">
        <v>10249</v>
      </c>
      <c r="D3859" s="1" t="s">
        <v>10206</v>
      </c>
      <c r="E3859" s="1" t="s">
        <v>10206</v>
      </c>
      <c r="F3859" s="1" t="s">
        <v>10232</v>
      </c>
      <c r="G3859" s="1" t="s">
        <v>10233</v>
      </c>
      <c r="H3859" s="2" t="str">
        <f>Tabella1[[#This Row],[Denominazione]]&amp;" - "&amp;Tabella1[[#This Row],[Città]]</f>
        <v>HOTEL EMILIANA - SIROLO</v>
      </c>
    </row>
    <row r="3860" spans="1:8" x14ac:dyDescent="0.25">
      <c r="A3860" s="1" t="s">
        <v>20</v>
      </c>
      <c r="B3860" s="1" t="s">
        <v>1961</v>
      </c>
      <c r="C3860" s="1" t="s">
        <v>1962</v>
      </c>
      <c r="D3860" s="1" t="s">
        <v>1907</v>
      </c>
      <c r="E3860" s="1" t="s">
        <v>1907</v>
      </c>
      <c r="F3860" s="1" t="s">
        <v>1963</v>
      </c>
      <c r="G3860" s="1" t="s">
        <v>1964</v>
      </c>
      <c r="H3860" s="2" t="str">
        <f>Tabella1[[#This Row],[Denominazione]]&amp;" - "&amp;Tabella1[[#This Row],[Città]]</f>
        <v>HOTEL EUROPA - GABICCE MARE</v>
      </c>
    </row>
    <row r="3861" spans="1:8" x14ac:dyDescent="0.25">
      <c r="A3861" s="1" t="s">
        <v>20</v>
      </c>
      <c r="B3861" s="1" t="s">
        <v>1961</v>
      </c>
      <c r="C3861" s="1" t="s">
        <v>5818</v>
      </c>
      <c r="D3861" s="1" t="s">
        <v>1864</v>
      </c>
      <c r="E3861" s="1" t="s">
        <v>5819</v>
      </c>
      <c r="F3861" s="1" t="s">
        <v>5820</v>
      </c>
      <c r="G3861" s="1" t="s">
        <v>5821</v>
      </c>
      <c r="H3861" s="2" t="str">
        <f>Tabella1[[#This Row],[Denominazione]]&amp;" - "&amp;Tabella1[[#This Row],[Città]]</f>
        <v>HOTEL EUROPA - ANCONA</v>
      </c>
    </row>
    <row r="3862" spans="1:8" x14ac:dyDescent="0.25">
      <c r="A3862" s="1" t="s">
        <v>20</v>
      </c>
      <c r="B3862" s="1" t="s">
        <v>2147</v>
      </c>
      <c r="C3862" s="1" t="s">
        <v>2148</v>
      </c>
      <c r="D3862" s="1" t="s">
        <v>1907</v>
      </c>
      <c r="E3862" s="1" t="s">
        <v>1907</v>
      </c>
      <c r="F3862" s="1" t="s">
        <v>2149</v>
      </c>
      <c r="G3862" s="1" t="s">
        <v>2150</v>
      </c>
      <c r="H3862" s="2" t="str">
        <f>Tabella1[[#This Row],[Denominazione]]&amp;" - "&amp;Tabella1[[#This Row],[Città]]</f>
        <v>HOTEL FABBRI - GABICCE MARE</v>
      </c>
    </row>
    <row r="3863" spans="1:8" x14ac:dyDescent="0.25">
      <c r="A3863" s="1" t="s">
        <v>20</v>
      </c>
      <c r="B3863" s="1" t="s">
        <v>13697</v>
      </c>
      <c r="C3863" s="1" t="s">
        <v>13667</v>
      </c>
      <c r="D3863" s="1" t="s">
        <v>13548</v>
      </c>
      <c r="E3863" s="1" t="s">
        <v>13548</v>
      </c>
      <c r="G3863" s="1" t="s">
        <v>13698</v>
      </c>
      <c r="H3863" s="2" t="str">
        <f>Tabella1[[#This Row],[Denominazione]]&amp;" - "&amp;Tabella1[[#This Row],[Città]]</f>
        <v>HOTEL FERONIA - SAN SEVERINO MARCHE</v>
      </c>
    </row>
    <row r="3864" spans="1:8" x14ac:dyDescent="0.25">
      <c r="A3864" s="1" t="s">
        <v>20</v>
      </c>
      <c r="B3864" s="1" t="s">
        <v>3817</v>
      </c>
      <c r="C3864" s="1" t="s">
        <v>3818</v>
      </c>
      <c r="D3864" s="1" t="s">
        <v>2386</v>
      </c>
      <c r="E3864" s="1" t="s">
        <v>2386</v>
      </c>
      <c r="F3864" s="1" t="s">
        <v>3819</v>
      </c>
      <c r="G3864" s="1" t="s">
        <v>3820</v>
      </c>
      <c r="H3864" s="2" t="str">
        <f>Tabella1[[#This Row],[Denominazione]]&amp;" - "&amp;Tabella1[[#This Row],[Città]]</f>
        <v>HOTEL FIERA - PESARO</v>
      </c>
    </row>
    <row r="3865" spans="1:8" x14ac:dyDescent="0.25">
      <c r="A3865" s="1" t="s">
        <v>20</v>
      </c>
      <c r="B3865" s="1" t="s">
        <v>3498</v>
      </c>
      <c r="C3865" s="1" t="s">
        <v>3499</v>
      </c>
      <c r="D3865" s="1" t="s">
        <v>2386</v>
      </c>
      <c r="E3865" s="1" t="s">
        <v>2386</v>
      </c>
      <c r="F3865" s="1" t="s">
        <v>3500</v>
      </c>
      <c r="G3865" s="1" t="s">
        <v>3501</v>
      </c>
      <c r="H3865" s="2" t="str">
        <f>Tabella1[[#This Row],[Denominazione]]&amp;" - "&amp;Tabella1[[#This Row],[Città]]</f>
        <v>HOTEL FIGARO - PESARO</v>
      </c>
    </row>
    <row r="3866" spans="1:8" x14ac:dyDescent="0.25">
      <c r="A3866" s="1" t="s">
        <v>20</v>
      </c>
      <c r="B3866" s="1" t="s">
        <v>12254</v>
      </c>
      <c r="C3866" s="1" t="s">
        <v>12255</v>
      </c>
      <c r="D3866" s="1" t="s">
        <v>12208</v>
      </c>
      <c r="E3866" s="1" t="s">
        <v>12208</v>
      </c>
      <c r="H3866" s="2" t="str">
        <f>Tabella1[[#This Row],[Denominazione]]&amp;" - "&amp;Tabella1[[#This Row],[Città]]</f>
        <v>HOTEL FIORITI - ALBERGO RISTORANTE - MATELICA</v>
      </c>
    </row>
    <row r="3867" spans="1:8" x14ac:dyDescent="0.25">
      <c r="A3867" s="1" t="s">
        <v>20</v>
      </c>
      <c r="B3867" s="1" t="s">
        <v>4608</v>
      </c>
      <c r="C3867" s="1" t="s">
        <v>4609</v>
      </c>
      <c r="D3867" s="1" t="s">
        <v>4578</v>
      </c>
      <c r="E3867" s="1" t="s">
        <v>4578</v>
      </c>
      <c r="F3867" s="1" t="s">
        <v>4610</v>
      </c>
      <c r="G3867" s="1" t="s">
        <v>4611</v>
      </c>
      <c r="H3867" s="2" t="str">
        <f>Tabella1[[#This Row],[Denominazione]]&amp;" - "&amp;Tabella1[[#This Row],[Città]]</f>
        <v>HOTEL FLAMINIO - SERRUNGARINA</v>
      </c>
    </row>
    <row r="3868" spans="1:8" x14ac:dyDescent="0.25">
      <c r="A3868" s="1" t="s">
        <v>20</v>
      </c>
      <c r="B3868" s="1" t="s">
        <v>2911</v>
      </c>
      <c r="C3868" s="1" t="s">
        <v>2912</v>
      </c>
      <c r="D3868" s="1" t="s">
        <v>1605</v>
      </c>
      <c r="E3868" s="1" t="s">
        <v>1605</v>
      </c>
      <c r="F3868" s="1" t="s">
        <v>2913</v>
      </c>
      <c r="G3868" s="1" t="s">
        <v>2914</v>
      </c>
      <c r="H3868" s="2" t="str">
        <f>Tabella1[[#This Row],[Denominazione]]&amp;" - "&amp;Tabella1[[#This Row],[Città]]</f>
        <v>HOTEL FLORENCE - MONDOLFO</v>
      </c>
    </row>
    <row r="3869" spans="1:8" x14ac:dyDescent="0.25">
      <c r="A3869" s="1" t="s">
        <v>20</v>
      </c>
      <c r="B3869" s="1" t="s">
        <v>3492</v>
      </c>
      <c r="C3869" s="1" t="s">
        <v>3493</v>
      </c>
      <c r="D3869" s="1" t="s">
        <v>2386</v>
      </c>
      <c r="E3869" s="1" t="s">
        <v>2386</v>
      </c>
      <c r="G3869" s="1" t="s">
        <v>3494</v>
      </c>
      <c r="H3869" s="2" t="str">
        <f>Tabella1[[#This Row],[Denominazione]]&amp;" - "&amp;Tabella1[[#This Row],[Città]]</f>
        <v>HOTEL FLYING - PESARO</v>
      </c>
    </row>
    <row r="3870" spans="1:8" x14ac:dyDescent="0.25">
      <c r="A3870" s="1" t="s">
        <v>20</v>
      </c>
      <c r="B3870" s="1" t="s">
        <v>19193</v>
      </c>
      <c r="C3870" s="1" t="s">
        <v>19194</v>
      </c>
      <c r="D3870" s="1" t="s">
        <v>18082</v>
      </c>
      <c r="E3870" s="1" t="s">
        <v>18082</v>
      </c>
      <c r="F3870" s="1" t="s">
        <v>19195</v>
      </c>
      <c r="G3870" s="1" t="s">
        <v>19196</v>
      </c>
      <c r="H3870" s="2" t="str">
        <f>Tabella1[[#This Row],[Denominazione]]&amp;" - "&amp;Tabella1[[#This Row],[Città]]</f>
        <v>HOTEL GABBIANO - PORTO SAN GIORGIO</v>
      </c>
    </row>
    <row r="3871" spans="1:8" x14ac:dyDescent="0.25">
      <c r="A3871" s="1" t="s">
        <v>20</v>
      </c>
      <c r="B3871" s="1" t="s">
        <v>3514</v>
      </c>
      <c r="C3871" s="1" t="s">
        <v>3515</v>
      </c>
      <c r="D3871" s="1" t="s">
        <v>2386</v>
      </c>
      <c r="E3871" s="1" t="s">
        <v>2386</v>
      </c>
      <c r="F3871" s="1" t="s">
        <v>3516</v>
      </c>
      <c r="G3871" s="1" t="s">
        <v>3517</v>
      </c>
      <c r="H3871" s="2" t="str">
        <f>Tabella1[[#This Row],[Denominazione]]&amp;" - "&amp;Tabella1[[#This Row],[Città]]</f>
        <v>HOTEL GALA - PESARO</v>
      </c>
    </row>
    <row r="3872" spans="1:8" x14ac:dyDescent="0.25">
      <c r="A3872" s="1" t="s">
        <v>20</v>
      </c>
      <c r="B3872" s="1" t="s">
        <v>7912</v>
      </c>
      <c r="C3872" s="1" t="s">
        <v>7913</v>
      </c>
      <c r="D3872" s="1" t="s">
        <v>7889</v>
      </c>
      <c r="F3872" s="1" t="s">
        <v>7914</v>
      </c>
      <c r="G3872" s="1" t="s">
        <v>7915</v>
      </c>
      <c r="H3872" s="2" t="str">
        <f>Tabella1[[#This Row],[Denominazione]]&amp;" - "&amp;Tabella1[[#This Row],[Città]]</f>
        <v>HOTEL GALASSI - NUMANA</v>
      </c>
    </row>
    <row r="3873" spans="1:8" x14ac:dyDescent="0.25">
      <c r="A3873" s="1" t="s">
        <v>20</v>
      </c>
      <c r="B3873" s="1" t="s">
        <v>13051</v>
      </c>
      <c r="C3873" s="1" t="s">
        <v>13052</v>
      </c>
      <c r="D3873" s="1" t="s">
        <v>13026</v>
      </c>
      <c r="E3873" s="1" t="s">
        <v>13026</v>
      </c>
      <c r="G3873" s="1" t="s">
        <v>13053</v>
      </c>
      <c r="H3873" s="2" t="str">
        <f>Tabella1[[#This Row],[Denominazione]]&amp;" - "&amp;Tabella1[[#This Row],[Città]]</f>
        <v>HOTEL GALLO - POTENZA PICENA</v>
      </c>
    </row>
    <row r="3874" spans="1:8" x14ac:dyDescent="0.25">
      <c r="A3874" s="1" t="s">
        <v>20</v>
      </c>
      <c r="B3874" s="1" t="s">
        <v>17504</v>
      </c>
      <c r="C3874" s="1" t="s">
        <v>11128</v>
      </c>
      <c r="D3874" s="1" t="s">
        <v>15819</v>
      </c>
      <c r="E3874" s="1" t="s">
        <v>15819</v>
      </c>
      <c r="F3874" s="1" t="s">
        <v>17505</v>
      </c>
      <c r="G3874" s="1" t="s">
        <v>17506</v>
      </c>
      <c r="H3874" s="2" t="str">
        <f>Tabella1[[#This Row],[Denominazione]]&amp;" - "&amp;Tabella1[[#This Row],[Città]]</f>
        <v>HOTEL GIANCARLO - SAN BENEDETTO DEL TRONTO</v>
      </c>
    </row>
    <row r="3875" spans="1:8" x14ac:dyDescent="0.25">
      <c r="A3875" s="1" t="s">
        <v>20</v>
      </c>
      <c r="B3875" s="1" t="s">
        <v>7442</v>
      </c>
      <c r="C3875" s="1" t="s">
        <v>7443</v>
      </c>
      <c r="D3875" s="1" t="s">
        <v>7385</v>
      </c>
      <c r="E3875" s="1" t="s">
        <v>7385</v>
      </c>
      <c r="F3875" s="1" t="s">
        <v>7444</v>
      </c>
      <c r="G3875" s="1" t="s">
        <v>7445</v>
      </c>
      <c r="H3875" s="2" t="str">
        <f>Tabella1[[#This Row],[Denominazione]]&amp;" - "&amp;Tabella1[[#This Row],[Città]]</f>
        <v>HOTEL GIARDINETTO - LORETO</v>
      </c>
    </row>
    <row r="3876" spans="1:8" x14ac:dyDescent="0.25">
      <c r="A3876" s="1" t="s">
        <v>20</v>
      </c>
      <c r="B3876" s="1" t="s">
        <v>8072</v>
      </c>
      <c r="D3876" s="1" t="s">
        <v>7889</v>
      </c>
      <c r="F3876" s="1" t="s">
        <v>8073</v>
      </c>
      <c r="G3876" s="1" t="s">
        <v>8074</v>
      </c>
      <c r="H3876" s="2" t="str">
        <f>Tabella1[[#This Row],[Denominazione]]&amp;" - "&amp;Tabella1[[#This Row],[Città]]</f>
        <v>HOTEL GIARDINO DIPENDENZA - NUMANA</v>
      </c>
    </row>
    <row r="3877" spans="1:8" x14ac:dyDescent="0.25">
      <c r="A3877" s="1" t="s">
        <v>20</v>
      </c>
      <c r="B3877" s="1" t="s">
        <v>8243</v>
      </c>
      <c r="C3877" s="1" t="s">
        <v>8244</v>
      </c>
      <c r="D3877" s="1" t="s">
        <v>7889</v>
      </c>
      <c r="E3877" s="1" t="s">
        <v>7889</v>
      </c>
      <c r="F3877" s="1" t="s">
        <v>8073</v>
      </c>
      <c r="G3877" s="1" t="s">
        <v>8074</v>
      </c>
      <c r="H3877" s="2" t="str">
        <f>Tabella1[[#This Row],[Denominazione]]&amp;" - "&amp;Tabella1[[#This Row],[Città]]</f>
        <v>HOTEL GIARDINO Suite&amp;Wellness - NUMANA</v>
      </c>
    </row>
    <row r="3878" spans="1:8" x14ac:dyDescent="0.25">
      <c r="A3878" s="1" t="s">
        <v>20</v>
      </c>
      <c r="B3878" s="1" t="s">
        <v>11763</v>
      </c>
      <c r="C3878" s="1" t="s">
        <v>11764</v>
      </c>
      <c r="D3878" s="1" t="s">
        <v>11728</v>
      </c>
      <c r="E3878" s="1" t="s">
        <v>11728</v>
      </c>
      <c r="F3878" s="1" t="s">
        <v>11765</v>
      </c>
      <c r="G3878" s="1" t="s">
        <v>11766</v>
      </c>
      <c r="H3878" s="2" t="str">
        <f>Tabella1[[#This Row],[Denominazione]]&amp;" - "&amp;Tabella1[[#This Row],[Città]]</f>
        <v>HOTEL GRASSETTI - CORRIDONIA</v>
      </c>
    </row>
    <row r="3879" spans="1:8" x14ac:dyDescent="0.25">
      <c r="A3879" s="1" t="s">
        <v>20</v>
      </c>
      <c r="B3879" s="1" t="s">
        <v>14133</v>
      </c>
      <c r="C3879" s="1" t="s">
        <v>14134</v>
      </c>
      <c r="D3879" s="1" t="s">
        <v>14065</v>
      </c>
      <c r="F3879" s="1" t="s">
        <v>14135</v>
      </c>
      <c r="G3879" s="1" t="s">
        <v>14136</v>
      </c>
      <c r="H3879" s="2" t="str">
        <f>Tabella1[[#This Row],[Denominazione]]&amp;" - "&amp;Tabella1[[#This Row],[Città]]</f>
        <v>HOTEL GRIMALDI - TREIA</v>
      </c>
    </row>
    <row r="3880" spans="1:8" x14ac:dyDescent="0.25">
      <c r="A3880" s="1" t="s">
        <v>20</v>
      </c>
      <c r="B3880" s="1" t="s">
        <v>13867</v>
      </c>
      <c r="C3880" s="1" t="s">
        <v>13855</v>
      </c>
      <c r="D3880" s="1" t="s">
        <v>13756</v>
      </c>
      <c r="E3880" s="1" t="s">
        <v>13756</v>
      </c>
      <c r="F3880" s="1" t="s">
        <v>13868</v>
      </c>
      <c r="G3880" s="1" t="s">
        <v>13869</v>
      </c>
      <c r="H3880" s="2" t="str">
        <f>Tabella1[[#This Row],[Denominazione]]&amp;" - "&amp;Tabella1[[#This Row],[Città]]</f>
        <v>HOTEL HERMITAGE - SARNANO</v>
      </c>
    </row>
    <row r="3881" spans="1:8" x14ac:dyDescent="0.25">
      <c r="A3881" s="1" t="s">
        <v>679</v>
      </c>
      <c r="B3881" s="1" t="s">
        <v>9856</v>
      </c>
      <c r="C3881" s="1" t="s">
        <v>9857</v>
      </c>
      <c r="D3881" s="1" t="s">
        <v>8949</v>
      </c>
      <c r="E3881" s="1" t="s">
        <v>8949</v>
      </c>
      <c r="H3881" s="2" t="str">
        <f>Tabella1[[#This Row],[Denominazione]]&amp;" - "&amp;Tabella1[[#This Row],[Città]]</f>
        <v>HOTEL HOLLYWOOD - BAGNI N° 76 - SENIGALLIA</v>
      </c>
    </row>
    <row r="3882" spans="1:8" x14ac:dyDescent="0.25">
      <c r="A3882" s="1" t="s">
        <v>20</v>
      </c>
      <c r="B3882" s="1" t="s">
        <v>18670</v>
      </c>
      <c r="C3882" s="1" t="s">
        <v>18671</v>
      </c>
      <c r="D3882" s="1" t="s">
        <v>18653</v>
      </c>
      <c r="E3882" s="1" t="s">
        <v>18672</v>
      </c>
      <c r="F3882" s="1" t="s">
        <v>18673</v>
      </c>
      <c r="G3882" s="1" t="s">
        <v>18674</v>
      </c>
      <c r="H3882" s="2" t="str">
        <f>Tabella1[[#This Row],[Denominazione]]&amp;" - "&amp;Tabella1[[#This Row],[Città]]</f>
        <v>HOTEL HORIZON - MONTEGRANARO</v>
      </c>
    </row>
    <row r="3883" spans="1:8" x14ac:dyDescent="0.25">
      <c r="A3883" s="1" t="s">
        <v>20</v>
      </c>
      <c r="B3883" s="1" t="s">
        <v>12176</v>
      </c>
      <c r="C3883" s="1" t="s">
        <v>12177</v>
      </c>
      <c r="D3883" s="1" t="s">
        <v>12050</v>
      </c>
      <c r="E3883" s="1" t="s">
        <v>12050</v>
      </c>
      <c r="F3883" s="1" t="s">
        <v>12178</v>
      </c>
      <c r="G3883" s="1" t="s">
        <v>12179</v>
      </c>
      <c r="H3883" s="2" t="str">
        <f>Tabella1[[#This Row],[Denominazione]]&amp;" - "&amp;Tabella1[[#This Row],[Città]]</f>
        <v>HOTEL I COLLI - MACERATA</v>
      </c>
    </row>
    <row r="3884" spans="1:8" x14ac:dyDescent="0.25">
      <c r="A3884" s="1" t="s">
        <v>20</v>
      </c>
      <c r="B3884" s="1" t="s">
        <v>14060</v>
      </c>
      <c r="C3884" s="1" t="s">
        <v>14061</v>
      </c>
      <c r="D3884" s="1" t="s">
        <v>13946</v>
      </c>
      <c r="E3884" s="1" t="s">
        <v>13946</v>
      </c>
      <c r="G3884" s="1" t="s">
        <v>14062</v>
      </c>
      <c r="H3884" s="2" t="str">
        <f>Tabella1[[#This Row],[Denominazione]]&amp;" - "&amp;Tabella1[[#This Row],[Città]]</f>
        <v>HOTEL IL BOSCHETTO - TOLENTINO</v>
      </c>
    </row>
    <row r="3885" spans="1:8" x14ac:dyDescent="0.25">
      <c r="A3885" s="1" t="s">
        <v>20</v>
      </c>
      <c r="B3885" s="1" t="s">
        <v>19160</v>
      </c>
      <c r="C3885" s="1" t="s">
        <v>19161</v>
      </c>
      <c r="D3885" s="1" t="s">
        <v>18082</v>
      </c>
      <c r="E3885" s="1" t="s">
        <v>18082</v>
      </c>
      <c r="F3885" s="1" t="s">
        <v>19149</v>
      </c>
      <c r="G3885" s="1" t="s">
        <v>19150</v>
      </c>
      <c r="H3885" s="2" t="str">
        <f>Tabella1[[#This Row],[Denominazione]]&amp;" - "&amp;Tabella1[[#This Row],[Città]]</f>
        <v>HOTEL IL CAMINETTO - PORTO SAN GIORGIO</v>
      </c>
    </row>
    <row r="3886" spans="1:8" x14ac:dyDescent="0.25">
      <c r="A3886" s="1" t="s">
        <v>20</v>
      </c>
      <c r="B3886" s="1" t="s">
        <v>16861</v>
      </c>
      <c r="C3886" s="1" t="s">
        <v>16862</v>
      </c>
      <c r="D3886" s="1" t="s">
        <v>15819</v>
      </c>
      <c r="E3886" s="1" t="s">
        <v>15819</v>
      </c>
      <c r="F3886" s="1" t="s">
        <v>16863</v>
      </c>
      <c r="G3886" s="1" t="s">
        <v>16864</v>
      </c>
      <c r="H3886" s="2" t="str">
        <f>Tabella1[[#This Row],[Denominazione]]&amp;" - "&amp;Tabella1[[#This Row],[Città]]</f>
        <v>HOTEL IL MAESTRALE - SAN BENEDETTO DEL TRONTO</v>
      </c>
    </row>
    <row r="3887" spans="1:8" x14ac:dyDescent="0.25">
      <c r="A3887" s="1" t="s">
        <v>20</v>
      </c>
      <c r="B3887" s="1" t="s">
        <v>10255</v>
      </c>
      <c r="C3887" s="1" t="s">
        <v>10256</v>
      </c>
      <c r="D3887" s="1" t="s">
        <v>10206</v>
      </c>
      <c r="E3887" s="1" t="s">
        <v>10206</v>
      </c>
      <c r="F3887" s="1" t="s">
        <v>10257</v>
      </c>
      <c r="G3887" s="1" t="s">
        <v>10258</v>
      </c>
      <c r="H3887" s="2" t="str">
        <f>Tabella1[[#This Row],[Denominazione]]&amp;" - "&amp;Tabella1[[#This Row],[Città]]</f>
        <v>HOTEL IL PARCO - SIROLO</v>
      </c>
    </row>
    <row r="3888" spans="1:8" x14ac:dyDescent="0.25">
      <c r="A3888" s="1" t="s">
        <v>20</v>
      </c>
      <c r="B3888" s="1" t="s">
        <v>16689</v>
      </c>
      <c r="C3888" s="1" t="s">
        <v>16690</v>
      </c>
      <c r="D3888" s="1" t="s">
        <v>16585</v>
      </c>
      <c r="F3888" s="1" t="s">
        <v>16691</v>
      </c>
      <c r="G3888" s="1" t="s">
        <v>16692</v>
      </c>
      <c r="H3888" s="2" t="str">
        <f>Tabella1[[#This Row],[Denominazione]]&amp;" - "&amp;Tabella1[[#This Row],[Città]]</f>
        <v>HOTEL IL PICENO - RIPATRANSONE</v>
      </c>
    </row>
    <row r="3889" spans="1:8" x14ac:dyDescent="0.25">
      <c r="A3889" s="1" t="s">
        <v>20</v>
      </c>
      <c r="B3889" s="1" t="s">
        <v>623</v>
      </c>
      <c r="C3889" s="1" t="s">
        <v>624</v>
      </c>
      <c r="D3889" s="1" t="s">
        <v>579</v>
      </c>
      <c r="E3889" s="1" t="s">
        <v>579</v>
      </c>
      <c r="F3889" s="1" t="s">
        <v>625</v>
      </c>
      <c r="G3889" s="1" t="s">
        <v>626</v>
      </c>
      <c r="H3889" s="2" t="str">
        <f>Tabella1[[#This Row],[Denominazione]]&amp;" - "&amp;Tabella1[[#This Row],[Città]]</f>
        <v>HOTEL IL POGGIO - CARPEGNA</v>
      </c>
    </row>
    <row r="3890" spans="1:8" x14ac:dyDescent="0.25">
      <c r="A3890" s="1" t="s">
        <v>679</v>
      </c>
      <c r="B3890" s="1" t="s">
        <v>989</v>
      </c>
      <c r="C3890" s="1" t="s">
        <v>990</v>
      </c>
      <c r="D3890" s="1" t="s">
        <v>682</v>
      </c>
      <c r="E3890" s="1" t="s">
        <v>682</v>
      </c>
      <c r="H3890" s="2" t="str">
        <f>Tabella1[[#This Row],[Denominazione]]&amp;" - "&amp;Tabella1[[#This Row],[Città]]</f>
        <v>HOTEL IMPERIAL - FANO</v>
      </c>
    </row>
    <row r="3891" spans="1:8" x14ac:dyDescent="0.25">
      <c r="A3891" s="1" t="s">
        <v>20</v>
      </c>
      <c r="B3891" s="1" t="s">
        <v>3648</v>
      </c>
      <c r="C3891" s="1" t="s">
        <v>3649</v>
      </c>
      <c r="D3891" s="1" t="s">
        <v>2386</v>
      </c>
      <c r="E3891" s="1" t="s">
        <v>2386</v>
      </c>
      <c r="F3891" s="1" t="s">
        <v>3650</v>
      </c>
      <c r="G3891" s="1" t="s">
        <v>3651</v>
      </c>
      <c r="H3891" s="2" t="str">
        <f>Tabella1[[#This Row],[Denominazione]]&amp;" - "&amp;Tabella1[[#This Row],[Città]]</f>
        <v>HOTEL IMPERIAL SPORT - PESARO</v>
      </c>
    </row>
    <row r="3892" spans="1:8" x14ac:dyDescent="0.25">
      <c r="A3892" s="1" t="s">
        <v>20</v>
      </c>
      <c r="B3892" s="1" t="s">
        <v>17447</v>
      </c>
      <c r="C3892" s="1" t="s">
        <v>17448</v>
      </c>
      <c r="D3892" s="1" t="s">
        <v>15819</v>
      </c>
      <c r="E3892" s="1" t="s">
        <v>15819</v>
      </c>
      <c r="F3892" s="1" t="s">
        <v>17449</v>
      </c>
      <c r="G3892" s="1" t="s">
        <v>17450</v>
      </c>
      <c r="H3892" s="2" t="str">
        <f>Tabella1[[#This Row],[Denominazione]]&amp;" - "&amp;Tabella1[[#This Row],[Città]]</f>
        <v>HOTEL INTERNATIONAL - SAN BENEDETTO DEL TRONTO</v>
      </c>
    </row>
    <row r="3893" spans="1:8" x14ac:dyDescent="0.25">
      <c r="A3893" s="1" t="s">
        <v>20</v>
      </c>
      <c r="B3893" s="1" t="s">
        <v>1266</v>
      </c>
      <c r="C3893" s="1" t="s">
        <v>1267</v>
      </c>
      <c r="D3893" s="1" t="s">
        <v>682</v>
      </c>
      <c r="E3893" s="1" t="s">
        <v>682</v>
      </c>
      <c r="F3893" s="1" t="s">
        <v>1268</v>
      </c>
      <c r="G3893" s="1" t="s">
        <v>1269</v>
      </c>
      <c r="H3893" s="2" t="str">
        <f>Tabella1[[#This Row],[Denominazione]]&amp;" - "&amp;Tabella1[[#This Row],[Città]]</f>
        <v>HOTEL INTERNAZIONALE - FANO</v>
      </c>
    </row>
    <row r="3894" spans="1:8" x14ac:dyDescent="0.25">
      <c r="A3894" s="1" t="s">
        <v>20</v>
      </c>
      <c r="B3894" s="1" t="s">
        <v>14346</v>
      </c>
      <c r="C3894" s="1" t="s">
        <v>14347</v>
      </c>
      <c r="D3894" s="1" t="s">
        <v>14334</v>
      </c>
      <c r="E3894" s="1" t="s">
        <v>14334</v>
      </c>
      <c r="F3894" s="1" t="s">
        <v>14348</v>
      </c>
      <c r="G3894" s="1" t="s">
        <v>14349</v>
      </c>
      <c r="H3894" s="2" t="str">
        <f>Tabella1[[#This Row],[Denominazione]]&amp;" - "&amp;Tabella1[[#This Row],[Città]]</f>
        <v>HOTEL ITALIA - ACQUASANTA TERME</v>
      </c>
    </row>
    <row r="3895" spans="1:8" x14ac:dyDescent="0.25">
      <c r="A3895" s="1" t="s">
        <v>20</v>
      </c>
      <c r="B3895" s="1" t="s">
        <v>7916</v>
      </c>
      <c r="C3895" s="1" t="s">
        <v>7917</v>
      </c>
      <c r="D3895" s="1" t="s">
        <v>7889</v>
      </c>
      <c r="E3895" s="1" t="s">
        <v>7889</v>
      </c>
      <c r="F3895" s="1" t="s">
        <v>7918</v>
      </c>
      <c r="G3895" s="1" t="s">
        <v>7919</v>
      </c>
      <c r="H3895" s="2" t="str">
        <f>Tabella1[[#This Row],[Denominazione]]&amp;" - "&amp;Tabella1[[#This Row],[Città]]</f>
        <v>HOTEL K2 - NUMANA</v>
      </c>
    </row>
    <row r="3896" spans="1:8" x14ac:dyDescent="0.25">
      <c r="A3896" s="1" t="s">
        <v>20</v>
      </c>
      <c r="B3896" s="1" t="s">
        <v>7935</v>
      </c>
      <c r="C3896" s="1" t="s">
        <v>7936</v>
      </c>
      <c r="D3896" s="1" t="s">
        <v>7889</v>
      </c>
      <c r="E3896" s="1" t="s">
        <v>7889</v>
      </c>
      <c r="F3896" s="1" t="s">
        <v>7937</v>
      </c>
      <c r="G3896" s="1" t="s">
        <v>7938</v>
      </c>
      <c r="H3896" s="2" t="str">
        <f>Tabella1[[#This Row],[Denominazione]]&amp;" - "&amp;Tabella1[[#This Row],[Città]]</f>
        <v>HOTEL KON TIKI - NUMANA</v>
      </c>
    </row>
    <row r="3897" spans="1:8" x14ac:dyDescent="0.25">
      <c r="A3897" s="1" t="s">
        <v>20</v>
      </c>
      <c r="B3897" s="1" t="s">
        <v>15948</v>
      </c>
      <c r="C3897" s="1" t="s">
        <v>15949</v>
      </c>
      <c r="D3897" s="1" t="s">
        <v>15585</v>
      </c>
      <c r="E3897" s="1" t="s">
        <v>15585</v>
      </c>
      <c r="F3897" s="1" t="s">
        <v>15950</v>
      </c>
      <c r="G3897" s="1" t="s">
        <v>15951</v>
      </c>
      <c r="H3897" s="2" t="str">
        <f>Tabella1[[#This Row],[Denominazione]]&amp;" - "&amp;Tabella1[[#This Row],[Città]]</f>
        <v>HOTEL LA MAESTRA - GROTTAMMARE</v>
      </c>
    </row>
    <row r="3898" spans="1:8" x14ac:dyDescent="0.25">
      <c r="A3898" s="1" t="s">
        <v>20</v>
      </c>
      <c r="B3898" s="1" t="s">
        <v>17523</v>
      </c>
      <c r="C3898" s="1" t="s">
        <v>17524</v>
      </c>
      <c r="D3898" s="1" t="s">
        <v>15819</v>
      </c>
      <c r="E3898" s="1" t="s">
        <v>15819</v>
      </c>
      <c r="F3898" s="1" t="s">
        <v>17138</v>
      </c>
      <c r="G3898" s="1" t="s">
        <v>17137</v>
      </c>
      <c r="H3898" s="2" t="str">
        <f>Tabella1[[#This Row],[Denominazione]]&amp;" - "&amp;Tabella1[[#This Row],[Città]]</f>
        <v>HOTEL LA PACE - SAN BENEDETTO DEL TRONTO</v>
      </c>
    </row>
    <row r="3899" spans="1:8" x14ac:dyDescent="0.25">
      <c r="A3899" s="1" t="s">
        <v>20</v>
      </c>
      <c r="B3899" s="1" t="s">
        <v>17296</v>
      </c>
      <c r="C3899" s="1" t="s">
        <v>17297</v>
      </c>
      <c r="D3899" s="1" t="s">
        <v>15819</v>
      </c>
      <c r="E3899" s="1" t="s">
        <v>15819</v>
      </c>
      <c r="F3899" s="1" t="s">
        <v>17138</v>
      </c>
      <c r="G3899" s="1" t="s">
        <v>17137</v>
      </c>
      <c r="H3899" s="2" t="str">
        <f>Tabella1[[#This Row],[Denominazione]]&amp;" - "&amp;Tabella1[[#This Row],[Città]]</f>
        <v>HOTEL LA PACE DEPENDANCE - SAN BENEDETTO DEL TRONTO</v>
      </c>
    </row>
    <row r="3900" spans="1:8" x14ac:dyDescent="0.25">
      <c r="A3900" s="1" t="s">
        <v>20</v>
      </c>
      <c r="B3900" s="1" t="s">
        <v>15355</v>
      </c>
      <c r="C3900" s="1" t="s">
        <v>15356</v>
      </c>
      <c r="D3900" s="1" t="s">
        <v>15349</v>
      </c>
      <c r="E3900" s="1" t="s">
        <v>15349</v>
      </c>
      <c r="G3900" s="1" t="s">
        <v>15357</v>
      </c>
      <c r="H3900" s="2" t="str">
        <f>Tabella1[[#This Row],[Denominazione]]&amp;" - "&amp;Tabella1[[#This Row],[Città]]</f>
        <v>HOTEL LA PERLA - CUPRA MARITTIMA</v>
      </c>
    </row>
    <row r="3901" spans="1:8" x14ac:dyDescent="0.25">
      <c r="A3901" s="1" t="s">
        <v>20</v>
      </c>
      <c r="B3901" s="1" t="s">
        <v>15355</v>
      </c>
      <c r="D3901" s="1" t="s">
        <v>17839</v>
      </c>
      <c r="E3901" s="1" t="s">
        <v>17899</v>
      </c>
      <c r="F3901" s="1" t="s">
        <v>17900</v>
      </c>
      <c r="G3901" s="1" t="s">
        <v>17901</v>
      </c>
      <c r="H3901" s="2" t="str">
        <f>Tabella1[[#This Row],[Denominazione]]&amp;" - "&amp;Tabella1[[#This Row],[Città]]</f>
        <v>HOTEL LA PERLA - CAMPOFILONE</v>
      </c>
    </row>
    <row r="3902" spans="1:8" x14ac:dyDescent="0.25">
      <c r="A3902" s="1" t="s">
        <v>20</v>
      </c>
      <c r="B3902" s="1" t="s">
        <v>15779</v>
      </c>
      <c r="C3902" s="1" t="s">
        <v>14804</v>
      </c>
      <c r="D3902" s="1" t="s">
        <v>15585</v>
      </c>
      <c r="E3902" s="1" t="s">
        <v>15585</v>
      </c>
      <c r="F3902" s="1" t="s">
        <v>15777</v>
      </c>
      <c r="G3902" s="1" t="s">
        <v>15778</v>
      </c>
      <c r="H3902" s="2" t="str">
        <f>Tabella1[[#This Row],[Denominazione]]&amp;" - "&amp;Tabella1[[#This Row],[Città]]</f>
        <v>HOTEL LA PERLA PREZIOSA - GROTTAMMARE</v>
      </c>
    </row>
    <row r="3903" spans="1:8" x14ac:dyDescent="0.25">
      <c r="A3903" s="1" t="s">
        <v>20</v>
      </c>
      <c r="B3903" s="1" t="s">
        <v>15775</v>
      </c>
      <c r="C3903" s="1" t="s">
        <v>15776</v>
      </c>
      <c r="D3903" s="1" t="s">
        <v>15585</v>
      </c>
      <c r="E3903" s="1" t="s">
        <v>15585</v>
      </c>
      <c r="F3903" s="1" t="s">
        <v>15777</v>
      </c>
      <c r="G3903" s="1" t="s">
        <v>15778</v>
      </c>
      <c r="H3903" s="2" t="str">
        <f>Tabella1[[#This Row],[Denominazione]]&amp;" - "&amp;Tabella1[[#This Row],[Città]]</f>
        <v>HOTEL LA PERLA PREZIOSA DEPENDANCE - GROTTAMMARE</v>
      </c>
    </row>
    <row r="3904" spans="1:8" x14ac:dyDescent="0.25">
      <c r="A3904" s="1" t="s">
        <v>20</v>
      </c>
      <c r="B3904" s="1" t="s">
        <v>12500</v>
      </c>
      <c r="C3904" s="1" t="s">
        <v>12501</v>
      </c>
      <c r="D3904" s="1" t="s">
        <v>12502</v>
      </c>
      <c r="E3904" s="1" t="s">
        <v>12502</v>
      </c>
      <c r="F3904" s="1" t="s">
        <v>12503</v>
      </c>
      <c r="G3904" s="1" t="s">
        <v>12504</v>
      </c>
      <c r="H3904" s="2" t="str">
        <f>Tabella1[[#This Row],[Denominazione]]&amp;" - "&amp;Tabella1[[#This Row],[Città]]</f>
        <v>HOTEL LA ROSA DEI VENTI - MONTE SAN GIUSTO</v>
      </c>
    </row>
    <row r="3905" spans="1:8" x14ac:dyDescent="0.25">
      <c r="A3905" s="1" t="s">
        <v>20</v>
      </c>
      <c r="B3905" s="1" t="s">
        <v>264</v>
      </c>
      <c r="C3905" s="1" t="s">
        <v>265</v>
      </c>
      <c r="D3905" s="1" t="s">
        <v>266</v>
      </c>
      <c r="E3905" s="1" t="s">
        <v>266</v>
      </c>
      <c r="G3905" s="1" t="s">
        <v>267</v>
      </c>
      <c r="H3905" s="2" t="str">
        <f>Tabella1[[#This Row],[Denominazione]]&amp;" - "&amp;Tabella1[[#This Row],[Città]]</f>
        <v>HOTEL LA RUPE - BORGO PACE</v>
      </c>
    </row>
    <row r="3906" spans="1:8" x14ac:dyDescent="0.25">
      <c r="A3906" s="1" t="s">
        <v>20</v>
      </c>
      <c r="B3906" s="1" t="s">
        <v>7605</v>
      </c>
      <c r="C3906" s="1" t="s">
        <v>7606</v>
      </c>
      <c r="D3906" s="1" t="s">
        <v>7571</v>
      </c>
      <c r="E3906" s="1" t="s">
        <v>7571</v>
      </c>
      <c r="F3906" s="1" t="s">
        <v>7607</v>
      </c>
      <c r="G3906" s="1" t="s">
        <v>7608</v>
      </c>
      <c r="H3906" s="2" t="str">
        <f>Tabella1[[#This Row],[Denominazione]]&amp;" - "&amp;Tabella1[[#This Row],[Città]]</f>
        <v>HOTEL LA TORRE - MAIOLATI SPONTINI</v>
      </c>
    </row>
    <row r="3907" spans="1:8" x14ac:dyDescent="0.25">
      <c r="A3907" s="1" t="s">
        <v>20</v>
      </c>
      <c r="B3907" s="1" t="s">
        <v>19190</v>
      </c>
      <c r="C3907" s="1" t="s">
        <v>19191</v>
      </c>
      <c r="D3907" s="1" t="s">
        <v>18082</v>
      </c>
      <c r="E3907" s="1" t="s">
        <v>18082</v>
      </c>
      <c r="F3907" s="1" t="s">
        <v>19192</v>
      </c>
      <c r="G3907" s="1" t="s">
        <v>19076</v>
      </c>
      <c r="H3907" s="2" t="str">
        <f>Tabella1[[#This Row],[Denominazione]]&amp;" - "&amp;Tabella1[[#This Row],[Città]]</f>
        <v>HOTEL LANTERNA - PORTO SAN GIORGIO</v>
      </c>
    </row>
    <row r="3908" spans="1:8" x14ac:dyDescent="0.25">
      <c r="A3908" s="1" t="s">
        <v>20</v>
      </c>
      <c r="B3908" s="1" t="s">
        <v>12138</v>
      </c>
      <c r="C3908" s="1" t="s">
        <v>12139</v>
      </c>
      <c r="D3908" s="1" t="s">
        <v>12050</v>
      </c>
      <c r="E3908" s="1" t="s">
        <v>12079</v>
      </c>
      <c r="F3908" s="1" t="s">
        <v>12140</v>
      </c>
      <c r="G3908" s="1" t="s">
        <v>12141</v>
      </c>
      <c r="H3908" s="2" t="str">
        <f>Tabella1[[#This Row],[Denominazione]]&amp;" - "&amp;Tabella1[[#This Row],[Città]]</f>
        <v>HOTEL LAURI - MACERATA</v>
      </c>
    </row>
    <row r="3909" spans="1:8" x14ac:dyDescent="0.25">
      <c r="A3909" s="1" t="s">
        <v>20</v>
      </c>
      <c r="B3909" s="1" t="s">
        <v>6978</v>
      </c>
      <c r="C3909" s="1" t="s">
        <v>6979</v>
      </c>
      <c r="D3909" s="1" t="s">
        <v>6790</v>
      </c>
      <c r="G3909" s="1" t="s">
        <v>6980</v>
      </c>
      <c r="H3909" s="2" t="str">
        <f>Tabella1[[#This Row],[Denominazione]]&amp;" - "&amp;Tabella1[[#This Row],[Città]]</f>
        <v>HOTEL LE MUSE - FABRIANO</v>
      </c>
    </row>
    <row r="3910" spans="1:8" x14ac:dyDescent="0.25">
      <c r="A3910" s="1" t="s">
        <v>20</v>
      </c>
      <c r="B3910" s="1" t="s">
        <v>17637</v>
      </c>
      <c r="C3910" s="1" t="s">
        <v>17638</v>
      </c>
      <c r="D3910" s="1" t="s">
        <v>15819</v>
      </c>
      <c r="E3910" s="1" t="s">
        <v>15819</v>
      </c>
      <c r="F3910" s="1" t="s">
        <v>17639</v>
      </c>
      <c r="G3910" s="1" t="s">
        <v>17640</v>
      </c>
      <c r="H3910" s="2" t="str">
        <f>Tabella1[[#This Row],[Denominazione]]&amp;" - "&amp;Tabella1[[#This Row],[Città]]</f>
        <v>HOTEL LE SOLEIL - SAN BENEDETTO DEL TRONTO</v>
      </c>
    </row>
    <row r="3911" spans="1:8" x14ac:dyDescent="0.25">
      <c r="A3911" s="1" t="s">
        <v>82</v>
      </c>
      <c r="B3911" s="1" t="s">
        <v>18751</v>
      </c>
      <c r="C3911" s="1" t="s">
        <v>18752</v>
      </c>
      <c r="D3911" s="1" t="s">
        <v>18702</v>
      </c>
      <c r="F3911" s="1" t="s">
        <v>18753</v>
      </c>
      <c r="G3911" s="1" t="s">
        <v>18754</v>
      </c>
      <c r="H3911" s="2" t="str">
        <f>Tabella1[[#This Row],[Denominazione]]&amp;" - "&amp;Tabella1[[#This Row],[Città]]</f>
        <v>HOTEL LEONE - MONTELPARO</v>
      </c>
    </row>
    <row r="3912" spans="1:8" x14ac:dyDescent="0.25">
      <c r="A3912" s="1" t="s">
        <v>20</v>
      </c>
      <c r="B3912" s="1" t="s">
        <v>1965</v>
      </c>
      <c r="C3912" s="1" t="s">
        <v>1966</v>
      </c>
      <c r="D3912" s="1" t="s">
        <v>1907</v>
      </c>
      <c r="E3912" s="1" t="s">
        <v>1907</v>
      </c>
      <c r="F3912" s="1" t="s">
        <v>1967</v>
      </c>
      <c r="G3912" s="1" t="s">
        <v>1968</v>
      </c>
      <c r="H3912" s="2" t="str">
        <f>Tabella1[[#This Row],[Denominazione]]&amp;" - "&amp;Tabella1[[#This Row],[Città]]</f>
        <v>HOTEL LIDIA - GABICCE MARE</v>
      </c>
    </row>
    <row r="3913" spans="1:8" x14ac:dyDescent="0.25">
      <c r="A3913" s="1" t="s">
        <v>20</v>
      </c>
      <c r="B3913" s="1" t="s">
        <v>18179</v>
      </c>
      <c r="C3913" s="1" t="s">
        <v>18180</v>
      </c>
      <c r="D3913" s="1" t="s">
        <v>17932</v>
      </c>
      <c r="E3913" s="1" t="s">
        <v>17932</v>
      </c>
      <c r="G3913" s="1" t="s">
        <v>18181</v>
      </c>
      <c r="H3913" s="2" t="str">
        <f>Tabella1[[#This Row],[Denominazione]]&amp;" - "&amp;Tabella1[[#This Row],[Città]]</f>
        <v>HOTEL LIDO - FERMO</v>
      </c>
    </row>
    <row r="3914" spans="1:8" x14ac:dyDescent="0.25">
      <c r="A3914" s="1" t="s">
        <v>679</v>
      </c>
      <c r="B3914" s="1" t="s">
        <v>18098</v>
      </c>
      <c r="C3914" s="1" t="s">
        <v>18081</v>
      </c>
      <c r="D3914" s="1" t="s">
        <v>17932</v>
      </c>
      <c r="E3914" s="1" t="s">
        <v>18082</v>
      </c>
      <c r="H3914" s="2" t="str">
        <f>Tabella1[[#This Row],[Denominazione]]&amp;" - "&amp;Tabella1[[#This Row],[Città]]</f>
        <v>HOTEL LIDO - BIG FISCH - FERMO</v>
      </c>
    </row>
    <row r="3915" spans="1:8" x14ac:dyDescent="0.25">
      <c r="A3915" s="1" t="s">
        <v>20</v>
      </c>
      <c r="B3915" s="1" t="s">
        <v>9680</v>
      </c>
      <c r="C3915" s="1" t="s">
        <v>9681</v>
      </c>
      <c r="D3915" s="1" t="s">
        <v>8949</v>
      </c>
      <c r="E3915" s="1" t="s">
        <v>9106</v>
      </c>
      <c r="F3915" s="1" t="s">
        <v>9682</v>
      </c>
      <c r="G3915" s="1" t="s">
        <v>9683</v>
      </c>
      <c r="H3915" s="2" t="str">
        <f>Tabella1[[#This Row],[Denominazione]]&amp;" - "&amp;Tabella1[[#This Row],[Città]]</f>
        <v>HOTEL LORI - SENIGALLIA</v>
      </c>
    </row>
    <row r="3916" spans="1:8" x14ac:dyDescent="0.25">
      <c r="A3916" s="1" t="s">
        <v>20</v>
      </c>
      <c r="B3916" s="1" t="s">
        <v>1917</v>
      </c>
      <c r="C3916" s="1" t="s">
        <v>1918</v>
      </c>
      <c r="D3916" s="1" t="s">
        <v>1907</v>
      </c>
      <c r="E3916" s="1" t="s">
        <v>1907</v>
      </c>
      <c r="F3916" s="1" t="s">
        <v>1919</v>
      </c>
      <c r="G3916" s="1" t="s">
        <v>1920</v>
      </c>
      <c r="H3916" s="2" t="str">
        <f>Tabella1[[#This Row],[Denominazione]]&amp;" - "&amp;Tabella1[[#This Row],[Città]]</f>
        <v>HOTEL LOSANNA - GABICCE MARE</v>
      </c>
    </row>
    <row r="3917" spans="1:8" x14ac:dyDescent="0.25">
      <c r="A3917" s="1" t="s">
        <v>20</v>
      </c>
      <c r="B3917" s="1" t="s">
        <v>1990</v>
      </c>
      <c r="C3917" s="1" t="s">
        <v>1991</v>
      </c>
      <c r="D3917" s="1" t="s">
        <v>1907</v>
      </c>
      <c r="F3917" s="1" t="s">
        <v>1992</v>
      </c>
      <c r="G3917" s="1" t="s">
        <v>1993</v>
      </c>
      <c r="H3917" s="2" t="str">
        <f>Tabella1[[#This Row],[Denominazione]]&amp;" - "&amp;Tabella1[[#This Row],[Città]]</f>
        <v>HOTEL LUX - GABICCE MARE</v>
      </c>
    </row>
    <row r="3918" spans="1:8" x14ac:dyDescent="0.25">
      <c r="A3918" s="1" t="s">
        <v>20</v>
      </c>
      <c r="B3918" s="1" t="s">
        <v>17634</v>
      </c>
      <c r="D3918" s="1" t="s">
        <v>15819</v>
      </c>
      <c r="E3918" s="1" t="s">
        <v>15819</v>
      </c>
      <c r="F3918" s="1" t="s">
        <v>17635</v>
      </c>
      <c r="G3918" s="1" t="s">
        <v>17636</v>
      </c>
      <c r="H3918" s="2" t="str">
        <f>Tabella1[[#This Row],[Denominazione]]&amp;" - "&amp;Tabella1[[#This Row],[Città]]</f>
        <v>HOTEL MADISON - SAN BENEDETTO DEL TRONTO</v>
      </c>
    </row>
    <row r="3919" spans="1:8" x14ac:dyDescent="0.25">
      <c r="A3919" s="1" t="s">
        <v>20</v>
      </c>
      <c r="B3919" s="1" t="s">
        <v>3652</v>
      </c>
      <c r="C3919" s="1" t="s">
        <v>3653</v>
      </c>
      <c r="D3919" s="1" t="s">
        <v>2386</v>
      </c>
      <c r="E3919" s="1" t="s">
        <v>2386</v>
      </c>
      <c r="F3919" s="1" t="s">
        <v>3654</v>
      </c>
      <c r="G3919" s="1" t="s">
        <v>3655</v>
      </c>
      <c r="H3919" s="2" t="str">
        <f>Tabella1[[#This Row],[Denominazione]]&amp;" - "&amp;Tabella1[[#This Row],[Città]]</f>
        <v>HOTEL MAJESTIC - PESARO</v>
      </c>
    </row>
    <row r="3920" spans="1:8" x14ac:dyDescent="0.25">
      <c r="A3920" s="1" t="s">
        <v>679</v>
      </c>
      <c r="B3920" s="1" t="s">
        <v>9958</v>
      </c>
      <c r="C3920" s="1" t="s">
        <v>9959</v>
      </c>
      <c r="D3920" s="1" t="s">
        <v>8949</v>
      </c>
      <c r="E3920" s="1" t="s">
        <v>8949</v>
      </c>
      <c r="F3920" s="1" t="s">
        <v>9604</v>
      </c>
      <c r="G3920" s="1" t="s">
        <v>9603</v>
      </c>
      <c r="H3920" s="2" t="str">
        <f>Tabella1[[#This Row],[Denominazione]]&amp;" - "&amp;Tabella1[[#This Row],[Città]]</f>
        <v>HOTEL MAJESTIC DI URBANI GRAZIA - BAGNI N° 91 - SENIGALLIA</v>
      </c>
    </row>
    <row r="3921" spans="1:8" x14ac:dyDescent="0.25">
      <c r="A3921" s="1" t="s">
        <v>20</v>
      </c>
      <c r="B3921" s="1" t="s">
        <v>4914</v>
      </c>
      <c r="C3921" s="1" t="s">
        <v>4915</v>
      </c>
      <c r="D3921" s="1" t="s">
        <v>9</v>
      </c>
      <c r="E3921" s="1" t="s">
        <v>9</v>
      </c>
      <c r="F3921" s="1" t="s">
        <v>4916</v>
      </c>
      <c r="G3921" s="1" t="s">
        <v>4917</v>
      </c>
      <c r="H3921" s="2" t="str">
        <f>Tabella1[[#This Row],[Denominazione]]&amp;" - "&amp;Tabella1[[#This Row],[Città]]</f>
        <v>HOTEL MAMIANI - URBINO</v>
      </c>
    </row>
    <row r="3922" spans="1:8" x14ac:dyDescent="0.25">
      <c r="A3922" s="1" t="s">
        <v>20</v>
      </c>
      <c r="B3922" s="1" t="s">
        <v>7932</v>
      </c>
      <c r="C3922" s="1" t="s">
        <v>7933</v>
      </c>
      <c r="D3922" s="1" t="s">
        <v>7889</v>
      </c>
      <c r="E3922" s="1" t="s">
        <v>7889</v>
      </c>
      <c r="G3922" s="1" t="s">
        <v>7934</v>
      </c>
      <c r="H3922" s="2" t="str">
        <f>Tabella1[[#This Row],[Denominazione]]&amp;" - "&amp;Tabella1[[#This Row],[Città]]</f>
        <v>HOTEL MARCELLI - NUMANA</v>
      </c>
    </row>
    <row r="3923" spans="1:8" x14ac:dyDescent="0.25">
      <c r="A3923" s="1" t="s">
        <v>679</v>
      </c>
      <c r="B3923" s="1" t="s">
        <v>7932</v>
      </c>
      <c r="C3923" s="1" t="s">
        <v>8146</v>
      </c>
      <c r="D3923" s="1" t="s">
        <v>7889</v>
      </c>
      <c r="E3923" s="1" t="s">
        <v>7895</v>
      </c>
      <c r="F3923" s="1" t="s">
        <v>7934</v>
      </c>
      <c r="H3923" s="2" t="str">
        <f>Tabella1[[#This Row],[Denominazione]]&amp;" - "&amp;Tabella1[[#This Row],[Città]]</f>
        <v>HOTEL MARCELLI - NUMANA</v>
      </c>
    </row>
    <row r="3924" spans="1:8" x14ac:dyDescent="0.25">
      <c r="A3924" s="1" t="s">
        <v>20</v>
      </c>
      <c r="B3924" s="1" t="s">
        <v>14622</v>
      </c>
      <c r="C3924" s="1" t="s">
        <v>14623</v>
      </c>
      <c r="D3924" s="1" t="s">
        <v>14576</v>
      </c>
      <c r="E3924" s="1" t="s">
        <v>14576</v>
      </c>
      <c r="G3924" s="1" t="s">
        <v>14624</v>
      </c>
      <c r="H3924" s="2" t="str">
        <f>Tabella1[[#This Row],[Denominazione]]&amp;" - "&amp;Tabella1[[#This Row],[Città]]</f>
        <v>HOTEL MARCHE - ASCOLI PICENO</v>
      </c>
    </row>
    <row r="3925" spans="1:8" x14ac:dyDescent="0.25">
      <c r="A3925" s="1" t="s">
        <v>20</v>
      </c>
      <c r="B3925" s="1" t="s">
        <v>17532</v>
      </c>
      <c r="C3925" s="1" t="s">
        <v>17533</v>
      </c>
      <c r="D3925" s="1" t="s">
        <v>15819</v>
      </c>
      <c r="E3925" s="1" t="s">
        <v>15819</v>
      </c>
      <c r="F3925" s="1" t="s">
        <v>17240</v>
      </c>
      <c r="G3925" s="1" t="s">
        <v>17239</v>
      </c>
      <c r="H3925" s="2" t="str">
        <f>Tabella1[[#This Row],[Denominazione]]&amp;" - "&amp;Tabella1[[#This Row],[Città]]</f>
        <v>HOTEL MARCONI - SAN BENEDETTO DEL TRONTO</v>
      </c>
    </row>
    <row r="3926" spans="1:8" x14ac:dyDescent="0.25">
      <c r="A3926" s="1" t="s">
        <v>20</v>
      </c>
      <c r="B3926" s="1" t="s">
        <v>3938</v>
      </c>
      <c r="C3926" s="1" t="s">
        <v>3939</v>
      </c>
      <c r="D3926" s="1" t="s">
        <v>2386</v>
      </c>
      <c r="E3926" s="1" t="s">
        <v>2386</v>
      </c>
      <c r="F3926" s="1" t="s">
        <v>3940</v>
      </c>
      <c r="G3926" s="1" t="s">
        <v>3941</v>
      </c>
      <c r="H3926" s="2" t="str">
        <f>Tabella1[[#This Row],[Denominazione]]&amp;" - "&amp;Tabella1[[#This Row],[Città]]</f>
        <v>HOTEL MARE - PESARO</v>
      </c>
    </row>
    <row r="3927" spans="1:8" x14ac:dyDescent="0.25">
      <c r="A3927" s="1" t="s">
        <v>679</v>
      </c>
      <c r="B3927" s="1" t="s">
        <v>10016</v>
      </c>
      <c r="C3927" s="1" t="s">
        <v>10017</v>
      </c>
      <c r="D3927" s="1" t="s">
        <v>8949</v>
      </c>
      <c r="E3927" s="1" t="s">
        <v>8949</v>
      </c>
      <c r="H3927" s="2" t="str">
        <f>Tabella1[[#This Row],[Denominazione]]&amp;" - "&amp;Tabella1[[#This Row],[Città]]</f>
        <v>HOTEL MAREBLU' - BAGNI N° 31 - SENIGALLIA</v>
      </c>
    </row>
    <row r="3928" spans="1:8" x14ac:dyDescent="0.25">
      <c r="A3928" s="1" t="s">
        <v>20</v>
      </c>
      <c r="B3928" s="1" t="s">
        <v>7278</v>
      </c>
      <c r="C3928" s="1" t="s">
        <v>7279</v>
      </c>
      <c r="D3928" s="1" t="s">
        <v>7254</v>
      </c>
      <c r="E3928" s="1" t="s">
        <v>7254</v>
      </c>
      <c r="F3928" s="1" t="s">
        <v>7280</v>
      </c>
      <c r="G3928" s="1" t="s">
        <v>7281</v>
      </c>
      <c r="H3928" s="2" t="str">
        <f>Tabella1[[#This Row],[Denominazione]]&amp;" - "&amp;Tabella1[[#This Row],[Città]]</f>
        <v>HOTEL MARIANI - JESI</v>
      </c>
    </row>
    <row r="3929" spans="1:8" x14ac:dyDescent="0.25">
      <c r="A3929" s="1" t="s">
        <v>20</v>
      </c>
      <c r="B3929" s="1" t="s">
        <v>1129</v>
      </c>
      <c r="C3929" s="1" t="s">
        <v>986</v>
      </c>
      <c r="D3929" s="1" t="s">
        <v>682</v>
      </c>
      <c r="E3929" s="1" t="s">
        <v>682</v>
      </c>
      <c r="F3929" s="1" t="s">
        <v>1130</v>
      </c>
      <c r="G3929" s="1" t="s">
        <v>1131</v>
      </c>
      <c r="H3929" s="2" t="str">
        <f>Tabella1[[#This Row],[Denominazione]]&amp;" - "&amp;Tabella1[[#This Row],[Città]]</f>
        <v>HOTEL MARINA - FANO</v>
      </c>
    </row>
    <row r="3930" spans="1:8" x14ac:dyDescent="0.25">
      <c r="A3930" s="1" t="s">
        <v>20</v>
      </c>
      <c r="B3930" s="1" t="s">
        <v>12235</v>
      </c>
      <c r="C3930" s="1" t="s">
        <v>12236</v>
      </c>
      <c r="D3930" s="1" t="s">
        <v>12208</v>
      </c>
      <c r="E3930" s="1" t="s">
        <v>12208</v>
      </c>
      <c r="H3930" s="2" t="str">
        <f>Tabella1[[#This Row],[Denominazione]]&amp;" - "&amp;Tabella1[[#This Row],[Città]]</f>
        <v>HOTEL MASSI - MATELICA</v>
      </c>
    </row>
    <row r="3931" spans="1:8" x14ac:dyDescent="0.25">
      <c r="A3931" s="1" t="s">
        <v>20</v>
      </c>
      <c r="B3931" s="1" t="s">
        <v>9313</v>
      </c>
      <c r="C3931" s="1" t="s">
        <v>9314</v>
      </c>
      <c r="D3931" s="1" t="s">
        <v>8949</v>
      </c>
      <c r="F3931" s="1" t="s">
        <v>9315</v>
      </c>
      <c r="G3931" s="1" t="s">
        <v>9316</v>
      </c>
      <c r="H3931" s="2" t="str">
        <f>Tabella1[[#This Row],[Denominazione]]&amp;" - "&amp;Tabella1[[#This Row],[Città]]</f>
        <v>HOTEL MASTAI - SENIGALLIA</v>
      </c>
    </row>
    <row r="3932" spans="1:8" x14ac:dyDescent="0.25">
      <c r="A3932" s="1" t="s">
        <v>20</v>
      </c>
      <c r="B3932" s="1" t="s">
        <v>17619</v>
      </c>
      <c r="C3932" s="1" t="s">
        <v>17620</v>
      </c>
      <c r="D3932" s="1" t="s">
        <v>15819</v>
      </c>
      <c r="E3932" s="1" t="s">
        <v>15819</v>
      </c>
      <c r="F3932" s="1" t="s">
        <v>17621</v>
      </c>
      <c r="G3932" s="1" t="s">
        <v>17622</v>
      </c>
      <c r="H3932" s="2" t="str">
        <f>Tabella1[[#This Row],[Denominazione]]&amp;" - "&amp;Tabella1[[#This Row],[Città]]</f>
        <v>HOTEL MEUBLE' LA PLAYA - SAN BENEDETTO DEL TRONTO</v>
      </c>
    </row>
    <row r="3933" spans="1:8" x14ac:dyDescent="0.25">
      <c r="A3933" s="1" t="s">
        <v>20</v>
      </c>
      <c r="B3933" s="1" t="s">
        <v>10241</v>
      </c>
      <c r="C3933" s="1" t="s">
        <v>10242</v>
      </c>
      <c r="D3933" s="1" t="s">
        <v>10206</v>
      </c>
      <c r="E3933" s="1" t="s">
        <v>10206</v>
      </c>
      <c r="G3933" s="1" t="s">
        <v>10243</v>
      </c>
      <c r="H3933" s="2" t="str">
        <f>Tabella1[[#This Row],[Denominazione]]&amp;" - "&amp;Tabella1[[#This Row],[Città]]</f>
        <v>HOTEL MEUBLE' LE CAVE - SIROLO</v>
      </c>
    </row>
    <row r="3934" spans="1:8" x14ac:dyDescent="0.25">
      <c r="A3934" s="1" t="s">
        <v>20</v>
      </c>
      <c r="B3934" s="1" t="s">
        <v>8265</v>
      </c>
      <c r="C3934" s="1" t="s">
        <v>8266</v>
      </c>
      <c r="D3934" s="1" t="s">
        <v>7889</v>
      </c>
      <c r="E3934" s="1" t="s">
        <v>7889</v>
      </c>
      <c r="G3934" s="1" t="s">
        <v>8267</v>
      </c>
      <c r="H3934" s="2" t="str">
        <f>Tabella1[[#This Row],[Denominazione]]&amp;" - "&amp;Tabella1[[#This Row],[Città]]</f>
        <v>HOTEL MIMOSA - NUMANA</v>
      </c>
    </row>
    <row r="3935" spans="1:8" x14ac:dyDescent="0.25">
      <c r="A3935" s="1" t="s">
        <v>20</v>
      </c>
      <c r="B3935" s="1" t="s">
        <v>10608</v>
      </c>
      <c r="C3935" s="1" t="s">
        <v>10609</v>
      </c>
      <c r="D3935" s="1" t="s">
        <v>10589</v>
      </c>
      <c r="E3935" s="1" t="s">
        <v>10589</v>
      </c>
      <c r="F3935" s="1" t="s">
        <v>10610</v>
      </c>
      <c r="G3935" s="1" t="s">
        <v>10611</v>
      </c>
      <c r="H3935" s="2" t="str">
        <f>Tabella1[[#This Row],[Denominazione]]&amp;" - "&amp;Tabella1[[#This Row],[Città]]</f>
        <v>HOTEL MIRO' - APIRO</v>
      </c>
    </row>
    <row r="3936" spans="1:8" x14ac:dyDescent="0.25">
      <c r="A3936" s="1" t="s">
        <v>20</v>
      </c>
      <c r="B3936" s="1" t="s">
        <v>10267</v>
      </c>
      <c r="C3936" s="1" t="s">
        <v>10268</v>
      </c>
      <c r="D3936" s="1" t="s">
        <v>10206</v>
      </c>
      <c r="E3936" s="1" t="s">
        <v>10206</v>
      </c>
      <c r="F3936" s="1" t="s">
        <v>10269</v>
      </c>
      <c r="G3936" s="1" t="s">
        <v>10270</v>
      </c>
      <c r="H3936" s="2" t="str">
        <f>Tabella1[[#This Row],[Denominazione]]&amp;" - "&amp;Tabella1[[#This Row],[Città]]</f>
        <v>HOTEL MONTECONERO - SIROLO</v>
      </c>
    </row>
    <row r="3937" spans="1:8" x14ac:dyDescent="0.25">
      <c r="A3937" s="1" t="s">
        <v>20</v>
      </c>
      <c r="B3937" s="1" t="s">
        <v>16360</v>
      </c>
      <c r="C3937" s="1" t="s">
        <v>16361</v>
      </c>
      <c r="D3937" s="1" t="s">
        <v>16312</v>
      </c>
      <c r="E3937" s="1" t="s">
        <v>16312</v>
      </c>
      <c r="F3937" s="1" t="s">
        <v>16362</v>
      </c>
      <c r="G3937" s="1" t="s">
        <v>16363</v>
      </c>
      <c r="H3937" s="2" t="str">
        <f>Tabella1[[#This Row],[Denominazione]]&amp;" - "&amp;Tabella1[[#This Row],[Città]]</f>
        <v>HOTEL MONTI AZZURRI - MONTEMONACO</v>
      </c>
    </row>
    <row r="3938" spans="1:8" x14ac:dyDescent="0.25">
      <c r="A3938" s="1" t="s">
        <v>20</v>
      </c>
      <c r="B3938" s="1" t="s">
        <v>3666</v>
      </c>
      <c r="C3938" s="1" t="s">
        <v>3667</v>
      </c>
      <c r="D3938" s="1" t="s">
        <v>2386</v>
      </c>
      <c r="E3938" s="1" t="s">
        <v>2386</v>
      </c>
      <c r="F3938" s="1" t="s">
        <v>3668</v>
      </c>
      <c r="G3938" s="1" t="s">
        <v>3669</v>
      </c>
      <c r="H3938" s="2" t="str">
        <f>Tabella1[[#This Row],[Denominazione]]&amp;" - "&amp;Tabella1[[#This Row],[Città]]</f>
        <v>HOTEL NAPOLEON - PESARO</v>
      </c>
    </row>
    <row r="3939" spans="1:8" x14ac:dyDescent="0.25">
      <c r="A3939" s="1" t="s">
        <v>20</v>
      </c>
      <c r="B3939" s="1" t="s">
        <v>3673</v>
      </c>
      <c r="C3939" s="1" t="s">
        <v>3674</v>
      </c>
      <c r="D3939" s="1" t="s">
        <v>2386</v>
      </c>
      <c r="E3939" s="1" t="s">
        <v>2386</v>
      </c>
      <c r="F3939" s="1" t="s">
        <v>3675</v>
      </c>
      <c r="G3939" s="1" t="s">
        <v>3676</v>
      </c>
      <c r="H3939" s="2" t="str">
        <f>Tabella1[[#This Row],[Denominazione]]&amp;" - "&amp;Tabella1[[#This Row],[Città]]</f>
        <v>HOTEL NETTUNO - PESARO</v>
      </c>
    </row>
    <row r="3940" spans="1:8" x14ac:dyDescent="0.25">
      <c r="A3940" s="1" t="s">
        <v>20</v>
      </c>
      <c r="B3940" s="1" t="s">
        <v>3673</v>
      </c>
      <c r="C3940" s="1" t="s">
        <v>19278</v>
      </c>
      <c r="D3940" s="1" t="s">
        <v>18082</v>
      </c>
      <c r="E3940" s="1" t="s">
        <v>18082</v>
      </c>
      <c r="F3940" s="1" t="s">
        <v>19279</v>
      </c>
      <c r="G3940" s="1" t="s">
        <v>19280</v>
      </c>
      <c r="H3940" s="2" t="str">
        <f>Tabella1[[#This Row],[Denominazione]]&amp;" - "&amp;Tabella1[[#This Row],[Città]]</f>
        <v>HOTEL NETTUNO - PORTO SAN GIORGIO</v>
      </c>
    </row>
    <row r="3941" spans="1:8" x14ac:dyDescent="0.25">
      <c r="A3941" s="1" t="s">
        <v>20</v>
      </c>
      <c r="B3941" s="1" t="s">
        <v>2060</v>
      </c>
      <c r="C3941" s="1" t="s">
        <v>2061</v>
      </c>
      <c r="D3941" s="1" t="s">
        <v>1907</v>
      </c>
      <c r="E3941" s="1" t="s">
        <v>1907</v>
      </c>
      <c r="F3941" s="1" t="s">
        <v>2062</v>
      </c>
      <c r="G3941" s="1" t="s">
        <v>2063</v>
      </c>
      <c r="H3941" s="2" t="str">
        <f>Tabella1[[#This Row],[Denominazione]]&amp;" - "&amp;Tabella1[[#This Row],[Città]]</f>
        <v>HOTEL NORD EST - GABICCE MARE</v>
      </c>
    </row>
    <row r="3942" spans="1:8" x14ac:dyDescent="0.25">
      <c r="A3942" s="1" t="s">
        <v>20</v>
      </c>
      <c r="B3942" s="1" t="s">
        <v>7928</v>
      </c>
      <c r="C3942" s="1" t="s">
        <v>7929</v>
      </c>
      <c r="D3942" s="1" t="s">
        <v>7889</v>
      </c>
      <c r="E3942" s="1" t="s">
        <v>7889</v>
      </c>
      <c r="F3942" s="1" t="s">
        <v>7930</v>
      </c>
      <c r="G3942" s="1" t="s">
        <v>7931</v>
      </c>
      <c r="H3942" s="2" t="str">
        <f>Tabella1[[#This Row],[Denominazione]]&amp;" - "&amp;Tabella1[[#This Row],[Città]]</f>
        <v>HOTEL NUMANA PALACE - NUMANA</v>
      </c>
    </row>
    <row r="3943" spans="1:8" x14ac:dyDescent="0.25">
      <c r="A3943" s="1" t="s">
        <v>679</v>
      </c>
      <c r="B3943" s="1" t="s">
        <v>7928</v>
      </c>
      <c r="C3943" s="1" t="s">
        <v>8155</v>
      </c>
      <c r="D3943" s="1" t="s">
        <v>7889</v>
      </c>
      <c r="E3943" s="1" t="s">
        <v>7889</v>
      </c>
      <c r="F3943" s="1" t="s">
        <v>7931</v>
      </c>
      <c r="G3943" s="1" t="s">
        <v>8156</v>
      </c>
      <c r="H3943" s="2" t="str">
        <f>Tabella1[[#This Row],[Denominazione]]&amp;" - "&amp;Tabella1[[#This Row],[Città]]</f>
        <v>HOTEL NUMANA PALACE - NUMANA</v>
      </c>
    </row>
    <row r="3944" spans="1:8" x14ac:dyDescent="0.25">
      <c r="A3944" s="1" t="s">
        <v>20</v>
      </c>
      <c r="B3944" s="1" t="s">
        <v>8947</v>
      </c>
      <c r="C3944" s="1" t="s">
        <v>8948</v>
      </c>
      <c r="D3944" s="1" t="s">
        <v>8949</v>
      </c>
      <c r="E3944" s="1" t="s">
        <v>8949</v>
      </c>
      <c r="G3944" s="1" t="s">
        <v>8950</v>
      </c>
      <c r="H3944" s="2" t="str">
        <f>Tabella1[[#This Row],[Denominazione]]&amp;" - "&amp;Tabella1[[#This Row],[Città]]</f>
        <v>HOTEL NUOVO DIANA - SENIGALLIA</v>
      </c>
    </row>
    <row r="3945" spans="1:8" x14ac:dyDescent="0.25">
      <c r="A3945" s="1" t="s">
        <v>20</v>
      </c>
      <c r="B3945" s="1" t="s">
        <v>11545</v>
      </c>
      <c r="C3945" s="1" t="s">
        <v>11546</v>
      </c>
      <c r="D3945" s="1" t="s">
        <v>11244</v>
      </c>
      <c r="E3945" s="1" t="s">
        <v>11244</v>
      </c>
      <c r="F3945" s="1" t="s">
        <v>11547</v>
      </c>
      <c r="G3945" s="1" t="s">
        <v>11548</v>
      </c>
      <c r="H3945" s="2" t="str">
        <f>Tabella1[[#This Row],[Denominazione]]&amp;" - "&amp;Tabella1[[#This Row],[Città]]</f>
        <v>HOTEL PALACE - CIVITANOVA MARCHE</v>
      </c>
    </row>
    <row r="3946" spans="1:8" x14ac:dyDescent="0.25">
      <c r="A3946" s="1" t="s">
        <v>20</v>
      </c>
      <c r="B3946" s="1" t="s">
        <v>14729</v>
      </c>
      <c r="C3946" s="1" t="s">
        <v>14730</v>
      </c>
      <c r="D3946" s="1" t="s">
        <v>14576</v>
      </c>
      <c r="E3946" s="1" t="s">
        <v>14576</v>
      </c>
      <c r="F3946" s="1" t="s">
        <v>14731</v>
      </c>
      <c r="G3946" s="1" t="s">
        <v>14732</v>
      </c>
      <c r="H3946" s="2" t="str">
        <f>Tabella1[[#This Row],[Denominazione]]&amp;" - "&amp;Tabella1[[#This Row],[Città]]</f>
        <v>HOTEL PALAZZO GUIDEROCCHI - ASCOLI PICENO</v>
      </c>
    </row>
    <row r="3947" spans="1:8" x14ac:dyDescent="0.25">
      <c r="A3947" s="1" t="s">
        <v>20</v>
      </c>
      <c r="B3947" s="1" t="s">
        <v>9775</v>
      </c>
      <c r="C3947" s="1" t="s">
        <v>9776</v>
      </c>
      <c r="D3947" s="1" t="s">
        <v>8949</v>
      </c>
      <c r="E3947" s="1" t="s">
        <v>8949</v>
      </c>
      <c r="F3947" s="1" t="s">
        <v>9777</v>
      </c>
      <c r="G3947" s="1" t="s">
        <v>9778</v>
      </c>
      <c r="H3947" s="2" t="str">
        <f>Tabella1[[#This Row],[Denominazione]]&amp;" - "&amp;Tabella1[[#This Row],[Città]]</f>
        <v>HOTEL PARADISO - SENIGALLIA</v>
      </c>
    </row>
    <row r="3948" spans="1:8" x14ac:dyDescent="0.25">
      <c r="A3948" s="1" t="s">
        <v>20</v>
      </c>
      <c r="B3948" s="1" t="s">
        <v>9775</v>
      </c>
      <c r="C3948" s="1" t="s">
        <v>17769</v>
      </c>
      <c r="D3948" s="1" t="s">
        <v>17745</v>
      </c>
      <c r="E3948" s="1" t="s">
        <v>17745</v>
      </c>
      <c r="F3948" s="1" t="s">
        <v>17770</v>
      </c>
      <c r="G3948" s="1" t="s">
        <v>17771</v>
      </c>
      <c r="H3948" s="2" t="str">
        <f>Tabella1[[#This Row],[Denominazione]]&amp;" - "&amp;Tabella1[[#This Row],[Città]]</f>
        <v>HOTEL PARADISO - AMANDOLA</v>
      </c>
    </row>
    <row r="3949" spans="1:8" x14ac:dyDescent="0.25">
      <c r="A3949" s="1" t="s">
        <v>20</v>
      </c>
      <c r="B3949" s="1" t="s">
        <v>6450</v>
      </c>
      <c r="C3949" s="1" t="s">
        <v>6451</v>
      </c>
      <c r="D3949" s="1" t="s">
        <v>6371</v>
      </c>
      <c r="E3949" s="1" t="s">
        <v>6371</v>
      </c>
      <c r="F3949" s="1" t="s">
        <v>6452</v>
      </c>
      <c r="G3949" s="1" t="s">
        <v>6453</v>
      </c>
      <c r="H3949" s="2" t="str">
        <f>Tabella1[[#This Row],[Denominazione]]&amp;" - "&amp;Tabella1[[#This Row],[Città]]</f>
        <v>HOTEL PARCO - CASTELFIDARDO</v>
      </c>
    </row>
    <row r="3950" spans="1:8" x14ac:dyDescent="0.25">
      <c r="A3950" s="1" t="s">
        <v>20</v>
      </c>
      <c r="B3950" s="1" t="s">
        <v>15735</v>
      </c>
      <c r="C3950" s="1" t="s">
        <v>15736</v>
      </c>
      <c r="D3950" s="1" t="s">
        <v>15585</v>
      </c>
      <c r="E3950" s="1" t="s">
        <v>15585</v>
      </c>
      <c r="F3950" s="1" t="s">
        <v>15737</v>
      </c>
      <c r="G3950" s="1" t="s">
        <v>15738</v>
      </c>
      <c r="H3950" s="2" t="str">
        <f>Tabella1[[#This Row],[Denominazione]]&amp;" - "&amp;Tabella1[[#This Row],[Città]]</f>
        <v>HOTEL PARCO DEI PRINCIPI - GROTTAMMARE</v>
      </c>
    </row>
    <row r="3951" spans="1:8" x14ac:dyDescent="0.25">
      <c r="A3951" s="1" t="s">
        <v>20</v>
      </c>
      <c r="B3951" s="1" t="s">
        <v>7431</v>
      </c>
      <c r="C3951" s="1" t="s">
        <v>7432</v>
      </c>
      <c r="D3951" s="1" t="s">
        <v>7385</v>
      </c>
      <c r="E3951" s="1" t="s">
        <v>7385</v>
      </c>
      <c r="F3951" s="1" t="s">
        <v>7433</v>
      </c>
      <c r="G3951" s="1" t="s">
        <v>7434</v>
      </c>
      <c r="H3951" s="2" t="str">
        <f>Tabella1[[#This Row],[Denominazione]]&amp;" - "&amp;Tabella1[[#This Row],[Città]]</f>
        <v>HOTEL PELLEGRINO E PACE - LORETO</v>
      </c>
    </row>
    <row r="3952" spans="1:8" x14ac:dyDescent="0.25">
      <c r="A3952" s="1" t="s">
        <v>20</v>
      </c>
      <c r="B3952" s="1" t="s">
        <v>14625</v>
      </c>
      <c r="C3952" s="1" t="s">
        <v>14626</v>
      </c>
      <c r="D3952" s="1" t="s">
        <v>14576</v>
      </c>
      <c r="E3952" s="1" t="s">
        <v>14576</v>
      </c>
      <c r="F3952" s="1" t="s">
        <v>14627</v>
      </c>
      <c r="G3952" s="1" t="s">
        <v>14628</v>
      </c>
      <c r="H3952" s="2" t="str">
        <f>Tabella1[[#This Row],[Denominazione]]&amp;" - "&amp;Tabella1[[#This Row],[Città]]</f>
        <v>HOTEL PENNILE - ASCOLI PICENO</v>
      </c>
    </row>
    <row r="3953" spans="1:8" x14ac:dyDescent="0.25">
      <c r="A3953" s="1" t="s">
        <v>20</v>
      </c>
      <c r="B3953" s="1" t="s">
        <v>16052</v>
      </c>
      <c r="C3953" s="1" t="s">
        <v>16053</v>
      </c>
      <c r="D3953" s="1" t="s">
        <v>16040</v>
      </c>
      <c r="E3953" s="1" t="s">
        <v>16040</v>
      </c>
      <c r="F3953" s="1" t="s">
        <v>16054</v>
      </c>
      <c r="G3953" s="1" t="s">
        <v>16055</v>
      </c>
      <c r="H3953" s="2" t="str">
        <f>Tabella1[[#This Row],[Denominazione]]&amp;" - "&amp;Tabella1[[#This Row],[Città]]</f>
        <v>HOTEL PHILOSOPHY - MONSAMPOLO DEL TRONTO</v>
      </c>
    </row>
    <row r="3954" spans="1:8" x14ac:dyDescent="0.25">
      <c r="A3954" s="1" t="s">
        <v>20</v>
      </c>
      <c r="B3954" s="1" t="s">
        <v>407</v>
      </c>
      <c r="C3954" s="1" t="s">
        <v>408</v>
      </c>
      <c r="D3954" s="1" t="s">
        <v>316</v>
      </c>
      <c r="E3954" s="1" t="s">
        <v>316</v>
      </c>
      <c r="G3954" s="1" t="s">
        <v>409</v>
      </c>
      <c r="H3954" s="2" t="str">
        <f>Tabella1[[#This Row],[Denominazione]]&amp;" - "&amp;Tabella1[[#This Row],[Città]]</f>
        <v>HOTEL PINETA - CAGLI</v>
      </c>
    </row>
    <row r="3955" spans="1:8" x14ac:dyDescent="0.25">
      <c r="A3955" s="1" t="s">
        <v>20</v>
      </c>
      <c r="B3955" s="1" t="s">
        <v>407</v>
      </c>
      <c r="C3955" s="1" t="s">
        <v>19404</v>
      </c>
      <c r="D3955" s="1" t="s">
        <v>19283</v>
      </c>
      <c r="E3955" s="1" t="s">
        <v>19405</v>
      </c>
      <c r="F3955" s="1" t="s">
        <v>19406</v>
      </c>
      <c r="G3955" s="1" t="s">
        <v>19407</v>
      </c>
      <c r="H3955" s="2" t="str">
        <f>Tabella1[[#This Row],[Denominazione]]&amp;" - "&amp;Tabella1[[#This Row],[Città]]</f>
        <v>HOTEL PINETA - PORTO SANT'ELPIDIO</v>
      </c>
    </row>
    <row r="3956" spans="1:8" x14ac:dyDescent="0.25">
      <c r="A3956" s="1" t="s">
        <v>679</v>
      </c>
      <c r="B3956" s="1" t="s">
        <v>1012</v>
      </c>
      <c r="C3956" s="1" t="s">
        <v>954</v>
      </c>
      <c r="D3956" s="1" t="s">
        <v>682</v>
      </c>
      <c r="E3956" s="1" t="s">
        <v>682</v>
      </c>
      <c r="H3956" s="2" t="str">
        <f>Tabella1[[#This Row],[Denominazione]]&amp;" - "&amp;Tabella1[[#This Row],[Città]]</f>
        <v>HOTEL PLAYA PRINCIPE - FANO</v>
      </c>
    </row>
    <row r="3957" spans="1:8" x14ac:dyDescent="0.25">
      <c r="A3957" s="1" t="s">
        <v>20</v>
      </c>
      <c r="B3957" s="1" t="s">
        <v>3510</v>
      </c>
      <c r="C3957" s="1" t="s">
        <v>3511</v>
      </c>
      <c r="D3957" s="1" t="s">
        <v>2386</v>
      </c>
      <c r="G3957" s="1" t="s">
        <v>3512</v>
      </c>
      <c r="H3957" s="2" t="str">
        <f>Tabella1[[#This Row],[Denominazione]]&amp;" - "&amp;Tabella1[[#This Row],[Città]]</f>
        <v>HOTEL PRESIDENT'S - PESARO</v>
      </c>
    </row>
    <row r="3958" spans="1:8" x14ac:dyDescent="0.25">
      <c r="A3958" s="1" t="s">
        <v>20</v>
      </c>
      <c r="B3958" s="1" t="s">
        <v>1584</v>
      </c>
      <c r="C3958" s="1" t="s">
        <v>1585</v>
      </c>
      <c r="D3958" s="1" t="s">
        <v>682</v>
      </c>
      <c r="E3958" s="1" t="s">
        <v>1586</v>
      </c>
      <c r="F3958" s="1" t="s">
        <v>1587</v>
      </c>
      <c r="G3958" s="1" t="s">
        <v>1588</v>
      </c>
      <c r="H3958" s="2" t="str">
        <f>Tabella1[[#This Row],[Denominazione]]&amp;" - "&amp;Tabella1[[#This Row],[Città]]</f>
        <v>HOTEL PRESTIGE - FANO</v>
      </c>
    </row>
    <row r="3959" spans="1:8" x14ac:dyDescent="0.25">
      <c r="A3959" s="1" t="s">
        <v>20</v>
      </c>
      <c r="B3959" s="1" t="s">
        <v>3934</v>
      </c>
      <c r="C3959" s="1" t="s">
        <v>3935</v>
      </c>
      <c r="D3959" s="1" t="s">
        <v>2386</v>
      </c>
      <c r="E3959" s="1" t="s">
        <v>2386</v>
      </c>
      <c r="F3959" s="1" t="s">
        <v>3936</v>
      </c>
      <c r="G3959" s="1" t="s">
        <v>3937</v>
      </c>
      <c r="H3959" s="2" t="str">
        <f>Tabella1[[#This Row],[Denominazione]]&amp;" - "&amp;Tabella1[[#This Row],[Città]]</f>
        <v>HOTEL PROMENADE - PESARO</v>
      </c>
    </row>
    <row r="3960" spans="1:8" x14ac:dyDescent="0.25">
      <c r="A3960" s="1" t="s">
        <v>20</v>
      </c>
      <c r="B3960" s="1" t="s">
        <v>12357</v>
      </c>
      <c r="C3960" s="1" t="s">
        <v>12358</v>
      </c>
      <c r="D3960" s="1" t="s">
        <v>12342</v>
      </c>
      <c r="E3960" s="1" t="s">
        <v>12359</v>
      </c>
      <c r="F3960" s="1" t="s">
        <v>12360</v>
      </c>
      <c r="G3960" s="1" t="s">
        <v>12361</v>
      </c>
      <c r="H3960" s="2" t="str">
        <f>Tabella1[[#This Row],[Denominazione]]&amp;" - "&amp;Tabella1[[#This Row],[Città]]</f>
        <v>HOTEL RECINA - MONTECASSIANO</v>
      </c>
    </row>
    <row r="3961" spans="1:8" x14ac:dyDescent="0.25">
      <c r="A3961" s="1" t="s">
        <v>403</v>
      </c>
      <c r="B3961" s="1" t="s">
        <v>18270</v>
      </c>
      <c r="C3961" s="1" t="s">
        <v>18271</v>
      </c>
      <c r="D3961" s="1" t="s">
        <v>17932</v>
      </c>
      <c r="E3961" s="1" t="s">
        <v>17932</v>
      </c>
      <c r="F3961" s="1" t="s">
        <v>18272</v>
      </c>
      <c r="G3961" s="1" t="s">
        <v>18273</v>
      </c>
      <c r="H3961" s="2" t="str">
        <f>Tabella1[[#This Row],[Denominazione]]&amp;" - "&amp;Tabella1[[#This Row],[Città]]</f>
        <v>HOTEL RESIDENCE CHARLY - FERMO</v>
      </c>
    </row>
    <row r="3962" spans="1:8" x14ac:dyDescent="0.25">
      <c r="A3962" s="1" t="s">
        <v>20</v>
      </c>
      <c r="B3962" s="1" t="s">
        <v>14862</v>
      </c>
      <c r="C3962" s="1" t="s">
        <v>14863</v>
      </c>
      <c r="D3962" s="1" t="s">
        <v>14576</v>
      </c>
      <c r="E3962" s="1" t="s">
        <v>14576</v>
      </c>
      <c r="F3962" s="1" t="s">
        <v>14864</v>
      </c>
      <c r="G3962" s="1" t="s">
        <v>14865</v>
      </c>
      <c r="H3962" s="2" t="str">
        <f>Tabella1[[#This Row],[Denominazione]]&amp;" - "&amp;Tabella1[[#This Row],[Città]]</f>
        <v>HOTEL RESIDENZA CENTO TORRI - ASCOLI PICENO</v>
      </c>
    </row>
    <row r="3963" spans="1:8" x14ac:dyDescent="0.25">
      <c r="A3963" s="1" t="s">
        <v>20</v>
      </c>
      <c r="B3963" s="1" t="s">
        <v>13870</v>
      </c>
      <c r="C3963" s="1" t="s">
        <v>13871</v>
      </c>
      <c r="D3963" s="1" t="s">
        <v>13756</v>
      </c>
      <c r="E3963" s="1" t="s">
        <v>13756</v>
      </c>
      <c r="H3963" s="2" t="str">
        <f>Tabella1[[#This Row],[Denominazione]]&amp;" - "&amp;Tabella1[[#This Row],[Città]]</f>
        <v>HOTEL RISTORANTE AI PINI - SARNANO</v>
      </c>
    </row>
    <row r="3964" spans="1:8" x14ac:dyDescent="0.25">
      <c r="A3964" s="1" t="s">
        <v>20</v>
      </c>
      <c r="B3964" s="1" t="s">
        <v>18524</v>
      </c>
      <c r="D3964" s="1" t="s">
        <v>18522</v>
      </c>
      <c r="E3964" s="1" t="s">
        <v>18525</v>
      </c>
      <c r="G3964" s="1" t="s">
        <v>18526</v>
      </c>
      <c r="H3964" s="2" t="str">
        <f>Tabella1[[#This Row],[Denominazione]]&amp;" - "&amp;Tabella1[[#This Row],[Città]]</f>
        <v>HOTEL RISTORANTE AMBRO - MONTEFORTINO</v>
      </c>
    </row>
    <row r="3965" spans="1:8" x14ac:dyDescent="0.25">
      <c r="A3965" s="1" t="s">
        <v>20</v>
      </c>
      <c r="B3965" s="1" t="s">
        <v>10244</v>
      </c>
      <c r="C3965" s="1" t="s">
        <v>10245</v>
      </c>
      <c r="D3965" s="1" t="s">
        <v>10206</v>
      </c>
      <c r="E3965" s="1" t="s">
        <v>10206</v>
      </c>
      <c r="F3965" s="1" t="s">
        <v>10246</v>
      </c>
      <c r="G3965" s="1" t="s">
        <v>10247</v>
      </c>
      <c r="H3965" s="2" t="str">
        <f>Tabella1[[#This Row],[Denominazione]]&amp;" - "&amp;Tabella1[[#This Row],[Città]]</f>
        <v>HOTEL RISTORANTE CONCHIGLIA VERDE - SIROLO</v>
      </c>
    </row>
    <row r="3966" spans="1:8" x14ac:dyDescent="0.25">
      <c r="A3966" s="1" t="s">
        <v>20</v>
      </c>
      <c r="B3966" s="1" t="s">
        <v>14301</v>
      </c>
      <c r="C3966" s="1" t="s">
        <v>14302</v>
      </c>
      <c r="D3966" s="1" t="s">
        <v>14276</v>
      </c>
      <c r="E3966" s="1" t="s">
        <v>14276</v>
      </c>
      <c r="F3966" s="1" t="s">
        <v>14303</v>
      </c>
      <c r="G3966" s="1" t="s">
        <v>14304</v>
      </c>
      <c r="H3966" s="2" t="str">
        <f>Tabella1[[#This Row],[Denominazione]]&amp;" - "&amp;Tabella1[[#This Row],[Città]]</f>
        <v>HOTEL RISTORANTE ELENA - VISSO</v>
      </c>
    </row>
    <row r="3967" spans="1:8" x14ac:dyDescent="0.25">
      <c r="A3967" s="1" t="s">
        <v>20</v>
      </c>
      <c r="B3967" s="1" t="s">
        <v>4382</v>
      </c>
      <c r="C3967" s="1" t="s">
        <v>4383</v>
      </c>
      <c r="D3967" s="1" t="s">
        <v>4359</v>
      </c>
      <c r="E3967" s="1" t="s">
        <v>4359</v>
      </c>
      <c r="F3967" s="1" t="s">
        <v>4384</v>
      </c>
      <c r="G3967" s="1" t="s">
        <v>4385</v>
      </c>
      <c r="H3967" s="2" t="str">
        <f>Tabella1[[#This Row],[Denominazione]]&amp;" - "&amp;Tabella1[[#This Row],[Città]]</f>
        <v>HOTEL RISTORANTE GIARDINO - SAN LORENZO IN CAMPO</v>
      </c>
    </row>
    <row r="3968" spans="1:8" x14ac:dyDescent="0.25">
      <c r="A3968" s="1" t="s">
        <v>20</v>
      </c>
      <c r="B3968" s="1" t="s">
        <v>6626</v>
      </c>
      <c r="C3968" s="1" t="s">
        <v>6627</v>
      </c>
      <c r="D3968" s="1" t="s">
        <v>6536</v>
      </c>
      <c r="E3968" s="1" t="s">
        <v>6536</v>
      </c>
      <c r="F3968" s="1" t="s">
        <v>6628</v>
      </c>
      <c r="G3968" s="1" t="s">
        <v>6629</v>
      </c>
      <c r="H3968" s="2" t="str">
        <f>Tabella1[[#This Row],[Denominazione]]&amp;" - "&amp;Tabella1[[#This Row],[Città]]</f>
        <v>HOTEL RISTORANTE I TIGLI - CORINALDO</v>
      </c>
    </row>
    <row r="3969" spans="1:8" x14ac:dyDescent="0.25">
      <c r="A3969" s="1" t="s">
        <v>82</v>
      </c>
      <c r="B3969" s="1" t="s">
        <v>19147</v>
      </c>
      <c r="C3969" s="1" t="s">
        <v>19148</v>
      </c>
      <c r="D3969" s="1" t="s">
        <v>18082</v>
      </c>
      <c r="E3969" s="1" t="s">
        <v>18082</v>
      </c>
      <c r="F3969" s="1" t="s">
        <v>19149</v>
      </c>
      <c r="G3969" s="1" t="s">
        <v>19150</v>
      </c>
      <c r="H3969" s="2" t="str">
        <f>Tabella1[[#This Row],[Denominazione]]&amp;" - "&amp;Tabella1[[#This Row],[Città]]</f>
        <v>HOTEL RISTORANTE IL CAMINETTO - PORTO SAN GIORGIO</v>
      </c>
    </row>
    <row r="3970" spans="1:8" x14ac:dyDescent="0.25">
      <c r="A3970" s="1" t="s">
        <v>20</v>
      </c>
      <c r="B3970" s="1" t="s">
        <v>19377</v>
      </c>
      <c r="C3970" s="1" t="s">
        <v>19378</v>
      </c>
      <c r="D3970" s="1" t="s">
        <v>19283</v>
      </c>
      <c r="E3970" s="1" t="s">
        <v>19363</v>
      </c>
      <c r="F3970" s="1" t="s">
        <v>19379</v>
      </c>
      <c r="G3970" s="1" t="s">
        <v>19380</v>
      </c>
      <c r="H3970" s="2" t="str">
        <f>Tabella1[[#This Row],[Denominazione]]&amp;" - "&amp;Tabella1[[#This Row],[Città]]</f>
        <v>HOTEL RISTORANTE IL GAMBERO - PORTO SANT'ELPIDIO</v>
      </c>
    </row>
    <row r="3971" spans="1:8" x14ac:dyDescent="0.25">
      <c r="A3971" s="1" t="s">
        <v>20</v>
      </c>
      <c r="B3971" s="1" t="s">
        <v>14488</v>
      </c>
      <c r="C3971" s="1" t="s">
        <v>14489</v>
      </c>
      <c r="D3971" s="1" t="s">
        <v>14428</v>
      </c>
      <c r="E3971" s="1" t="s">
        <v>14428</v>
      </c>
      <c r="F3971" s="1" t="s">
        <v>14490</v>
      </c>
      <c r="G3971" s="1" t="s">
        <v>14491</v>
      </c>
      <c r="H3971" s="2" t="str">
        <f>Tabella1[[#This Row],[Denominazione]]&amp;" - "&amp;Tabella1[[#This Row],[Città]]</f>
        <v>HOTEL RISTORANTE IL GRILLO - ACQUAVIVA PICENA</v>
      </c>
    </row>
    <row r="3972" spans="1:8" x14ac:dyDescent="0.25">
      <c r="A3972" s="1" t="s">
        <v>20</v>
      </c>
      <c r="B3972" s="1" t="s">
        <v>14350</v>
      </c>
      <c r="C3972" s="1" t="s">
        <v>14351</v>
      </c>
      <c r="D3972" s="1" t="s">
        <v>14334</v>
      </c>
      <c r="E3972" s="1" t="s">
        <v>14334</v>
      </c>
      <c r="F3972" s="1" t="s">
        <v>14352</v>
      </c>
      <c r="G3972" s="1" t="s">
        <v>14353</v>
      </c>
      <c r="H3972" s="2" t="str">
        <f>Tabella1[[#This Row],[Denominazione]]&amp;" - "&amp;Tabella1[[#This Row],[Città]]</f>
        <v>HOTEL RISTORANTE IL PASSO - ACQUASANTA TERME</v>
      </c>
    </row>
    <row r="3973" spans="1:8" x14ac:dyDescent="0.25">
      <c r="A3973" s="1" t="s">
        <v>20</v>
      </c>
      <c r="B3973" s="1" t="s">
        <v>13999</v>
      </c>
      <c r="C3973" s="1" t="s">
        <v>14000</v>
      </c>
      <c r="D3973" s="1" t="s">
        <v>13946</v>
      </c>
      <c r="E3973" s="1" t="s">
        <v>14001</v>
      </c>
      <c r="F3973" s="1" t="s">
        <v>14002</v>
      </c>
      <c r="G3973" s="1" t="s">
        <v>14003</v>
      </c>
      <c r="H3973" s="2" t="str">
        <f>Tabella1[[#This Row],[Denominazione]]&amp;" - "&amp;Tabella1[[#This Row],[Città]]</f>
        <v>HOTEL RISTORANTE LA FORESTERIA - TOLENTINO</v>
      </c>
    </row>
    <row r="3974" spans="1:8" x14ac:dyDescent="0.25">
      <c r="A3974" s="1" t="s">
        <v>20</v>
      </c>
      <c r="B3974" s="1" t="s">
        <v>7213</v>
      </c>
      <c r="C3974" s="1" t="s">
        <v>7214</v>
      </c>
      <c r="D3974" s="1" t="s">
        <v>7200</v>
      </c>
      <c r="E3974" s="1" t="s">
        <v>7215</v>
      </c>
      <c r="F3974" s="1" t="s">
        <v>7216</v>
      </c>
      <c r="G3974" s="1" t="s">
        <v>7217</v>
      </c>
      <c r="H3974" s="2" t="str">
        <f>Tabella1[[#This Row],[Denominazione]]&amp;" - "&amp;Tabella1[[#This Row],[Città]]</f>
        <v>HOTEL RISTORANTE LE GROTTE - GENGA</v>
      </c>
    </row>
    <row r="3975" spans="1:8" x14ac:dyDescent="0.25">
      <c r="A3975" s="1" t="s">
        <v>20</v>
      </c>
      <c r="B3975" s="1" t="s">
        <v>12954</v>
      </c>
      <c r="C3975" s="1" t="s">
        <v>12955</v>
      </c>
      <c r="D3975" s="1" t="s">
        <v>12801</v>
      </c>
      <c r="E3975" s="1" t="s">
        <v>12801</v>
      </c>
      <c r="F3975" s="1" t="s">
        <v>12956</v>
      </c>
      <c r="G3975" s="1" t="s">
        <v>12957</v>
      </c>
      <c r="H3975" s="2" t="str">
        <f>Tabella1[[#This Row],[Denominazione]]&amp;" - "&amp;Tabella1[[#This Row],[Città]]</f>
        <v>HOTEL RISTORANTE MIRACONERO - PORTO RECANATI</v>
      </c>
    </row>
    <row r="3976" spans="1:8" x14ac:dyDescent="0.25">
      <c r="A3976" s="1" t="s">
        <v>20</v>
      </c>
      <c r="B3976" s="1" t="s">
        <v>14403</v>
      </c>
      <c r="C3976" s="1" t="s">
        <v>14404</v>
      </c>
      <c r="D3976" s="1" t="s">
        <v>14334</v>
      </c>
      <c r="E3976" s="1" t="s">
        <v>14334</v>
      </c>
      <c r="F3976" s="1" t="s">
        <v>14405</v>
      </c>
      <c r="G3976" s="1" t="s">
        <v>14406</v>
      </c>
      <c r="H3976" s="2" t="str">
        <f>Tabella1[[#This Row],[Denominazione]]&amp;" - "&amp;Tabella1[[#This Row],[Città]]</f>
        <v>HOTEL RISTORANTE MONASTERO  VALLEDACQUA - ACQUASANTA TERME</v>
      </c>
    </row>
    <row r="3977" spans="1:8" x14ac:dyDescent="0.25">
      <c r="A3977" s="1" t="s">
        <v>20</v>
      </c>
      <c r="B3977" s="1" t="s">
        <v>12481</v>
      </c>
      <c r="C3977" s="1" t="s">
        <v>12482</v>
      </c>
      <c r="D3977" s="1" t="s">
        <v>12459</v>
      </c>
      <c r="E3977" s="1" t="s">
        <v>12459</v>
      </c>
      <c r="F3977" s="1" t="s">
        <v>12483</v>
      </c>
      <c r="G3977" s="1" t="s">
        <v>12484</v>
      </c>
      <c r="H3977" s="2" t="str">
        <f>Tabella1[[#This Row],[Denominazione]]&amp;" - "&amp;Tabella1[[#This Row],[Città]]</f>
        <v>HOTEL RISTORANTE MORETTI DANTE - MONTELUPONE</v>
      </c>
    </row>
    <row r="3978" spans="1:8" x14ac:dyDescent="0.25">
      <c r="A3978" s="1" t="s">
        <v>20</v>
      </c>
      <c r="B3978" s="1" t="s">
        <v>14455</v>
      </c>
      <c r="C3978" s="1" t="s">
        <v>14456</v>
      </c>
      <c r="D3978" s="1" t="s">
        <v>14428</v>
      </c>
      <c r="G3978" s="1" t="s">
        <v>14457</v>
      </c>
      <c r="H3978" s="2" t="str">
        <f>Tabella1[[#This Row],[Denominazione]]&amp;" - "&amp;Tabella1[[#This Row],[Città]]</f>
        <v>HOTEL RISTORANTE O'VIV - ACQUAVIVA PICENA</v>
      </c>
    </row>
    <row r="3979" spans="1:8" x14ac:dyDescent="0.25">
      <c r="A3979" s="1" t="s">
        <v>20</v>
      </c>
      <c r="B3979" s="1" t="s">
        <v>6965</v>
      </c>
      <c r="C3979" s="1" t="s">
        <v>6966</v>
      </c>
      <c r="D3979" s="1" t="s">
        <v>6790</v>
      </c>
      <c r="E3979" s="1" t="s">
        <v>6967</v>
      </c>
      <c r="F3979" s="1" t="s">
        <v>6968</v>
      </c>
      <c r="G3979" s="1" t="s">
        <v>6969</v>
      </c>
      <c r="H3979" s="2" t="str">
        <f>Tabella1[[#This Row],[Denominazione]]&amp;" - "&amp;Tabella1[[#This Row],[Città]]</f>
        <v>HOTEL RISTORANTE PINETA - FABRIANO</v>
      </c>
    </row>
    <row r="3980" spans="1:8" x14ac:dyDescent="0.25">
      <c r="A3980" s="1" t="s">
        <v>20</v>
      </c>
      <c r="B3980" s="1" t="s">
        <v>8966</v>
      </c>
      <c r="C3980" s="1" t="s">
        <v>8967</v>
      </c>
      <c r="D3980" s="1" t="s">
        <v>8949</v>
      </c>
      <c r="F3980" s="1" t="s">
        <v>8968</v>
      </c>
      <c r="G3980" s="1" t="s">
        <v>8969</v>
      </c>
      <c r="H3980" s="2" t="str">
        <f>Tabella1[[#This Row],[Denominazione]]&amp;" - "&amp;Tabella1[[#This Row],[Città]]</f>
        <v>HOTEL RISTORANTE PIZZERIA CHIAR DI LUNA - SENIGALLIA</v>
      </c>
    </row>
    <row r="3981" spans="1:8" x14ac:dyDescent="0.25">
      <c r="A3981" s="1" t="s">
        <v>20</v>
      </c>
      <c r="B3981" s="1" t="s">
        <v>7239</v>
      </c>
      <c r="C3981" s="1" t="s">
        <v>7240</v>
      </c>
      <c r="D3981" s="1" t="s">
        <v>7200</v>
      </c>
      <c r="F3981" s="1" t="s">
        <v>7241</v>
      </c>
      <c r="G3981" s="1" t="s">
        <v>7242</v>
      </c>
      <c r="H3981" s="2" t="str">
        <f>Tabella1[[#This Row],[Denominazione]]&amp;" - "&amp;Tabella1[[#This Row],[Città]]</f>
        <v>HOTEL RISTORANTE TERME SAN VITTORE - GENGA</v>
      </c>
    </row>
    <row r="3982" spans="1:8" x14ac:dyDescent="0.25">
      <c r="A3982" s="1" t="s">
        <v>20</v>
      </c>
      <c r="B3982" s="1" t="s">
        <v>14358</v>
      </c>
      <c r="C3982" s="1" t="s">
        <v>14359</v>
      </c>
      <c r="D3982" s="1" t="s">
        <v>14334</v>
      </c>
      <c r="E3982" s="1" t="s">
        <v>14334</v>
      </c>
      <c r="G3982" s="1" t="s">
        <v>14360</v>
      </c>
      <c r="H3982" s="2" t="str">
        <f>Tabella1[[#This Row],[Denominazione]]&amp;" - "&amp;Tabella1[[#This Row],[Città]]</f>
        <v>HOTEL RISTORANTE TRE LANTERNE - ACQUASANTA TERME</v>
      </c>
    </row>
    <row r="3983" spans="1:8" x14ac:dyDescent="0.25">
      <c r="A3983" s="1" t="s">
        <v>20</v>
      </c>
      <c r="B3983" s="1" t="s">
        <v>15961</v>
      </c>
      <c r="C3983" s="1" t="s">
        <v>15962</v>
      </c>
      <c r="D3983" s="1" t="s">
        <v>15963</v>
      </c>
      <c r="E3983" s="1" t="s">
        <v>15963</v>
      </c>
      <c r="G3983" s="1" t="s">
        <v>15964</v>
      </c>
      <c r="H3983" s="2" t="str">
        <f>Tabella1[[#This Row],[Denominazione]]&amp;" - "&amp;Tabella1[[#This Row],[Città]]</f>
        <v>HOTEL RISTORANTE VILLA FANINI - MALTIGNANO</v>
      </c>
    </row>
    <row r="3984" spans="1:8" x14ac:dyDescent="0.25">
      <c r="A3984" s="1" t="s">
        <v>20</v>
      </c>
      <c r="B3984" s="1" t="s">
        <v>14870</v>
      </c>
      <c r="C3984" s="1" t="s">
        <v>14871</v>
      </c>
      <c r="D3984" s="1" t="s">
        <v>14576</v>
      </c>
      <c r="E3984" s="1" t="s">
        <v>14576</v>
      </c>
      <c r="F3984" s="1" t="s">
        <v>14872</v>
      </c>
      <c r="G3984" s="1" t="s">
        <v>14873</v>
      </c>
      <c r="H3984" s="2" t="str">
        <f>Tabella1[[#This Row],[Denominazione]]&amp;" - "&amp;Tabella1[[#This Row],[Città]]</f>
        <v>HOTEL RISTORANTE VILLA SGARIGLIA - ASCOLI PICENO</v>
      </c>
    </row>
    <row r="3985" spans="1:8" x14ac:dyDescent="0.25">
      <c r="A3985" s="1" t="s">
        <v>20</v>
      </c>
      <c r="B3985" s="1" t="s">
        <v>9520</v>
      </c>
      <c r="C3985" s="1" t="s">
        <v>9521</v>
      </c>
      <c r="D3985" s="1" t="s">
        <v>8949</v>
      </c>
      <c r="E3985" s="1" t="s">
        <v>8949</v>
      </c>
      <c r="F3985" s="1" t="s">
        <v>9522</v>
      </c>
      <c r="G3985" s="1" t="s">
        <v>9523</v>
      </c>
      <c r="H3985" s="2" t="str">
        <f>Tabella1[[#This Row],[Denominazione]]&amp;" - "&amp;Tabella1[[#This Row],[Città]]</f>
        <v>HOTEL RITZ - SENIGALLIA</v>
      </c>
    </row>
    <row r="3986" spans="1:8" x14ac:dyDescent="0.25">
      <c r="A3986" s="1" t="s">
        <v>679</v>
      </c>
      <c r="B3986" s="1" t="s">
        <v>9957</v>
      </c>
      <c r="D3986" s="1" t="s">
        <v>8949</v>
      </c>
      <c r="E3986" s="1" t="s">
        <v>8949</v>
      </c>
      <c r="H3986" s="2" t="str">
        <f>Tabella1[[#This Row],[Denominazione]]&amp;" - "&amp;Tabella1[[#This Row],[Città]]</f>
        <v>HOTEL RITZ - BAGNI N° 95 - SENIGALLIA</v>
      </c>
    </row>
    <row r="3987" spans="1:8" x14ac:dyDescent="0.25">
      <c r="A3987" s="1" t="s">
        <v>20</v>
      </c>
      <c r="B3987" s="1" t="s">
        <v>19169</v>
      </c>
      <c r="C3987" s="1" t="s">
        <v>19170</v>
      </c>
      <c r="D3987" s="1" t="s">
        <v>18082</v>
      </c>
      <c r="E3987" s="1" t="s">
        <v>18082</v>
      </c>
      <c r="F3987" s="1" t="s">
        <v>19171</v>
      </c>
      <c r="G3987" s="1" t="s">
        <v>19172</v>
      </c>
      <c r="H3987" s="2" t="str">
        <f>Tabella1[[#This Row],[Denominazione]]&amp;" - "&amp;Tabella1[[#This Row],[Città]]</f>
        <v>HOTEL ROSA MEUBLE' - PORTO SAN GIORGIO</v>
      </c>
    </row>
    <row r="3988" spans="1:8" x14ac:dyDescent="0.25">
      <c r="A3988" s="1" t="s">
        <v>20</v>
      </c>
      <c r="B3988" s="1" t="s">
        <v>4034</v>
      </c>
      <c r="C3988" s="1" t="s">
        <v>4035</v>
      </c>
      <c r="D3988" s="1" t="s">
        <v>2386</v>
      </c>
      <c r="E3988" s="1" t="s">
        <v>2386</v>
      </c>
      <c r="F3988" s="1" t="s">
        <v>4036</v>
      </c>
      <c r="G3988" s="1" t="s">
        <v>4037</v>
      </c>
      <c r="H3988" s="2" t="str">
        <f>Tabella1[[#This Row],[Denominazione]]&amp;" - "&amp;Tabella1[[#This Row],[Città]]</f>
        <v>HOTEL ROSSINI - PESARO</v>
      </c>
    </row>
    <row r="3989" spans="1:8" x14ac:dyDescent="0.25">
      <c r="A3989" s="1" t="s">
        <v>20</v>
      </c>
      <c r="B3989" s="1" t="s">
        <v>9269</v>
      </c>
      <c r="C3989" s="1" t="s">
        <v>9270</v>
      </c>
      <c r="D3989" s="1" t="s">
        <v>8949</v>
      </c>
      <c r="E3989" s="1" t="s">
        <v>8949</v>
      </c>
      <c r="F3989" s="1" t="s">
        <v>9271</v>
      </c>
      <c r="G3989" s="1" t="s">
        <v>9272</v>
      </c>
      <c r="H3989" s="2" t="str">
        <f>Tabella1[[#This Row],[Denominazione]]&amp;" - "&amp;Tabella1[[#This Row],[Città]]</f>
        <v>HOTEL ROYAL - SENIGALLIA</v>
      </c>
    </row>
    <row r="3990" spans="1:8" x14ac:dyDescent="0.25">
      <c r="A3990" s="1" t="s">
        <v>20</v>
      </c>
      <c r="B3990" s="1" t="s">
        <v>9269</v>
      </c>
      <c r="C3990" s="1" t="s">
        <v>18177</v>
      </c>
      <c r="D3990" s="1" t="s">
        <v>17932</v>
      </c>
      <c r="E3990" s="1" t="s">
        <v>17932</v>
      </c>
      <c r="F3990" s="1" t="s">
        <v>11547</v>
      </c>
      <c r="G3990" s="1" t="s">
        <v>18178</v>
      </c>
      <c r="H3990" s="2" t="str">
        <f>Tabella1[[#This Row],[Denominazione]]&amp;" - "&amp;Tabella1[[#This Row],[Città]]</f>
        <v>HOTEL ROYAL - FERMO</v>
      </c>
    </row>
    <row r="3991" spans="1:8" x14ac:dyDescent="0.25">
      <c r="A3991" s="1" t="s">
        <v>679</v>
      </c>
      <c r="B3991" s="1" t="s">
        <v>1016</v>
      </c>
      <c r="C3991" s="1" t="s">
        <v>1017</v>
      </c>
      <c r="D3991" s="1" t="s">
        <v>682</v>
      </c>
      <c r="E3991" s="1" t="s">
        <v>682</v>
      </c>
      <c r="F3991" s="1" t="s">
        <v>1018</v>
      </c>
      <c r="G3991" s="1" t="s">
        <v>1019</v>
      </c>
      <c r="H3991" s="2" t="str">
        <f>Tabella1[[#This Row],[Denominazione]]&amp;" - "&amp;Tabella1[[#This Row],[Città]]</f>
        <v>HOTEL RUHIG DI CILINA MARE SRL - FANO</v>
      </c>
    </row>
    <row r="3992" spans="1:8" x14ac:dyDescent="0.25">
      <c r="A3992" s="1" t="s">
        <v>20</v>
      </c>
      <c r="B3992" s="1" t="s">
        <v>9505</v>
      </c>
      <c r="C3992" s="1" t="s">
        <v>9012</v>
      </c>
      <c r="D3992" s="1" t="s">
        <v>8949</v>
      </c>
      <c r="E3992" s="1" t="s">
        <v>8949</v>
      </c>
      <c r="F3992" s="1" t="s">
        <v>9506</v>
      </c>
      <c r="G3992" s="1" t="s">
        <v>9507</v>
      </c>
      <c r="H3992" s="2" t="str">
        <f>Tabella1[[#This Row],[Denominazione]]&amp;" - "&amp;Tabella1[[#This Row],[Città]]</f>
        <v>HOTEL SABRA - SENIGALLIA</v>
      </c>
    </row>
    <row r="3993" spans="1:8" x14ac:dyDescent="0.25">
      <c r="A3993" s="1" t="s">
        <v>20</v>
      </c>
      <c r="B3993" s="1" t="s">
        <v>11737</v>
      </c>
      <c r="C3993" s="1" t="s">
        <v>11738</v>
      </c>
      <c r="D3993" s="1" t="s">
        <v>11728</v>
      </c>
      <c r="E3993" s="1" t="s">
        <v>11728</v>
      </c>
      <c r="F3993" s="1" t="s">
        <v>11739</v>
      </c>
      <c r="G3993" s="1" t="s">
        <v>11740</v>
      </c>
      <c r="H3993" s="2" t="str">
        <f>Tabella1[[#This Row],[Denominazione]]&amp;" - "&amp;Tabella1[[#This Row],[Città]]</f>
        <v>HOTEL SAN CLAUDIO - CORRIDONIA</v>
      </c>
    </row>
    <row r="3994" spans="1:8" x14ac:dyDescent="0.25">
      <c r="A3994" s="1" t="s">
        <v>20</v>
      </c>
      <c r="B3994" s="1" t="s">
        <v>12560</v>
      </c>
      <c r="C3994" s="1" t="s">
        <v>12561</v>
      </c>
      <c r="D3994" s="1" t="s">
        <v>12546</v>
      </c>
      <c r="E3994" s="1" t="s">
        <v>12546</v>
      </c>
      <c r="F3994" s="1" t="s">
        <v>12562</v>
      </c>
      <c r="G3994" s="1" t="s">
        <v>12563</v>
      </c>
      <c r="H3994" s="2" t="str">
        <f>Tabella1[[#This Row],[Denominazione]]&amp;" - "&amp;Tabella1[[#This Row],[Città]]</f>
        <v>HOTEL SAN CRISPINO - MORROVALLE</v>
      </c>
    </row>
    <row r="3995" spans="1:8" x14ac:dyDescent="0.25">
      <c r="A3995" s="1" t="s">
        <v>20</v>
      </c>
      <c r="B3995" s="1" t="s">
        <v>7428</v>
      </c>
      <c r="C3995" s="1" t="s">
        <v>7429</v>
      </c>
      <c r="D3995" s="1" t="s">
        <v>7385</v>
      </c>
      <c r="E3995" s="1" t="s">
        <v>7385</v>
      </c>
      <c r="F3995" s="1" t="s">
        <v>7426</v>
      </c>
      <c r="G3995" s="1" t="s">
        <v>7430</v>
      </c>
      <c r="H3995" s="2" t="str">
        <f>Tabella1[[#This Row],[Denominazione]]&amp;" - "&amp;Tabella1[[#This Row],[Città]]</f>
        <v>HOTEL SAN GABRIELE - LORETO</v>
      </c>
    </row>
    <row r="3996" spans="1:8" x14ac:dyDescent="0.25">
      <c r="A3996" s="1" t="s">
        <v>20</v>
      </c>
      <c r="B3996" s="1" t="s">
        <v>19640</v>
      </c>
      <c r="C3996" s="1" t="s">
        <v>19641</v>
      </c>
      <c r="D3996" s="1" t="s">
        <v>19628</v>
      </c>
      <c r="E3996" s="1" t="s">
        <v>19628</v>
      </c>
      <c r="G3996" s="1" t="s">
        <v>19642</v>
      </c>
      <c r="H3996" s="2" t="str">
        <f>Tabella1[[#This Row],[Denominazione]]&amp;" - "&amp;Tabella1[[#This Row],[Città]]</f>
        <v>HOTEL SAN MARCO - SERVIGLIANO</v>
      </c>
    </row>
    <row r="3997" spans="1:8" x14ac:dyDescent="0.25">
      <c r="A3997" s="1" t="s">
        <v>20</v>
      </c>
      <c r="B3997" s="1" t="s">
        <v>587</v>
      </c>
      <c r="C3997" s="1" t="s">
        <v>583</v>
      </c>
      <c r="D3997" s="1" t="s">
        <v>579</v>
      </c>
      <c r="E3997" s="1" t="s">
        <v>579</v>
      </c>
      <c r="G3997" s="1" t="s">
        <v>586</v>
      </c>
      <c r="H3997" s="2" t="str">
        <f>Tabella1[[#This Row],[Denominazione]]&amp;" - "&amp;Tabella1[[#This Row],[Città]]</f>
        <v>HOTEL SAN MICHELE - CARPEGNA</v>
      </c>
    </row>
    <row r="3998" spans="1:8" x14ac:dyDescent="0.25">
      <c r="A3998" s="1" t="s">
        <v>20</v>
      </c>
      <c r="B3998" s="1" t="s">
        <v>2334</v>
      </c>
      <c r="C3998" s="1" t="s">
        <v>2335</v>
      </c>
      <c r="D3998" s="1" t="s">
        <v>1907</v>
      </c>
      <c r="E3998" s="1" t="s">
        <v>1907</v>
      </c>
      <c r="F3998" s="1" t="s">
        <v>2336</v>
      </c>
      <c r="G3998" s="1" t="s">
        <v>2337</v>
      </c>
      <c r="H3998" s="2" t="str">
        <f>Tabella1[[#This Row],[Denominazione]]&amp;" - "&amp;Tabella1[[#This Row],[Città]]</f>
        <v>HOTEL SANS SOUCI - GABICCE MARE</v>
      </c>
    </row>
    <row r="3999" spans="1:8" x14ac:dyDescent="0.25">
      <c r="A3999" s="1" t="s">
        <v>20</v>
      </c>
      <c r="B3999" s="1" t="s">
        <v>2272</v>
      </c>
      <c r="C3999" s="1" t="s">
        <v>2273</v>
      </c>
      <c r="D3999" s="1" t="s">
        <v>1907</v>
      </c>
      <c r="E3999" s="1" t="s">
        <v>1907</v>
      </c>
      <c r="F3999" s="1" t="s">
        <v>2274</v>
      </c>
      <c r="G3999" s="1" t="s">
        <v>2275</v>
      </c>
      <c r="H3999" s="2" t="str">
        <f>Tabella1[[#This Row],[Denominazione]]&amp;" - "&amp;Tabella1[[#This Row],[Città]]</f>
        <v>HOTEL SAYONARA - GABICCE MARE</v>
      </c>
    </row>
    <row r="4000" spans="1:8" x14ac:dyDescent="0.25">
      <c r="A4000" s="1" t="s">
        <v>20</v>
      </c>
      <c r="B4000" s="1" t="s">
        <v>7924</v>
      </c>
      <c r="C4000" s="1" t="s">
        <v>7925</v>
      </c>
      <c r="D4000" s="1" t="s">
        <v>7889</v>
      </c>
      <c r="E4000" s="1" t="s">
        <v>7889</v>
      </c>
      <c r="F4000" s="1" t="s">
        <v>7926</v>
      </c>
      <c r="G4000" s="1" t="s">
        <v>7927</v>
      </c>
      <c r="H4000" s="2" t="str">
        <f>Tabella1[[#This Row],[Denominazione]]&amp;" - "&amp;Tabella1[[#This Row],[Città]]</f>
        <v>HOTEL SCOGLIERA - NUMANA</v>
      </c>
    </row>
    <row r="4001" spans="1:8" x14ac:dyDescent="0.25">
      <c r="A4001" s="1" t="s">
        <v>20</v>
      </c>
      <c r="B4001" s="1" t="s">
        <v>5463</v>
      </c>
      <c r="C4001" s="1" t="s">
        <v>5464</v>
      </c>
      <c r="D4001" s="1" t="s">
        <v>1864</v>
      </c>
      <c r="F4001" s="1" t="s">
        <v>5465</v>
      </c>
      <c r="G4001" s="1" t="s">
        <v>5466</v>
      </c>
      <c r="H4001" s="2" t="str">
        <f>Tabella1[[#This Row],[Denominazione]]&amp;" - "&amp;Tabella1[[#This Row],[Città]]</f>
        <v>HOTEL SEEPORT - ANCONA</v>
      </c>
    </row>
    <row r="4002" spans="1:8" x14ac:dyDescent="0.25">
      <c r="A4002" s="1" t="s">
        <v>20</v>
      </c>
      <c r="B4002" s="1" t="s">
        <v>7179</v>
      </c>
      <c r="C4002" s="1" t="s">
        <v>7180</v>
      </c>
      <c r="D4002" s="1" t="s">
        <v>7161</v>
      </c>
      <c r="E4002" s="1" t="s">
        <v>7161</v>
      </c>
      <c r="F4002" s="1" t="s">
        <v>7181</v>
      </c>
      <c r="G4002" s="1" t="s">
        <v>7182</v>
      </c>
      <c r="H4002" s="2" t="str">
        <f>Tabella1[[#This Row],[Denominazione]]&amp;" - "&amp;Tabella1[[#This Row],[Città]]</f>
        <v>HOTEL SETTE COLLI - FILOTTRANO</v>
      </c>
    </row>
    <row r="4003" spans="1:8" x14ac:dyDescent="0.25">
      <c r="A4003" s="1" t="s">
        <v>20</v>
      </c>
      <c r="B4003" s="1" t="s">
        <v>10336</v>
      </c>
      <c r="C4003" s="1" t="s">
        <v>10337</v>
      </c>
      <c r="D4003" s="1" t="s">
        <v>10206</v>
      </c>
      <c r="E4003" s="1" t="s">
        <v>10206</v>
      </c>
      <c r="F4003" s="1" t="s">
        <v>10338</v>
      </c>
      <c r="G4003" s="1" t="s">
        <v>10339</v>
      </c>
      <c r="H4003" s="2" t="str">
        <f>Tabella1[[#This Row],[Denominazione]]&amp;" - "&amp;Tabella1[[#This Row],[Città]]</f>
        <v>HOTEL SIROLO - SIROLO</v>
      </c>
    </row>
    <row r="4004" spans="1:8" x14ac:dyDescent="0.25">
      <c r="A4004" s="1" t="s">
        <v>20</v>
      </c>
      <c r="B4004" s="1" t="s">
        <v>13309</v>
      </c>
      <c r="C4004" s="1" t="s">
        <v>13310</v>
      </c>
      <c r="D4004" s="1" t="s">
        <v>13298</v>
      </c>
      <c r="E4004" s="1" t="s">
        <v>13311</v>
      </c>
      <c r="F4004" s="1" t="s">
        <v>13312</v>
      </c>
      <c r="G4004" s="1" t="s">
        <v>13312</v>
      </c>
      <c r="H4004" s="2" t="str">
        <f>Tabella1[[#This Row],[Denominazione]]&amp;" - "&amp;Tabella1[[#This Row],[Città]]</f>
        <v>HOTEL SOFTWOOD INFINITO - RECANATI</v>
      </c>
    </row>
    <row r="4005" spans="1:8" x14ac:dyDescent="0.25">
      <c r="A4005" s="1" t="s">
        <v>679</v>
      </c>
      <c r="B4005" s="1" t="s">
        <v>17191</v>
      </c>
      <c r="C4005" s="1" t="s">
        <v>17192</v>
      </c>
      <c r="D4005" s="1" t="s">
        <v>15819</v>
      </c>
      <c r="F4005" s="1" t="s">
        <v>17193</v>
      </c>
      <c r="G4005" s="1" t="s">
        <v>17194</v>
      </c>
      <c r="H4005" s="2" t="str">
        <f>Tabella1[[#This Row],[Denominazione]]&amp;" - "&amp;Tabella1[[#This Row],[Città]]</f>
        <v>HOTEL SOLARIUM SRL - SAN BENEDETTO DEL TRONTO</v>
      </c>
    </row>
    <row r="4006" spans="1:8" x14ac:dyDescent="0.25">
      <c r="A4006" s="1" t="s">
        <v>20</v>
      </c>
      <c r="B4006" s="1" t="s">
        <v>709</v>
      </c>
      <c r="C4006" s="1" t="s">
        <v>710</v>
      </c>
      <c r="D4006" s="1" t="s">
        <v>682</v>
      </c>
      <c r="E4006" s="1" t="s">
        <v>682</v>
      </c>
      <c r="F4006" s="1" t="s">
        <v>711</v>
      </c>
      <c r="G4006" s="1" t="s">
        <v>712</v>
      </c>
      <c r="H4006" s="2" t="str">
        <f>Tabella1[[#This Row],[Denominazione]]&amp;" - "&amp;Tabella1[[#This Row],[Città]]</f>
        <v>HOTEL SOLE RESORT - FANO</v>
      </c>
    </row>
    <row r="4007" spans="1:8" x14ac:dyDescent="0.25">
      <c r="A4007" s="1" t="s">
        <v>20</v>
      </c>
      <c r="B4007" s="1" t="s">
        <v>7920</v>
      </c>
      <c r="C4007" s="1" t="s">
        <v>7921</v>
      </c>
      <c r="D4007" s="1" t="s">
        <v>7889</v>
      </c>
      <c r="E4007" s="1" t="s">
        <v>7889</v>
      </c>
      <c r="F4007" s="1" t="s">
        <v>7922</v>
      </c>
      <c r="G4007" s="1" t="s">
        <v>7923</v>
      </c>
      <c r="H4007" s="2" t="str">
        <f>Tabella1[[#This Row],[Denominazione]]&amp;" - "&amp;Tabella1[[#This Row],[Città]]</f>
        <v>HOTEL SORRISO - NUMANA</v>
      </c>
    </row>
    <row r="4008" spans="1:8" x14ac:dyDescent="0.25">
      <c r="A4008" s="1" t="s">
        <v>679</v>
      </c>
      <c r="B4008" s="1" t="s">
        <v>7920</v>
      </c>
      <c r="D4008" s="1" t="s">
        <v>7889</v>
      </c>
      <c r="E4008" s="1" t="s">
        <v>8200</v>
      </c>
      <c r="F4008" s="1" t="s">
        <v>7923</v>
      </c>
      <c r="G4008" s="1" t="s">
        <v>7922</v>
      </c>
      <c r="H4008" s="2" t="str">
        <f>Tabella1[[#This Row],[Denominazione]]&amp;" - "&amp;Tabella1[[#This Row],[Città]]</f>
        <v>HOTEL SORRISO - NUMANA</v>
      </c>
    </row>
    <row r="4009" spans="1:8" x14ac:dyDescent="0.25">
      <c r="A4009" s="1" t="s">
        <v>20</v>
      </c>
      <c r="B4009" s="1" t="s">
        <v>9598</v>
      </c>
      <c r="C4009" s="1" t="s">
        <v>9599</v>
      </c>
      <c r="D4009" s="1" t="s">
        <v>8949</v>
      </c>
      <c r="E4009" s="1" t="s">
        <v>8949</v>
      </c>
      <c r="F4009" s="1" t="s">
        <v>9600</v>
      </c>
      <c r="G4009" s="1" t="s">
        <v>9601</v>
      </c>
      <c r="H4009" s="2" t="str">
        <f>Tabella1[[#This Row],[Denominazione]]&amp;" - "&amp;Tabella1[[#This Row],[Città]]</f>
        <v>HOTEL SOUVENIR - SENIGALLIA</v>
      </c>
    </row>
    <row r="4010" spans="1:8" x14ac:dyDescent="0.25">
      <c r="A4010" s="1" t="s">
        <v>20</v>
      </c>
      <c r="B4010" s="1" t="s">
        <v>2901</v>
      </c>
      <c r="C4010" s="1" t="s">
        <v>1084</v>
      </c>
      <c r="D4010" s="1" t="s">
        <v>1605</v>
      </c>
      <c r="E4010" s="1" t="s">
        <v>682</v>
      </c>
      <c r="F4010" s="1" t="s">
        <v>2902</v>
      </c>
      <c r="G4010" s="1" t="s">
        <v>2903</v>
      </c>
      <c r="H4010" s="2" t="str">
        <f>Tabella1[[#This Row],[Denominazione]]&amp;" - "&amp;Tabella1[[#This Row],[Città]]</f>
        <v>HOTEL SPIAGGIA D'ORO - MONDOLFO</v>
      </c>
    </row>
    <row r="4011" spans="1:8" x14ac:dyDescent="0.25">
      <c r="A4011" s="1" t="s">
        <v>20</v>
      </c>
      <c r="B4011" s="1" t="s">
        <v>2280</v>
      </c>
      <c r="C4011" s="1" t="s">
        <v>2281</v>
      </c>
      <c r="D4011" s="1" t="s">
        <v>1907</v>
      </c>
      <c r="E4011" s="1" t="s">
        <v>1907</v>
      </c>
      <c r="F4011" s="1" t="s">
        <v>2282</v>
      </c>
      <c r="G4011" s="1" t="s">
        <v>2283</v>
      </c>
      <c r="H4011" s="2" t="str">
        <f>Tabella1[[#This Row],[Denominazione]]&amp;" - "&amp;Tabella1[[#This Row],[Città]]</f>
        <v>HOTEL SPLENDID - GABICCE MARE</v>
      </c>
    </row>
    <row r="4012" spans="1:8" x14ac:dyDescent="0.25">
      <c r="A4012" s="1" t="s">
        <v>20</v>
      </c>
      <c r="B4012" s="1" t="s">
        <v>10259</v>
      </c>
      <c r="C4012" s="1" t="s">
        <v>10260</v>
      </c>
      <c r="D4012" s="1" t="s">
        <v>10206</v>
      </c>
      <c r="E4012" s="1" t="s">
        <v>10206</v>
      </c>
      <c r="F4012" s="1" t="s">
        <v>10261</v>
      </c>
      <c r="G4012" s="1" t="s">
        <v>10262</v>
      </c>
      <c r="H4012" s="2" t="str">
        <f>Tabella1[[#This Row],[Denominazione]]&amp;" - "&amp;Tabella1[[#This Row],[Città]]</f>
        <v>HOTEL STELLA - SIROLO</v>
      </c>
    </row>
    <row r="4013" spans="1:8" x14ac:dyDescent="0.25">
      <c r="A4013" s="1" t="s">
        <v>679</v>
      </c>
      <c r="B4013" s="1" t="s">
        <v>17254</v>
      </c>
      <c r="C4013" s="1" t="s">
        <v>17255</v>
      </c>
      <c r="D4013" s="1" t="s">
        <v>15819</v>
      </c>
      <c r="E4013" s="1" t="s">
        <v>15819</v>
      </c>
      <c r="F4013" s="1" t="s">
        <v>17256</v>
      </c>
      <c r="G4013" s="1" t="s">
        <v>17257</v>
      </c>
      <c r="H4013" s="2" t="str">
        <f>Tabella1[[#This Row],[Denominazione]]&amp;" - "&amp;Tabella1[[#This Row],[Città]]</f>
        <v>HOTEL SUNRISE - SAN BENEDETTO DEL TRONTO</v>
      </c>
    </row>
    <row r="4014" spans="1:8" x14ac:dyDescent="0.25">
      <c r="A4014" s="1" t="s">
        <v>20</v>
      </c>
      <c r="B4014" s="1" t="s">
        <v>17579</v>
      </c>
      <c r="C4014" s="1" t="s">
        <v>17580</v>
      </c>
      <c r="D4014" s="1" t="s">
        <v>15819</v>
      </c>
      <c r="E4014" s="1" t="s">
        <v>15819</v>
      </c>
      <c r="F4014" s="1" t="s">
        <v>17031</v>
      </c>
      <c r="G4014" s="1" t="s">
        <v>17032</v>
      </c>
      <c r="H4014" s="2" t="str">
        <f>Tabella1[[#This Row],[Denominazione]]&amp;" - "&amp;Tabella1[[#This Row],[Città]]</f>
        <v>HOTEL TAORMINA - SAN BENEDETTO DEL TRONTO</v>
      </c>
    </row>
    <row r="4015" spans="1:8" x14ac:dyDescent="0.25">
      <c r="A4015" s="1" t="s">
        <v>20</v>
      </c>
      <c r="B4015" s="1" t="s">
        <v>15192</v>
      </c>
      <c r="C4015" s="1" t="s">
        <v>15193</v>
      </c>
      <c r="D4015" s="1" t="s">
        <v>15151</v>
      </c>
      <c r="E4015" s="1" t="s">
        <v>15151</v>
      </c>
      <c r="G4015" s="1" t="s">
        <v>15194</v>
      </c>
      <c r="H4015" s="2" t="str">
        <f>Tabella1[[#This Row],[Denominazione]]&amp;" - "&amp;Tabella1[[#This Row],[Città]]</f>
        <v>HOTEL TERENZIO - CASTIGNANO</v>
      </c>
    </row>
    <row r="4016" spans="1:8" x14ac:dyDescent="0.25">
      <c r="A4016" s="1" t="s">
        <v>20</v>
      </c>
      <c r="B4016" s="1" t="s">
        <v>2588</v>
      </c>
      <c r="C4016" s="1" t="s">
        <v>2589</v>
      </c>
      <c r="D4016" s="1" t="s">
        <v>2557</v>
      </c>
      <c r="E4016" s="1" t="s">
        <v>2557</v>
      </c>
      <c r="F4016" s="1" t="s">
        <v>2590</v>
      </c>
      <c r="G4016" s="1" t="s">
        <v>2591</v>
      </c>
      <c r="H4016" s="2" t="str">
        <f>Tabella1[[#This Row],[Denominazione]]&amp;" - "&amp;Tabella1[[#This Row],[Città]]</f>
        <v>HOTEL TERME ALESSANDRA GONZAGA CENTRO BENESSERE SPA - MACERATA FELTRIA</v>
      </c>
    </row>
    <row r="4017" spans="1:8" x14ac:dyDescent="0.25">
      <c r="A4017" s="1" t="s">
        <v>20</v>
      </c>
      <c r="B4017" s="1" t="s">
        <v>2288</v>
      </c>
      <c r="C4017" s="1" t="s">
        <v>2289</v>
      </c>
      <c r="D4017" s="1" t="s">
        <v>1907</v>
      </c>
      <c r="E4017" s="1" t="s">
        <v>1907</v>
      </c>
      <c r="F4017" s="1" t="s">
        <v>2290</v>
      </c>
      <c r="G4017" s="1" t="s">
        <v>2291</v>
      </c>
      <c r="H4017" s="2" t="str">
        <f>Tabella1[[#This Row],[Denominazione]]&amp;" - "&amp;Tabella1[[#This Row],[Città]]</f>
        <v>HOTEL THEA - GABICCE MARE</v>
      </c>
    </row>
    <row r="4018" spans="1:8" x14ac:dyDescent="0.25">
      <c r="A4018" s="1" t="s">
        <v>20</v>
      </c>
      <c r="B4018" s="1" t="s">
        <v>2292</v>
      </c>
      <c r="C4018" s="1" t="s">
        <v>2293</v>
      </c>
      <c r="D4018" s="1" t="s">
        <v>1907</v>
      </c>
      <c r="E4018" s="1" t="s">
        <v>1907</v>
      </c>
      <c r="F4018" s="1" t="s">
        <v>2290</v>
      </c>
      <c r="G4018" s="1" t="s">
        <v>2291</v>
      </c>
      <c r="H4018" s="2" t="str">
        <f>Tabella1[[#This Row],[Denominazione]]&amp;" - "&amp;Tabella1[[#This Row],[Città]]</f>
        <v>HOTEL THEA DIPENDENZA - GABICCE MARE</v>
      </c>
    </row>
    <row r="4019" spans="1:8" x14ac:dyDescent="0.25">
      <c r="A4019" s="1" t="s">
        <v>20</v>
      </c>
      <c r="B4019" s="1" t="s">
        <v>13251</v>
      </c>
      <c r="C4019" s="1" t="s">
        <v>13252</v>
      </c>
      <c r="D4019" s="1" t="s">
        <v>13026</v>
      </c>
      <c r="E4019" s="1" t="s">
        <v>13026</v>
      </c>
      <c r="F4019" s="1" t="s">
        <v>13253</v>
      </c>
      <c r="G4019" s="1" t="s">
        <v>13159</v>
      </c>
      <c r="H4019" s="2" t="str">
        <f>Tabella1[[#This Row],[Denominazione]]&amp;" - "&amp;Tabella1[[#This Row],[Città]]</f>
        <v>HOTEL TORRESI - POTENZA PICENA</v>
      </c>
    </row>
    <row r="4020" spans="1:8" x14ac:dyDescent="0.25">
      <c r="A4020" s="1" t="s">
        <v>82</v>
      </c>
      <c r="B4020" s="1" t="s">
        <v>13157</v>
      </c>
      <c r="C4020" s="1" t="s">
        <v>13158</v>
      </c>
      <c r="D4020" s="1" t="s">
        <v>13026</v>
      </c>
      <c r="G4020" s="1" t="s">
        <v>13159</v>
      </c>
      <c r="H4020" s="2" t="str">
        <f>Tabella1[[#This Row],[Denominazione]]&amp;" - "&amp;Tabella1[[#This Row],[Città]]</f>
        <v>HOTEL TORRESI AFFITTACAMERE - POTENZA PICENA</v>
      </c>
    </row>
    <row r="4021" spans="1:8" x14ac:dyDescent="0.25">
      <c r="A4021" s="1" t="s">
        <v>20</v>
      </c>
      <c r="B4021" s="1" t="s">
        <v>7040</v>
      </c>
      <c r="C4021" s="1" t="s">
        <v>7041</v>
      </c>
      <c r="D4021" s="1" t="s">
        <v>5735</v>
      </c>
      <c r="E4021" s="1" t="s">
        <v>5735</v>
      </c>
      <c r="F4021" s="1" t="s">
        <v>7042</v>
      </c>
      <c r="G4021" s="1" t="s">
        <v>7043</v>
      </c>
      <c r="H4021" s="2" t="str">
        <f>Tabella1[[#This Row],[Denominazione]]&amp;" - "&amp;Tabella1[[#This Row],[Città]]</f>
        <v>HOTEL TOURING - FALCONARA MARITTIMA</v>
      </c>
    </row>
    <row r="4022" spans="1:8" x14ac:dyDescent="0.25">
      <c r="A4022" s="1" t="s">
        <v>20</v>
      </c>
      <c r="B4022" s="1" t="s">
        <v>9570</v>
      </c>
      <c r="C4022" s="1" t="s">
        <v>9571</v>
      </c>
      <c r="D4022" s="1" t="s">
        <v>8949</v>
      </c>
      <c r="E4022" s="1" t="s">
        <v>8949</v>
      </c>
      <c r="F4022" s="1" t="s">
        <v>9378</v>
      </c>
      <c r="G4022" s="1" t="s">
        <v>9379</v>
      </c>
      <c r="H4022" s="2" t="str">
        <f>Tabella1[[#This Row],[Denominazione]]&amp;" - "&amp;Tabella1[[#This Row],[Città]]</f>
        <v>HOTEL TRIESTE - SENIGALLIA</v>
      </c>
    </row>
    <row r="4023" spans="1:8" x14ac:dyDescent="0.25">
      <c r="A4023" s="1" t="s">
        <v>20</v>
      </c>
      <c r="B4023" s="1" t="s">
        <v>9376</v>
      </c>
      <c r="C4023" s="1" t="s">
        <v>9377</v>
      </c>
      <c r="D4023" s="1" t="s">
        <v>8949</v>
      </c>
      <c r="F4023" s="1" t="s">
        <v>9378</v>
      </c>
      <c r="G4023" s="1" t="s">
        <v>9379</v>
      </c>
      <c r="H4023" s="2" t="str">
        <f>Tabella1[[#This Row],[Denominazione]]&amp;" - "&amp;Tabella1[[#This Row],[Città]]</f>
        <v>HOTEL TRIESTE DIPENDENZA 1 - SENIGALLIA</v>
      </c>
    </row>
    <row r="4024" spans="1:8" x14ac:dyDescent="0.25">
      <c r="A4024" s="1" t="s">
        <v>20</v>
      </c>
      <c r="B4024" s="1" t="s">
        <v>9380</v>
      </c>
      <c r="C4024" s="1" t="s">
        <v>9381</v>
      </c>
      <c r="D4024" s="1" t="s">
        <v>8949</v>
      </c>
      <c r="F4024" s="1" t="s">
        <v>9378</v>
      </c>
      <c r="G4024" s="1" t="s">
        <v>9379</v>
      </c>
      <c r="H4024" s="2" t="str">
        <f>Tabella1[[#This Row],[Denominazione]]&amp;" - "&amp;Tabella1[[#This Row],[Città]]</f>
        <v>HOTEL TRIESTE DIPENDENZA 2 - SENIGALLIA</v>
      </c>
    </row>
    <row r="4025" spans="1:8" x14ac:dyDescent="0.25">
      <c r="A4025" s="1" t="s">
        <v>20</v>
      </c>
      <c r="B4025" s="1" t="s">
        <v>9382</v>
      </c>
      <c r="C4025" s="1" t="s">
        <v>9383</v>
      </c>
      <c r="D4025" s="1" t="s">
        <v>8949</v>
      </c>
      <c r="F4025" s="1" t="s">
        <v>9378</v>
      </c>
      <c r="G4025" s="1" t="s">
        <v>9379</v>
      </c>
      <c r="H4025" s="2" t="str">
        <f>Tabella1[[#This Row],[Denominazione]]&amp;" - "&amp;Tabella1[[#This Row],[Città]]</f>
        <v>HOTEL TRIESTE DIPENDENZA 3 - SENIGALLIA</v>
      </c>
    </row>
    <row r="4026" spans="1:8" x14ac:dyDescent="0.25">
      <c r="A4026" s="1" t="s">
        <v>20</v>
      </c>
      <c r="B4026" s="1" t="s">
        <v>14242</v>
      </c>
      <c r="C4026" s="1" t="s">
        <v>14243</v>
      </c>
      <c r="D4026" s="1" t="s">
        <v>14213</v>
      </c>
      <c r="E4026" s="1" t="s">
        <v>14213</v>
      </c>
      <c r="F4026" s="1" t="s">
        <v>14244</v>
      </c>
      <c r="G4026" s="1" t="s">
        <v>14245</v>
      </c>
      <c r="H4026" s="2" t="str">
        <f>Tabella1[[#This Row],[Denominazione]]&amp;" - "&amp;Tabella1[[#This Row],[Città]]</f>
        <v>HOTEL USSITA - USSITA</v>
      </c>
    </row>
    <row r="4027" spans="1:8" x14ac:dyDescent="0.25">
      <c r="A4027" s="1" t="s">
        <v>679</v>
      </c>
      <c r="B4027" s="1" t="s">
        <v>15892</v>
      </c>
      <c r="C4027" s="1" t="s">
        <v>15893</v>
      </c>
      <c r="D4027" s="1" t="s">
        <v>15585</v>
      </c>
      <c r="F4027" s="1" t="s">
        <v>15742</v>
      </c>
      <c r="G4027" s="1" t="s">
        <v>15894</v>
      </c>
      <c r="H4027" s="2" t="str">
        <f>Tabella1[[#This Row],[Denominazione]]&amp;" - "&amp;Tabella1[[#This Row],[Città]]</f>
        <v>HOTEL VELIA - GROTTAMMARE</v>
      </c>
    </row>
    <row r="4028" spans="1:8" x14ac:dyDescent="0.25">
      <c r="A4028" s="1" t="s">
        <v>20</v>
      </c>
      <c r="B4028" s="1" t="s">
        <v>12752</v>
      </c>
      <c r="C4028" s="1" t="s">
        <v>12753</v>
      </c>
      <c r="D4028" s="1" t="s">
        <v>12749</v>
      </c>
      <c r="E4028" s="1" t="s">
        <v>12749</v>
      </c>
      <c r="H4028" s="2" t="str">
        <f>Tabella1[[#This Row],[Denominazione]]&amp;" - "&amp;Tabella1[[#This Row],[Città]]</f>
        <v>HOTEL VICTORIA - PIORACO</v>
      </c>
    </row>
    <row r="4029" spans="1:8" x14ac:dyDescent="0.25">
      <c r="A4029" s="1" t="s">
        <v>20</v>
      </c>
      <c r="B4029" s="1" t="s">
        <v>9566</v>
      </c>
      <c r="C4029" s="1" t="s">
        <v>9567</v>
      </c>
      <c r="D4029" s="1" t="s">
        <v>8949</v>
      </c>
      <c r="E4029" s="1" t="s">
        <v>8949</v>
      </c>
      <c r="F4029" s="1" t="s">
        <v>9568</v>
      </c>
      <c r="G4029" s="1" t="s">
        <v>9569</v>
      </c>
      <c r="H4029" s="2" t="str">
        <f>Tabella1[[#This Row],[Denominazione]]&amp;" - "&amp;Tabella1[[#This Row],[Città]]</f>
        <v>HOTEL VIENNA - SENIGALLIA</v>
      </c>
    </row>
    <row r="4030" spans="1:8" x14ac:dyDescent="0.25">
      <c r="A4030" s="1" t="s">
        <v>20</v>
      </c>
      <c r="B4030" s="1" t="s">
        <v>8973</v>
      </c>
      <c r="C4030" s="1" t="s">
        <v>8974</v>
      </c>
      <c r="D4030" s="1" t="s">
        <v>8949</v>
      </c>
      <c r="E4030" s="1" t="s">
        <v>8949</v>
      </c>
      <c r="F4030" s="1" t="s">
        <v>8975</v>
      </c>
      <c r="G4030" s="1" t="s">
        <v>8976</v>
      </c>
      <c r="H4030" s="2" t="str">
        <f>Tabella1[[#This Row],[Denominazione]]&amp;" - "&amp;Tabella1[[#This Row],[Città]]</f>
        <v>HOTEL VILLA DEL MARE - SENIGALLIA</v>
      </c>
    </row>
    <row r="4031" spans="1:8" x14ac:dyDescent="0.25">
      <c r="A4031" s="1" t="s">
        <v>20</v>
      </c>
      <c r="B4031" s="1" t="s">
        <v>15233</v>
      </c>
      <c r="C4031" s="1" t="s">
        <v>15234</v>
      </c>
      <c r="D4031" s="1" t="s">
        <v>15226</v>
      </c>
      <c r="E4031" s="1" t="s">
        <v>15226</v>
      </c>
      <c r="F4031" s="1" t="s">
        <v>15235</v>
      </c>
      <c r="G4031" s="1" t="s">
        <v>15236</v>
      </c>
      <c r="H4031" s="2" t="str">
        <f>Tabella1[[#This Row],[Denominazione]]&amp;" - "&amp;Tabella1[[#This Row],[Città]]</f>
        <v>HOTEL VILLA PICENA - COLLI DEL TRONTO</v>
      </c>
    </row>
    <row r="4032" spans="1:8" x14ac:dyDescent="0.25">
      <c r="A4032" s="1" t="s">
        <v>20</v>
      </c>
      <c r="B4032" s="1" t="s">
        <v>15544</v>
      </c>
      <c r="C4032" s="1" t="s">
        <v>15545</v>
      </c>
      <c r="D4032" s="1" t="s">
        <v>15546</v>
      </c>
      <c r="E4032" s="1" t="s">
        <v>15546</v>
      </c>
      <c r="F4032" s="1" t="s">
        <v>15547</v>
      </c>
      <c r="G4032" s="1" t="s">
        <v>15548</v>
      </c>
      <c r="H4032" s="2" t="str">
        <f>Tabella1[[#This Row],[Denominazione]]&amp;" - "&amp;Tabella1[[#This Row],[Città]]</f>
        <v>HOTEL VILLA PIGNA - FOLIGNANO</v>
      </c>
    </row>
    <row r="4033" spans="1:8" x14ac:dyDescent="0.25">
      <c r="A4033" s="1" t="s">
        <v>20</v>
      </c>
      <c r="B4033" s="1" t="s">
        <v>12348</v>
      </c>
      <c r="C4033" s="1" t="s">
        <v>12349</v>
      </c>
      <c r="D4033" s="1" t="s">
        <v>12342</v>
      </c>
      <c r="E4033" s="1" t="s">
        <v>12342</v>
      </c>
      <c r="F4033" s="1" t="s">
        <v>12350</v>
      </c>
      <c r="G4033" s="1" t="s">
        <v>12351</v>
      </c>
      <c r="H4033" s="2" t="str">
        <f>Tabella1[[#This Row],[Denominazione]]&amp;" - "&amp;Tabella1[[#This Row],[Città]]</f>
        <v>HOTEL VILLA QUIETE - MONTECASSIANO</v>
      </c>
    </row>
    <row r="4034" spans="1:8" x14ac:dyDescent="0.25">
      <c r="A4034" s="1" t="s">
        <v>20</v>
      </c>
      <c r="B4034" s="1" t="s">
        <v>14695</v>
      </c>
      <c r="C4034" s="1" t="s">
        <v>14696</v>
      </c>
      <c r="D4034" s="1" t="s">
        <v>14576</v>
      </c>
      <c r="E4034" s="1" t="s">
        <v>11577</v>
      </c>
      <c r="F4034" s="1" t="s">
        <v>14697</v>
      </c>
      <c r="G4034" s="1" t="s">
        <v>14698</v>
      </c>
      <c r="H4034" s="2" t="str">
        <f>Tabella1[[#This Row],[Denominazione]]&amp;" - "&amp;Tabella1[[#This Row],[Città]]</f>
        <v>HOTEL VILLA SGARIGLIA RESORT - ASCOLI PICENO</v>
      </c>
    </row>
    <row r="4035" spans="1:8" x14ac:dyDescent="0.25">
      <c r="A4035" s="1" t="s">
        <v>20</v>
      </c>
      <c r="B4035" s="1" t="s">
        <v>8258</v>
      </c>
      <c r="C4035" s="1" t="s">
        <v>8259</v>
      </c>
      <c r="D4035" s="1" t="s">
        <v>7889</v>
      </c>
      <c r="E4035" s="1" t="s">
        <v>7889</v>
      </c>
      <c r="G4035" s="1" t="s">
        <v>8260</v>
      </c>
      <c r="H4035" s="2" t="str">
        <f>Tabella1[[#This Row],[Denominazione]]&amp;" - "&amp;Tabella1[[#This Row],[Città]]</f>
        <v>HOTEL VILLA SIRENA - NUMANA</v>
      </c>
    </row>
    <row r="4036" spans="1:8" x14ac:dyDescent="0.25">
      <c r="A4036" s="1" t="s">
        <v>20</v>
      </c>
      <c r="B4036" s="1" t="s">
        <v>9393</v>
      </c>
      <c r="C4036" s="1" t="s">
        <v>9394</v>
      </c>
      <c r="D4036" s="1" t="s">
        <v>8949</v>
      </c>
      <c r="E4036" s="1" t="s">
        <v>8949</v>
      </c>
      <c r="F4036" s="1" t="s">
        <v>9395</v>
      </c>
      <c r="G4036" s="1" t="s">
        <v>9396</v>
      </c>
      <c r="H4036" s="2" t="str">
        <f>Tabella1[[#This Row],[Denominazione]]&amp;" - "&amp;Tabella1[[#This Row],[Città]]</f>
        <v>HOTEL VILLA SORRISO - SENIGALLIA</v>
      </c>
    </row>
    <row r="4037" spans="1:8" x14ac:dyDescent="0.25">
      <c r="A4037" s="1" t="s">
        <v>20</v>
      </c>
      <c r="B4037" s="1" t="s">
        <v>17581</v>
      </c>
      <c r="C4037" s="1" t="s">
        <v>17582</v>
      </c>
      <c r="D4037" s="1" t="s">
        <v>15819</v>
      </c>
      <c r="E4037" s="1" t="s">
        <v>15819</v>
      </c>
      <c r="F4037" s="1" t="s">
        <v>17583</v>
      </c>
      <c r="G4037" s="1" t="s">
        <v>17584</v>
      </c>
      <c r="H4037" s="2" t="str">
        <f>Tabella1[[#This Row],[Denominazione]]&amp;" - "&amp;Tabella1[[#This Row],[Città]]</f>
        <v>HOTEL WELCOME srl - SAN BENEDETTO DEL TRONTO</v>
      </c>
    </row>
    <row r="4038" spans="1:8" x14ac:dyDescent="0.25">
      <c r="A4038" s="1" t="s">
        <v>20</v>
      </c>
      <c r="B4038" s="1" t="s">
        <v>17607</v>
      </c>
      <c r="C4038" s="1" t="s">
        <v>17608</v>
      </c>
      <c r="D4038" s="1" t="s">
        <v>15819</v>
      </c>
      <c r="E4038" s="1" t="s">
        <v>15819</v>
      </c>
      <c r="F4038" s="1" t="s">
        <v>17609</v>
      </c>
      <c r="G4038" s="1" t="s">
        <v>17610</v>
      </c>
      <c r="H4038" s="2" t="str">
        <f>Tabella1[[#This Row],[Denominazione]]&amp;" - "&amp;Tabella1[[#This Row],[Città]]</f>
        <v>HOTEL ZAMPILLO - SAN BENEDETTO DEL TRONTO</v>
      </c>
    </row>
    <row r="4039" spans="1:8" x14ac:dyDescent="0.25">
      <c r="A4039" s="1" t="s">
        <v>6</v>
      </c>
      <c r="B4039" s="1" t="s">
        <v>12509</v>
      </c>
      <c r="C4039" s="1" t="s">
        <v>12510</v>
      </c>
      <c r="D4039" s="1" t="s">
        <v>12502</v>
      </c>
      <c r="E4039" s="1" t="s">
        <v>12502</v>
      </c>
      <c r="F4039" s="1" t="s">
        <v>12511</v>
      </c>
      <c r="G4039" s="1" t="s">
        <v>12512</v>
      </c>
      <c r="H4039" s="2" t="str">
        <f>Tabella1[[#This Row],[Denominazione]]&amp;" - "&amp;Tabella1[[#This Row],[Città]]</f>
        <v>HOUSE ZII RENTAL - MONTE SAN GIUSTO</v>
      </c>
    </row>
    <row r="4040" spans="1:8" x14ac:dyDescent="0.25">
      <c r="A4040" s="1" t="s">
        <v>12</v>
      </c>
      <c r="B4040" s="1" t="s">
        <v>11900</v>
      </c>
      <c r="C4040" s="1" t="s">
        <v>11901</v>
      </c>
      <c r="D4040" s="1" t="s">
        <v>11883</v>
      </c>
      <c r="E4040" s="1" t="s">
        <v>11902</v>
      </c>
      <c r="F4040" s="1" t="s">
        <v>11903</v>
      </c>
      <c r="G4040" s="1" t="s">
        <v>11904</v>
      </c>
      <c r="H4040" s="2" t="str">
        <f>Tabella1[[#This Row],[Denominazione]]&amp;" - "&amp;Tabella1[[#This Row],[Città]]</f>
        <v>HUNTERS LODCE - GUALDO</v>
      </c>
    </row>
    <row r="4041" spans="1:8" x14ac:dyDescent="0.25">
      <c r="A4041" s="1" t="s">
        <v>35</v>
      </c>
      <c r="B4041" s="1" t="s">
        <v>3001</v>
      </c>
      <c r="C4041" s="1" t="s">
        <v>3002</v>
      </c>
      <c r="D4041" s="1" t="s">
        <v>2994</v>
      </c>
      <c r="F4041" s="1" t="s">
        <v>3003</v>
      </c>
      <c r="G4041" s="1" t="s">
        <v>3004</v>
      </c>
      <c r="H4041" s="2" t="str">
        <f>Tabella1[[#This Row],[Denominazione]]&amp;" - "&amp;Tabella1[[#This Row],[Città]]</f>
        <v>I CALANCHI AGRITURISMO - MONTECALVO IN FOGLIA</v>
      </c>
    </row>
    <row r="4042" spans="1:8" x14ac:dyDescent="0.25">
      <c r="A4042" s="1" t="s">
        <v>35</v>
      </c>
      <c r="B4042" s="1" t="s">
        <v>2547</v>
      </c>
      <c r="C4042" s="1" t="s">
        <v>2548</v>
      </c>
      <c r="D4042" s="1" t="s">
        <v>2549</v>
      </c>
      <c r="E4042" s="1" t="s">
        <v>2550</v>
      </c>
      <c r="G4042" s="1" t="s">
        <v>2551</v>
      </c>
      <c r="H4042" s="2" t="str">
        <f>Tabella1[[#This Row],[Denominazione]]&amp;" - "&amp;Tabella1[[#This Row],[Città]]</f>
        <v>I CASTAGNI DELLA PIANELLA - LUNANO</v>
      </c>
    </row>
    <row r="4043" spans="1:8" x14ac:dyDescent="0.25">
      <c r="A4043" s="1" t="s">
        <v>35</v>
      </c>
      <c r="B4043" s="1" t="s">
        <v>16246</v>
      </c>
      <c r="C4043" s="1" t="s">
        <v>16247</v>
      </c>
      <c r="D4043" s="1" t="s">
        <v>16202</v>
      </c>
      <c r="E4043" s="1" t="s">
        <v>16203</v>
      </c>
      <c r="F4043" s="1" t="s">
        <v>16248</v>
      </c>
      <c r="G4043" s="1" t="s">
        <v>16249</v>
      </c>
      <c r="H4043" s="2" t="str">
        <f>Tabella1[[#This Row],[Denominazione]]&amp;" - "&amp;Tabella1[[#This Row],[Città]]</f>
        <v>I CIGNI - MONTEFIORE DELL'ASO</v>
      </c>
    </row>
    <row r="4044" spans="1:8" x14ac:dyDescent="0.25">
      <c r="A4044" s="1" t="s">
        <v>35</v>
      </c>
      <c r="B4044" s="1" t="s">
        <v>8810</v>
      </c>
      <c r="C4044" s="1" t="s">
        <v>8811</v>
      </c>
      <c r="D4044" s="1" t="s">
        <v>8801</v>
      </c>
      <c r="E4044" s="1" t="s">
        <v>8801</v>
      </c>
      <c r="F4044" s="1" t="s">
        <v>8812</v>
      </c>
      <c r="G4044" s="1" t="s">
        <v>8813</v>
      </c>
      <c r="H4044" s="2" t="str">
        <f>Tabella1[[#This Row],[Denominazione]]&amp;" - "&amp;Tabella1[[#This Row],[Città]]</f>
        <v>I CILIEGI DEL CHECCO - SAN MARCELLO</v>
      </c>
    </row>
    <row r="4045" spans="1:8" x14ac:dyDescent="0.25">
      <c r="A4045" s="1" t="s">
        <v>6</v>
      </c>
      <c r="B4045" s="1" t="s">
        <v>5275</v>
      </c>
      <c r="C4045" s="1" t="s">
        <v>5276</v>
      </c>
      <c r="D4045" s="1" t="s">
        <v>9</v>
      </c>
      <c r="E4045" s="1" t="s">
        <v>9</v>
      </c>
      <c r="G4045" s="1" t="s">
        <v>5277</v>
      </c>
      <c r="H4045" s="2" t="str">
        <f>Tabella1[[#This Row],[Denominazione]]&amp;" - "&amp;Tabella1[[#This Row],[Città]]</f>
        <v>I COLORI DELLA MELA - URBINO</v>
      </c>
    </row>
    <row r="4046" spans="1:8" x14ac:dyDescent="0.25">
      <c r="A4046" s="1" t="s">
        <v>20</v>
      </c>
      <c r="B4046" s="1" t="s">
        <v>6401</v>
      </c>
      <c r="C4046" s="1" t="s">
        <v>6402</v>
      </c>
      <c r="D4046" s="1" t="s">
        <v>6371</v>
      </c>
      <c r="E4046" s="1" t="s">
        <v>6371</v>
      </c>
      <c r="F4046" s="1" t="s">
        <v>6403</v>
      </c>
      <c r="G4046" s="1" t="s">
        <v>6404</v>
      </c>
      <c r="H4046" s="2" t="str">
        <f>Tabella1[[#This Row],[Denominazione]]&amp;" - "&amp;Tabella1[[#This Row],[Città]]</f>
        <v>I CUGINI - CASTELFIDARDO</v>
      </c>
    </row>
    <row r="4047" spans="1:8" x14ac:dyDescent="0.25">
      <c r="A4047" s="1" t="s">
        <v>82</v>
      </c>
      <c r="B4047" s="1" t="s">
        <v>15531</v>
      </c>
      <c r="C4047" s="1" t="s">
        <v>15532</v>
      </c>
      <c r="D4047" s="1" t="s">
        <v>15349</v>
      </c>
      <c r="E4047" s="1" t="s">
        <v>15349</v>
      </c>
      <c r="F4047" s="1" t="s">
        <v>15533</v>
      </c>
      <c r="G4047" s="1" t="s">
        <v>15534</v>
      </c>
      <c r="H4047" s="2" t="str">
        <f>Tabella1[[#This Row],[Denominazione]]&amp;" - "&amp;Tabella1[[#This Row],[Città]]</f>
        <v>I DELFINI - CUPRA MARITTIMA</v>
      </c>
    </row>
    <row r="4048" spans="1:8" x14ac:dyDescent="0.25">
      <c r="A4048" s="1" t="s">
        <v>679</v>
      </c>
      <c r="B4048" s="1" t="s">
        <v>2392</v>
      </c>
      <c r="C4048" s="1" t="s">
        <v>2346</v>
      </c>
      <c r="D4048" s="1" t="s">
        <v>1907</v>
      </c>
      <c r="E4048" s="1" t="s">
        <v>1907</v>
      </c>
      <c r="H4048" s="2" t="str">
        <f>Tabella1[[#This Row],[Denominazione]]&amp;" - "&amp;Tabella1[[#This Row],[Città]]</f>
        <v>I DELFINI SNC - GABICCE MARE</v>
      </c>
    </row>
    <row r="4049" spans="1:8" x14ac:dyDescent="0.25">
      <c r="A4049" s="1" t="s">
        <v>20</v>
      </c>
      <c r="B4049" s="1" t="s">
        <v>10844</v>
      </c>
      <c r="C4049" s="1" t="s">
        <v>10845</v>
      </c>
      <c r="D4049" s="1" t="s">
        <v>10737</v>
      </c>
      <c r="E4049" s="1" t="s">
        <v>10737</v>
      </c>
      <c r="F4049" s="1" t="s">
        <v>10846</v>
      </c>
      <c r="G4049" s="1" t="s">
        <v>10847</v>
      </c>
      <c r="H4049" s="2" t="str">
        <f>Tabella1[[#This Row],[Denominazione]]&amp;" - "&amp;Tabella1[[#This Row],[Città]]</f>
        <v>I DUCHI - CAMERINO</v>
      </c>
    </row>
    <row r="4050" spans="1:8" x14ac:dyDescent="0.25">
      <c r="A4050" s="1" t="s">
        <v>35</v>
      </c>
      <c r="B4050" s="1" t="s">
        <v>8844</v>
      </c>
      <c r="C4050" s="1" t="s">
        <v>8845</v>
      </c>
      <c r="D4050" s="1" t="s">
        <v>8834</v>
      </c>
      <c r="E4050" s="1" t="s">
        <v>8834</v>
      </c>
      <c r="G4050" s="1" t="s">
        <v>8846</v>
      </c>
      <c r="H4050" s="2" t="str">
        <f>Tabella1[[#This Row],[Denominazione]]&amp;" - "&amp;Tabella1[[#This Row],[Città]]</f>
        <v>I DUCHI PELLEGRINI - SANTA MARIA NUOVA</v>
      </c>
    </row>
    <row r="4051" spans="1:8" x14ac:dyDescent="0.25">
      <c r="A4051" s="1" t="s">
        <v>35</v>
      </c>
      <c r="B4051" s="1" t="s">
        <v>14092</v>
      </c>
      <c r="C4051" s="1" t="s">
        <v>14093</v>
      </c>
      <c r="D4051" s="1" t="s">
        <v>14065</v>
      </c>
      <c r="E4051" s="1" t="s">
        <v>14065</v>
      </c>
      <c r="H4051" s="2" t="str">
        <f>Tabella1[[#This Row],[Denominazione]]&amp;" - "&amp;Tabella1[[#This Row],[Città]]</f>
        <v>I DUE PINI - TREIA</v>
      </c>
    </row>
    <row r="4052" spans="1:8" x14ac:dyDescent="0.25">
      <c r="A4052" s="1" t="s">
        <v>82</v>
      </c>
      <c r="B4052" s="1" t="s">
        <v>8122</v>
      </c>
      <c r="C4052" s="1" t="s">
        <v>8123</v>
      </c>
      <c r="D4052" s="1" t="s">
        <v>7889</v>
      </c>
      <c r="E4052" s="1" t="s">
        <v>7889</v>
      </c>
      <c r="H4052" s="2" t="str">
        <f>Tabella1[[#This Row],[Denominazione]]&amp;" - "&amp;Tabella1[[#This Row],[Città]]</f>
        <v>I GABBIANI - NUMANA</v>
      </c>
    </row>
    <row r="4053" spans="1:8" x14ac:dyDescent="0.25">
      <c r="A4053" s="1" t="s">
        <v>82</v>
      </c>
      <c r="B4053" s="1" t="s">
        <v>12610</v>
      </c>
      <c r="C4053" s="1" t="s">
        <v>12611</v>
      </c>
      <c r="D4053" s="1" t="s">
        <v>12612</v>
      </c>
      <c r="E4053" s="1" t="s">
        <v>12612</v>
      </c>
      <c r="F4053" s="1" t="s">
        <v>10879</v>
      </c>
      <c r="G4053" s="1" t="s">
        <v>10880</v>
      </c>
      <c r="H4053" s="2" t="str">
        <f>Tabella1[[#This Row],[Denominazione]]&amp;" - "&amp;Tabella1[[#This Row],[Città]]</f>
        <v>I GIRASOLI - MUCCIA</v>
      </c>
    </row>
    <row r="4054" spans="1:8" x14ac:dyDescent="0.25">
      <c r="A4054" s="1" t="s">
        <v>82</v>
      </c>
      <c r="B4054" s="1" t="s">
        <v>3373</v>
      </c>
      <c r="C4054" s="1" t="s">
        <v>3374</v>
      </c>
      <c r="D4054" s="1" t="s">
        <v>3305</v>
      </c>
      <c r="E4054" s="1" t="s">
        <v>3305</v>
      </c>
      <c r="F4054" s="1" t="s">
        <v>3317</v>
      </c>
      <c r="G4054" s="1" t="s">
        <v>3318</v>
      </c>
      <c r="H4054" s="2" t="str">
        <f>Tabella1[[#This Row],[Denominazione]]&amp;" - "&amp;Tabella1[[#This Row],[Città]]</f>
        <v>I MAGNONI S.R.L. - PERGOLA</v>
      </c>
    </row>
    <row r="4055" spans="1:8" x14ac:dyDescent="0.25">
      <c r="A4055" s="1" t="s">
        <v>6</v>
      </c>
      <c r="B4055" s="1" t="s">
        <v>11067</v>
      </c>
      <c r="C4055" s="1" t="s">
        <v>11068</v>
      </c>
      <c r="D4055" s="1" t="s">
        <v>11058</v>
      </c>
      <c r="E4055" s="1" t="s">
        <v>11058</v>
      </c>
      <c r="G4055" s="1" t="s">
        <v>11069</v>
      </c>
      <c r="H4055" s="2" t="str">
        <f>Tabella1[[#This Row],[Denominazione]]&amp;" - "&amp;Tabella1[[#This Row],[Città]]</f>
        <v>I PONTI Soc. Coop. - CINGOLI</v>
      </c>
    </row>
    <row r="4056" spans="1:8" x14ac:dyDescent="0.25">
      <c r="A4056" s="1" t="s">
        <v>35</v>
      </c>
      <c r="B4056" s="1" t="s">
        <v>12907</v>
      </c>
      <c r="C4056" s="1" t="s">
        <v>12908</v>
      </c>
      <c r="D4056" s="1" t="s">
        <v>12801</v>
      </c>
      <c r="E4056" s="1" t="s">
        <v>12801</v>
      </c>
      <c r="F4056" s="1" t="s">
        <v>12909</v>
      </c>
      <c r="G4056" s="1" t="s">
        <v>12910</v>
      </c>
      <c r="H4056" s="2" t="str">
        <f>Tabella1[[#This Row],[Denominazione]]&amp;" - "&amp;Tabella1[[#This Row],[Città]]</f>
        <v>I SAPORI DI UN TEMPO - PORTO RECANATI</v>
      </c>
    </row>
    <row r="4057" spans="1:8" x14ac:dyDescent="0.25">
      <c r="A4057" s="1" t="s">
        <v>35</v>
      </c>
      <c r="B4057" s="1" t="s">
        <v>18631</v>
      </c>
      <c r="C4057" s="1" t="s">
        <v>18632</v>
      </c>
      <c r="D4057" s="1" t="s">
        <v>18618</v>
      </c>
      <c r="E4057" s="1" t="s">
        <v>18618</v>
      </c>
      <c r="F4057" s="1" t="s">
        <v>18633</v>
      </c>
      <c r="G4057" s="1" t="s">
        <v>18634</v>
      </c>
      <c r="H4057" s="2" t="str">
        <f>Tabella1[[#This Row],[Denominazione]]&amp;" - "&amp;Tabella1[[#This Row],[Città]]</f>
        <v>I SASSI DI SAN GIUSEPPE - MONTEGIORGIO</v>
      </c>
    </row>
    <row r="4058" spans="1:8" x14ac:dyDescent="0.25">
      <c r="A4058" s="1" t="s">
        <v>29</v>
      </c>
      <c r="B4058" s="1" t="s">
        <v>12615</v>
      </c>
      <c r="C4058" s="1" t="s">
        <v>12616</v>
      </c>
      <c r="D4058" s="1" t="s">
        <v>12612</v>
      </c>
      <c r="E4058" s="1" t="s">
        <v>12612</v>
      </c>
      <c r="G4058" s="1" t="s">
        <v>12617</v>
      </c>
      <c r="H4058" s="2" t="str">
        <f>Tabella1[[#This Row],[Denominazione]]&amp;" - "&amp;Tabella1[[#This Row],[Città]]</f>
        <v>I SOMARELLI DI FINICELLI ELISABETTA - MUCCIA</v>
      </c>
    </row>
    <row r="4059" spans="1:8" x14ac:dyDescent="0.25">
      <c r="A4059" s="1" t="s">
        <v>679</v>
      </c>
      <c r="B4059" s="1" t="s">
        <v>8193</v>
      </c>
      <c r="C4059" s="1" t="s">
        <v>8194</v>
      </c>
      <c r="D4059" s="1" t="s">
        <v>7889</v>
      </c>
      <c r="E4059" s="1" t="s">
        <v>7889</v>
      </c>
      <c r="H4059" s="2" t="str">
        <f>Tabella1[[#This Row],[Denominazione]]&amp;" - "&amp;Tabella1[[#This Row],[Città]]</f>
        <v>I TAMERICI - NUMANA</v>
      </c>
    </row>
    <row r="4060" spans="1:8" x14ac:dyDescent="0.25">
      <c r="A4060" s="1" t="s">
        <v>35</v>
      </c>
      <c r="B4060" s="1" t="s">
        <v>13349</v>
      </c>
      <c r="C4060" s="1" t="s">
        <v>13350</v>
      </c>
      <c r="D4060" s="1" t="s">
        <v>13298</v>
      </c>
      <c r="E4060" s="1" t="s">
        <v>13298</v>
      </c>
      <c r="F4060" s="1" t="s">
        <v>13351</v>
      </c>
      <c r="G4060" s="1" t="s">
        <v>13352</v>
      </c>
      <c r="H4060" s="2" t="str">
        <f>Tabella1[[#This Row],[Denominazione]]&amp;" - "&amp;Tabella1[[#This Row],[Città]]</f>
        <v>I TRE FILARI - RECANATI</v>
      </c>
    </row>
    <row r="4061" spans="1:8" x14ac:dyDescent="0.25">
      <c r="A4061" s="1" t="s">
        <v>35</v>
      </c>
      <c r="B4061" s="1" t="s">
        <v>3310</v>
      </c>
      <c r="C4061" s="1" t="s">
        <v>3311</v>
      </c>
      <c r="D4061" s="1" t="s">
        <v>3305</v>
      </c>
      <c r="E4061" s="1" t="s">
        <v>3312</v>
      </c>
      <c r="F4061" s="1" t="s">
        <v>3313</v>
      </c>
      <c r="G4061" s="1" t="s">
        <v>3314</v>
      </c>
      <c r="H4061" s="2" t="str">
        <f>Tabella1[[#This Row],[Denominazione]]&amp;" - "&amp;Tabella1[[#This Row],[Città]]</f>
        <v>I TRE MORI - PERGOLA</v>
      </c>
    </row>
    <row r="4062" spans="1:8" x14ac:dyDescent="0.25">
      <c r="A4062" s="1" t="s">
        <v>29</v>
      </c>
      <c r="B4062" s="1" t="s">
        <v>6712</v>
      </c>
      <c r="C4062" s="1" t="s">
        <v>6713</v>
      </c>
      <c r="D4062" s="1" t="s">
        <v>6652</v>
      </c>
      <c r="E4062" s="1" t="s">
        <v>6652</v>
      </c>
      <c r="F4062" s="1" t="s">
        <v>6714</v>
      </c>
      <c r="G4062" s="1" t="s">
        <v>6715</v>
      </c>
      <c r="H4062" s="2" t="str">
        <f>Tabella1[[#This Row],[Denominazione]]&amp;" - "&amp;Tabella1[[#This Row],[Città]]</f>
        <v>I TRE PAESI - CUPRAMONTANA</v>
      </c>
    </row>
    <row r="4063" spans="1:8" x14ac:dyDescent="0.25">
      <c r="A4063" s="1" t="s">
        <v>12</v>
      </c>
      <c r="B4063" s="1" t="s">
        <v>727</v>
      </c>
      <c r="C4063" s="1" t="s">
        <v>728</v>
      </c>
      <c r="D4063" s="1" t="s">
        <v>682</v>
      </c>
      <c r="E4063" s="1" t="s">
        <v>682</v>
      </c>
      <c r="G4063" s="1" t="s">
        <v>724</v>
      </c>
      <c r="H4063" s="2" t="str">
        <f>Tabella1[[#This Row],[Denominazione]]&amp;" - "&amp;Tabella1[[#This Row],[Città]]</f>
        <v>IACCHINI ISABELLA - FANO</v>
      </c>
    </row>
    <row r="4064" spans="1:8" x14ac:dyDescent="0.25">
      <c r="A4064" s="1" t="s">
        <v>12</v>
      </c>
      <c r="B4064" s="1" t="s">
        <v>5367</v>
      </c>
      <c r="C4064" s="1" t="s">
        <v>5368</v>
      </c>
      <c r="D4064" s="1" t="s">
        <v>5358</v>
      </c>
      <c r="E4064" s="1" t="s">
        <v>5369</v>
      </c>
      <c r="G4064" s="1" t="s">
        <v>5370</v>
      </c>
      <c r="H4064" s="2" t="str">
        <f>Tabella1[[#This Row],[Denominazione]]&amp;" - "&amp;Tabella1[[#This Row],[Città]]</f>
        <v>IACOMUCCI SILVANO - VALLEFOGLIA</v>
      </c>
    </row>
    <row r="4065" spans="1:8" x14ac:dyDescent="0.25">
      <c r="A4065" s="1" t="s">
        <v>20</v>
      </c>
      <c r="B4065" s="1" t="s">
        <v>15451</v>
      </c>
      <c r="C4065" s="1" t="s">
        <v>15452</v>
      </c>
      <c r="D4065" s="1" t="s">
        <v>15349</v>
      </c>
      <c r="E4065" s="1" t="s">
        <v>15349</v>
      </c>
      <c r="F4065" s="1" t="s">
        <v>15453</v>
      </c>
      <c r="G4065" s="1" t="s">
        <v>15454</v>
      </c>
      <c r="H4065" s="2" t="str">
        <f>Tabella1[[#This Row],[Denominazione]]&amp;" - "&amp;Tabella1[[#This Row],[Città]]</f>
        <v>IDEAL - CUPRA MARITTIMA</v>
      </c>
    </row>
    <row r="4066" spans="1:8" x14ac:dyDescent="0.25">
      <c r="A4066" s="1" t="s">
        <v>679</v>
      </c>
      <c r="B4066" s="1" t="s">
        <v>15451</v>
      </c>
      <c r="D4066" s="1" t="s">
        <v>15349</v>
      </c>
      <c r="F4066" s="1" t="s">
        <v>15454</v>
      </c>
      <c r="G4066" s="1" t="s">
        <v>15453</v>
      </c>
      <c r="H4066" s="2" t="str">
        <f>Tabella1[[#This Row],[Denominazione]]&amp;" - "&amp;Tabella1[[#This Row],[Città]]</f>
        <v>IDEAL - CUPRA MARITTIMA</v>
      </c>
    </row>
    <row r="4067" spans="1:8" x14ac:dyDescent="0.25">
      <c r="A4067" s="1" t="s">
        <v>679</v>
      </c>
      <c r="B4067" s="1" t="s">
        <v>17373</v>
      </c>
      <c r="D4067" s="1" t="s">
        <v>15819</v>
      </c>
      <c r="H4067" s="2" t="str">
        <f>Tabella1[[#This Row],[Denominazione]]&amp;" - "&amp;Tabella1[[#This Row],[Città]]</f>
        <v>IGUANA - SAN BENEDETTO DEL TRONTO</v>
      </c>
    </row>
    <row r="4068" spans="1:8" x14ac:dyDescent="0.25">
      <c r="A4068" s="1" t="s">
        <v>29</v>
      </c>
      <c r="B4068" s="1" t="s">
        <v>13413</v>
      </c>
      <c r="C4068" s="1" t="s">
        <v>13414</v>
      </c>
      <c r="D4068" s="1" t="s">
        <v>13298</v>
      </c>
      <c r="E4068" s="1" t="s">
        <v>13298</v>
      </c>
      <c r="G4068" s="1" t="s">
        <v>13415</v>
      </c>
      <c r="H4068" s="2" t="str">
        <f>Tabella1[[#This Row],[Denominazione]]&amp;" - "&amp;Tabella1[[#This Row],[Città]]</f>
        <v>IL BARDO - RECANATI</v>
      </c>
    </row>
    <row r="4069" spans="1:8" x14ac:dyDescent="0.25">
      <c r="A4069" s="1" t="s">
        <v>82</v>
      </c>
      <c r="B4069" s="1" t="s">
        <v>15085</v>
      </c>
      <c r="C4069" s="1" t="s">
        <v>15086</v>
      </c>
      <c r="D4069" s="1" t="s">
        <v>14576</v>
      </c>
      <c r="E4069" s="1" t="s">
        <v>14576</v>
      </c>
      <c r="H4069" s="2" t="str">
        <f>Tabella1[[#This Row],[Denominazione]]&amp;" - "&amp;Tabella1[[#This Row],[Città]]</f>
        <v>IL BEDROOMS DI PORTA MAGGIORE - ASCOLI PICENO</v>
      </c>
    </row>
    <row r="4070" spans="1:8" x14ac:dyDescent="0.25">
      <c r="A4070" s="1" t="s">
        <v>6</v>
      </c>
      <c r="B4070" s="1" t="s">
        <v>6103</v>
      </c>
      <c r="C4070" s="1" t="s">
        <v>6104</v>
      </c>
      <c r="D4070" s="1" t="s">
        <v>6049</v>
      </c>
      <c r="E4070" s="1" t="s">
        <v>6105</v>
      </c>
      <c r="F4070" s="1" t="s">
        <v>6106</v>
      </c>
      <c r="G4070" s="1" t="s">
        <v>6107</v>
      </c>
      <c r="H4070" s="2" t="str">
        <f>Tabella1[[#This Row],[Denominazione]]&amp;" - "&amp;Tabella1[[#This Row],[Città]]</f>
        <v>IL BELVEDERE - ARCEVIA</v>
      </c>
    </row>
    <row r="4071" spans="1:8" x14ac:dyDescent="0.25">
      <c r="A4071" s="1" t="s">
        <v>679</v>
      </c>
      <c r="B4071" s="1" t="s">
        <v>7755</v>
      </c>
      <c r="C4071" s="1" t="s">
        <v>7756</v>
      </c>
      <c r="D4071" s="1" t="s">
        <v>7718</v>
      </c>
      <c r="E4071" s="1" t="s">
        <v>7748</v>
      </c>
      <c r="H4071" s="2" t="str">
        <f>Tabella1[[#This Row],[Denominazione]]&amp;" - "&amp;Tabella1[[#This Row],[Città]]</f>
        <v>IL BERTOLDO DI MILLETTI &amp; DI MATTIA SAS - MONTEMARCIANO</v>
      </c>
    </row>
    <row r="4072" spans="1:8" x14ac:dyDescent="0.25">
      <c r="A4072" s="1" t="s">
        <v>35</v>
      </c>
      <c r="B4072" s="1" t="s">
        <v>10275</v>
      </c>
      <c r="C4072" s="1" t="s">
        <v>10276</v>
      </c>
      <c r="D4072" s="1" t="s">
        <v>10206</v>
      </c>
      <c r="E4072" s="1" t="s">
        <v>10277</v>
      </c>
      <c r="G4072" s="1" t="s">
        <v>10278</v>
      </c>
      <c r="H4072" s="2" t="str">
        <f>Tabella1[[#This Row],[Denominazione]]&amp;" - "&amp;Tabella1[[#This Row],[Città]]</f>
        <v>IL BETELLICO di CAMILLETTI LUIGI - SIROLO</v>
      </c>
    </row>
    <row r="4073" spans="1:8" x14ac:dyDescent="0.25">
      <c r="A4073" s="1" t="s">
        <v>6</v>
      </c>
      <c r="B4073" s="1" t="s">
        <v>5189</v>
      </c>
      <c r="C4073" s="1" t="s">
        <v>5190</v>
      </c>
      <c r="D4073" s="1" t="s">
        <v>9</v>
      </c>
      <c r="E4073" s="1" t="s">
        <v>9</v>
      </c>
      <c r="F4073" s="1" t="s">
        <v>5191</v>
      </c>
      <c r="G4073" s="1" t="s">
        <v>5192</v>
      </c>
      <c r="H4073" s="2" t="str">
        <f>Tabella1[[#This Row],[Denominazione]]&amp;" - "&amp;Tabella1[[#This Row],[Città]]</f>
        <v>IL BIROCCIO - URBINO</v>
      </c>
    </row>
    <row r="4074" spans="1:8" x14ac:dyDescent="0.25">
      <c r="A4074" s="1" t="s">
        <v>35</v>
      </c>
      <c r="B4074" s="1" t="s">
        <v>18562</v>
      </c>
      <c r="C4074" s="1" t="s">
        <v>18563</v>
      </c>
      <c r="D4074" s="1" t="s">
        <v>18522</v>
      </c>
      <c r="E4074" s="1" t="s">
        <v>18559</v>
      </c>
      <c r="F4074" s="1" t="s">
        <v>18564</v>
      </c>
      <c r="G4074" s="1" t="s">
        <v>18565</v>
      </c>
      <c r="H4074" s="2" t="str">
        <f>Tabella1[[#This Row],[Denominazione]]&amp;" - "&amp;Tabella1[[#This Row],[Città]]</f>
        <v>IL BORGHETTO - MONTEFORTINO</v>
      </c>
    </row>
    <row r="4075" spans="1:8" x14ac:dyDescent="0.25">
      <c r="A4075" s="1" t="s">
        <v>679</v>
      </c>
      <c r="B4075" s="1" t="s">
        <v>15539</v>
      </c>
      <c r="D4075" s="1" t="s">
        <v>15349</v>
      </c>
      <c r="E4075" s="1" t="s">
        <v>15370</v>
      </c>
      <c r="H4075" s="2" t="str">
        <f>Tabella1[[#This Row],[Denominazione]]&amp;" - "&amp;Tabella1[[#This Row],[Città]]</f>
        <v>IL BORGHETTO BEACH - CUPRA MARITTIMA</v>
      </c>
    </row>
    <row r="4076" spans="1:8" x14ac:dyDescent="0.25">
      <c r="A4076" s="1" t="s">
        <v>82</v>
      </c>
      <c r="B4076" s="1" t="s">
        <v>4730</v>
      </c>
      <c r="C4076" s="1" t="s">
        <v>4731</v>
      </c>
      <c r="D4076" s="1" t="s">
        <v>4657</v>
      </c>
      <c r="F4076" s="1" t="s">
        <v>4732</v>
      </c>
      <c r="G4076" s="1" t="s">
        <v>4733</v>
      </c>
      <c r="H4076" s="2" t="str">
        <f>Tabella1[[#This Row],[Denominazione]]&amp;" - "&amp;Tabella1[[#This Row],[Città]]</f>
        <v>IL BORGO - TAVULLIA</v>
      </c>
    </row>
    <row r="4077" spans="1:8" x14ac:dyDescent="0.25">
      <c r="A4077" s="1" t="s">
        <v>20</v>
      </c>
      <c r="B4077" s="1" t="s">
        <v>15253</v>
      </c>
      <c r="D4077" s="1" t="s">
        <v>15249</v>
      </c>
      <c r="H4077" s="2" t="str">
        <f>Tabella1[[#This Row],[Denominazione]]&amp;" - "&amp;Tabella1[[#This Row],[Città]]</f>
        <v>IL BORGO DEL VENTO - COMUNANZA</v>
      </c>
    </row>
    <row r="4078" spans="1:8" x14ac:dyDescent="0.25">
      <c r="A4078" s="1" t="s">
        <v>6</v>
      </c>
      <c r="B4078" s="1" t="s">
        <v>5280</v>
      </c>
      <c r="C4078" s="1" t="s">
        <v>5281</v>
      </c>
      <c r="D4078" s="1" t="s">
        <v>9</v>
      </c>
      <c r="E4078" s="1" t="s">
        <v>9</v>
      </c>
      <c r="G4078" s="1" t="s">
        <v>5282</v>
      </c>
      <c r="H4078" s="2" t="str">
        <f>Tabella1[[#This Row],[Denominazione]]&amp;" - "&amp;Tabella1[[#This Row],[Città]]</f>
        <v>IL BORGO DELLA MINIERA - URBINO</v>
      </c>
    </row>
    <row r="4079" spans="1:8" x14ac:dyDescent="0.25">
      <c r="A4079" s="1" t="s">
        <v>35</v>
      </c>
      <c r="B4079" s="1" t="s">
        <v>6194</v>
      </c>
      <c r="C4079" s="1" t="s">
        <v>6195</v>
      </c>
      <c r="D4079" s="1" t="s">
        <v>6049</v>
      </c>
      <c r="E4079" s="1" t="s">
        <v>6063</v>
      </c>
      <c r="F4079" s="1" t="s">
        <v>6196</v>
      </c>
      <c r="G4079" s="1" t="s">
        <v>6197</v>
      </c>
      <c r="H4079" s="2" t="str">
        <f>Tabella1[[#This Row],[Denominazione]]&amp;" - "&amp;Tabella1[[#This Row],[Città]]</f>
        <v>IL BOSCHETTO - ARCEVIA</v>
      </c>
    </row>
    <row r="4080" spans="1:8" x14ac:dyDescent="0.25">
      <c r="A4080" s="1" t="s">
        <v>679</v>
      </c>
      <c r="B4080" s="1" t="s">
        <v>11436</v>
      </c>
      <c r="D4080" s="1" t="s">
        <v>11244</v>
      </c>
      <c r="H4080" s="2" t="str">
        <f>Tabella1[[#This Row],[Denominazione]]&amp;" - "&amp;Tabella1[[#This Row],[Città]]</f>
        <v>IL BRIGANTINO - CIVITANOVA MARCHE</v>
      </c>
    </row>
    <row r="4081" spans="1:8" x14ac:dyDescent="0.25">
      <c r="A4081" s="1" t="s">
        <v>20</v>
      </c>
      <c r="B4081" s="1" t="s">
        <v>11436</v>
      </c>
      <c r="C4081" s="1" t="s">
        <v>12818</v>
      </c>
      <c r="D4081" s="1" t="s">
        <v>12801</v>
      </c>
      <c r="E4081" s="1" t="s">
        <v>12801</v>
      </c>
      <c r="F4081" s="1" t="s">
        <v>12819</v>
      </c>
      <c r="G4081" s="1" t="s">
        <v>12820</v>
      </c>
      <c r="H4081" s="2" t="str">
        <f>Tabella1[[#This Row],[Denominazione]]&amp;" - "&amp;Tabella1[[#This Row],[Città]]</f>
        <v>IL BRIGANTINO - PORTO RECANATI</v>
      </c>
    </row>
    <row r="4082" spans="1:8" x14ac:dyDescent="0.25">
      <c r="A4082" s="1" t="s">
        <v>679</v>
      </c>
      <c r="B4082" s="1" t="s">
        <v>11436</v>
      </c>
      <c r="C4082" s="1" t="s">
        <v>19048</v>
      </c>
      <c r="D4082" s="1" t="s">
        <v>18082</v>
      </c>
      <c r="E4082" s="1" t="s">
        <v>18082</v>
      </c>
      <c r="F4082" s="1" t="s">
        <v>19074</v>
      </c>
      <c r="H4082" s="2" t="str">
        <f>Tabella1[[#This Row],[Denominazione]]&amp;" - "&amp;Tabella1[[#This Row],[Città]]</f>
        <v>IL BRIGANTINO - PORTO SAN GIORGIO</v>
      </c>
    </row>
    <row r="4083" spans="1:8" x14ac:dyDescent="0.25">
      <c r="A4083" s="1" t="s">
        <v>12</v>
      </c>
      <c r="B4083" s="1" t="s">
        <v>2705</v>
      </c>
      <c r="C4083" s="1" t="s">
        <v>2706</v>
      </c>
      <c r="D4083" s="1" t="s">
        <v>2678</v>
      </c>
      <c r="E4083" s="1" t="s">
        <v>2678</v>
      </c>
      <c r="G4083" s="1" t="s">
        <v>2707</v>
      </c>
      <c r="H4083" s="2" t="str">
        <f>Tabella1[[#This Row],[Denominazione]]&amp;" - "&amp;Tabella1[[#This Row],[Città]]</f>
        <v>IL BRUGNOLO - MOMBAROCCIO</v>
      </c>
    </row>
    <row r="4084" spans="1:8" x14ac:dyDescent="0.25">
      <c r="A4084" s="1" t="s">
        <v>6</v>
      </c>
      <c r="B4084" s="1" t="s">
        <v>9353</v>
      </c>
      <c r="C4084" s="1" t="s">
        <v>9354</v>
      </c>
      <c r="D4084" s="1" t="s">
        <v>8949</v>
      </c>
      <c r="G4084" s="1" t="s">
        <v>9355</v>
      </c>
      <c r="H4084" s="2" t="str">
        <f>Tabella1[[#This Row],[Denominazione]]&amp;" - "&amp;Tabella1[[#This Row],[Città]]</f>
        <v>IL CAMPETTO - SENIGALLIA</v>
      </c>
    </row>
    <row r="4085" spans="1:8" x14ac:dyDescent="0.25">
      <c r="A4085" s="1" t="s">
        <v>82</v>
      </c>
      <c r="B4085" s="1" t="s">
        <v>7056</v>
      </c>
      <c r="C4085" s="1" t="s">
        <v>7057</v>
      </c>
      <c r="D4085" s="1" t="s">
        <v>5735</v>
      </c>
      <c r="E4085" s="1" t="s">
        <v>5735</v>
      </c>
      <c r="G4085" s="1" t="s">
        <v>7058</v>
      </c>
      <c r="H4085" s="2" t="str">
        <f>Tabella1[[#This Row],[Denominazione]]&amp;" - "&amp;Tabella1[[#This Row],[Città]]</f>
        <v>IL CAPRICCIO di SAPONE ANNA MARIA - FALCONARA MARITTIMA</v>
      </c>
    </row>
    <row r="4086" spans="1:8" x14ac:dyDescent="0.25">
      <c r="A4086" s="1" t="s">
        <v>29</v>
      </c>
      <c r="B4086" s="1" t="s">
        <v>6253</v>
      </c>
      <c r="C4086" s="1" t="s">
        <v>6254</v>
      </c>
      <c r="D4086" s="1" t="s">
        <v>6049</v>
      </c>
      <c r="E4086" s="1" t="s">
        <v>6082</v>
      </c>
      <c r="G4086" s="1" t="s">
        <v>6255</v>
      </c>
      <c r="H4086" s="2" t="str">
        <f>Tabella1[[#This Row],[Denominazione]]&amp;" - "&amp;Tabella1[[#This Row],[Città]]</f>
        <v>IL CAPUCCIO - ARCEVIA</v>
      </c>
    </row>
    <row r="4087" spans="1:8" x14ac:dyDescent="0.25">
      <c r="A4087" s="1" t="s">
        <v>35</v>
      </c>
      <c r="B4087" s="1" t="s">
        <v>11043</v>
      </c>
      <c r="D4087" s="1" t="s">
        <v>11022</v>
      </c>
      <c r="E4087" s="1" t="s">
        <v>11044</v>
      </c>
      <c r="G4087" s="1" t="s">
        <v>11045</v>
      </c>
      <c r="H4087" s="2" t="str">
        <f>Tabella1[[#This Row],[Denominazione]]&amp;" - "&amp;Tabella1[[#This Row],[Città]]</f>
        <v>IL CARBONAIO - CESSAPALOMBO</v>
      </c>
    </row>
    <row r="4088" spans="1:8" x14ac:dyDescent="0.25">
      <c r="A4088" s="1" t="s">
        <v>12</v>
      </c>
      <c r="B4088" s="1" t="s">
        <v>3041</v>
      </c>
      <c r="C4088" s="1" t="s">
        <v>3042</v>
      </c>
      <c r="D4088" s="1" t="s">
        <v>3038</v>
      </c>
      <c r="E4088" s="1" t="s">
        <v>3043</v>
      </c>
      <c r="G4088" s="1" t="s">
        <v>3044</v>
      </c>
      <c r="H4088" s="2" t="str">
        <f>Tabella1[[#This Row],[Denominazione]]&amp;" - "&amp;Tabella1[[#This Row],[Città]]</f>
        <v>IL CARRUBO - MONTECICCARDO</v>
      </c>
    </row>
    <row r="4089" spans="1:8" x14ac:dyDescent="0.25">
      <c r="A4089" s="1" t="s">
        <v>35</v>
      </c>
      <c r="B4089" s="1" t="s">
        <v>3353</v>
      </c>
      <c r="C4089" s="1" t="s">
        <v>3354</v>
      </c>
      <c r="D4089" s="1" t="s">
        <v>3305</v>
      </c>
      <c r="E4089" s="1" t="s">
        <v>3305</v>
      </c>
      <c r="F4089" s="1" t="s">
        <v>3355</v>
      </c>
      <c r="G4089" s="1" t="s">
        <v>3356</v>
      </c>
      <c r="H4089" s="2" t="str">
        <f>Tabella1[[#This Row],[Denominazione]]&amp;" - "&amp;Tabella1[[#This Row],[Città]]</f>
        <v>IL CASALE - PERGOLA</v>
      </c>
    </row>
    <row r="4090" spans="1:8" x14ac:dyDescent="0.25">
      <c r="A4090" s="1" t="s">
        <v>35</v>
      </c>
      <c r="B4090" s="1" t="s">
        <v>3353</v>
      </c>
      <c r="C4090" s="1" t="s">
        <v>12549</v>
      </c>
      <c r="D4090" s="1" t="s">
        <v>12546</v>
      </c>
      <c r="E4090" s="1" t="s">
        <v>12546</v>
      </c>
      <c r="F4090" s="1" t="s">
        <v>12550</v>
      </c>
      <c r="G4090" s="1" t="s">
        <v>12551</v>
      </c>
      <c r="H4090" s="2" t="str">
        <f>Tabella1[[#This Row],[Denominazione]]&amp;" - "&amp;Tabella1[[#This Row],[Città]]</f>
        <v>IL CASALE - MORROVALLE</v>
      </c>
    </row>
    <row r="4091" spans="1:8" x14ac:dyDescent="0.25">
      <c r="A4091" s="1" t="s">
        <v>6</v>
      </c>
      <c r="B4091" s="1" t="s">
        <v>3353</v>
      </c>
      <c r="C4091" s="1" t="s">
        <v>17717</v>
      </c>
      <c r="D4091" s="1" t="s">
        <v>17703</v>
      </c>
      <c r="E4091" s="1" t="s">
        <v>17703</v>
      </c>
      <c r="F4091" s="1" t="s">
        <v>17718</v>
      </c>
      <c r="G4091" s="1" t="s">
        <v>17719</v>
      </c>
      <c r="H4091" s="2" t="str">
        <f>Tabella1[[#This Row],[Denominazione]]&amp;" - "&amp;Tabella1[[#This Row],[Città]]</f>
        <v>IL CASALE - ALTIDONA</v>
      </c>
    </row>
    <row r="4092" spans="1:8" x14ac:dyDescent="0.25">
      <c r="A4092" s="1" t="s">
        <v>6</v>
      </c>
      <c r="B4092" s="1" t="s">
        <v>14654</v>
      </c>
      <c r="C4092" s="1" t="s">
        <v>14655</v>
      </c>
      <c r="D4092" s="1" t="s">
        <v>14576</v>
      </c>
      <c r="E4092" s="1" t="s">
        <v>14656</v>
      </c>
      <c r="F4092" s="1" t="s">
        <v>14657</v>
      </c>
      <c r="G4092" s="1" t="s">
        <v>14658</v>
      </c>
      <c r="H4092" s="2" t="str">
        <f>Tabella1[[#This Row],[Denominazione]]&amp;" - "&amp;Tabella1[[#This Row],[Città]]</f>
        <v>IL CASALE DEGLI ULIVI - ASCOLI PICENO</v>
      </c>
    </row>
    <row r="4093" spans="1:8" x14ac:dyDescent="0.25">
      <c r="A4093" s="1" t="s">
        <v>6</v>
      </c>
      <c r="B4093" s="1" t="s">
        <v>8765</v>
      </c>
      <c r="C4093" s="1" t="s">
        <v>8766</v>
      </c>
      <c r="D4093" s="1" t="s">
        <v>8763</v>
      </c>
      <c r="E4093" s="1" t="s">
        <v>8763</v>
      </c>
      <c r="F4093" s="1" t="s">
        <v>8767</v>
      </c>
      <c r="G4093" s="1" t="s">
        <v>8768</v>
      </c>
      <c r="H4093" s="2" t="str">
        <f>Tabella1[[#This Row],[Denominazione]]&amp;" - "&amp;Tabella1[[#This Row],[Città]]</f>
        <v>IL CASALE DEL BACO - ROSORA</v>
      </c>
    </row>
    <row r="4094" spans="1:8" x14ac:dyDescent="0.25">
      <c r="A4094" s="1" t="s">
        <v>35</v>
      </c>
      <c r="B4094" s="1" t="s">
        <v>2636</v>
      </c>
      <c r="C4094" s="1" t="s">
        <v>2637</v>
      </c>
      <c r="D4094" s="1" t="s">
        <v>2594</v>
      </c>
      <c r="E4094" s="1" t="s">
        <v>2638</v>
      </c>
      <c r="F4094" s="1" t="s">
        <v>2639</v>
      </c>
      <c r="G4094" s="1" t="s">
        <v>2640</v>
      </c>
      <c r="H4094" s="2" t="str">
        <f>Tabella1[[#This Row],[Denominazione]]&amp;" - "&amp;Tabella1[[#This Row],[Città]]</f>
        <v>IL CASALE DEL BARONE - MERCATELLO SUL METAURO</v>
      </c>
    </row>
    <row r="4095" spans="1:8" x14ac:dyDescent="0.25">
      <c r="A4095" s="1" t="s">
        <v>12</v>
      </c>
      <c r="B4095" s="1" t="s">
        <v>2449</v>
      </c>
      <c r="C4095" s="1" t="s">
        <v>2450</v>
      </c>
      <c r="D4095" s="1" t="s">
        <v>2425</v>
      </c>
      <c r="G4095" s="1" t="s">
        <v>2451</v>
      </c>
      <c r="H4095" s="2" t="str">
        <f>Tabella1[[#This Row],[Denominazione]]&amp;" - "&amp;Tabella1[[#This Row],[Città]]</f>
        <v>IL CASALE DEL BONCIO - GRADARA</v>
      </c>
    </row>
    <row r="4096" spans="1:8" x14ac:dyDescent="0.25">
      <c r="A4096" s="1" t="s">
        <v>29</v>
      </c>
      <c r="B4096" s="1" t="s">
        <v>16274</v>
      </c>
      <c r="D4096" s="1" t="s">
        <v>16202</v>
      </c>
      <c r="F4096" s="1" t="s">
        <v>1635</v>
      </c>
      <c r="H4096" s="2" t="str">
        <f>Tabella1[[#This Row],[Denominazione]]&amp;" - "&amp;Tabella1[[#This Row],[Città]]</f>
        <v>IL CASALE DEL GALLO - MONTEFIORE DELL'ASO</v>
      </c>
    </row>
    <row r="4097" spans="1:8" x14ac:dyDescent="0.25">
      <c r="A4097" s="1" t="s">
        <v>6</v>
      </c>
      <c r="B4097" s="1" t="s">
        <v>6529</v>
      </c>
      <c r="C4097" s="1" t="s">
        <v>6530</v>
      </c>
      <c r="D4097" s="1" t="s">
        <v>6520</v>
      </c>
      <c r="F4097" s="1" t="s">
        <v>6531</v>
      </c>
      <c r="G4097" s="1" t="s">
        <v>6532</v>
      </c>
      <c r="H4097" s="2" t="str">
        <f>Tabella1[[#This Row],[Denominazione]]&amp;" - "&amp;Tabella1[[#This Row],[Città]]</f>
        <v>IL CASALE DEL GUFO - CHIARAVALLE</v>
      </c>
    </row>
    <row r="4098" spans="1:8" x14ac:dyDescent="0.25">
      <c r="A4098" s="1" t="s">
        <v>6</v>
      </c>
      <c r="B4098" s="1" t="s">
        <v>12432</v>
      </c>
      <c r="C4098" s="1" t="s">
        <v>12433</v>
      </c>
      <c r="D4098" s="1" t="s">
        <v>12427</v>
      </c>
      <c r="F4098" s="1" t="s">
        <v>12434</v>
      </c>
      <c r="G4098" s="1" t="s">
        <v>12435</v>
      </c>
      <c r="H4098" s="2" t="str">
        <f>Tabella1[[#This Row],[Denominazione]]&amp;" - "&amp;Tabella1[[#This Row],[Città]]</f>
        <v>IL CASALE DELL' ACQUABONA - MONTEFANO</v>
      </c>
    </row>
    <row r="4099" spans="1:8" x14ac:dyDescent="0.25">
      <c r="A4099" s="1" t="s">
        <v>6</v>
      </c>
      <c r="B4099" s="1" t="s">
        <v>11719</v>
      </c>
      <c r="C4099" s="1" t="s">
        <v>11720</v>
      </c>
      <c r="D4099" s="1" t="s">
        <v>11716</v>
      </c>
      <c r="G4099" s="1" t="s">
        <v>11721</v>
      </c>
      <c r="H4099" s="2" t="str">
        <f>Tabella1[[#This Row],[Denominazione]]&amp;" - "&amp;Tabella1[[#This Row],[Città]]</f>
        <v>IL CASALE DI AURORA - COLMURANO</v>
      </c>
    </row>
    <row r="4100" spans="1:8" x14ac:dyDescent="0.25">
      <c r="A4100" s="1" t="s">
        <v>82</v>
      </c>
      <c r="B4100" s="1" t="s">
        <v>10426</v>
      </c>
      <c r="C4100" s="1" t="s">
        <v>10427</v>
      </c>
      <c r="D4100" s="1" t="s">
        <v>10206</v>
      </c>
      <c r="F4100" s="1" t="s">
        <v>8067</v>
      </c>
      <c r="G4100" s="1" t="s">
        <v>10428</v>
      </c>
      <c r="H4100" s="2" t="str">
        <f>Tabella1[[#This Row],[Denominazione]]&amp;" - "&amp;Tabella1[[#This Row],[Città]]</f>
        <v>IL CASALE DI GIULIA - SIROLO</v>
      </c>
    </row>
    <row r="4101" spans="1:8" x14ac:dyDescent="0.25">
      <c r="A4101" s="1" t="s">
        <v>6</v>
      </c>
      <c r="B4101" s="1" t="s">
        <v>11888</v>
      </c>
      <c r="D4101" s="1" t="s">
        <v>11883</v>
      </c>
      <c r="E4101" s="1" t="s">
        <v>11889</v>
      </c>
      <c r="F4101" s="1" t="s">
        <v>11890</v>
      </c>
      <c r="G4101" s="1" t="s">
        <v>11891</v>
      </c>
      <c r="H4101" s="2" t="str">
        <f>Tabella1[[#This Row],[Denominazione]]&amp;" - "&amp;Tabella1[[#This Row],[Città]]</f>
        <v>IL CASALE DI GUALDO - GUALDO</v>
      </c>
    </row>
    <row r="4102" spans="1:8" x14ac:dyDescent="0.25">
      <c r="A4102" s="1" t="s">
        <v>6</v>
      </c>
      <c r="B4102" s="1" t="s">
        <v>13133</v>
      </c>
      <c r="C4102" s="1" t="s">
        <v>13134</v>
      </c>
      <c r="D4102" s="1" t="s">
        <v>13026</v>
      </c>
      <c r="G4102" s="1" t="s">
        <v>13135</v>
      </c>
      <c r="H4102" s="2" t="str">
        <f>Tabella1[[#This Row],[Denominazione]]&amp;" - "&amp;Tabella1[[#This Row],[Città]]</f>
        <v>IL CASALE DI MARIU' - POTENZA PICENA</v>
      </c>
    </row>
    <row r="4103" spans="1:8" x14ac:dyDescent="0.25">
      <c r="A4103" s="1" t="s">
        <v>29</v>
      </c>
      <c r="B4103" s="1" t="s">
        <v>7191</v>
      </c>
      <c r="C4103" s="1" t="s">
        <v>7192</v>
      </c>
      <c r="D4103" s="1" t="s">
        <v>7161</v>
      </c>
      <c r="E4103" s="1" t="s">
        <v>7161</v>
      </c>
      <c r="G4103" s="1" t="s">
        <v>7193</v>
      </c>
      <c r="H4103" s="2" t="str">
        <f>Tabella1[[#This Row],[Denominazione]]&amp;" - "&amp;Tabella1[[#This Row],[Città]]</f>
        <v>IL CASALE DORATO - FILOTTRANO</v>
      </c>
    </row>
    <row r="4104" spans="1:8" x14ac:dyDescent="0.25">
      <c r="A4104" s="1" t="s">
        <v>35</v>
      </c>
      <c r="B4104" s="1" t="s">
        <v>4990</v>
      </c>
      <c r="C4104" s="1" t="s">
        <v>4991</v>
      </c>
      <c r="D4104" s="1" t="s">
        <v>9</v>
      </c>
      <c r="E4104" s="1" t="s">
        <v>9</v>
      </c>
      <c r="G4104" s="1" t="s">
        <v>4992</v>
      </c>
      <c r="H4104" s="2" t="str">
        <f>Tabella1[[#This Row],[Denominazione]]&amp;" - "&amp;Tabella1[[#This Row],[Città]]</f>
        <v>IL CASALE NEL TUFO - URBINO</v>
      </c>
    </row>
    <row r="4105" spans="1:8" x14ac:dyDescent="0.25">
      <c r="A4105" s="1" t="s">
        <v>82</v>
      </c>
      <c r="B4105" s="1" t="s">
        <v>13063</v>
      </c>
      <c r="C4105" s="1" t="s">
        <v>13064</v>
      </c>
      <c r="D4105" s="1" t="s">
        <v>13026</v>
      </c>
      <c r="E4105" s="1" t="s">
        <v>13026</v>
      </c>
      <c r="H4105" s="2" t="str">
        <f>Tabella1[[#This Row],[Denominazione]]&amp;" - "&amp;Tabella1[[#This Row],[Città]]</f>
        <v>IL CASALE SRLS - POTENZA PICENA</v>
      </c>
    </row>
    <row r="4106" spans="1:8" x14ac:dyDescent="0.25">
      <c r="A4106" s="1" t="s">
        <v>6</v>
      </c>
      <c r="B4106" s="1" t="s">
        <v>14779</v>
      </c>
      <c r="D4106" s="1" t="s">
        <v>14576</v>
      </c>
      <c r="E4106" s="1" t="s">
        <v>14780</v>
      </c>
      <c r="G4106" s="1" t="s">
        <v>14781</v>
      </c>
      <c r="H4106" s="2" t="str">
        <f>Tabella1[[#This Row],[Denominazione]]&amp;" - "&amp;Tabella1[[#This Row],[Città]]</f>
        <v>IL CASALE SUL LAGO - ASCOLI PICENO</v>
      </c>
    </row>
    <row r="4107" spans="1:8" x14ac:dyDescent="0.25">
      <c r="A4107" s="1" t="s">
        <v>35</v>
      </c>
      <c r="B4107" s="1" t="s">
        <v>10962</v>
      </c>
      <c r="C4107" s="1" t="s">
        <v>10963</v>
      </c>
      <c r="D4107" s="1" t="s">
        <v>10932</v>
      </c>
      <c r="E4107" s="1" t="s">
        <v>10932</v>
      </c>
      <c r="F4107" s="1" t="s">
        <v>10964</v>
      </c>
      <c r="G4107" s="1" t="s">
        <v>10965</v>
      </c>
      <c r="H4107" s="2" t="str">
        <f>Tabella1[[#This Row],[Denominazione]]&amp;" - "&amp;Tabella1[[#This Row],[Città]]</f>
        <v>IL CASATO - CASTELRAIMONDO</v>
      </c>
    </row>
    <row r="4108" spans="1:8" x14ac:dyDescent="0.25">
      <c r="A4108" s="1" t="s">
        <v>35</v>
      </c>
      <c r="B4108" s="1" t="s">
        <v>13465</v>
      </c>
      <c r="C4108" s="1" t="s">
        <v>13466</v>
      </c>
      <c r="D4108" s="1" t="s">
        <v>6072</v>
      </c>
      <c r="E4108" s="1" t="s">
        <v>6072</v>
      </c>
      <c r="G4108" s="1" t="s">
        <v>13467</v>
      </c>
      <c r="H4108" s="2" t="str">
        <f>Tabella1[[#This Row],[Denominazione]]&amp;" - "&amp;Tabella1[[#This Row],[Città]]</f>
        <v>IL CASOLARE - SAN GINESIO</v>
      </c>
    </row>
    <row r="4109" spans="1:8" x14ac:dyDescent="0.25">
      <c r="A4109" s="1" t="s">
        <v>20</v>
      </c>
      <c r="B4109" s="1" t="s">
        <v>13465</v>
      </c>
      <c r="C4109" s="1" t="s">
        <v>17693</v>
      </c>
      <c r="D4109" s="1" t="s">
        <v>17691</v>
      </c>
      <c r="F4109" s="1" t="s">
        <v>17694</v>
      </c>
      <c r="G4109" s="1" t="s">
        <v>17695</v>
      </c>
      <c r="H4109" s="2" t="str">
        <f>Tabella1[[#This Row],[Denominazione]]&amp;" - "&amp;Tabella1[[#This Row],[Città]]</f>
        <v>IL CASOLARE - VENAROTTA</v>
      </c>
    </row>
    <row r="4110" spans="1:8" x14ac:dyDescent="0.25">
      <c r="A4110" s="1" t="s">
        <v>12</v>
      </c>
      <c r="B4110" s="1" t="s">
        <v>7655</v>
      </c>
      <c r="C4110" s="1" t="s">
        <v>7656</v>
      </c>
      <c r="D4110" s="1" t="s">
        <v>7611</v>
      </c>
      <c r="E4110" s="1" t="s">
        <v>7657</v>
      </c>
      <c r="F4110" s="1" t="s">
        <v>7658</v>
      </c>
      <c r="G4110" s="1" t="s">
        <v>7658</v>
      </c>
      <c r="H4110" s="2" t="str">
        <f>Tabella1[[#This Row],[Denominazione]]&amp;" - "&amp;Tabella1[[#This Row],[Città]]</f>
        <v>IL CASOLARE DELLE STELLE - MERGO</v>
      </c>
    </row>
    <row r="4111" spans="1:8" x14ac:dyDescent="0.25">
      <c r="A4111" s="1" t="s">
        <v>35</v>
      </c>
      <c r="B4111" s="1" t="s">
        <v>14640</v>
      </c>
      <c r="C4111" s="1" t="s">
        <v>14641</v>
      </c>
      <c r="D4111" s="1" t="s">
        <v>14576</v>
      </c>
      <c r="E4111" s="1" t="s">
        <v>14576</v>
      </c>
      <c r="G4111" s="1" t="s">
        <v>14642</v>
      </c>
      <c r="H4111" s="2" t="str">
        <f>Tabella1[[#This Row],[Denominazione]]&amp;" - "&amp;Tabella1[[#This Row],[Città]]</f>
        <v>IL CASTAGNETO - ASCOLI PICENO</v>
      </c>
    </row>
    <row r="4112" spans="1:8" x14ac:dyDescent="0.25">
      <c r="A4112" s="1" t="s">
        <v>20</v>
      </c>
      <c r="B4112" s="1" t="s">
        <v>3270</v>
      </c>
      <c r="C4112" s="1" t="s">
        <v>3271</v>
      </c>
      <c r="D4112" s="1" t="s">
        <v>3257</v>
      </c>
      <c r="E4112" s="1" t="s">
        <v>3257</v>
      </c>
      <c r="F4112" s="1" t="s">
        <v>3272</v>
      </c>
      <c r="G4112" s="1" t="s">
        <v>3273</v>
      </c>
      <c r="H4112" s="2" t="str">
        <f>Tabella1[[#This Row],[Denominazione]]&amp;" - "&amp;Tabella1[[#This Row],[Città]]</f>
        <v>IL CASTAGNO - ORCIANO DI PESARO</v>
      </c>
    </row>
    <row r="4113" spans="1:8" x14ac:dyDescent="0.25">
      <c r="A4113" s="1" t="s">
        <v>82</v>
      </c>
      <c r="B4113" s="1" t="s">
        <v>3270</v>
      </c>
      <c r="D4113" s="1" t="s">
        <v>16312</v>
      </c>
      <c r="H4113" s="2" t="str">
        <f>Tabella1[[#This Row],[Denominazione]]&amp;" - "&amp;Tabella1[[#This Row],[Città]]</f>
        <v>IL CASTAGNO - MONTEMONACO</v>
      </c>
    </row>
    <row r="4114" spans="1:8" x14ac:dyDescent="0.25">
      <c r="A4114" s="1" t="s">
        <v>35</v>
      </c>
      <c r="B4114" s="1" t="s">
        <v>13483</v>
      </c>
      <c r="C4114" s="1" t="s">
        <v>13484</v>
      </c>
      <c r="D4114" s="1" t="s">
        <v>6072</v>
      </c>
      <c r="E4114" s="1" t="s">
        <v>6072</v>
      </c>
      <c r="H4114" s="2" t="str">
        <f>Tabella1[[#This Row],[Denominazione]]&amp;" - "&amp;Tabella1[[#This Row],[Città]]</f>
        <v>IL CASTELLANO - SAN GINESIO</v>
      </c>
    </row>
    <row r="4115" spans="1:8" x14ac:dyDescent="0.25">
      <c r="A4115" s="1" t="s">
        <v>82</v>
      </c>
      <c r="B4115" s="1" t="s">
        <v>13483</v>
      </c>
      <c r="C4115" s="1" t="s">
        <v>19675</v>
      </c>
      <c r="D4115" s="1" t="s">
        <v>19649</v>
      </c>
      <c r="E4115" s="1" t="s">
        <v>19649</v>
      </c>
      <c r="H4115" s="2" t="str">
        <f>Tabella1[[#This Row],[Denominazione]]&amp;" - "&amp;Tabella1[[#This Row],[Città]]</f>
        <v>IL CASTELLANO - SMERILLO</v>
      </c>
    </row>
    <row r="4116" spans="1:8" x14ac:dyDescent="0.25">
      <c r="A4116" s="1" t="s">
        <v>35</v>
      </c>
      <c r="B4116" s="1" t="s">
        <v>3030</v>
      </c>
      <c r="C4116" s="1" t="s">
        <v>3031</v>
      </c>
      <c r="D4116" s="1" t="s">
        <v>3022</v>
      </c>
      <c r="E4116" s="1" t="s">
        <v>3022</v>
      </c>
      <c r="F4116" s="1" t="s">
        <v>3032</v>
      </c>
      <c r="G4116" s="1" t="s">
        <v>3033</v>
      </c>
      <c r="H4116" s="2" t="str">
        <f>Tabella1[[#This Row],[Denominazione]]&amp;" - "&amp;Tabella1[[#This Row],[Città]]</f>
        <v>IL CASTELLO - MONTE CERIGNONE</v>
      </c>
    </row>
    <row r="4117" spans="1:8" x14ac:dyDescent="0.25">
      <c r="A4117" s="1" t="s">
        <v>20</v>
      </c>
      <c r="B4117" s="1" t="s">
        <v>10849</v>
      </c>
      <c r="C4117" s="1" t="s">
        <v>10850</v>
      </c>
      <c r="D4117" s="1" t="s">
        <v>10737</v>
      </c>
      <c r="E4117" s="1" t="s">
        <v>10737</v>
      </c>
      <c r="F4117" s="1" t="s">
        <v>10851</v>
      </c>
      <c r="G4117" s="1" t="s">
        <v>10852</v>
      </c>
      <c r="H4117" s="2" t="str">
        <f>Tabella1[[#This Row],[Denominazione]]&amp;" - "&amp;Tabella1[[#This Row],[Città]]</f>
        <v>IL CAVALIERE - CAMERINO</v>
      </c>
    </row>
    <row r="4118" spans="1:8" x14ac:dyDescent="0.25">
      <c r="A4118" s="1" t="s">
        <v>29</v>
      </c>
      <c r="B4118" s="1" t="s">
        <v>17301</v>
      </c>
      <c r="C4118" s="1" t="s">
        <v>17302</v>
      </c>
      <c r="D4118" s="1" t="s">
        <v>15819</v>
      </c>
      <c r="E4118" s="1" t="s">
        <v>15819</v>
      </c>
      <c r="F4118" s="1" t="s">
        <v>17303</v>
      </c>
      <c r="G4118" s="1" t="s">
        <v>17304</v>
      </c>
      <c r="H4118" s="2" t="str">
        <f>Tabella1[[#This Row],[Denominazione]]&amp;" - "&amp;Tabella1[[#This Row],[Città]]</f>
        <v>IL CEDRO AZZURRO - SAN BENEDETTO DEL TRONTO</v>
      </c>
    </row>
    <row r="4119" spans="1:8" x14ac:dyDescent="0.25">
      <c r="A4119" s="1" t="s">
        <v>679</v>
      </c>
      <c r="B4119" s="1" t="s">
        <v>19087</v>
      </c>
      <c r="C4119" s="1" t="s">
        <v>19048</v>
      </c>
      <c r="D4119" s="1" t="s">
        <v>18082</v>
      </c>
      <c r="E4119" s="1" t="s">
        <v>18082</v>
      </c>
      <c r="F4119" s="1" t="s">
        <v>19088</v>
      </c>
      <c r="H4119" s="2" t="str">
        <f>Tabella1[[#This Row],[Denominazione]]&amp;" - "&amp;Tabella1[[#This Row],[Città]]</f>
        <v>IL CIGNO - PORTO SAN GIORGIO</v>
      </c>
    </row>
    <row r="4120" spans="1:8" x14ac:dyDescent="0.25">
      <c r="A4120" s="1" t="s">
        <v>88</v>
      </c>
      <c r="B4120" s="1" t="s">
        <v>1872</v>
      </c>
      <c r="C4120" s="1" t="s">
        <v>1873</v>
      </c>
      <c r="D4120" s="1" t="s">
        <v>356</v>
      </c>
      <c r="F4120" s="1" t="s">
        <v>1874</v>
      </c>
      <c r="G4120" s="1" t="s">
        <v>1875</v>
      </c>
      <c r="H4120" s="2" t="str">
        <f>Tabella1[[#This Row],[Denominazione]]&amp;" - "&amp;Tabella1[[#This Row],[Città]]</f>
        <v>IL CINISCO - FRONTONE</v>
      </c>
    </row>
    <row r="4121" spans="1:8" x14ac:dyDescent="0.25">
      <c r="A4121" s="1" t="s">
        <v>190</v>
      </c>
      <c r="B4121" s="1" t="s">
        <v>2552</v>
      </c>
      <c r="D4121" s="1" t="s">
        <v>2549</v>
      </c>
      <c r="E4121" s="1" t="s">
        <v>2553</v>
      </c>
      <c r="G4121" s="1" t="s">
        <v>2554</v>
      </c>
      <c r="H4121" s="2" t="str">
        <f>Tabella1[[#This Row],[Denominazione]]&amp;" - "&amp;Tabella1[[#This Row],[Città]]</f>
        <v>IL CLAN ILLUMINATO - LUNANO</v>
      </c>
    </row>
    <row r="4122" spans="1:8" x14ac:dyDescent="0.25">
      <c r="A4122" s="1" t="s">
        <v>35</v>
      </c>
      <c r="B4122" s="1" t="s">
        <v>5260</v>
      </c>
      <c r="C4122" s="1" t="s">
        <v>5261</v>
      </c>
      <c r="D4122" s="1" t="s">
        <v>9</v>
      </c>
      <c r="E4122" s="1" t="s">
        <v>9</v>
      </c>
      <c r="F4122" s="1" t="s">
        <v>5262</v>
      </c>
      <c r="G4122" s="1" t="s">
        <v>5263</v>
      </c>
      <c r="H4122" s="2" t="str">
        <f>Tabella1[[#This Row],[Denominazione]]&amp;" - "&amp;Tabella1[[#This Row],[Città]]</f>
        <v>IL COLCELLO - URBINO</v>
      </c>
    </row>
    <row r="4123" spans="1:8" x14ac:dyDescent="0.25">
      <c r="A4123" s="1" t="s">
        <v>29</v>
      </c>
      <c r="B4123" s="1" t="s">
        <v>10200</v>
      </c>
      <c r="C4123" s="1" t="s">
        <v>10201</v>
      </c>
      <c r="D4123" s="1" t="s">
        <v>10117</v>
      </c>
      <c r="E4123" s="1" t="s">
        <v>10117</v>
      </c>
      <c r="F4123" s="1" t="s">
        <v>10202</v>
      </c>
      <c r="G4123" s="1" t="s">
        <v>10203</v>
      </c>
      <c r="H4123" s="2" t="str">
        <f>Tabella1[[#This Row],[Denominazione]]&amp;" - "&amp;Tabella1[[#This Row],[Città]]</f>
        <v>IL COLLE - SERRA SAN QUIRICO</v>
      </c>
    </row>
    <row r="4124" spans="1:8" x14ac:dyDescent="0.25">
      <c r="A4124" s="1" t="s">
        <v>82</v>
      </c>
      <c r="B4124" s="1" t="s">
        <v>10200</v>
      </c>
      <c r="C4124" s="1" t="s">
        <v>19673</v>
      </c>
      <c r="D4124" s="1" t="s">
        <v>19649</v>
      </c>
      <c r="E4124" s="1" t="s">
        <v>19649</v>
      </c>
      <c r="G4124" s="1" t="s">
        <v>19674</v>
      </c>
      <c r="H4124" s="2" t="str">
        <f>Tabella1[[#This Row],[Denominazione]]&amp;" - "&amp;Tabella1[[#This Row],[Città]]</f>
        <v>IL COLLE - SMERILLO</v>
      </c>
    </row>
    <row r="4125" spans="1:8" x14ac:dyDescent="0.25">
      <c r="A4125" s="1" t="s">
        <v>35</v>
      </c>
      <c r="B4125" s="1" t="s">
        <v>18360</v>
      </c>
      <c r="C4125" s="1" t="s">
        <v>18361</v>
      </c>
      <c r="D4125" s="1" t="s">
        <v>18362</v>
      </c>
      <c r="F4125" s="1" t="s">
        <v>18363</v>
      </c>
      <c r="G4125" s="1" t="s">
        <v>18364</v>
      </c>
      <c r="H4125" s="2" t="str">
        <f>Tabella1[[#This Row],[Denominazione]]&amp;" - "&amp;Tabella1[[#This Row],[Città]]</f>
        <v>IL COLLE DEI CECI - FRANCAVILLA D'ETE</v>
      </c>
    </row>
    <row r="4126" spans="1:8" x14ac:dyDescent="0.25">
      <c r="A4126" s="1" t="s">
        <v>35</v>
      </c>
      <c r="B4126" s="1" t="s">
        <v>12219</v>
      </c>
      <c r="D4126" s="1" t="s">
        <v>12208</v>
      </c>
      <c r="E4126" s="1" t="s">
        <v>12220</v>
      </c>
      <c r="F4126" s="1" t="s">
        <v>12221</v>
      </c>
      <c r="G4126" s="1" t="s">
        <v>12222</v>
      </c>
      <c r="H4126" s="2" t="str">
        <f>Tabella1[[#This Row],[Denominazione]]&amp;" - "&amp;Tabella1[[#This Row],[Città]]</f>
        <v>IL COLLE DEL SOLE - MATELICA</v>
      </c>
    </row>
    <row r="4127" spans="1:8" x14ac:dyDescent="0.25">
      <c r="A4127" s="1" t="s">
        <v>29</v>
      </c>
      <c r="B4127" s="1" t="s">
        <v>929</v>
      </c>
      <c r="C4127" s="1" t="s">
        <v>930</v>
      </c>
      <c r="D4127" s="1" t="s">
        <v>682</v>
      </c>
      <c r="E4127" s="1" t="s">
        <v>931</v>
      </c>
      <c r="G4127" s="1" t="s">
        <v>932</v>
      </c>
      <c r="H4127" s="2" t="str">
        <f>Tabella1[[#This Row],[Denominazione]]&amp;" - "&amp;Tabella1[[#This Row],[Città]]</f>
        <v>IL COLLE DELLE TERRAZZE - FANO</v>
      </c>
    </row>
    <row r="4128" spans="1:8" x14ac:dyDescent="0.25">
      <c r="A4128" s="1" t="s">
        <v>35</v>
      </c>
      <c r="B4128" s="1" t="s">
        <v>3263</v>
      </c>
      <c r="C4128" s="1" t="s">
        <v>3264</v>
      </c>
      <c r="D4128" s="1" t="s">
        <v>3257</v>
      </c>
      <c r="F4128" s="1" t="s">
        <v>3265</v>
      </c>
      <c r="G4128" s="1" t="s">
        <v>3266</v>
      </c>
      <c r="H4128" s="2" t="str">
        <f>Tabella1[[#This Row],[Denominazione]]&amp;" - "&amp;Tabella1[[#This Row],[Città]]</f>
        <v>IL COLORE DEL GRANO - ORCIANO DI PESARO</v>
      </c>
    </row>
    <row r="4129" spans="1:8" x14ac:dyDescent="0.25">
      <c r="A4129" s="1" t="s">
        <v>82</v>
      </c>
      <c r="B4129" s="1" t="s">
        <v>8392</v>
      </c>
      <c r="C4129" s="1" t="s">
        <v>8393</v>
      </c>
      <c r="D4129" s="1" t="s">
        <v>7889</v>
      </c>
      <c r="E4129" s="1" t="s">
        <v>7889</v>
      </c>
      <c r="F4129" s="1" t="s">
        <v>8394</v>
      </c>
      <c r="G4129" s="1" t="s">
        <v>8395</v>
      </c>
      <c r="H4129" s="2" t="str">
        <f>Tabella1[[#This Row],[Denominazione]]&amp;" - "&amp;Tabella1[[#This Row],[Città]]</f>
        <v>IL CONERO DI SARA - NUMANA</v>
      </c>
    </row>
    <row r="4130" spans="1:8" x14ac:dyDescent="0.25">
      <c r="A4130" s="1" t="s">
        <v>82</v>
      </c>
      <c r="B4130" s="1" t="s">
        <v>8314</v>
      </c>
      <c r="C4130" s="1" t="s">
        <v>8246</v>
      </c>
      <c r="D4130" s="1" t="s">
        <v>7889</v>
      </c>
      <c r="E4130" s="1" t="s">
        <v>7889</v>
      </c>
      <c r="G4130" s="1" t="s">
        <v>8315</v>
      </c>
      <c r="H4130" s="2" t="str">
        <f>Tabella1[[#This Row],[Denominazione]]&amp;" - "&amp;Tabella1[[#This Row],[Città]]</f>
        <v>IL CONERO MARE DI PINCINI CARLA - NUMANA</v>
      </c>
    </row>
    <row r="4131" spans="1:8" x14ac:dyDescent="0.25">
      <c r="A4131" s="1" t="s">
        <v>35</v>
      </c>
      <c r="B4131" s="1" t="s">
        <v>14141</v>
      </c>
      <c r="C4131" s="1" t="s">
        <v>14142</v>
      </c>
      <c r="D4131" s="1" t="s">
        <v>14065</v>
      </c>
      <c r="E4131" s="1" t="s">
        <v>14143</v>
      </c>
      <c r="F4131" s="1" t="s">
        <v>14144</v>
      </c>
      <c r="G4131" s="1" t="s">
        <v>14145</v>
      </c>
      <c r="H4131" s="2" t="str">
        <f>Tabella1[[#This Row],[Denominazione]]&amp;" - "&amp;Tabella1[[#This Row],[Città]]</f>
        <v>IL CONFINE - TREIA</v>
      </c>
    </row>
    <row r="4132" spans="1:8" x14ac:dyDescent="0.25">
      <c r="A4132" s="1" t="s">
        <v>12</v>
      </c>
      <c r="B4132" s="1" t="s">
        <v>65</v>
      </c>
      <c r="C4132" s="1" t="s">
        <v>66</v>
      </c>
      <c r="D4132" s="1" t="s">
        <v>15</v>
      </c>
      <c r="E4132" s="1" t="s">
        <v>15</v>
      </c>
      <c r="H4132" s="2" t="str">
        <f>Tabella1[[#This Row],[Denominazione]]&amp;" - "&amp;Tabella1[[#This Row],[Città]]</f>
        <v>IL CONIO DI DI GIOVANNI FEDERICO - ACQUALAGNA</v>
      </c>
    </row>
    <row r="4133" spans="1:8" x14ac:dyDescent="0.25">
      <c r="A4133" s="1" t="s">
        <v>679</v>
      </c>
      <c r="B4133" s="1" t="s">
        <v>15992</v>
      </c>
      <c r="C4133" s="1" t="s">
        <v>15993</v>
      </c>
      <c r="D4133" s="1" t="s">
        <v>5692</v>
      </c>
      <c r="E4133" s="1" t="s">
        <v>5692</v>
      </c>
      <c r="F4133" s="1" t="s">
        <v>15994</v>
      </c>
      <c r="G4133" s="1" t="s">
        <v>15995</v>
      </c>
      <c r="H4133" s="2" t="str">
        <f>Tabella1[[#This Row],[Denominazione]]&amp;" - "&amp;Tabella1[[#This Row],[Città]]</f>
        <v>IL CONTADINO - MASSIGNANO</v>
      </c>
    </row>
    <row r="4134" spans="1:8" x14ac:dyDescent="0.25">
      <c r="A4134" s="1" t="s">
        <v>20</v>
      </c>
      <c r="B4134" s="1" t="s">
        <v>15992</v>
      </c>
      <c r="C4134" s="1" t="s">
        <v>16020</v>
      </c>
      <c r="D4134" s="1" t="s">
        <v>5692</v>
      </c>
      <c r="E4134" s="1" t="s">
        <v>15997</v>
      </c>
      <c r="F4134" s="1" t="s">
        <v>15995</v>
      </c>
      <c r="G4134" s="1" t="s">
        <v>15994</v>
      </c>
      <c r="H4134" s="2" t="str">
        <f>Tabella1[[#This Row],[Denominazione]]&amp;" - "&amp;Tabella1[[#This Row],[Città]]</f>
        <v>IL CONTADINO - MASSIGNANO</v>
      </c>
    </row>
    <row r="4135" spans="1:8" x14ac:dyDescent="0.25">
      <c r="A4135" s="1" t="s">
        <v>6</v>
      </c>
      <c r="B4135" s="1" t="s">
        <v>13191</v>
      </c>
      <c r="C4135" s="1" t="s">
        <v>13192</v>
      </c>
      <c r="D4135" s="1" t="s">
        <v>13026</v>
      </c>
      <c r="E4135" s="1" t="s">
        <v>13026</v>
      </c>
      <c r="G4135" s="1" t="s">
        <v>13193</v>
      </c>
      <c r="H4135" s="2" t="str">
        <f>Tabella1[[#This Row],[Denominazione]]&amp;" - "&amp;Tabella1[[#This Row],[Città]]</f>
        <v>IL CONTADINO E IL MARE - POTENZA PICENA</v>
      </c>
    </row>
    <row r="4136" spans="1:8" x14ac:dyDescent="0.25">
      <c r="A4136" s="1" t="s">
        <v>29</v>
      </c>
      <c r="B4136" s="1" t="s">
        <v>12708</v>
      </c>
      <c r="C4136" s="1" t="s">
        <v>12709</v>
      </c>
      <c r="D4136" s="1" t="s">
        <v>12694</v>
      </c>
      <c r="F4136" s="1" t="s">
        <v>12710</v>
      </c>
      <c r="G4136" s="1" t="s">
        <v>12711</v>
      </c>
      <c r="H4136" s="2" t="str">
        <f>Tabella1[[#This Row],[Denominazione]]&amp;" - "&amp;Tabella1[[#This Row],[Città]]</f>
        <v>IL CONVENTO - PIEVEBOVIGLIANA</v>
      </c>
    </row>
    <row r="4137" spans="1:8" x14ac:dyDescent="0.25">
      <c r="A4137" s="1" t="s">
        <v>82</v>
      </c>
      <c r="B4137" s="1" t="s">
        <v>17785</v>
      </c>
      <c r="C4137" s="1" t="s">
        <v>17786</v>
      </c>
      <c r="D4137" s="1" t="s">
        <v>17745</v>
      </c>
      <c r="E4137" s="1" t="s">
        <v>17745</v>
      </c>
      <c r="F4137" s="1" t="s">
        <v>17787</v>
      </c>
      <c r="G4137" s="1" t="s">
        <v>17788</v>
      </c>
      <c r="H4137" s="2" t="str">
        <f>Tabella1[[#This Row],[Denominazione]]&amp;" - "&amp;Tabella1[[#This Row],[Città]]</f>
        <v>IL CONVENTO  (BIANCATELLI GIUSEPPINA) - AMANDOLA</v>
      </c>
    </row>
    <row r="4138" spans="1:8" x14ac:dyDescent="0.25">
      <c r="A4138" s="1" t="s">
        <v>35</v>
      </c>
      <c r="B4138" s="1" t="s">
        <v>5690</v>
      </c>
      <c r="C4138" s="1" t="s">
        <v>5691</v>
      </c>
      <c r="D4138" s="1" t="s">
        <v>1864</v>
      </c>
      <c r="E4138" s="1" t="s">
        <v>5692</v>
      </c>
      <c r="F4138" s="1" t="s">
        <v>5693</v>
      </c>
      <c r="H4138" s="2" t="str">
        <f>Tabella1[[#This Row],[Denominazione]]&amp;" - "&amp;Tabella1[[#This Row],[Città]]</f>
        <v>IL CORBEZZOLO - ANCONA</v>
      </c>
    </row>
    <row r="4139" spans="1:8" x14ac:dyDescent="0.25">
      <c r="A4139" s="1" t="s">
        <v>82</v>
      </c>
      <c r="B4139" s="1" t="s">
        <v>5061</v>
      </c>
      <c r="C4139" s="1" t="s">
        <v>5062</v>
      </c>
      <c r="D4139" s="1" t="s">
        <v>9</v>
      </c>
      <c r="E4139" s="1" t="s">
        <v>9</v>
      </c>
      <c r="G4139" s="1" t="s">
        <v>5063</v>
      </c>
      <c r="H4139" s="2" t="str">
        <f>Tabella1[[#This Row],[Denominazione]]&amp;" - "&amp;Tabella1[[#This Row],[Città]]</f>
        <v>IL CORTEGIANO - URBINO</v>
      </c>
    </row>
    <row r="4140" spans="1:8" x14ac:dyDescent="0.25">
      <c r="A4140" s="1" t="s">
        <v>35</v>
      </c>
      <c r="B4140" s="1" t="s">
        <v>15207</v>
      </c>
      <c r="C4140" s="1" t="s">
        <v>15208</v>
      </c>
      <c r="D4140" s="1" t="s">
        <v>15197</v>
      </c>
      <c r="E4140" s="1" t="s">
        <v>15209</v>
      </c>
      <c r="F4140" s="1" t="s">
        <v>15210</v>
      </c>
      <c r="G4140" s="1" t="s">
        <v>15211</v>
      </c>
      <c r="H4140" s="2" t="str">
        <f>Tabella1[[#This Row],[Denominazione]]&amp;" - "&amp;Tabella1[[#This Row],[Città]]</f>
        <v>IL CRINALE - CASTORANO</v>
      </c>
    </row>
    <row r="4141" spans="1:8" x14ac:dyDescent="0.25">
      <c r="A4141" s="1" t="s">
        <v>679</v>
      </c>
      <c r="B4141" s="1" t="s">
        <v>8170</v>
      </c>
      <c r="C4141" s="1" t="s">
        <v>8171</v>
      </c>
      <c r="D4141" s="1" t="s">
        <v>7889</v>
      </c>
      <c r="E4141" s="1" t="s">
        <v>7895</v>
      </c>
      <c r="H4141" s="2" t="str">
        <f>Tabella1[[#This Row],[Denominazione]]&amp;" - "&amp;Tabella1[[#This Row],[Città]]</f>
        <v>IL CUCALE - NUMANA</v>
      </c>
    </row>
    <row r="4142" spans="1:8" x14ac:dyDescent="0.25">
      <c r="A4142" s="1" t="s">
        <v>20</v>
      </c>
      <c r="B4142" s="1" t="s">
        <v>1869</v>
      </c>
      <c r="C4142" s="1" t="s">
        <v>1870</v>
      </c>
      <c r="D4142" s="1" t="s">
        <v>356</v>
      </c>
      <c r="E4142" s="1" t="s">
        <v>356</v>
      </c>
      <c r="G4142" s="1" t="s">
        <v>1871</v>
      </c>
      <c r="H4142" s="2" t="str">
        <f>Tabella1[[#This Row],[Denominazione]]&amp;" - "&amp;Tabella1[[#This Row],[Città]]</f>
        <v>IL DAINO - FRONTONE</v>
      </c>
    </row>
    <row r="4143" spans="1:8" x14ac:dyDescent="0.25">
      <c r="A4143" s="1" t="s">
        <v>679</v>
      </c>
      <c r="B4143" s="1" t="s">
        <v>19050</v>
      </c>
      <c r="C4143" s="1" t="s">
        <v>19048</v>
      </c>
      <c r="D4143" s="1" t="s">
        <v>18082</v>
      </c>
      <c r="E4143" s="1" t="s">
        <v>18082</v>
      </c>
      <c r="H4143" s="2" t="str">
        <f>Tabella1[[#This Row],[Denominazione]]&amp;" - "&amp;Tabella1[[#This Row],[Città]]</f>
        <v>IL DELFINO VERDE - PORTO SAN GIORGIO</v>
      </c>
    </row>
    <row r="4144" spans="1:8" x14ac:dyDescent="0.25">
      <c r="A4144" s="1" t="s">
        <v>679</v>
      </c>
      <c r="B4144" s="1" t="s">
        <v>17195</v>
      </c>
      <c r="C4144" s="1" t="s">
        <v>17196</v>
      </c>
      <c r="D4144" s="1" t="s">
        <v>15819</v>
      </c>
      <c r="F4144" s="1" t="s">
        <v>17197</v>
      </c>
      <c r="G4144" s="1" t="s">
        <v>17198</v>
      </c>
      <c r="H4144" s="2" t="str">
        <f>Tabella1[[#This Row],[Denominazione]]&amp;" - "&amp;Tabella1[[#This Row],[Città]]</f>
        <v>IL DIAMANTE - SAN BENEDETTO DEL TRONTO</v>
      </c>
    </row>
    <row r="4145" spans="1:8" x14ac:dyDescent="0.25">
      <c r="A4145" s="1" t="s">
        <v>82</v>
      </c>
      <c r="B4145" s="1" t="s">
        <v>17405</v>
      </c>
      <c r="C4145" s="1" t="s">
        <v>17406</v>
      </c>
      <c r="D4145" s="1" t="s">
        <v>15819</v>
      </c>
      <c r="E4145" s="1" t="s">
        <v>15819</v>
      </c>
      <c r="F4145" s="1" t="s">
        <v>17198</v>
      </c>
      <c r="G4145" s="1" t="s">
        <v>17197</v>
      </c>
      <c r="H4145" s="2" t="str">
        <f>Tabella1[[#This Row],[Denominazione]]&amp;" - "&amp;Tabella1[[#This Row],[Città]]</f>
        <v>IL DIAMANTE S.R.L. - SAN BENEDETTO DEL TRONTO</v>
      </c>
    </row>
    <row r="4146" spans="1:8" x14ac:dyDescent="0.25">
      <c r="A4146" s="1" t="s">
        <v>35</v>
      </c>
      <c r="B4146" s="1" t="s">
        <v>19600</v>
      </c>
      <c r="C4146" s="1" t="s">
        <v>19601</v>
      </c>
      <c r="D4146" s="1" t="s">
        <v>19541</v>
      </c>
      <c r="E4146" s="1" t="s">
        <v>19602</v>
      </c>
      <c r="F4146" s="1" t="s">
        <v>19603</v>
      </c>
      <c r="G4146" s="1" t="s">
        <v>19604</v>
      </c>
      <c r="H4146" s="2" t="str">
        <f>Tabella1[[#This Row],[Denominazione]]&amp;" - "&amp;Tabella1[[#This Row],[Città]]</f>
        <v>IL FALCO - SANT'ELPIDIO A MARE</v>
      </c>
    </row>
    <row r="4147" spans="1:8" x14ac:dyDescent="0.25">
      <c r="A4147" s="1" t="s">
        <v>679</v>
      </c>
      <c r="B4147" s="1" t="s">
        <v>17145</v>
      </c>
      <c r="D4147" s="1" t="s">
        <v>15819</v>
      </c>
      <c r="H4147" s="2" t="str">
        <f>Tabella1[[#This Row],[Denominazione]]&amp;" - "&amp;Tabella1[[#This Row],[Città]]</f>
        <v>IL FARFALLONE - SAN BENEDETTO DEL TRONTO</v>
      </c>
    </row>
    <row r="4148" spans="1:8" x14ac:dyDescent="0.25">
      <c r="A4148" s="1" t="s">
        <v>679</v>
      </c>
      <c r="B4148" s="1" t="s">
        <v>12833</v>
      </c>
      <c r="D4148" s="1" t="s">
        <v>12801</v>
      </c>
      <c r="E4148" s="1" t="s">
        <v>12801</v>
      </c>
      <c r="H4148" s="2" t="str">
        <f>Tabella1[[#This Row],[Denominazione]]&amp;" - "&amp;Tabella1[[#This Row],[Città]]</f>
        <v>IL FARO - PORTO RECANATI</v>
      </c>
    </row>
    <row r="4149" spans="1:8" x14ac:dyDescent="0.25">
      <c r="A4149" s="1" t="s">
        <v>20</v>
      </c>
      <c r="B4149" s="1" t="s">
        <v>12833</v>
      </c>
      <c r="C4149" s="1" t="s">
        <v>13691</v>
      </c>
      <c r="D4149" s="1" t="s">
        <v>13548</v>
      </c>
      <c r="E4149" s="1" t="s">
        <v>13548</v>
      </c>
      <c r="F4149" s="1" t="s">
        <v>13692</v>
      </c>
      <c r="G4149" s="1" t="s">
        <v>13585</v>
      </c>
      <c r="H4149" s="2" t="str">
        <f>Tabella1[[#This Row],[Denominazione]]&amp;" - "&amp;Tabella1[[#This Row],[Città]]</f>
        <v>IL FARO - SAN SEVERINO MARCHE</v>
      </c>
    </row>
    <row r="4150" spans="1:8" x14ac:dyDescent="0.25">
      <c r="A4150" s="1" t="s">
        <v>679</v>
      </c>
      <c r="B4150" s="1" t="s">
        <v>12833</v>
      </c>
      <c r="C4150" s="1" t="s">
        <v>18958</v>
      </c>
      <c r="D4150" s="1" t="s">
        <v>18944</v>
      </c>
      <c r="E4150" s="1" t="s">
        <v>18944</v>
      </c>
      <c r="H4150" s="2" t="str">
        <f>Tabella1[[#This Row],[Denominazione]]&amp;" - "&amp;Tabella1[[#This Row],[Città]]</f>
        <v>IL FARO - PEDASO</v>
      </c>
    </row>
    <row r="4151" spans="1:8" x14ac:dyDescent="0.25">
      <c r="A4151" s="1" t="s">
        <v>6</v>
      </c>
      <c r="B4151" s="1" t="s">
        <v>11979</v>
      </c>
      <c r="C4151" s="1" t="s">
        <v>11980</v>
      </c>
      <c r="D4151" s="1" t="s">
        <v>11981</v>
      </c>
      <c r="E4151" s="1" t="s">
        <v>11981</v>
      </c>
      <c r="F4151" s="1" t="s">
        <v>11982</v>
      </c>
      <c r="G4151" s="1" t="s">
        <v>11983</v>
      </c>
      <c r="H4151" s="2" t="str">
        <f>Tabella1[[#This Row],[Denominazione]]&amp;" - "&amp;Tabella1[[#This Row],[Città]]</f>
        <v>IL FEUDO DEI CIPRESSI - LORO PICENO</v>
      </c>
    </row>
    <row r="4152" spans="1:8" x14ac:dyDescent="0.25">
      <c r="A4152" s="1" t="s">
        <v>35</v>
      </c>
      <c r="B4152" s="1" t="s">
        <v>16173</v>
      </c>
      <c r="C4152" s="1" t="s">
        <v>11047</v>
      </c>
      <c r="D4152" s="1" t="s">
        <v>16165</v>
      </c>
      <c r="E4152" s="1" t="s">
        <v>16165</v>
      </c>
      <c r="G4152" s="1" t="s">
        <v>16174</v>
      </c>
      <c r="H4152" s="2" t="str">
        <f>Tabella1[[#This Row],[Denominazione]]&amp;" - "&amp;Tabella1[[#This Row],[Città]]</f>
        <v>IL FIENILE - MONTEDINOVE</v>
      </c>
    </row>
    <row r="4153" spans="1:8" x14ac:dyDescent="0.25">
      <c r="A4153" s="1" t="s">
        <v>35</v>
      </c>
      <c r="B4153" s="1" t="s">
        <v>4018</v>
      </c>
      <c r="C4153" s="1" t="s">
        <v>4019</v>
      </c>
      <c r="D4153" s="1" t="s">
        <v>2386</v>
      </c>
      <c r="E4153" s="1" t="s">
        <v>2386</v>
      </c>
      <c r="F4153" s="1" t="s">
        <v>4020</v>
      </c>
      <c r="G4153" s="1" t="s">
        <v>4021</v>
      </c>
      <c r="H4153" s="2" t="str">
        <f>Tabella1[[#This Row],[Denominazione]]&amp;" - "&amp;Tabella1[[#This Row],[Città]]</f>
        <v>IL FIORE E LA FARFALLA - PESARO</v>
      </c>
    </row>
    <row r="4154" spans="1:8" x14ac:dyDescent="0.25">
      <c r="A4154" s="1" t="s">
        <v>35</v>
      </c>
      <c r="B4154" s="1" t="s">
        <v>15195</v>
      </c>
      <c r="C4154" s="1" t="s">
        <v>15196</v>
      </c>
      <c r="D4154" s="1" t="s">
        <v>15197</v>
      </c>
      <c r="E4154" s="1" t="s">
        <v>15197</v>
      </c>
      <c r="G4154" s="1" t="s">
        <v>15198</v>
      </c>
      <c r="H4154" s="2" t="str">
        <f>Tabella1[[#This Row],[Denominazione]]&amp;" - "&amp;Tabella1[[#This Row],[Città]]</f>
        <v>IL FOCOLARE - CASTORANO</v>
      </c>
    </row>
    <row r="4155" spans="1:8" x14ac:dyDescent="0.25">
      <c r="A4155" s="1" t="s">
        <v>82</v>
      </c>
      <c r="B4155" s="1" t="s">
        <v>11170</v>
      </c>
      <c r="C4155" s="1" t="s">
        <v>11171</v>
      </c>
      <c r="D4155" s="1" t="s">
        <v>11058</v>
      </c>
      <c r="E4155" s="1" t="s">
        <v>11058</v>
      </c>
      <c r="F4155" s="1" t="s">
        <v>11165</v>
      </c>
      <c r="G4155" s="1" t="s">
        <v>11166</v>
      </c>
      <c r="H4155" s="2" t="str">
        <f>Tabella1[[#This Row],[Denominazione]]&amp;" - "&amp;Tabella1[[#This Row],[Città]]</f>
        <v>IL FOCOLARE di CICARILLI STEFANIA - CINGOLI</v>
      </c>
    </row>
    <row r="4156" spans="1:8" x14ac:dyDescent="0.25">
      <c r="A4156" s="1" t="s">
        <v>82</v>
      </c>
      <c r="B4156" s="1" t="s">
        <v>19658</v>
      </c>
      <c r="C4156" s="1" t="s">
        <v>19659</v>
      </c>
      <c r="D4156" s="1" t="s">
        <v>19649</v>
      </c>
      <c r="G4156" s="1" t="s">
        <v>19660</v>
      </c>
      <c r="H4156" s="2" t="str">
        <f>Tabella1[[#This Row],[Denominazione]]&amp;" - "&amp;Tabella1[[#This Row],[Città]]</f>
        <v>IL FONTANILE - SMERILLO</v>
      </c>
    </row>
    <row r="4157" spans="1:8" x14ac:dyDescent="0.25">
      <c r="A4157" s="1" t="s">
        <v>35</v>
      </c>
      <c r="B4157" s="1" t="s">
        <v>18455</v>
      </c>
      <c r="C4157" s="1" t="s">
        <v>18456</v>
      </c>
      <c r="D4157" s="1" t="s">
        <v>18389</v>
      </c>
      <c r="E4157" s="1" t="s">
        <v>18389</v>
      </c>
      <c r="F4157" s="1" t="s">
        <v>18457</v>
      </c>
      <c r="G4157" s="1" t="s">
        <v>18458</v>
      </c>
      <c r="H4157" s="2" t="str">
        <f>Tabella1[[#This Row],[Denominazione]]&amp;" - "&amp;Tabella1[[#This Row],[Città]]</f>
        <v>IL FRANTOIO - LAPEDONA</v>
      </c>
    </row>
    <row r="4158" spans="1:8" x14ac:dyDescent="0.25">
      <c r="A4158" s="1" t="s">
        <v>35</v>
      </c>
      <c r="B4158" s="1" t="s">
        <v>10723</v>
      </c>
      <c r="C4158" s="1" t="s">
        <v>10724</v>
      </c>
      <c r="D4158" s="1" t="s">
        <v>10702</v>
      </c>
      <c r="E4158" s="1" t="s">
        <v>10702</v>
      </c>
      <c r="F4158" s="1" t="s">
        <v>10725</v>
      </c>
      <c r="G4158" s="1" t="s">
        <v>10726</v>
      </c>
      <c r="H4158" s="2" t="str">
        <f>Tabella1[[#This Row],[Denominazione]]&amp;" - "&amp;Tabella1[[#This Row],[Città]]</f>
        <v>IL FRUTTETO - CALDAROLA</v>
      </c>
    </row>
    <row r="4159" spans="1:8" x14ac:dyDescent="0.25">
      <c r="A4159" s="1" t="s">
        <v>20</v>
      </c>
      <c r="B4159" s="1" t="s">
        <v>10723</v>
      </c>
      <c r="D4159" s="1" t="s">
        <v>15349</v>
      </c>
      <c r="E4159" s="1" t="s">
        <v>15349</v>
      </c>
      <c r="F4159" s="1" t="s">
        <v>15458</v>
      </c>
      <c r="G4159" s="1" t="s">
        <v>15459</v>
      </c>
      <c r="H4159" s="2" t="str">
        <f>Tabella1[[#This Row],[Denominazione]]&amp;" - "&amp;Tabella1[[#This Row],[Città]]</f>
        <v>IL FRUTTETO - CUPRA MARITTIMA</v>
      </c>
    </row>
    <row r="4160" spans="1:8" x14ac:dyDescent="0.25">
      <c r="A4160" s="1" t="s">
        <v>571</v>
      </c>
      <c r="B4160" s="1" t="s">
        <v>10723</v>
      </c>
      <c r="C4160" s="1" t="s">
        <v>15479</v>
      </c>
      <c r="D4160" s="1" t="s">
        <v>15349</v>
      </c>
      <c r="E4160" s="1" t="s">
        <v>15349</v>
      </c>
      <c r="F4160" s="1" t="s">
        <v>15458</v>
      </c>
      <c r="G4160" s="1" t="s">
        <v>15459</v>
      </c>
      <c r="H4160" s="2" t="str">
        <f>Tabella1[[#This Row],[Denominazione]]&amp;" - "&amp;Tabella1[[#This Row],[Città]]</f>
        <v>IL FRUTTETO - CUPRA MARITTIMA</v>
      </c>
    </row>
    <row r="4161" spans="1:8" x14ac:dyDescent="0.25">
      <c r="A4161" s="1" t="s">
        <v>82</v>
      </c>
      <c r="B4161" s="1" t="s">
        <v>10723</v>
      </c>
      <c r="C4161" s="1" t="s">
        <v>18864</v>
      </c>
      <c r="D4161" s="1" t="s">
        <v>18862</v>
      </c>
      <c r="E4161" s="1" t="s">
        <v>18862</v>
      </c>
      <c r="F4161" s="1" t="s">
        <v>18865</v>
      </c>
      <c r="G4161" s="1" t="s">
        <v>18866</v>
      </c>
      <c r="H4161" s="2" t="str">
        <f>Tabella1[[#This Row],[Denominazione]]&amp;" - "&amp;Tabella1[[#This Row],[Città]]</f>
        <v>IL FRUTTETO - MONTE VIDON COMBATTE</v>
      </c>
    </row>
    <row r="4162" spans="1:8" x14ac:dyDescent="0.25">
      <c r="A4162" s="1" t="s">
        <v>20</v>
      </c>
      <c r="B4162" s="1" t="s">
        <v>2878</v>
      </c>
      <c r="C4162" s="1" t="s">
        <v>2879</v>
      </c>
      <c r="D4162" s="1" t="s">
        <v>1605</v>
      </c>
      <c r="E4162" s="1" t="s">
        <v>1605</v>
      </c>
      <c r="F4162" s="1" t="s">
        <v>2880</v>
      </c>
      <c r="H4162" s="2" t="str">
        <f>Tabella1[[#This Row],[Denominazione]]&amp;" - "&amp;Tabella1[[#This Row],[Città]]</f>
        <v>IL GABBIANO - MONDOLFO</v>
      </c>
    </row>
    <row r="4163" spans="1:8" x14ac:dyDescent="0.25">
      <c r="A4163" s="1" t="s">
        <v>35</v>
      </c>
      <c r="B4163" s="1" t="s">
        <v>19524</v>
      </c>
      <c r="C4163" s="1" t="s">
        <v>19525</v>
      </c>
      <c r="D4163" s="1" t="s">
        <v>19500</v>
      </c>
      <c r="F4163" s="1" t="s">
        <v>19526</v>
      </c>
      <c r="G4163" s="1" t="s">
        <v>19527</v>
      </c>
      <c r="H4163" s="2" t="str">
        <f>Tabella1[[#This Row],[Denominazione]]&amp;" - "&amp;Tabella1[[#This Row],[Città]]</f>
        <v>IL GAIANELLO - SANTA VITTORIA IN MATENANO</v>
      </c>
    </row>
    <row r="4164" spans="1:8" x14ac:dyDescent="0.25">
      <c r="A4164" s="1" t="s">
        <v>29</v>
      </c>
      <c r="B4164" s="1" t="s">
        <v>18849</v>
      </c>
      <c r="C4164" s="1" t="s">
        <v>18850</v>
      </c>
      <c r="D4164" s="1" t="s">
        <v>18842</v>
      </c>
      <c r="F4164" s="1" t="s">
        <v>18851</v>
      </c>
      <c r="G4164" s="1" t="s">
        <v>18852</v>
      </c>
      <c r="H4164" s="2" t="str">
        <f>Tabella1[[#This Row],[Denominazione]]&amp;" - "&amp;Tabella1[[#This Row],[Città]]</f>
        <v>IL GALLO DEL VICINO B&amp;B - MONTE URANO</v>
      </c>
    </row>
    <row r="4165" spans="1:8" x14ac:dyDescent="0.25">
      <c r="A4165" s="1" t="s">
        <v>29</v>
      </c>
      <c r="B4165" s="1" t="s">
        <v>11152</v>
      </c>
      <c r="C4165" s="1" t="s">
        <v>11153</v>
      </c>
      <c r="D4165" s="1" t="s">
        <v>11058</v>
      </c>
      <c r="F4165" s="1" t="s">
        <v>11154</v>
      </c>
      <c r="G4165" s="1" t="s">
        <v>11155</v>
      </c>
      <c r="H4165" s="2" t="str">
        <f>Tabella1[[#This Row],[Denominazione]]&amp;" - "&amp;Tabella1[[#This Row],[Città]]</f>
        <v>IL GALLO DI PETTOVALLONE - CINGOLI</v>
      </c>
    </row>
    <row r="4166" spans="1:8" x14ac:dyDescent="0.25">
      <c r="A4166" s="1" t="s">
        <v>35</v>
      </c>
      <c r="B4166" s="1" t="s">
        <v>9000</v>
      </c>
      <c r="C4166" s="1" t="s">
        <v>9001</v>
      </c>
      <c r="D4166" s="1" t="s">
        <v>8949</v>
      </c>
      <c r="F4166" s="1" t="s">
        <v>9002</v>
      </c>
      <c r="G4166" s="1" t="s">
        <v>9003</v>
      </c>
      <c r="H4166" s="2" t="str">
        <f>Tabella1[[#This Row],[Denominazione]]&amp;" - "&amp;Tabella1[[#This Row],[Città]]</f>
        <v>IL GALLO SENONE RESORT - SENIGALLIA</v>
      </c>
    </row>
    <row r="4167" spans="1:8" x14ac:dyDescent="0.25">
      <c r="A4167" s="1" t="s">
        <v>35</v>
      </c>
      <c r="B4167" s="1" t="s">
        <v>13341</v>
      </c>
      <c r="C4167" s="1" t="s">
        <v>13342</v>
      </c>
      <c r="D4167" s="1" t="s">
        <v>13298</v>
      </c>
      <c r="E4167" s="1" t="s">
        <v>13298</v>
      </c>
      <c r="F4167" s="1" t="s">
        <v>13343</v>
      </c>
      <c r="G4167" s="1" t="s">
        <v>13344</v>
      </c>
      <c r="H4167" s="2" t="str">
        <f>Tabella1[[#This Row],[Denominazione]]&amp;" - "&amp;Tabella1[[#This Row],[Città]]</f>
        <v>IL GELSO ANTICO - RECANATI</v>
      </c>
    </row>
    <row r="4168" spans="1:8" x14ac:dyDescent="0.25">
      <c r="A4168" s="1" t="s">
        <v>29</v>
      </c>
      <c r="B4168" s="1" t="s">
        <v>16029</v>
      </c>
      <c r="C4168" s="1" t="s">
        <v>16030</v>
      </c>
      <c r="D4168" s="1" t="s">
        <v>5692</v>
      </c>
      <c r="E4168" s="1" t="s">
        <v>5692</v>
      </c>
      <c r="G4168" s="1" t="s">
        <v>16031</v>
      </c>
      <c r="H4168" s="2" t="str">
        <f>Tabella1[[#This Row],[Denominazione]]&amp;" - "&amp;Tabella1[[#This Row],[Città]]</f>
        <v>IL GIARDINO AROMATICO - MASSIGNANO</v>
      </c>
    </row>
    <row r="4169" spans="1:8" x14ac:dyDescent="0.25">
      <c r="A4169" s="1" t="s">
        <v>6</v>
      </c>
      <c r="B4169" s="1" t="s">
        <v>10637</v>
      </c>
      <c r="C4169" s="1" t="s">
        <v>10638</v>
      </c>
      <c r="D4169" s="1" t="s">
        <v>10630</v>
      </c>
      <c r="E4169" s="1" t="s">
        <v>10630</v>
      </c>
      <c r="F4169" s="1" t="s">
        <v>10639</v>
      </c>
      <c r="G4169" s="1" t="s">
        <v>10640</v>
      </c>
      <c r="H4169" s="2" t="str">
        <f>Tabella1[[#This Row],[Denominazione]]&amp;" - "&amp;Tabella1[[#This Row],[Città]]</f>
        <v>IL GIARDINO DEGLI ULIVI - APPIGNANO</v>
      </c>
    </row>
    <row r="4170" spans="1:8" x14ac:dyDescent="0.25">
      <c r="A4170" s="1" t="s">
        <v>35</v>
      </c>
      <c r="B4170" s="1" t="s">
        <v>10637</v>
      </c>
      <c r="C4170" s="1" t="s">
        <v>10959</v>
      </c>
      <c r="D4170" s="1" t="s">
        <v>10932</v>
      </c>
      <c r="E4170" s="1" t="s">
        <v>10932</v>
      </c>
      <c r="F4170" s="1" t="s">
        <v>10960</v>
      </c>
      <c r="G4170" s="1" t="s">
        <v>10961</v>
      </c>
      <c r="H4170" s="2" t="str">
        <f>Tabella1[[#This Row],[Denominazione]]&amp;" - "&amp;Tabella1[[#This Row],[Città]]</f>
        <v>IL GIARDINO DEGLI ULIVI - CASTELRAIMONDO</v>
      </c>
    </row>
    <row r="4171" spans="1:8" x14ac:dyDescent="0.25">
      <c r="A4171" s="1" t="s">
        <v>35</v>
      </c>
      <c r="B4171" s="1" t="s">
        <v>10637</v>
      </c>
      <c r="C4171" s="1" t="s">
        <v>14651</v>
      </c>
      <c r="D4171" s="1" t="s">
        <v>14576</v>
      </c>
      <c r="E4171" s="1" t="s">
        <v>14576</v>
      </c>
      <c r="F4171" s="1" t="s">
        <v>14652</v>
      </c>
      <c r="G4171" s="1" t="s">
        <v>14653</v>
      </c>
      <c r="H4171" s="2" t="str">
        <f>Tabella1[[#This Row],[Denominazione]]&amp;" - "&amp;Tabella1[[#This Row],[Città]]</f>
        <v>IL GIARDINO DEGLI ULIVI - ASCOLI PICENO</v>
      </c>
    </row>
    <row r="4172" spans="1:8" x14ac:dyDescent="0.25">
      <c r="A4172" s="1" t="s">
        <v>35</v>
      </c>
      <c r="B4172" s="1" t="s">
        <v>13296</v>
      </c>
      <c r="C4172" s="1" t="s">
        <v>13297</v>
      </c>
      <c r="D4172" s="1" t="s">
        <v>13298</v>
      </c>
      <c r="E4172" s="1" t="s">
        <v>13298</v>
      </c>
      <c r="F4172" s="1" t="s">
        <v>13299</v>
      </c>
      <c r="G4172" s="1" t="s">
        <v>13300</v>
      </c>
      <c r="H4172" s="2" t="str">
        <f>Tabella1[[#This Row],[Denominazione]]&amp;" - "&amp;Tabella1[[#This Row],[Città]]</f>
        <v>IL GIARDINO DEI SAPORI - RECANATI</v>
      </c>
    </row>
    <row r="4173" spans="1:8" x14ac:dyDescent="0.25">
      <c r="A4173" s="1" t="s">
        <v>29</v>
      </c>
      <c r="B4173" s="1" t="s">
        <v>5299</v>
      </c>
      <c r="C4173" s="1" t="s">
        <v>5300</v>
      </c>
      <c r="D4173" s="1" t="s">
        <v>9</v>
      </c>
      <c r="E4173" s="1" t="s">
        <v>9</v>
      </c>
      <c r="H4173" s="2" t="str">
        <f>Tabella1[[#This Row],[Denominazione]]&amp;" - "&amp;Tabella1[[#This Row],[Città]]</f>
        <v>IL GIARDINO DEL MONSIGNORE - URBINO</v>
      </c>
    </row>
    <row r="4174" spans="1:8" x14ac:dyDescent="0.25">
      <c r="A4174" s="1" t="s">
        <v>29</v>
      </c>
      <c r="B4174" s="1" t="s">
        <v>8840</v>
      </c>
      <c r="C4174" s="1" t="s">
        <v>8841</v>
      </c>
      <c r="D4174" s="1" t="s">
        <v>8834</v>
      </c>
      <c r="E4174" s="1" t="s">
        <v>8834</v>
      </c>
      <c r="F4174" s="1" t="s">
        <v>8842</v>
      </c>
      <c r="G4174" s="1" t="s">
        <v>8843</v>
      </c>
      <c r="H4174" s="2" t="str">
        <f>Tabella1[[#This Row],[Denominazione]]&amp;" - "&amp;Tabella1[[#This Row],[Città]]</f>
        <v>IL GIARDINO DELLE ROSE - SANTA MARIA NUOVA</v>
      </c>
    </row>
    <row r="4175" spans="1:8" x14ac:dyDescent="0.25">
      <c r="A4175" s="1" t="s">
        <v>29</v>
      </c>
      <c r="B4175" s="1" t="s">
        <v>6333</v>
      </c>
      <c r="C4175" s="1" t="s">
        <v>6334</v>
      </c>
      <c r="D4175" s="1" t="s">
        <v>6290</v>
      </c>
      <c r="E4175" s="1" t="s">
        <v>6290</v>
      </c>
      <c r="G4175" s="1" t="s">
        <v>6335</v>
      </c>
      <c r="H4175" s="2" t="str">
        <f>Tabella1[[#This Row],[Denominazione]]&amp;" - "&amp;Tabella1[[#This Row],[Città]]</f>
        <v>IL GIARDINO DI MARGHERITA - CAMERANO</v>
      </c>
    </row>
    <row r="4176" spans="1:8" x14ac:dyDescent="0.25">
      <c r="A4176" s="1" t="s">
        <v>6</v>
      </c>
      <c r="B4176" s="1" t="s">
        <v>18857</v>
      </c>
      <c r="C4176" s="1" t="s">
        <v>18858</v>
      </c>
      <c r="D4176" s="1" t="s">
        <v>18842</v>
      </c>
      <c r="E4176" s="1" t="s">
        <v>18842</v>
      </c>
      <c r="G4176" s="1" t="s">
        <v>18859</v>
      </c>
      <c r="H4176" s="2" t="str">
        <f>Tabella1[[#This Row],[Denominazione]]&amp;" - "&amp;Tabella1[[#This Row],[Città]]</f>
        <v>IL GIARDINO DI MAVI - MONTE URANO</v>
      </c>
    </row>
    <row r="4177" spans="1:8" x14ac:dyDescent="0.25">
      <c r="A4177" s="1" t="s">
        <v>29</v>
      </c>
      <c r="B4177" s="1" t="s">
        <v>16406</v>
      </c>
      <c r="C4177" s="1" t="s">
        <v>16407</v>
      </c>
      <c r="D4177" s="1" t="s">
        <v>16396</v>
      </c>
      <c r="E4177" s="1" t="s">
        <v>16396</v>
      </c>
      <c r="G4177" s="1" t="s">
        <v>16408</v>
      </c>
      <c r="H4177" s="2" t="str">
        <f>Tabella1[[#This Row],[Denominazione]]&amp;" - "&amp;Tabella1[[#This Row],[Città]]</f>
        <v>IL GIARDINO DI SAN GIACOMO - MONTEPRANDONE</v>
      </c>
    </row>
    <row r="4178" spans="1:8" x14ac:dyDescent="0.25">
      <c r="A4178" s="1" t="s">
        <v>20</v>
      </c>
      <c r="B4178" s="1" t="s">
        <v>6633</v>
      </c>
      <c r="C4178" s="1" t="s">
        <v>6634</v>
      </c>
      <c r="D4178" s="1" t="s">
        <v>6536</v>
      </c>
      <c r="E4178" s="1" t="s">
        <v>6536</v>
      </c>
      <c r="F4178" s="1" t="s">
        <v>6635</v>
      </c>
      <c r="G4178" s="1" t="s">
        <v>6636</v>
      </c>
      <c r="H4178" s="2" t="str">
        <f>Tabella1[[#This Row],[Denominazione]]&amp;" - "&amp;Tabella1[[#This Row],[Città]]</f>
        <v>IL GIGLIO - CORINALDO</v>
      </c>
    </row>
    <row r="4179" spans="1:8" x14ac:dyDescent="0.25">
      <c r="A4179" s="1" t="s">
        <v>29</v>
      </c>
      <c r="B4179" s="1" t="s">
        <v>8083</v>
      </c>
      <c r="D4179" s="1" t="s">
        <v>7889</v>
      </c>
      <c r="E4179" s="1" t="s">
        <v>7889</v>
      </c>
      <c r="G4179" s="1" t="s">
        <v>8084</v>
      </c>
      <c r="H4179" s="2" t="str">
        <f>Tabella1[[#This Row],[Denominazione]]&amp;" - "&amp;Tabella1[[#This Row],[Città]]</f>
        <v>IL GIGLIO DEL CONERO 1 - NUMANA</v>
      </c>
    </row>
    <row r="4180" spans="1:8" x14ac:dyDescent="0.25">
      <c r="A4180" s="1" t="s">
        <v>29</v>
      </c>
      <c r="B4180" s="1" t="s">
        <v>8085</v>
      </c>
      <c r="C4180" s="1" t="s">
        <v>8086</v>
      </c>
      <c r="D4180" s="1" t="s">
        <v>7889</v>
      </c>
      <c r="G4180" s="1" t="s">
        <v>8084</v>
      </c>
      <c r="H4180" s="2" t="str">
        <f>Tabella1[[#This Row],[Denominazione]]&amp;" - "&amp;Tabella1[[#This Row],[Città]]</f>
        <v>IL GIGLIO DEL CONERO 2 - NUMANA</v>
      </c>
    </row>
    <row r="4181" spans="1:8" x14ac:dyDescent="0.25">
      <c r="A4181" s="1" t="s">
        <v>6</v>
      </c>
      <c r="B4181" s="1" t="s">
        <v>1774</v>
      </c>
      <c r="C4181" s="1" t="s">
        <v>1775</v>
      </c>
      <c r="D4181" s="1" t="s">
        <v>1724</v>
      </c>
      <c r="F4181" s="1" t="s">
        <v>1776</v>
      </c>
      <c r="G4181" s="1" t="s">
        <v>1777</v>
      </c>
      <c r="H4181" s="2" t="str">
        <f>Tabella1[[#This Row],[Denominazione]]&amp;" - "&amp;Tabella1[[#This Row],[Città]]</f>
        <v>IL GINEPRO - FOSSOMBRONE</v>
      </c>
    </row>
    <row r="4182" spans="1:8" x14ac:dyDescent="0.25">
      <c r="A4182" s="1" t="s">
        <v>6</v>
      </c>
      <c r="B4182" s="1" t="s">
        <v>1693</v>
      </c>
      <c r="C4182" s="1" t="s">
        <v>1694</v>
      </c>
      <c r="D4182" s="1" t="s">
        <v>1653</v>
      </c>
      <c r="E4182" s="1" t="s">
        <v>1695</v>
      </c>
      <c r="H4182" s="2" t="str">
        <f>Tabella1[[#This Row],[Denominazione]]&amp;" - "&amp;Tabella1[[#This Row],[Città]]</f>
        <v>IL GIRASOLE - FERMIGNANO</v>
      </c>
    </row>
    <row r="4183" spans="1:8" x14ac:dyDescent="0.25">
      <c r="A4183" s="1" t="s">
        <v>35</v>
      </c>
      <c r="B4183" s="1" t="s">
        <v>1693</v>
      </c>
      <c r="C4183" s="1" t="s">
        <v>6202</v>
      </c>
      <c r="D4183" s="1" t="s">
        <v>6049</v>
      </c>
      <c r="E4183" s="1" t="s">
        <v>6139</v>
      </c>
      <c r="F4183" s="1" t="s">
        <v>6203</v>
      </c>
      <c r="G4183" s="1" t="s">
        <v>6204</v>
      </c>
      <c r="H4183" s="2" t="str">
        <f>Tabella1[[#This Row],[Denominazione]]&amp;" - "&amp;Tabella1[[#This Row],[Città]]</f>
        <v>IL GIRASOLE - ARCEVIA</v>
      </c>
    </row>
    <row r="4184" spans="1:8" x14ac:dyDescent="0.25">
      <c r="A4184" s="1" t="s">
        <v>82</v>
      </c>
      <c r="B4184" s="1" t="s">
        <v>1693</v>
      </c>
      <c r="C4184" s="1" t="s">
        <v>6322</v>
      </c>
      <c r="D4184" s="1" t="s">
        <v>6290</v>
      </c>
      <c r="E4184" s="1" t="s">
        <v>6290</v>
      </c>
      <c r="F4184" s="1" t="s">
        <v>6323</v>
      </c>
      <c r="G4184" s="1" t="s">
        <v>6324</v>
      </c>
      <c r="H4184" s="2" t="str">
        <f>Tabella1[[#This Row],[Denominazione]]&amp;" - "&amp;Tabella1[[#This Row],[Città]]</f>
        <v>IL GIRASOLE - CAMERANO</v>
      </c>
    </row>
    <row r="4185" spans="1:8" x14ac:dyDescent="0.25">
      <c r="A4185" s="1" t="s">
        <v>82</v>
      </c>
      <c r="B4185" s="1" t="s">
        <v>1693</v>
      </c>
      <c r="C4185" s="1" t="s">
        <v>13787</v>
      </c>
      <c r="D4185" s="1" t="s">
        <v>13756</v>
      </c>
      <c r="E4185" s="1" t="s">
        <v>13756</v>
      </c>
      <c r="H4185" s="2" t="str">
        <f>Tabella1[[#This Row],[Denominazione]]&amp;" - "&amp;Tabella1[[#This Row],[Città]]</f>
        <v>IL GIRASOLE - SARNANO</v>
      </c>
    </row>
    <row r="4186" spans="1:8" x14ac:dyDescent="0.25">
      <c r="A4186" s="1" t="s">
        <v>82</v>
      </c>
      <c r="B4186" s="1" t="s">
        <v>2438</v>
      </c>
      <c r="C4186" s="1" t="s">
        <v>2439</v>
      </c>
      <c r="D4186" s="1" t="s">
        <v>2425</v>
      </c>
      <c r="E4186" s="1" t="s">
        <v>2425</v>
      </c>
      <c r="G4186" s="1" t="s">
        <v>2440</v>
      </c>
      <c r="H4186" s="2" t="str">
        <f>Tabella1[[#This Row],[Denominazione]]&amp;" - "&amp;Tabella1[[#This Row],[Città]]</f>
        <v>IL GLICINE - GRADARA</v>
      </c>
    </row>
    <row r="4187" spans="1:8" x14ac:dyDescent="0.25">
      <c r="A4187" s="1" t="s">
        <v>35</v>
      </c>
      <c r="B4187" s="1" t="s">
        <v>8877</v>
      </c>
      <c r="C4187" s="1" t="s">
        <v>8878</v>
      </c>
      <c r="D4187" s="1" t="s">
        <v>8849</v>
      </c>
      <c r="E4187" s="1" t="s">
        <v>8849</v>
      </c>
      <c r="F4187" s="1" t="s">
        <v>8879</v>
      </c>
      <c r="G4187" s="1" t="s">
        <v>8880</v>
      </c>
      <c r="H4187" s="2" t="str">
        <f>Tabella1[[#This Row],[Denominazione]]&amp;" - "&amp;Tabella1[[#This Row],[Città]]</f>
        <v>IL GORGHETTO - SASSOFERRATO</v>
      </c>
    </row>
    <row r="4188" spans="1:8" x14ac:dyDescent="0.25">
      <c r="A4188" s="1" t="s">
        <v>6</v>
      </c>
      <c r="B4188" s="1" t="s">
        <v>7864</v>
      </c>
      <c r="C4188" s="1" t="s">
        <v>7865</v>
      </c>
      <c r="D4188" s="1" t="s">
        <v>7849</v>
      </c>
      <c r="E4188" s="1" t="s">
        <v>7857</v>
      </c>
      <c r="G4188" s="1" t="s">
        <v>7866</v>
      </c>
      <c r="H4188" s="2" t="str">
        <f>Tabella1[[#This Row],[Denominazione]]&amp;" - "&amp;Tabella1[[#This Row],[Città]]</f>
        <v>IL GRANAIO DEI PRETINI - MORRO D'ALBA</v>
      </c>
    </row>
    <row r="4189" spans="1:8" x14ac:dyDescent="0.25">
      <c r="A4189" s="1" t="s">
        <v>6</v>
      </c>
      <c r="B4189" s="1" t="s">
        <v>6985</v>
      </c>
      <c r="D4189" s="1" t="s">
        <v>6790</v>
      </c>
      <c r="E4189" s="1" t="s">
        <v>6986</v>
      </c>
      <c r="F4189" s="1" t="s">
        <v>6987</v>
      </c>
      <c r="G4189" s="1" t="s">
        <v>6988</v>
      </c>
      <c r="H4189" s="2" t="str">
        <f>Tabella1[[#This Row],[Denominazione]]&amp;" - "&amp;Tabella1[[#This Row],[Città]]</f>
        <v>IL GRANAIO DI COLLE VICHINANO - FABRIANO</v>
      </c>
    </row>
    <row r="4190" spans="1:8" x14ac:dyDescent="0.25">
      <c r="A4190" s="1" t="s">
        <v>35</v>
      </c>
      <c r="B4190" s="1" t="s">
        <v>18879</v>
      </c>
      <c r="C4190" s="1" t="s">
        <v>18880</v>
      </c>
      <c r="D4190" s="1" t="s">
        <v>18876</v>
      </c>
      <c r="E4190" s="1" t="s">
        <v>18876</v>
      </c>
      <c r="G4190" s="1" t="s">
        <v>18881</v>
      </c>
      <c r="H4190" s="2" t="str">
        <f>Tabella1[[#This Row],[Denominazione]]&amp;" - "&amp;Tabella1[[#This Row],[Città]]</f>
        <v>IL GRAPPOLO ROSSO - MONTOTTONE</v>
      </c>
    </row>
    <row r="4191" spans="1:8" x14ac:dyDescent="0.25">
      <c r="A4191" s="1" t="s">
        <v>29</v>
      </c>
      <c r="B4191" s="1" t="s">
        <v>701</v>
      </c>
      <c r="C4191" s="1" t="s">
        <v>702</v>
      </c>
      <c r="D4191" s="1" t="s">
        <v>682</v>
      </c>
      <c r="E4191" s="1" t="s">
        <v>683</v>
      </c>
      <c r="G4191" s="1" t="s">
        <v>703</v>
      </c>
      <c r="H4191" s="2" t="str">
        <f>Tabella1[[#This Row],[Denominazione]]&amp;" - "&amp;Tabella1[[#This Row],[Città]]</f>
        <v>IL GRECALE - FANO</v>
      </c>
    </row>
    <row r="4192" spans="1:8" x14ac:dyDescent="0.25">
      <c r="A4192" s="1" t="s">
        <v>679</v>
      </c>
      <c r="B4192" s="1" t="s">
        <v>701</v>
      </c>
      <c r="C4192" s="1" t="s">
        <v>15911</v>
      </c>
      <c r="D4192" s="1" t="s">
        <v>15585</v>
      </c>
      <c r="F4192" s="1" t="s">
        <v>15912</v>
      </c>
      <c r="G4192" s="1" t="s">
        <v>5938</v>
      </c>
      <c r="H4192" s="2" t="str">
        <f>Tabella1[[#This Row],[Denominazione]]&amp;" - "&amp;Tabella1[[#This Row],[Città]]</f>
        <v>IL GRECALE - GROTTAMMARE</v>
      </c>
    </row>
    <row r="4193" spans="1:8" x14ac:dyDescent="0.25">
      <c r="A4193" s="1" t="s">
        <v>29</v>
      </c>
      <c r="B4193" s="1" t="s">
        <v>704</v>
      </c>
      <c r="C4193" s="1" t="s">
        <v>705</v>
      </c>
      <c r="D4193" s="1" t="s">
        <v>682</v>
      </c>
      <c r="E4193" s="1" t="s">
        <v>683</v>
      </c>
      <c r="G4193" s="1" t="s">
        <v>703</v>
      </c>
      <c r="H4193" s="2" t="str">
        <f>Tabella1[[#This Row],[Denominazione]]&amp;" - "&amp;Tabella1[[#This Row],[Città]]</f>
        <v>IL GRECALE 2 - FANO</v>
      </c>
    </row>
    <row r="4194" spans="1:8" x14ac:dyDescent="0.25">
      <c r="A4194" s="1" t="s">
        <v>35</v>
      </c>
      <c r="B4194" s="1" t="s">
        <v>5161</v>
      </c>
      <c r="C4194" s="1" t="s">
        <v>5162</v>
      </c>
      <c r="D4194" s="1" t="s">
        <v>9</v>
      </c>
      <c r="E4194" s="1" t="s">
        <v>9</v>
      </c>
      <c r="F4194" s="1" t="s">
        <v>5163</v>
      </c>
      <c r="G4194" s="1" t="s">
        <v>5164</v>
      </c>
      <c r="H4194" s="2" t="str">
        <f>Tabella1[[#This Row],[Denominazione]]&amp;" - "&amp;Tabella1[[#This Row],[Città]]</f>
        <v>IL GRILLOTTO - URBINO</v>
      </c>
    </row>
    <row r="4195" spans="1:8" x14ac:dyDescent="0.25">
      <c r="A4195" s="1" t="s">
        <v>35</v>
      </c>
      <c r="B4195" s="1" t="s">
        <v>3798</v>
      </c>
      <c r="C4195" s="1" t="s">
        <v>3799</v>
      </c>
      <c r="D4195" s="1" t="s">
        <v>2386</v>
      </c>
      <c r="E4195" s="1" t="s">
        <v>2386</v>
      </c>
      <c r="F4195" s="1" t="s">
        <v>3800</v>
      </c>
      <c r="G4195" s="1" t="s">
        <v>3801</v>
      </c>
      <c r="H4195" s="2" t="str">
        <f>Tabella1[[#This Row],[Denominazione]]&amp;" - "&amp;Tabella1[[#This Row],[Città]]</f>
        <v>IL GUARDACIELO - PESARO</v>
      </c>
    </row>
    <row r="4196" spans="1:8" x14ac:dyDescent="0.25">
      <c r="A4196" s="1" t="s">
        <v>35</v>
      </c>
      <c r="B4196" s="1" t="s">
        <v>16533</v>
      </c>
      <c r="D4196" s="1" t="s">
        <v>16440</v>
      </c>
      <c r="E4196" s="1" t="s">
        <v>16534</v>
      </c>
      <c r="H4196" s="2" t="str">
        <f>Tabella1[[#This Row],[Denominazione]]&amp;" - "&amp;Tabella1[[#This Row],[Città]]</f>
        <v>IL GUFO - OFFIDA</v>
      </c>
    </row>
    <row r="4197" spans="1:8" x14ac:dyDescent="0.25">
      <c r="A4197" s="1" t="s">
        <v>35</v>
      </c>
      <c r="B4197" s="1" t="s">
        <v>7760</v>
      </c>
      <c r="C4197" s="1" t="s">
        <v>7761</v>
      </c>
      <c r="D4197" s="1" t="s">
        <v>7718</v>
      </c>
      <c r="E4197" s="1" t="s">
        <v>7718</v>
      </c>
      <c r="F4197" s="1" t="s">
        <v>7762</v>
      </c>
      <c r="G4197" s="1" t="s">
        <v>7763</v>
      </c>
      <c r="H4197" s="2" t="str">
        <f>Tabella1[[#This Row],[Denominazione]]&amp;" - "&amp;Tabella1[[#This Row],[Città]]</f>
        <v>IL LANTERNINO - MONTEMARCIANO</v>
      </c>
    </row>
    <row r="4198" spans="1:8" x14ac:dyDescent="0.25">
      <c r="A4198" s="1" t="s">
        <v>35</v>
      </c>
      <c r="B4198" s="1" t="s">
        <v>10652</v>
      </c>
      <c r="C4198" s="1" t="s">
        <v>10653</v>
      </c>
      <c r="D4198" s="1" t="s">
        <v>10654</v>
      </c>
      <c r="E4198" s="1" t="s">
        <v>3007</v>
      </c>
      <c r="G4198" s="1" t="s">
        <v>10655</v>
      </c>
      <c r="H4198" s="2" t="str">
        <f>Tabella1[[#This Row],[Denominazione]]&amp;" - "&amp;Tabella1[[#This Row],[Città]]</f>
        <v>IL LECCINO - BELFORTE DEL CHIENTI</v>
      </c>
    </row>
    <row r="4199" spans="1:8" x14ac:dyDescent="0.25">
      <c r="A4199" s="1" t="s">
        <v>35</v>
      </c>
      <c r="B4199" s="1" t="s">
        <v>6236</v>
      </c>
      <c r="C4199" s="1" t="s">
        <v>6237</v>
      </c>
      <c r="D4199" s="1" t="s">
        <v>6049</v>
      </c>
      <c r="E4199" s="1" t="s">
        <v>6160</v>
      </c>
      <c r="G4199" s="1" t="s">
        <v>6238</v>
      </c>
      <c r="H4199" s="2" t="str">
        <f>Tabella1[[#This Row],[Denominazione]]&amp;" - "&amp;Tabella1[[#This Row],[Città]]</f>
        <v>IL LECCIO - ARCEVIA</v>
      </c>
    </row>
    <row r="4200" spans="1:8" x14ac:dyDescent="0.25">
      <c r="A4200" s="1" t="s">
        <v>29</v>
      </c>
      <c r="B4200" s="1" t="s">
        <v>17916</v>
      </c>
      <c r="C4200" s="1" t="s">
        <v>17917</v>
      </c>
      <c r="D4200" s="1" t="s">
        <v>17909</v>
      </c>
      <c r="E4200" s="1" t="s">
        <v>17909</v>
      </c>
      <c r="F4200" s="1" t="s">
        <v>17918</v>
      </c>
      <c r="G4200" s="1" t="s">
        <v>17919</v>
      </c>
      <c r="H4200" s="2" t="str">
        <f>Tabella1[[#This Row],[Denominazione]]&amp;" - "&amp;Tabella1[[#This Row],[Città]]</f>
        <v>IL LEONE ROSSO B&amp;B - FALERONE</v>
      </c>
    </row>
    <row r="4201" spans="1:8" x14ac:dyDescent="0.25">
      <c r="A4201" s="1" t="s">
        <v>679</v>
      </c>
      <c r="B4201" s="1" t="s">
        <v>8157</v>
      </c>
      <c r="C4201" s="1" t="s">
        <v>8158</v>
      </c>
      <c r="D4201" s="1" t="s">
        <v>7889</v>
      </c>
      <c r="E4201" s="1" t="s">
        <v>7895</v>
      </c>
      <c r="H4201" s="2" t="str">
        <f>Tabella1[[#This Row],[Denominazione]]&amp;" - "&amp;Tabella1[[#This Row],[Città]]</f>
        <v>IL LIBECCIO - NUMANA</v>
      </c>
    </row>
    <row r="4202" spans="1:8" x14ac:dyDescent="0.25">
      <c r="A4202" s="1" t="s">
        <v>679</v>
      </c>
      <c r="B4202" s="1" t="s">
        <v>17152</v>
      </c>
      <c r="C4202" s="1" t="s">
        <v>17153</v>
      </c>
      <c r="D4202" s="1" t="s">
        <v>15819</v>
      </c>
      <c r="F4202" s="1" t="s">
        <v>17154</v>
      </c>
      <c r="H4202" s="2" t="str">
        <f>Tabella1[[#This Row],[Denominazione]]&amp;" - "&amp;Tabella1[[#This Row],[Città]]</f>
        <v>IL LIDO DEL PESCATORE - SAN BENEDETTO DEL TRONTO</v>
      </c>
    </row>
    <row r="4203" spans="1:8" x14ac:dyDescent="0.25">
      <c r="A4203" s="1" t="s">
        <v>679</v>
      </c>
      <c r="B4203" s="1" t="s">
        <v>1049</v>
      </c>
      <c r="C4203" s="1" t="s">
        <v>1026</v>
      </c>
      <c r="D4203" s="1" t="s">
        <v>682</v>
      </c>
      <c r="E4203" s="1" t="s">
        <v>682</v>
      </c>
      <c r="H4203" s="2" t="str">
        <f>Tabella1[[#This Row],[Denominazione]]&amp;" - "&amp;Tabella1[[#This Row],[Città]]</f>
        <v>IL LIDO DELLE PALME DI BATTISTI FRANCESCA &amp; C. S.N.C. - FANO</v>
      </c>
    </row>
    <row r="4204" spans="1:8" x14ac:dyDescent="0.25">
      <c r="A4204" s="1" t="s">
        <v>679</v>
      </c>
      <c r="B4204" s="1" t="s">
        <v>15898</v>
      </c>
      <c r="C4204" s="1" t="s">
        <v>15899</v>
      </c>
      <c r="D4204" s="1" t="s">
        <v>15585</v>
      </c>
      <c r="F4204" s="1" t="s">
        <v>15900</v>
      </c>
      <c r="H4204" s="2" t="str">
        <f>Tabella1[[#This Row],[Denominazione]]&amp;" - "&amp;Tabella1[[#This Row],[Città]]</f>
        <v>IL LIDO DI ANNA - GROTTAMMARE</v>
      </c>
    </row>
    <row r="4205" spans="1:8" x14ac:dyDescent="0.25">
      <c r="A4205" s="1" t="s">
        <v>35</v>
      </c>
      <c r="B4205" s="1" t="s">
        <v>5636</v>
      </c>
      <c r="C4205" s="1" t="s">
        <v>5637</v>
      </c>
      <c r="D4205" s="1" t="s">
        <v>1864</v>
      </c>
      <c r="E4205" s="1" t="s">
        <v>1864</v>
      </c>
      <c r="F4205" s="1" t="s">
        <v>5638</v>
      </c>
      <c r="G4205" s="1" t="s">
        <v>5639</v>
      </c>
      <c r="H4205" s="2" t="str">
        <f>Tabella1[[#This Row],[Denominazione]]&amp;" - "&amp;Tabella1[[#This Row],[Città]]</f>
        <v>IL MANDORLO - ANCONA</v>
      </c>
    </row>
    <row r="4206" spans="1:8" x14ac:dyDescent="0.25">
      <c r="A4206" s="1" t="s">
        <v>82</v>
      </c>
      <c r="B4206" s="1" t="s">
        <v>596</v>
      </c>
      <c r="C4206" s="1" t="s">
        <v>597</v>
      </c>
      <c r="D4206" s="1" t="s">
        <v>579</v>
      </c>
      <c r="E4206" s="1" t="s">
        <v>579</v>
      </c>
      <c r="G4206" s="1" t="s">
        <v>598</v>
      </c>
      <c r="H4206" s="2" t="str">
        <f>Tabella1[[#This Row],[Denominazione]]&amp;" - "&amp;Tabella1[[#This Row],[Città]]</f>
        <v>IL MANDRIANO - CARPEGNA</v>
      </c>
    </row>
    <row r="4207" spans="1:8" x14ac:dyDescent="0.25">
      <c r="A4207" s="1" t="s">
        <v>35</v>
      </c>
      <c r="B4207" s="1" t="s">
        <v>7257</v>
      </c>
      <c r="C4207" s="1" t="s">
        <v>7258</v>
      </c>
      <c r="D4207" s="1" t="s">
        <v>7254</v>
      </c>
      <c r="F4207" s="1" t="s">
        <v>7259</v>
      </c>
      <c r="G4207" s="1" t="s">
        <v>7260</v>
      </c>
      <c r="H4207" s="2" t="str">
        <f>Tabella1[[#This Row],[Denominazione]]&amp;" - "&amp;Tabella1[[#This Row],[Città]]</f>
        <v>IL MANIERO - JESI</v>
      </c>
    </row>
    <row r="4208" spans="1:8" x14ac:dyDescent="0.25">
      <c r="A4208" s="1" t="s">
        <v>12</v>
      </c>
      <c r="B4208" s="1" t="s">
        <v>11242</v>
      </c>
      <c r="C4208" s="1" t="s">
        <v>11243</v>
      </c>
      <c r="D4208" s="1" t="s">
        <v>11244</v>
      </c>
      <c r="E4208" s="1" t="s">
        <v>11244</v>
      </c>
      <c r="G4208" s="1" t="s">
        <v>11245</v>
      </c>
      <c r="H4208" s="2" t="str">
        <f>Tabella1[[#This Row],[Denominazione]]&amp;" - "&amp;Tabella1[[#This Row],[Città]]</f>
        <v>IL MARE ACCANTO - CIVITANOVA MARCHE</v>
      </c>
    </row>
    <row r="4209" spans="1:8" x14ac:dyDescent="0.25">
      <c r="A4209" s="1" t="s">
        <v>35</v>
      </c>
      <c r="B4209" s="1" t="s">
        <v>17880</v>
      </c>
      <c r="C4209" s="1" t="s">
        <v>17881</v>
      </c>
      <c r="D4209" s="1" t="s">
        <v>17839</v>
      </c>
      <c r="E4209" s="1" t="s">
        <v>17839</v>
      </c>
      <c r="F4209" s="1" t="s">
        <v>17882</v>
      </c>
      <c r="G4209" s="1" t="s">
        <v>17883</v>
      </c>
      <c r="H4209" s="2" t="str">
        <f>Tabella1[[#This Row],[Denominazione]]&amp;" - "&amp;Tabella1[[#This Row],[Città]]</f>
        <v>IL MARE IN CAMPAGNA - CAMPOFILONE</v>
      </c>
    </row>
    <row r="4210" spans="1:8" x14ac:dyDescent="0.25">
      <c r="A4210" s="1" t="s">
        <v>35</v>
      </c>
      <c r="B4210" s="1" t="s">
        <v>12446</v>
      </c>
      <c r="C4210" s="1" t="s">
        <v>12447</v>
      </c>
      <c r="D4210" s="1" t="s">
        <v>12427</v>
      </c>
      <c r="F4210" s="1" t="s">
        <v>12448</v>
      </c>
      <c r="G4210" s="1" t="s">
        <v>12449</v>
      </c>
      <c r="H4210" s="2" t="str">
        <f>Tabella1[[#This Row],[Denominazione]]&amp;" - "&amp;Tabella1[[#This Row],[Città]]</f>
        <v>IL MARGARITO - MONTEFANO</v>
      </c>
    </row>
    <row r="4211" spans="1:8" x14ac:dyDescent="0.25">
      <c r="A4211" s="1" t="s">
        <v>35</v>
      </c>
      <c r="B4211" s="1" t="s">
        <v>7593</v>
      </c>
      <c r="C4211" s="1" t="s">
        <v>7594</v>
      </c>
      <c r="D4211" s="1" t="s">
        <v>7571</v>
      </c>
      <c r="E4211" s="1" t="s">
        <v>7571</v>
      </c>
      <c r="F4211" s="1" t="s">
        <v>7595</v>
      </c>
      <c r="G4211" s="1" t="s">
        <v>7596</v>
      </c>
      <c r="H4211" s="2" t="str">
        <f>Tabella1[[#This Row],[Denominazione]]&amp;" - "&amp;Tabella1[[#This Row],[Città]]</f>
        <v>IL MELOGRANO - MAIOLATI SPONTINI</v>
      </c>
    </row>
    <row r="4212" spans="1:8" x14ac:dyDescent="0.25">
      <c r="A4212" s="1" t="s">
        <v>35</v>
      </c>
      <c r="B4212" s="1" t="s">
        <v>7593</v>
      </c>
      <c r="C4212" s="1" t="s">
        <v>12678</v>
      </c>
      <c r="D4212" s="1" t="s">
        <v>12675</v>
      </c>
      <c r="F4212" s="1" t="s">
        <v>12679</v>
      </c>
      <c r="G4212" s="1" t="s">
        <v>12680</v>
      </c>
      <c r="H4212" s="2" t="str">
        <f>Tabella1[[#This Row],[Denominazione]]&amp;" - "&amp;Tabella1[[#This Row],[Città]]</f>
        <v>IL MELOGRANO - PETRIOLO</v>
      </c>
    </row>
    <row r="4213" spans="1:8" x14ac:dyDescent="0.25">
      <c r="A4213" s="1" t="s">
        <v>35</v>
      </c>
      <c r="B4213" s="1" t="s">
        <v>7593</v>
      </c>
      <c r="C4213" s="1" t="s">
        <v>19036</v>
      </c>
      <c r="D4213" s="1" t="s">
        <v>19027</v>
      </c>
      <c r="E4213" s="1" t="s">
        <v>19027</v>
      </c>
      <c r="F4213" s="1" t="s">
        <v>19037</v>
      </c>
      <c r="G4213" s="1" t="s">
        <v>19038</v>
      </c>
      <c r="H4213" s="2" t="str">
        <f>Tabella1[[#This Row],[Denominazione]]&amp;" - "&amp;Tabella1[[#This Row],[Città]]</f>
        <v>IL MELOGRANO - PONZANO DI FERMO</v>
      </c>
    </row>
    <row r="4214" spans="1:8" x14ac:dyDescent="0.25">
      <c r="A4214" s="1" t="s">
        <v>82</v>
      </c>
      <c r="B4214" s="1" t="s">
        <v>19487</v>
      </c>
      <c r="C4214" s="1" t="s">
        <v>19488</v>
      </c>
      <c r="D4214" s="1" t="s">
        <v>19489</v>
      </c>
      <c r="E4214" s="1" t="s">
        <v>19489</v>
      </c>
      <c r="F4214" s="1" t="s">
        <v>19490</v>
      </c>
      <c r="G4214" s="1" t="s">
        <v>19491</v>
      </c>
      <c r="H4214" s="2" t="str">
        <f>Tabella1[[#This Row],[Denominazione]]&amp;" - "&amp;Tabella1[[#This Row],[Città]]</f>
        <v>IL MOLINO S.R.L - RAPAGNANO</v>
      </c>
    </row>
    <row r="4215" spans="1:8" x14ac:dyDescent="0.25">
      <c r="A4215" s="1" t="s">
        <v>679</v>
      </c>
      <c r="B4215" s="1" t="s">
        <v>5755</v>
      </c>
      <c r="C4215" s="1" t="s">
        <v>5756</v>
      </c>
      <c r="D4215" s="1" t="s">
        <v>1864</v>
      </c>
      <c r="E4215" s="1" t="s">
        <v>5757</v>
      </c>
      <c r="F4215" s="1" t="s">
        <v>5758</v>
      </c>
      <c r="G4215" s="1" t="s">
        <v>5759</v>
      </c>
      <c r="H4215" s="2" t="str">
        <f>Tabella1[[#This Row],[Denominazione]]&amp;" - "&amp;Tabella1[[#This Row],[Città]]</f>
        <v>IL MOLO snc - ANCONA</v>
      </c>
    </row>
    <row r="4216" spans="1:8" x14ac:dyDescent="0.25">
      <c r="A4216" s="1" t="s">
        <v>12</v>
      </c>
      <c r="B4216" s="1" t="s">
        <v>3176</v>
      </c>
      <c r="C4216" s="1" t="s">
        <v>3177</v>
      </c>
      <c r="D4216" s="1" t="s">
        <v>3160</v>
      </c>
      <c r="F4216" s="1" t="s">
        <v>3178</v>
      </c>
      <c r="G4216" s="1" t="s">
        <v>3179</v>
      </c>
      <c r="H4216" s="2" t="str">
        <f>Tabella1[[#This Row],[Denominazione]]&amp;" - "&amp;Tabella1[[#This Row],[Città]]</f>
        <v>IL MONTALE COUNTRY RESORT - MONTELABBATE</v>
      </c>
    </row>
    <row r="4217" spans="1:8" x14ac:dyDescent="0.25">
      <c r="A4217" s="1" t="s">
        <v>12</v>
      </c>
      <c r="B4217" s="1" t="s">
        <v>632</v>
      </c>
      <c r="C4217" s="1" t="s">
        <v>633</v>
      </c>
      <c r="D4217" s="1" t="s">
        <v>634</v>
      </c>
      <c r="F4217" s="1" t="s">
        <v>635</v>
      </c>
      <c r="G4217" s="1" t="s">
        <v>636</v>
      </c>
      <c r="H4217" s="2" t="str">
        <f>Tabella1[[#This Row],[Denominazione]]&amp;" - "&amp;Tabella1[[#This Row],[Città]]</f>
        <v>IL MONTE - CARTOCETO</v>
      </c>
    </row>
    <row r="4218" spans="1:8" x14ac:dyDescent="0.25">
      <c r="A4218" s="1" t="s">
        <v>35</v>
      </c>
      <c r="B4218" s="1" t="s">
        <v>15120</v>
      </c>
      <c r="C4218" s="1" t="s">
        <v>15121</v>
      </c>
      <c r="D4218" s="1" t="s">
        <v>15096</v>
      </c>
      <c r="E4218" s="1" t="s">
        <v>15096</v>
      </c>
      <c r="G4218" s="1" t="s">
        <v>15122</v>
      </c>
      <c r="H4218" s="2" t="str">
        <f>Tabella1[[#This Row],[Denominazione]]&amp;" - "&amp;Tabella1[[#This Row],[Città]]</f>
        <v>IL MONTICELLO - CARASSAI</v>
      </c>
    </row>
    <row r="4219" spans="1:8" x14ac:dyDescent="0.25">
      <c r="A4219" s="1" t="s">
        <v>35</v>
      </c>
      <c r="B4219" s="1" t="s">
        <v>6853</v>
      </c>
      <c r="C4219" s="1" t="s">
        <v>6854</v>
      </c>
      <c r="D4219" s="1" t="s">
        <v>6790</v>
      </c>
      <c r="E4219" s="1" t="s">
        <v>6832</v>
      </c>
      <c r="H4219" s="2" t="str">
        <f>Tabella1[[#This Row],[Denominazione]]&amp;" - "&amp;Tabella1[[#This Row],[Città]]</f>
        <v>IL MOSAICO DEL PENSIERO - FABRIANO</v>
      </c>
    </row>
    <row r="4220" spans="1:8" x14ac:dyDescent="0.25">
      <c r="A4220" s="1" t="s">
        <v>12</v>
      </c>
      <c r="B4220" s="1" t="s">
        <v>1823</v>
      </c>
      <c r="C4220" s="1" t="s">
        <v>1824</v>
      </c>
      <c r="D4220" s="1" t="s">
        <v>1810</v>
      </c>
      <c r="E4220" s="1" t="s">
        <v>1810</v>
      </c>
      <c r="H4220" s="2" t="str">
        <f>Tabella1[[#This Row],[Denominazione]]&amp;" - "&amp;Tabella1[[#This Row],[Città]]</f>
        <v>IL MUTINO - FRONTINO</v>
      </c>
    </row>
    <row r="4221" spans="1:8" x14ac:dyDescent="0.25">
      <c r="A4221" s="1" t="s">
        <v>35</v>
      </c>
      <c r="B4221" s="1" t="s">
        <v>16536</v>
      </c>
      <c r="C4221" s="1" t="s">
        <v>16537</v>
      </c>
      <c r="D4221" s="1" t="s">
        <v>16440</v>
      </c>
      <c r="E4221" s="1" t="s">
        <v>16538</v>
      </c>
      <c r="F4221" s="1" t="s">
        <v>16539</v>
      </c>
      <c r="G4221" s="1" t="s">
        <v>16540</v>
      </c>
      <c r="H4221" s="2" t="str">
        <f>Tabella1[[#This Row],[Denominazione]]&amp;" - "&amp;Tabella1[[#This Row],[Città]]</f>
        <v>IL NASCONDIGLIO DI BACCO - OFFIDA</v>
      </c>
    </row>
    <row r="4222" spans="1:8" x14ac:dyDescent="0.25">
      <c r="A4222" s="1" t="s">
        <v>29</v>
      </c>
      <c r="B4222" s="1" t="s">
        <v>4716</v>
      </c>
      <c r="C4222" s="1" t="s">
        <v>4717</v>
      </c>
      <c r="D4222" s="1" t="s">
        <v>4657</v>
      </c>
      <c r="E4222" s="1" t="s">
        <v>4657</v>
      </c>
      <c r="G4222" s="1" t="s">
        <v>4718</v>
      </c>
      <c r="H4222" s="2" t="str">
        <f>Tabella1[[#This Row],[Denominazione]]&amp;" - "&amp;Tabella1[[#This Row],[Città]]</f>
        <v>IL NIDO - TAVULLIA</v>
      </c>
    </row>
    <row r="4223" spans="1:8" x14ac:dyDescent="0.25">
      <c r="A4223" s="1" t="s">
        <v>29</v>
      </c>
      <c r="B4223" s="1" t="s">
        <v>10727</v>
      </c>
      <c r="C4223" s="1" t="s">
        <v>10728</v>
      </c>
      <c r="D4223" s="1" t="s">
        <v>10702</v>
      </c>
      <c r="E4223" s="1" t="s">
        <v>10702</v>
      </c>
      <c r="F4223" s="1" t="s">
        <v>10729</v>
      </c>
      <c r="G4223" s="1" t="s">
        <v>10730</v>
      </c>
      <c r="H4223" s="2" t="str">
        <f>Tabella1[[#This Row],[Denominazione]]&amp;" - "&amp;Tabella1[[#This Row],[Città]]</f>
        <v>IL NIDO DEL CUCULO - CALDAROLA</v>
      </c>
    </row>
    <row r="4224" spans="1:8" x14ac:dyDescent="0.25">
      <c r="A4224" s="1" t="s">
        <v>6</v>
      </c>
      <c r="B4224" s="1" t="s">
        <v>12539</v>
      </c>
      <c r="C4224" s="1" t="s">
        <v>12536</v>
      </c>
      <c r="D4224" s="1" t="s">
        <v>12519</v>
      </c>
      <c r="E4224" s="1" t="s">
        <v>12519</v>
      </c>
      <c r="F4224" s="1" t="s">
        <v>12537</v>
      </c>
      <c r="G4224" s="1" t="s">
        <v>12538</v>
      </c>
      <c r="H4224" s="2" t="str">
        <f>Tabella1[[#This Row],[Denominazione]]&amp;" - "&amp;Tabella1[[#This Row],[Città]]</f>
        <v>IL NIDO DEL FALCO di DANIELE DILETTI - MONTE SAN MARTINO</v>
      </c>
    </row>
    <row r="4225" spans="1:8" x14ac:dyDescent="0.25">
      <c r="A4225" s="1" t="s">
        <v>29</v>
      </c>
      <c r="B4225" s="1" t="s">
        <v>9116</v>
      </c>
      <c r="C4225" s="1" t="s">
        <v>9117</v>
      </c>
      <c r="D4225" s="1" t="s">
        <v>8949</v>
      </c>
      <c r="E4225" s="1" t="s">
        <v>8949</v>
      </c>
      <c r="G4225" s="1" t="s">
        <v>9118</v>
      </c>
      <c r="H4225" s="2" t="str">
        <f>Tabella1[[#This Row],[Denominazione]]&amp;" - "&amp;Tabella1[[#This Row],[Città]]</f>
        <v>IL NIDO SUL TETTO DI MARCHETTI ANNA - SENIGALLIA</v>
      </c>
    </row>
    <row r="4226" spans="1:8" x14ac:dyDescent="0.25">
      <c r="A4226" s="1" t="s">
        <v>12</v>
      </c>
      <c r="B4226" s="1" t="s">
        <v>4593</v>
      </c>
      <c r="C4226" s="1" t="s">
        <v>4594</v>
      </c>
      <c r="D4226" s="1" t="s">
        <v>4578</v>
      </c>
      <c r="F4226" s="1" t="s">
        <v>4595</v>
      </c>
      <c r="G4226" s="1" t="s">
        <v>4596</v>
      </c>
      <c r="H4226" s="2" t="str">
        <f>Tabella1[[#This Row],[Denominazione]]&amp;" - "&amp;Tabella1[[#This Row],[Città]]</f>
        <v>IL NOCETO - SERRUNGARINA</v>
      </c>
    </row>
    <row r="4227" spans="1:8" x14ac:dyDescent="0.25">
      <c r="A4227" s="1" t="s">
        <v>35</v>
      </c>
      <c r="B4227" s="1" t="s">
        <v>5141</v>
      </c>
      <c r="C4227" s="1" t="s">
        <v>5142</v>
      </c>
      <c r="D4227" s="1" t="s">
        <v>9</v>
      </c>
      <c r="E4227" s="1" t="s">
        <v>9</v>
      </c>
      <c r="G4227" s="1" t="s">
        <v>5143</v>
      </c>
      <c r="H4227" s="2" t="str">
        <f>Tabella1[[#This Row],[Denominazione]]&amp;" - "&amp;Tabella1[[#This Row],[Città]]</f>
        <v>IL PALAZZO DI MINIERA - URBINO</v>
      </c>
    </row>
    <row r="4228" spans="1:8" x14ac:dyDescent="0.25">
      <c r="A4228" s="1" t="s">
        <v>35</v>
      </c>
      <c r="B4228" s="1" t="s">
        <v>16781</v>
      </c>
      <c r="D4228" s="1" t="s">
        <v>16767</v>
      </c>
      <c r="G4228" s="1" t="s">
        <v>16782</v>
      </c>
      <c r="H4228" s="2" t="str">
        <f>Tabella1[[#This Row],[Denominazione]]&amp;" - "&amp;Tabella1[[#This Row],[Città]]</f>
        <v>IL PALMARONE - ROTELLA</v>
      </c>
    </row>
    <row r="4229" spans="1:8" x14ac:dyDescent="0.25">
      <c r="A4229" s="1" t="s">
        <v>35</v>
      </c>
      <c r="B4229" s="1" t="s">
        <v>16122</v>
      </c>
      <c r="C4229" s="1" t="s">
        <v>16123</v>
      </c>
      <c r="D4229" s="1" t="s">
        <v>16083</v>
      </c>
      <c r="E4229" s="1" t="s">
        <v>16124</v>
      </c>
      <c r="F4229" s="1" t="s">
        <v>16125</v>
      </c>
      <c r="G4229" s="1" t="s">
        <v>16126</v>
      </c>
      <c r="H4229" s="2" t="str">
        <f>Tabella1[[#This Row],[Denominazione]]&amp;" - "&amp;Tabella1[[#This Row],[Città]]</f>
        <v>IL PALOMBACCIO - MONTALTO DELLE MARCHE</v>
      </c>
    </row>
    <row r="4230" spans="1:8" x14ac:dyDescent="0.25">
      <c r="A4230" s="1" t="s">
        <v>82</v>
      </c>
      <c r="B4230" s="1" t="s">
        <v>15090</v>
      </c>
      <c r="C4230" s="1" t="s">
        <v>15091</v>
      </c>
      <c r="D4230" s="1" t="s">
        <v>14576</v>
      </c>
      <c r="E4230" s="1" t="s">
        <v>14576</v>
      </c>
      <c r="G4230" s="1" t="s">
        <v>15092</v>
      </c>
      <c r="H4230" s="2" t="str">
        <f>Tabella1[[#This Row],[Denominazione]]&amp;" - "&amp;Tabella1[[#This Row],[Città]]</f>
        <v>IL PANORAMA - ASCOLI PICENO</v>
      </c>
    </row>
    <row r="4231" spans="1:8" x14ac:dyDescent="0.25">
      <c r="A4231" s="1" t="s">
        <v>1200</v>
      </c>
      <c r="B4231" s="1" t="s">
        <v>1220</v>
      </c>
      <c r="C4231" s="1" t="s">
        <v>1221</v>
      </c>
      <c r="D4231" s="1" t="s">
        <v>682</v>
      </c>
      <c r="E4231" s="1" t="s">
        <v>682</v>
      </c>
      <c r="F4231" s="1" t="s">
        <v>1222</v>
      </c>
      <c r="G4231" s="1" t="s">
        <v>1223</v>
      </c>
      <c r="H4231" s="2" t="str">
        <f>Tabella1[[#This Row],[Denominazione]]&amp;" - "&amp;Tabella1[[#This Row],[Città]]</f>
        <v>IL PARADISO - AGRICAMPEGGIO - FANO</v>
      </c>
    </row>
    <row r="4232" spans="1:8" x14ac:dyDescent="0.25">
      <c r="A4232" s="1" t="s">
        <v>6</v>
      </c>
      <c r="B4232" s="1" t="s">
        <v>6162</v>
      </c>
      <c r="C4232" s="1" t="s">
        <v>6163</v>
      </c>
      <c r="D4232" s="1" t="s">
        <v>6049</v>
      </c>
      <c r="E4232" s="1" t="s">
        <v>6112</v>
      </c>
      <c r="F4232" s="1" t="s">
        <v>6164</v>
      </c>
      <c r="G4232" s="1" t="s">
        <v>6165</v>
      </c>
      <c r="H4232" s="2" t="str">
        <f>Tabella1[[#This Row],[Denominazione]]&amp;" - "&amp;Tabella1[[#This Row],[Città]]</f>
        <v>IL PARADISO DEL RE - ARCEVIA</v>
      </c>
    </row>
    <row r="4233" spans="1:8" x14ac:dyDescent="0.25">
      <c r="A4233" s="1" t="s">
        <v>20</v>
      </c>
      <c r="B4233" s="1" t="s">
        <v>7226</v>
      </c>
      <c r="C4233" s="1" t="s">
        <v>7227</v>
      </c>
      <c r="D4233" s="1" t="s">
        <v>7200</v>
      </c>
      <c r="E4233" s="1" t="s">
        <v>7200</v>
      </c>
      <c r="G4233" s="1" t="s">
        <v>7228</v>
      </c>
      <c r="H4233" s="2" t="str">
        <f>Tabella1[[#This Row],[Denominazione]]&amp;" - "&amp;Tabella1[[#This Row],[Città]]</f>
        <v>IL PARCO - GENGA</v>
      </c>
    </row>
    <row r="4234" spans="1:8" x14ac:dyDescent="0.25">
      <c r="A4234" s="1" t="s">
        <v>35</v>
      </c>
      <c r="B4234" s="1" t="s">
        <v>12442</v>
      </c>
      <c r="C4234" s="1" t="s">
        <v>12443</v>
      </c>
      <c r="D4234" s="1" t="s">
        <v>12427</v>
      </c>
      <c r="F4234" s="1" t="s">
        <v>12444</v>
      </c>
      <c r="G4234" s="1" t="s">
        <v>12445</v>
      </c>
      <c r="H4234" s="2" t="str">
        <f>Tabella1[[#This Row],[Denominazione]]&amp;" - "&amp;Tabella1[[#This Row],[Città]]</f>
        <v>IL PARCO DI KIPO - MONTEFANO</v>
      </c>
    </row>
    <row r="4235" spans="1:8" x14ac:dyDescent="0.25">
      <c r="A4235" s="1" t="s">
        <v>35</v>
      </c>
      <c r="B4235" s="1" t="s">
        <v>5806</v>
      </c>
      <c r="C4235" s="1" t="s">
        <v>5807</v>
      </c>
      <c r="D4235" s="1" t="s">
        <v>1864</v>
      </c>
      <c r="E4235" s="1" t="s">
        <v>5808</v>
      </c>
      <c r="F4235" s="1" t="s">
        <v>5809</v>
      </c>
      <c r="G4235" s="1" t="s">
        <v>5810</v>
      </c>
      <c r="H4235" s="2" t="str">
        <f>Tabella1[[#This Row],[Denominazione]]&amp;" - "&amp;Tabella1[[#This Row],[Città]]</f>
        <v>IL PARCO E LA LUNA - ANCONA</v>
      </c>
    </row>
    <row r="4236" spans="1:8" x14ac:dyDescent="0.25">
      <c r="A4236" s="1" t="s">
        <v>29</v>
      </c>
      <c r="B4236" s="1" t="s">
        <v>6128</v>
      </c>
      <c r="C4236" s="1" t="s">
        <v>6129</v>
      </c>
      <c r="D4236" s="1" t="s">
        <v>6049</v>
      </c>
      <c r="E4236" s="1" t="s">
        <v>6095</v>
      </c>
      <c r="F4236" s="1" t="s">
        <v>6130</v>
      </c>
      <c r="G4236" s="1" t="s">
        <v>6131</v>
      </c>
      <c r="H4236" s="2" t="str">
        <f>Tabella1[[#This Row],[Denominazione]]&amp;" - "&amp;Tabella1[[#This Row],[Città]]</f>
        <v>IL PENTOLONE IN COMPAGNIA - ARCEVIA</v>
      </c>
    </row>
    <row r="4237" spans="1:8" x14ac:dyDescent="0.25">
      <c r="A4237" s="1" t="s">
        <v>29</v>
      </c>
      <c r="B4237" s="1" t="s">
        <v>6128</v>
      </c>
      <c r="C4237" s="1" t="s">
        <v>6150</v>
      </c>
      <c r="D4237" s="1" t="s">
        <v>6049</v>
      </c>
      <c r="E4237" s="1" t="s">
        <v>6095</v>
      </c>
      <c r="H4237" s="2" t="str">
        <f>Tabella1[[#This Row],[Denominazione]]&amp;" - "&amp;Tabella1[[#This Row],[Città]]</f>
        <v>IL PENTOLONE IN COMPAGNIA - ARCEVIA</v>
      </c>
    </row>
    <row r="4238" spans="1:8" x14ac:dyDescent="0.25">
      <c r="A4238" s="1" t="s">
        <v>679</v>
      </c>
      <c r="B4238" s="1" t="s">
        <v>17162</v>
      </c>
      <c r="C4238" s="1" t="s">
        <v>17153</v>
      </c>
      <c r="D4238" s="1" t="s">
        <v>15819</v>
      </c>
      <c r="F4238" s="1" t="s">
        <v>17163</v>
      </c>
      <c r="G4238" s="1" t="s">
        <v>17164</v>
      </c>
      <c r="H4238" s="2" t="str">
        <f>Tabella1[[#This Row],[Denominazione]]&amp;" - "&amp;Tabella1[[#This Row],[Città]]</f>
        <v>IL PESCATORE - SAN BENEDETTO DEL TRONTO</v>
      </c>
    </row>
    <row r="4239" spans="1:8" x14ac:dyDescent="0.25">
      <c r="A4239" s="1" t="s">
        <v>29</v>
      </c>
      <c r="B4239" s="1" t="s">
        <v>8672</v>
      </c>
      <c r="C4239" s="1" t="s">
        <v>8673</v>
      </c>
      <c r="D4239" s="1" t="s">
        <v>8608</v>
      </c>
      <c r="E4239" s="1" t="s">
        <v>8674</v>
      </c>
      <c r="F4239" s="1" t="s">
        <v>8675</v>
      </c>
      <c r="G4239" s="1" t="s">
        <v>8676</v>
      </c>
      <c r="H4239" s="2" t="str">
        <f>Tabella1[[#This Row],[Denominazione]]&amp;" - "&amp;Tabella1[[#This Row],[Città]]</f>
        <v>IL PETTIROSSO - OSTRA</v>
      </c>
    </row>
    <row r="4240" spans="1:8" x14ac:dyDescent="0.25">
      <c r="A4240" s="1" t="s">
        <v>35</v>
      </c>
      <c r="B4240" s="1" t="s">
        <v>8672</v>
      </c>
      <c r="C4240" s="1" t="s">
        <v>18024</v>
      </c>
      <c r="D4240" s="1" t="s">
        <v>17932</v>
      </c>
      <c r="E4240" s="1" t="s">
        <v>17932</v>
      </c>
      <c r="H4240" s="2" t="str">
        <f>Tabella1[[#This Row],[Denominazione]]&amp;" - "&amp;Tabella1[[#This Row],[Città]]</f>
        <v>IL PETTIROSSO - FERMO</v>
      </c>
    </row>
    <row r="4241" spans="1:8" x14ac:dyDescent="0.25">
      <c r="A4241" s="1" t="s">
        <v>35</v>
      </c>
      <c r="B4241" s="1" t="s">
        <v>12735</v>
      </c>
      <c r="C4241" s="1" t="s">
        <v>12736</v>
      </c>
      <c r="D4241" s="1" t="s">
        <v>12730</v>
      </c>
      <c r="E4241" s="1" t="s">
        <v>12730</v>
      </c>
      <c r="H4241" s="2" t="str">
        <f>Tabella1[[#This Row],[Denominazione]]&amp;" - "&amp;Tabella1[[#This Row],[Città]]</f>
        <v>IL PICCHIO - PIEVE TORINA</v>
      </c>
    </row>
    <row r="4242" spans="1:8" x14ac:dyDescent="0.25">
      <c r="A4242" s="1" t="s">
        <v>35</v>
      </c>
      <c r="B4242" s="1" t="s">
        <v>18172</v>
      </c>
      <c r="C4242" s="1" t="s">
        <v>18173</v>
      </c>
      <c r="D4242" s="1" t="s">
        <v>17932</v>
      </c>
      <c r="E4242" s="1" t="s">
        <v>17932</v>
      </c>
      <c r="F4242" s="1" t="s">
        <v>18174</v>
      </c>
      <c r="G4242" s="1" t="s">
        <v>18175</v>
      </c>
      <c r="H4242" s="2" t="str">
        <f>Tabella1[[#This Row],[Denominazione]]&amp;" - "&amp;Tabella1[[#This Row],[Città]]</f>
        <v>IL PICCHIO - MADONNABRUNA - FERMO</v>
      </c>
    </row>
    <row r="4243" spans="1:8" x14ac:dyDescent="0.25">
      <c r="A4243" s="1" t="s">
        <v>679</v>
      </c>
      <c r="B4243" s="1" t="s">
        <v>9917</v>
      </c>
      <c r="C4243" s="1" t="s">
        <v>9918</v>
      </c>
      <c r="D4243" s="1" t="s">
        <v>8949</v>
      </c>
      <c r="E4243" s="1" t="s">
        <v>8949</v>
      </c>
      <c r="H4243" s="2" t="str">
        <f>Tabella1[[#This Row],[Denominazione]]&amp;" - "&amp;Tabella1[[#This Row],[Città]]</f>
        <v>IL PICCOLO LIDO - BAGNI N° 67 - SENIGALLIA</v>
      </c>
    </row>
    <row r="4244" spans="1:8" x14ac:dyDescent="0.25">
      <c r="A4244" s="1" t="s">
        <v>679</v>
      </c>
      <c r="B4244" s="1" t="s">
        <v>9896</v>
      </c>
      <c r="D4244" s="1" t="s">
        <v>8949</v>
      </c>
      <c r="E4244" s="1" t="s">
        <v>8949</v>
      </c>
      <c r="H4244" s="2" t="str">
        <f>Tabella1[[#This Row],[Denominazione]]&amp;" - "&amp;Tabella1[[#This Row],[Città]]</f>
        <v>IL PICCOLO LIDO - BAGNI N° 68 - SENIGALLIA</v>
      </c>
    </row>
    <row r="4245" spans="1:8" x14ac:dyDescent="0.25">
      <c r="A4245" s="1" t="s">
        <v>6</v>
      </c>
      <c r="B4245" s="1" t="s">
        <v>4063</v>
      </c>
      <c r="C4245" s="1" t="s">
        <v>4064</v>
      </c>
      <c r="D4245" s="1" t="s">
        <v>2386</v>
      </c>
      <c r="E4245" s="1" t="s">
        <v>2386</v>
      </c>
      <c r="F4245" s="1" t="s">
        <v>4065</v>
      </c>
      <c r="G4245" s="1" t="s">
        <v>4066</v>
      </c>
      <c r="H4245" s="2" t="str">
        <f>Tabella1[[#This Row],[Denominazione]]&amp;" - "&amp;Tabella1[[#This Row],[Città]]</f>
        <v>IL PIGNOCCO - PESARO</v>
      </c>
    </row>
    <row r="4246" spans="1:8" x14ac:dyDescent="0.25">
      <c r="A4246" s="1" t="s">
        <v>679</v>
      </c>
      <c r="B4246" s="1" t="s">
        <v>12864</v>
      </c>
      <c r="D4246" s="1" t="s">
        <v>12801</v>
      </c>
      <c r="E4246" s="1" t="s">
        <v>12801</v>
      </c>
      <c r="H4246" s="2" t="str">
        <f>Tabella1[[#This Row],[Denominazione]]&amp;" - "&amp;Tabella1[[#This Row],[Città]]</f>
        <v>IL PIRATA - PORTO RECANATI</v>
      </c>
    </row>
    <row r="4247" spans="1:8" x14ac:dyDescent="0.25">
      <c r="A4247" s="1" t="s">
        <v>679</v>
      </c>
      <c r="B4247" s="1" t="s">
        <v>12864</v>
      </c>
      <c r="D4247" s="1" t="s">
        <v>15819</v>
      </c>
      <c r="H4247" s="2" t="str">
        <f>Tabella1[[#This Row],[Denominazione]]&amp;" - "&amp;Tabella1[[#This Row],[Città]]</f>
        <v>IL PIRATA - SAN BENEDETTO DEL TRONTO</v>
      </c>
    </row>
    <row r="4248" spans="1:8" x14ac:dyDescent="0.25">
      <c r="A4248" s="1" t="s">
        <v>35</v>
      </c>
      <c r="B4248" s="1" t="s">
        <v>2545</v>
      </c>
      <c r="C4248" s="1" t="s">
        <v>2546</v>
      </c>
      <c r="D4248" s="1" t="s">
        <v>2529</v>
      </c>
      <c r="E4248" s="1" t="s">
        <v>2529</v>
      </c>
      <c r="H4248" s="2" t="str">
        <f>Tabella1[[#This Row],[Denominazione]]&amp;" - "&amp;Tabella1[[#This Row],[Città]]</f>
        <v>IL PODERE - ISOLA DEL PIANO</v>
      </c>
    </row>
    <row r="4249" spans="1:8" x14ac:dyDescent="0.25">
      <c r="A4249" s="1" t="s">
        <v>82</v>
      </c>
      <c r="B4249" s="1" t="s">
        <v>2545</v>
      </c>
      <c r="C4249" s="1" t="s">
        <v>7742</v>
      </c>
      <c r="D4249" s="1" t="s">
        <v>7718</v>
      </c>
      <c r="E4249" s="1" t="s">
        <v>7718</v>
      </c>
      <c r="H4249" s="2" t="str">
        <f>Tabella1[[#This Row],[Denominazione]]&amp;" - "&amp;Tabella1[[#This Row],[Città]]</f>
        <v>IL PODERE - MONTEMARCIANO</v>
      </c>
    </row>
    <row r="4250" spans="1:8" x14ac:dyDescent="0.25">
      <c r="A4250" s="1" t="s">
        <v>35</v>
      </c>
      <c r="B4250" s="1" t="s">
        <v>16214</v>
      </c>
      <c r="C4250" s="1" t="s">
        <v>16215</v>
      </c>
      <c r="D4250" s="1" t="s">
        <v>16202</v>
      </c>
      <c r="E4250" s="1" t="s">
        <v>16203</v>
      </c>
      <c r="F4250" s="1" t="s">
        <v>16216</v>
      </c>
      <c r="G4250" s="1" t="s">
        <v>16217</v>
      </c>
      <c r="H4250" s="2" t="str">
        <f>Tabella1[[#This Row],[Denominazione]]&amp;" - "&amp;Tabella1[[#This Row],[Città]]</f>
        <v>IL PODERINO DELLA NONNA - MONTEFIORE DELL'ASO</v>
      </c>
    </row>
    <row r="4251" spans="1:8" x14ac:dyDescent="0.25">
      <c r="A4251" s="1" t="s">
        <v>20</v>
      </c>
      <c r="B4251" s="1" t="s">
        <v>4628</v>
      </c>
      <c r="C4251" s="1" t="s">
        <v>4629</v>
      </c>
      <c r="D4251" s="1" t="s">
        <v>4630</v>
      </c>
      <c r="E4251" s="1" t="s">
        <v>4630</v>
      </c>
      <c r="F4251" s="1" t="s">
        <v>4631</v>
      </c>
      <c r="G4251" s="1" t="s">
        <v>4632</v>
      </c>
      <c r="H4251" s="2" t="str">
        <f>Tabella1[[#This Row],[Denominazione]]&amp;" - "&amp;Tabella1[[#This Row],[Città]]</f>
        <v>IL POGGETTO - TAVOLETO</v>
      </c>
    </row>
    <row r="4252" spans="1:8" x14ac:dyDescent="0.25">
      <c r="A4252" s="1" t="s">
        <v>29</v>
      </c>
      <c r="B4252" s="1" t="s">
        <v>4628</v>
      </c>
      <c r="C4252" s="1" t="s">
        <v>11331</v>
      </c>
      <c r="D4252" s="1" t="s">
        <v>11244</v>
      </c>
      <c r="E4252" s="1" t="s">
        <v>11244</v>
      </c>
      <c r="F4252" s="1" t="s">
        <v>11332</v>
      </c>
      <c r="G4252" s="1" t="s">
        <v>11333</v>
      </c>
      <c r="H4252" s="2" t="str">
        <f>Tabella1[[#This Row],[Denominazione]]&amp;" - "&amp;Tabella1[[#This Row],[Città]]</f>
        <v>IL POGGETTO - CIVITANOVA MARCHE</v>
      </c>
    </row>
    <row r="4253" spans="1:8" x14ac:dyDescent="0.25">
      <c r="A4253" s="1" t="s">
        <v>35</v>
      </c>
      <c r="B4253" s="1" t="s">
        <v>1862</v>
      </c>
      <c r="C4253" s="1" t="s">
        <v>1863</v>
      </c>
      <c r="D4253" s="1" t="s">
        <v>356</v>
      </c>
      <c r="E4253" s="1" t="s">
        <v>1864</v>
      </c>
      <c r="H4253" s="2" t="str">
        <f>Tabella1[[#This Row],[Denominazione]]&amp;" - "&amp;Tabella1[[#This Row],[Città]]</f>
        <v>IL POGGIO - FRONTONE</v>
      </c>
    </row>
    <row r="4254" spans="1:8" x14ac:dyDescent="0.25">
      <c r="A4254" s="1" t="s">
        <v>35</v>
      </c>
      <c r="B4254" s="1" t="s">
        <v>1862</v>
      </c>
      <c r="C4254" s="1" t="s">
        <v>10995</v>
      </c>
      <c r="D4254" s="1" t="s">
        <v>10990</v>
      </c>
      <c r="E4254" s="1" t="s">
        <v>10990</v>
      </c>
      <c r="H4254" s="2" t="str">
        <f>Tabella1[[#This Row],[Denominazione]]&amp;" - "&amp;Tabella1[[#This Row],[Città]]</f>
        <v>IL POGGIO - CASTELSANTANGELO SUL NERA</v>
      </c>
    </row>
    <row r="4255" spans="1:8" x14ac:dyDescent="0.25">
      <c r="A4255" s="1" t="s">
        <v>6</v>
      </c>
      <c r="B4255" s="1" t="s">
        <v>12692</v>
      </c>
      <c r="C4255" s="1" t="s">
        <v>12693</v>
      </c>
      <c r="D4255" s="1" t="s">
        <v>12694</v>
      </c>
      <c r="E4255" s="1" t="s">
        <v>12694</v>
      </c>
      <c r="F4255" s="1" t="s">
        <v>12695</v>
      </c>
      <c r="G4255" s="1" t="s">
        <v>12696</v>
      </c>
      <c r="H4255" s="2" t="str">
        <f>Tabella1[[#This Row],[Denominazione]]&amp;" - "&amp;Tabella1[[#This Row],[Città]]</f>
        <v>IL POGGIO DELLE ARMONIE - PIEVEBOVIGLIANA</v>
      </c>
    </row>
    <row r="4256" spans="1:8" x14ac:dyDescent="0.25">
      <c r="A4256" s="1" t="s">
        <v>82</v>
      </c>
      <c r="B4256" s="1" t="s">
        <v>201</v>
      </c>
      <c r="C4256" s="1" t="s">
        <v>202</v>
      </c>
      <c r="D4256" s="1" t="s">
        <v>199</v>
      </c>
      <c r="E4256" s="1" t="s">
        <v>199</v>
      </c>
      <c r="G4256" s="1" t="s">
        <v>200</v>
      </c>
      <c r="H4256" s="2" t="str">
        <f>Tabella1[[#This Row],[Denominazione]]&amp;" - "&amp;Tabella1[[#This Row],[Città]]</f>
        <v>IL POGGIO DI D'ANGELI LIDIA - AUDITORE</v>
      </c>
    </row>
    <row r="4257" spans="1:8" x14ac:dyDescent="0.25">
      <c r="A4257" s="1" t="s">
        <v>82</v>
      </c>
      <c r="B4257" s="1" t="s">
        <v>197</v>
      </c>
      <c r="C4257" s="1" t="s">
        <v>198</v>
      </c>
      <c r="D4257" s="1" t="s">
        <v>199</v>
      </c>
      <c r="E4257" s="1" t="s">
        <v>199</v>
      </c>
      <c r="G4257" s="1" t="s">
        <v>200</v>
      </c>
      <c r="H4257" s="2" t="str">
        <f>Tabella1[[#This Row],[Denominazione]]&amp;" - "&amp;Tabella1[[#This Row],[Città]]</f>
        <v>IL POGGIO DI D'ANGELI LIDIA AFFITTACAMERE - AUDITORE</v>
      </c>
    </row>
    <row r="4258" spans="1:8" x14ac:dyDescent="0.25">
      <c r="A4258" s="1" t="s">
        <v>679</v>
      </c>
      <c r="B4258" s="1" t="s">
        <v>5944</v>
      </c>
      <c r="C4258" s="1" t="s">
        <v>5945</v>
      </c>
      <c r="D4258" s="1" t="s">
        <v>1864</v>
      </c>
      <c r="G4258" s="1" t="s">
        <v>5946</v>
      </c>
      <c r="H4258" s="2" t="str">
        <f>Tabella1[[#This Row],[Denominazione]]&amp;" - "&amp;Tabella1[[#This Row],[Città]]</f>
        <v>IL PORTICCIOLO - ANCONA</v>
      </c>
    </row>
    <row r="4259" spans="1:8" x14ac:dyDescent="0.25">
      <c r="A4259" s="1" t="s">
        <v>679</v>
      </c>
      <c r="B4259" s="1" t="s">
        <v>5944</v>
      </c>
      <c r="C4259" s="1" t="s">
        <v>15382</v>
      </c>
      <c r="D4259" s="1" t="s">
        <v>15349</v>
      </c>
      <c r="F4259" s="1" t="s">
        <v>15383</v>
      </c>
      <c r="H4259" s="2" t="str">
        <f>Tabella1[[#This Row],[Denominazione]]&amp;" - "&amp;Tabella1[[#This Row],[Città]]</f>
        <v>IL PORTICCIOLO - CUPRA MARITTIMA</v>
      </c>
    </row>
    <row r="4260" spans="1:8" x14ac:dyDescent="0.25">
      <c r="A4260" s="1" t="s">
        <v>82</v>
      </c>
      <c r="B4260" s="1" t="s">
        <v>1303</v>
      </c>
      <c r="C4260" s="1" t="s">
        <v>1304</v>
      </c>
      <c r="D4260" s="1" t="s">
        <v>682</v>
      </c>
      <c r="E4260" s="1" t="s">
        <v>1305</v>
      </c>
      <c r="F4260" s="1" t="s">
        <v>1306</v>
      </c>
      <c r="G4260" s="1" t="s">
        <v>1307</v>
      </c>
      <c r="H4260" s="2" t="str">
        <f>Tabella1[[#This Row],[Denominazione]]&amp;" - "&amp;Tabella1[[#This Row],[Città]]</f>
        <v>IL PORTICO - FANO</v>
      </c>
    </row>
    <row r="4261" spans="1:8" x14ac:dyDescent="0.25">
      <c r="A4261" s="1" t="s">
        <v>29</v>
      </c>
      <c r="B4261" s="1" t="s">
        <v>5283</v>
      </c>
      <c r="C4261" s="1" t="s">
        <v>5284</v>
      </c>
      <c r="D4261" s="1" t="s">
        <v>9</v>
      </c>
      <c r="E4261" s="1" t="s">
        <v>9</v>
      </c>
      <c r="F4261" s="1" t="s">
        <v>5285</v>
      </c>
      <c r="G4261" s="1" t="s">
        <v>5286</v>
      </c>
      <c r="H4261" s="2" t="str">
        <f>Tabella1[[#This Row],[Denominazione]]&amp;" - "&amp;Tabella1[[#This Row],[Città]]</f>
        <v>IL POSTO DELLE FATE - URBINO</v>
      </c>
    </row>
    <row r="4262" spans="1:8" x14ac:dyDescent="0.25">
      <c r="A4262" s="1" t="s">
        <v>35</v>
      </c>
      <c r="B4262" s="1" t="s">
        <v>366</v>
      </c>
      <c r="C4262" s="1" t="s">
        <v>367</v>
      </c>
      <c r="D4262" s="1" t="s">
        <v>316</v>
      </c>
      <c r="E4262" s="1" t="s">
        <v>316</v>
      </c>
      <c r="F4262" s="1" t="s">
        <v>368</v>
      </c>
      <c r="G4262" s="1" t="s">
        <v>365</v>
      </c>
      <c r="H4262" s="2" t="str">
        <f>Tabella1[[#This Row],[Denominazione]]&amp;" - "&amp;Tabella1[[#This Row],[Città]]</f>
        <v>IL POSTO DELLE VIOLE - CAGLI</v>
      </c>
    </row>
    <row r="4263" spans="1:8" x14ac:dyDescent="0.25">
      <c r="A4263" s="1" t="s">
        <v>1200</v>
      </c>
      <c r="B4263" s="1" t="s">
        <v>1218</v>
      </c>
      <c r="C4263" s="1" t="s">
        <v>1219</v>
      </c>
      <c r="D4263" s="1" t="s">
        <v>682</v>
      </c>
      <c r="E4263" s="1" t="s">
        <v>682</v>
      </c>
      <c r="H4263" s="2" t="str">
        <f>Tabella1[[#This Row],[Denominazione]]&amp;" - "&amp;Tabella1[[#This Row],[Città]]</f>
        <v>IL PRATO - AGRICAMPEGGIO - FANO</v>
      </c>
    </row>
    <row r="4264" spans="1:8" x14ac:dyDescent="0.25">
      <c r="A4264" s="1" t="s">
        <v>1200</v>
      </c>
      <c r="B4264" s="1" t="s">
        <v>1213</v>
      </c>
      <c r="C4264" s="1" t="s">
        <v>1214</v>
      </c>
      <c r="D4264" s="1" t="s">
        <v>682</v>
      </c>
      <c r="E4264" s="1" t="s">
        <v>682</v>
      </c>
      <c r="F4264" s="1" t="s">
        <v>1215</v>
      </c>
      <c r="G4264" s="1" t="s">
        <v>1216</v>
      </c>
      <c r="H4264" s="2" t="str">
        <f>Tabella1[[#This Row],[Denominazione]]&amp;" - "&amp;Tabella1[[#This Row],[Città]]</f>
        <v>IL PRATO DEI GRILLI - AGRICAMPEGGIO - FANO</v>
      </c>
    </row>
    <row r="4265" spans="1:8" x14ac:dyDescent="0.25">
      <c r="A4265" s="1" t="s">
        <v>20</v>
      </c>
      <c r="B4265" s="1" t="s">
        <v>2825</v>
      </c>
      <c r="C4265" s="1" t="s">
        <v>2826</v>
      </c>
      <c r="D4265" s="1" t="s">
        <v>1605</v>
      </c>
      <c r="E4265" s="1" t="s">
        <v>1605</v>
      </c>
      <c r="G4265" s="1" t="s">
        <v>2827</v>
      </c>
      <c r="H4265" s="2" t="str">
        <f>Tabella1[[#This Row],[Denominazione]]&amp;" - "&amp;Tabella1[[#This Row],[Città]]</f>
        <v>IL PUNTO - MONDOLFO</v>
      </c>
    </row>
    <row r="4266" spans="1:8" x14ac:dyDescent="0.25">
      <c r="A4266" s="1" t="s">
        <v>679</v>
      </c>
      <c r="B4266" s="1" t="s">
        <v>18091</v>
      </c>
      <c r="C4266" s="1" t="s">
        <v>18081</v>
      </c>
      <c r="D4266" s="1" t="s">
        <v>17932</v>
      </c>
      <c r="E4266" s="1" t="s">
        <v>18092</v>
      </c>
      <c r="H4266" s="2" t="str">
        <f>Tabella1[[#This Row],[Denominazione]]&amp;" - "&amp;Tabella1[[#This Row],[Città]]</f>
        <v>IL RE DEL SOLE - SOUTH BACH - FERMO</v>
      </c>
    </row>
    <row r="4267" spans="1:8" x14ac:dyDescent="0.25">
      <c r="A4267" s="1" t="s">
        <v>35</v>
      </c>
      <c r="B4267" s="1" t="s">
        <v>9658</v>
      </c>
      <c r="C4267" s="1" t="s">
        <v>9659</v>
      </c>
      <c r="D4267" s="1" t="s">
        <v>8949</v>
      </c>
      <c r="E4267" s="1" t="s">
        <v>8949</v>
      </c>
      <c r="F4267" s="1" t="s">
        <v>9660</v>
      </c>
      <c r="G4267" s="1" t="s">
        <v>9661</v>
      </c>
      <c r="H4267" s="2" t="str">
        <f>Tabella1[[#This Row],[Denominazione]]&amp;" - "&amp;Tabella1[[#This Row],[Città]]</f>
        <v>IL RIFUGIO - SENIGALLIA</v>
      </c>
    </row>
    <row r="4268" spans="1:8" x14ac:dyDescent="0.25">
      <c r="A4268" s="1" t="s">
        <v>12</v>
      </c>
      <c r="B4268" s="1" t="s">
        <v>13801</v>
      </c>
      <c r="C4268" s="1" t="s">
        <v>13802</v>
      </c>
      <c r="D4268" s="1" t="s">
        <v>13756</v>
      </c>
      <c r="F4268" s="1" t="s">
        <v>13803</v>
      </c>
      <c r="G4268" s="1" t="s">
        <v>13804</v>
      </c>
      <c r="H4268" s="2" t="str">
        <f>Tabella1[[#This Row],[Denominazione]]&amp;" - "&amp;Tabella1[[#This Row],[Città]]</f>
        <v>IL RIFUGIO DEI CANTICI - SARNANO</v>
      </c>
    </row>
    <row r="4269" spans="1:8" x14ac:dyDescent="0.25">
      <c r="A4269" s="1" t="s">
        <v>29</v>
      </c>
      <c r="B4269" s="1" t="s">
        <v>16725</v>
      </c>
      <c r="C4269" s="1" t="s">
        <v>16726</v>
      </c>
      <c r="D4269" s="1" t="s">
        <v>16714</v>
      </c>
      <c r="E4269" s="1" t="s">
        <v>16714</v>
      </c>
      <c r="F4269" s="1" t="s">
        <v>16727</v>
      </c>
      <c r="G4269" s="1" t="s">
        <v>16728</v>
      </c>
      <c r="H4269" s="2" t="str">
        <f>Tabella1[[#This Row],[Denominazione]]&amp;" - "&amp;Tabella1[[#This Row],[Città]]</f>
        <v>IL RIFUGIO DEI MARSI - ROCCAFLUVIONE</v>
      </c>
    </row>
    <row r="4270" spans="1:8" x14ac:dyDescent="0.25">
      <c r="A4270" s="1" t="s">
        <v>29</v>
      </c>
      <c r="B4270" s="1" t="s">
        <v>6394</v>
      </c>
      <c r="C4270" s="1" t="s">
        <v>6395</v>
      </c>
      <c r="D4270" s="1" t="s">
        <v>6371</v>
      </c>
      <c r="E4270" s="1" t="s">
        <v>6371</v>
      </c>
      <c r="G4270" s="1" t="s">
        <v>6396</v>
      </c>
      <c r="H4270" s="2" t="str">
        <f>Tabella1[[#This Row],[Denominazione]]&amp;" - "&amp;Tabella1[[#This Row],[Città]]</f>
        <v>IL RIFUGIO DI APHRODITE - CASTELFIDARDO</v>
      </c>
    </row>
    <row r="4271" spans="1:8" x14ac:dyDescent="0.25">
      <c r="A4271" s="1" t="s">
        <v>20</v>
      </c>
      <c r="B4271" s="1" t="s">
        <v>8438</v>
      </c>
      <c r="C4271" s="1" t="s">
        <v>8439</v>
      </c>
      <c r="D4271" s="1" t="s">
        <v>8411</v>
      </c>
      <c r="G4271" s="1" t="s">
        <v>8440</v>
      </c>
      <c r="H4271" s="2" t="str">
        <f>Tabella1[[#This Row],[Denominazione]]&amp;" - "&amp;Tabella1[[#This Row],[Città]]</f>
        <v>IL RISTORO DEL VIANDANTE - OFFAGNA</v>
      </c>
    </row>
    <row r="4272" spans="1:8" x14ac:dyDescent="0.25">
      <c r="A4272" s="1" t="s">
        <v>35</v>
      </c>
      <c r="B4272" s="1" t="s">
        <v>10271</v>
      </c>
      <c r="C4272" s="1" t="s">
        <v>10272</v>
      </c>
      <c r="D4272" s="1" t="s">
        <v>10206</v>
      </c>
      <c r="E4272" s="1" t="s">
        <v>10206</v>
      </c>
      <c r="F4272" s="1" t="s">
        <v>10273</v>
      </c>
      <c r="G4272" s="1" t="s">
        <v>10274</v>
      </c>
      <c r="H4272" s="2" t="str">
        <f>Tabella1[[#This Row],[Denominazione]]&amp;" - "&amp;Tabella1[[#This Row],[Città]]</f>
        <v>IL RITORNO - SIROLO</v>
      </c>
    </row>
    <row r="4273" spans="1:8" x14ac:dyDescent="0.25">
      <c r="A4273" s="1" t="s">
        <v>82</v>
      </c>
      <c r="B4273" s="1" t="s">
        <v>14174</v>
      </c>
      <c r="C4273" s="1" t="s">
        <v>14175</v>
      </c>
      <c r="D4273" s="1" t="s">
        <v>14065</v>
      </c>
      <c r="E4273" s="1" t="s">
        <v>14065</v>
      </c>
      <c r="G4273" s="1" t="s">
        <v>14176</v>
      </c>
      <c r="H4273" s="2" t="str">
        <f>Tabella1[[#This Row],[Denominazione]]&amp;" - "&amp;Tabella1[[#This Row],[Città]]</f>
        <v>IL ROCCOLO - TREIA</v>
      </c>
    </row>
    <row r="4274" spans="1:8" x14ac:dyDescent="0.25">
      <c r="A4274" s="1" t="s">
        <v>20</v>
      </c>
      <c r="B4274" s="1" t="s">
        <v>16764</v>
      </c>
      <c r="C4274" s="1" t="s">
        <v>16765</v>
      </c>
      <c r="D4274" s="1" t="s">
        <v>16714</v>
      </c>
      <c r="E4274" s="1" t="s">
        <v>16714</v>
      </c>
      <c r="H4274" s="2" t="str">
        <f>Tabella1[[#This Row],[Denominazione]]&amp;" - "&amp;Tabella1[[#This Row],[Città]]</f>
        <v>IL RUSPANTE - ROCCAFLUVIONE</v>
      </c>
    </row>
    <row r="4275" spans="1:8" x14ac:dyDescent="0.25">
      <c r="A4275" s="1" t="s">
        <v>35</v>
      </c>
      <c r="B4275" s="1" t="s">
        <v>6198</v>
      </c>
      <c r="C4275" s="1" t="s">
        <v>6199</v>
      </c>
      <c r="D4275" s="1" t="s">
        <v>6049</v>
      </c>
      <c r="E4275" s="1" t="s">
        <v>565</v>
      </c>
      <c r="F4275" s="1" t="s">
        <v>6200</v>
      </c>
      <c r="G4275" s="1" t="s">
        <v>6201</v>
      </c>
      <c r="H4275" s="2" t="str">
        <f>Tabella1[[#This Row],[Denominazione]]&amp;" - "&amp;Tabella1[[#This Row],[Città]]</f>
        <v>IL RUSTICO - ARCEVIA</v>
      </c>
    </row>
    <row r="4276" spans="1:8" x14ac:dyDescent="0.25">
      <c r="A4276" s="1" t="s">
        <v>6</v>
      </c>
      <c r="B4276" s="1" t="s">
        <v>11892</v>
      </c>
      <c r="C4276" s="1" t="s">
        <v>11893</v>
      </c>
      <c r="D4276" s="1" t="s">
        <v>11883</v>
      </c>
      <c r="E4276" s="1" t="s">
        <v>11883</v>
      </c>
      <c r="F4276" s="1" t="s">
        <v>11894</v>
      </c>
      <c r="G4276" s="1" t="s">
        <v>11895</v>
      </c>
      <c r="H4276" s="2" t="str">
        <f>Tabella1[[#This Row],[Denominazione]]&amp;" - "&amp;Tabella1[[#This Row],[Città]]</f>
        <v>IL SALINO - GUALDO</v>
      </c>
    </row>
    <row r="4277" spans="1:8" x14ac:dyDescent="0.25">
      <c r="A4277" s="1" t="s">
        <v>35</v>
      </c>
      <c r="B4277" s="1" t="s">
        <v>16430</v>
      </c>
      <c r="C4277" s="1" t="s">
        <v>16431</v>
      </c>
      <c r="D4277" s="1" t="s">
        <v>16396</v>
      </c>
      <c r="E4277" s="1" t="s">
        <v>16396</v>
      </c>
      <c r="F4277" s="1" t="s">
        <v>16432</v>
      </c>
      <c r="G4277" s="1" t="s">
        <v>16433</v>
      </c>
      <c r="H4277" s="2" t="str">
        <f>Tabella1[[#This Row],[Denominazione]]&amp;" - "&amp;Tabella1[[#This Row],[Città]]</f>
        <v>IL SAPORE DELLA LUNA - MONTEPRANDONE</v>
      </c>
    </row>
    <row r="4278" spans="1:8" x14ac:dyDescent="0.25">
      <c r="A4278" s="1" t="s">
        <v>35</v>
      </c>
      <c r="B4278" s="1" t="s">
        <v>13826</v>
      </c>
      <c r="C4278" s="1" t="s">
        <v>13827</v>
      </c>
      <c r="D4278" s="1" t="s">
        <v>13756</v>
      </c>
      <c r="E4278" s="1" t="s">
        <v>13756</v>
      </c>
      <c r="F4278" s="1" t="s">
        <v>13828</v>
      </c>
      <c r="G4278" s="1" t="s">
        <v>13829</v>
      </c>
      <c r="H4278" s="2" t="str">
        <f>Tabella1[[#This Row],[Denominazione]]&amp;" - "&amp;Tabella1[[#This Row],[Città]]</f>
        <v>IL SASSETTO - SARNANO</v>
      </c>
    </row>
    <row r="4279" spans="1:8" x14ac:dyDescent="0.25">
      <c r="A4279" s="1" t="s">
        <v>6</v>
      </c>
      <c r="B4279" s="1" t="s">
        <v>6297</v>
      </c>
      <c r="C4279" s="1" t="s">
        <v>6298</v>
      </c>
      <c r="D4279" s="1" t="s">
        <v>6290</v>
      </c>
      <c r="E4279" s="1" t="s">
        <v>6290</v>
      </c>
      <c r="F4279" s="1" t="s">
        <v>6299</v>
      </c>
      <c r="G4279" s="1" t="s">
        <v>6300</v>
      </c>
      <c r="H4279" s="2" t="str">
        <f>Tabella1[[#This Row],[Denominazione]]&amp;" - "&amp;Tabella1[[#This Row],[Città]]</f>
        <v>IL SASSONE - CAMERANO</v>
      </c>
    </row>
    <row r="4280" spans="1:8" x14ac:dyDescent="0.25">
      <c r="A4280" s="1" t="s">
        <v>82</v>
      </c>
      <c r="B4280" s="1" t="s">
        <v>8703</v>
      </c>
      <c r="C4280" s="1" t="s">
        <v>8704</v>
      </c>
      <c r="D4280" s="1" t="s">
        <v>8683</v>
      </c>
      <c r="E4280" s="1" t="s">
        <v>8683</v>
      </c>
      <c r="G4280" s="1" t="s">
        <v>8705</v>
      </c>
      <c r="H4280" s="2" t="str">
        <f>Tabella1[[#This Row],[Denominazione]]&amp;" - "&amp;Tabella1[[#This Row],[Città]]</f>
        <v>IL SENTIERO - OSTRA VETERE</v>
      </c>
    </row>
    <row r="4281" spans="1:8" x14ac:dyDescent="0.25">
      <c r="A4281" s="1" t="s">
        <v>35</v>
      </c>
      <c r="B4281" s="1" t="s">
        <v>8703</v>
      </c>
      <c r="C4281" s="1" t="s">
        <v>16132</v>
      </c>
      <c r="D4281" s="1" t="s">
        <v>16083</v>
      </c>
      <c r="F4281" s="1" t="s">
        <v>16133</v>
      </c>
      <c r="G4281" s="1" t="s">
        <v>16134</v>
      </c>
      <c r="H4281" s="2" t="str">
        <f>Tabella1[[#This Row],[Denominazione]]&amp;" - "&amp;Tabella1[[#This Row],[Città]]</f>
        <v>IL SENTIERO - MONTALTO DELLE MARCHE</v>
      </c>
    </row>
    <row r="4282" spans="1:8" x14ac:dyDescent="0.25">
      <c r="A4282" s="1" t="s">
        <v>6</v>
      </c>
      <c r="B4282" s="1" t="s">
        <v>6506</v>
      </c>
      <c r="C4282" s="1" t="s">
        <v>6507</v>
      </c>
      <c r="D4282" s="1" t="s">
        <v>6497</v>
      </c>
      <c r="E4282" s="1" t="s">
        <v>6508</v>
      </c>
      <c r="F4282" s="1" t="s">
        <v>6509</v>
      </c>
      <c r="G4282" s="1" t="s">
        <v>6510</v>
      </c>
      <c r="H4282" s="2" t="str">
        <f>Tabella1[[#This Row],[Denominazione]]&amp;" - "&amp;Tabella1[[#This Row],[Città]]</f>
        <v>IL SENTIERO DEGLI AILANTI - CERRETO D'ESI</v>
      </c>
    </row>
    <row r="4283" spans="1:8" x14ac:dyDescent="0.25">
      <c r="A4283" s="1" t="s">
        <v>29</v>
      </c>
      <c r="B4283" s="1" t="s">
        <v>11326</v>
      </c>
      <c r="C4283" s="1" t="s">
        <v>11327</v>
      </c>
      <c r="D4283" s="1" t="s">
        <v>11244</v>
      </c>
      <c r="E4283" s="1" t="s">
        <v>11244</v>
      </c>
      <c r="G4283" s="1" t="s">
        <v>11328</v>
      </c>
      <c r="H4283" s="2" t="str">
        <f>Tabella1[[#This Row],[Denominazione]]&amp;" - "&amp;Tabella1[[#This Row],[Città]]</f>
        <v>IL SESTANTE - CIVITANOVA MARCHE</v>
      </c>
    </row>
    <row r="4284" spans="1:8" x14ac:dyDescent="0.25">
      <c r="A4284" s="1" t="s">
        <v>82</v>
      </c>
      <c r="B4284" s="1" t="s">
        <v>15577</v>
      </c>
      <c r="C4284" s="1" t="s">
        <v>15578</v>
      </c>
      <c r="D4284" s="1" t="s">
        <v>15560</v>
      </c>
      <c r="E4284" s="1" t="s">
        <v>15579</v>
      </c>
      <c r="F4284" s="1" t="s">
        <v>15580</v>
      </c>
      <c r="G4284" s="1" t="s">
        <v>15581</v>
      </c>
      <c r="H4284" s="2" t="str">
        <f>Tabella1[[#This Row],[Denominazione]]&amp;" - "&amp;Tabella1[[#This Row],[Città]]</f>
        <v>IL SETTECENTO di Servili Francesco - FORCE</v>
      </c>
    </row>
    <row r="4285" spans="1:8" x14ac:dyDescent="0.25">
      <c r="A4285" s="1" t="s">
        <v>82</v>
      </c>
      <c r="B4285" s="1" t="s">
        <v>6567</v>
      </c>
      <c r="C4285" s="1" t="s">
        <v>6568</v>
      </c>
      <c r="D4285" s="1" t="s">
        <v>6536</v>
      </c>
      <c r="E4285" s="1" t="s">
        <v>6536</v>
      </c>
      <c r="F4285" s="1" t="s">
        <v>6569</v>
      </c>
      <c r="G4285" s="1" t="s">
        <v>6570</v>
      </c>
      <c r="H4285" s="2" t="str">
        <f>Tabella1[[#This Row],[Denominazione]]&amp;" - "&amp;Tabella1[[#This Row],[Città]]</f>
        <v>IL SETTIMO BORGO DI VOETMAN - CORINALDO</v>
      </c>
    </row>
    <row r="4286" spans="1:8" x14ac:dyDescent="0.25">
      <c r="A4286" s="1" t="s">
        <v>29</v>
      </c>
      <c r="B4286" s="1" t="s">
        <v>7684</v>
      </c>
      <c r="C4286" s="1" t="s">
        <v>7685</v>
      </c>
      <c r="D4286" s="1" t="s">
        <v>7678</v>
      </c>
      <c r="E4286" s="1" t="s">
        <v>7678</v>
      </c>
      <c r="G4286" s="1" t="s">
        <v>7686</v>
      </c>
      <c r="H4286" s="2" t="str">
        <f>Tabella1[[#This Row],[Denominazione]]&amp;" - "&amp;Tabella1[[#This Row],[Città]]</f>
        <v>IL SICOMORO - MONTECAROTTO</v>
      </c>
    </row>
    <row r="4287" spans="1:8" x14ac:dyDescent="0.25">
      <c r="A4287" s="1" t="s">
        <v>6</v>
      </c>
      <c r="B4287" s="1" t="s">
        <v>8937</v>
      </c>
      <c r="C4287" s="1" t="s">
        <v>8938</v>
      </c>
      <c r="D4287" s="1" t="s">
        <v>8849</v>
      </c>
      <c r="E4287" s="1" t="s">
        <v>8939</v>
      </c>
      <c r="G4287" s="1" t="s">
        <v>8940</v>
      </c>
      <c r="H4287" s="2" t="str">
        <f>Tabella1[[#This Row],[Denominazione]]&amp;" - "&amp;Tabella1[[#This Row],[Città]]</f>
        <v>IL SOGNO DI TINO - SASSOFERRATO</v>
      </c>
    </row>
    <row r="4288" spans="1:8" x14ac:dyDescent="0.25">
      <c r="A4288" s="1" t="s">
        <v>82</v>
      </c>
      <c r="B4288" s="1" t="s">
        <v>13392</v>
      </c>
      <c r="C4288" s="1" t="s">
        <v>13393</v>
      </c>
      <c r="D4288" s="1" t="s">
        <v>13298</v>
      </c>
      <c r="G4288" s="1" t="s">
        <v>13394</v>
      </c>
      <c r="H4288" s="2" t="str">
        <f>Tabella1[[#This Row],[Denominazione]]&amp;" - "&amp;Tabella1[[#This Row],[Città]]</f>
        <v>IL TELAIO - RECANATI</v>
      </c>
    </row>
    <row r="4289" spans="1:8" x14ac:dyDescent="0.25">
      <c r="A4289" s="1" t="s">
        <v>35</v>
      </c>
      <c r="B4289" s="1" t="s">
        <v>18773</v>
      </c>
      <c r="C4289" s="1" t="s">
        <v>18774</v>
      </c>
      <c r="D4289" s="1" t="s">
        <v>18757</v>
      </c>
      <c r="E4289" s="1" t="s">
        <v>18757</v>
      </c>
      <c r="F4289" s="1" t="s">
        <v>18775</v>
      </c>
      <c r="G4289" s="1" t="s">
        <v>18776</v>
      </c>
      <c r="H4289" s="2" t="str">
        <f>Tabella1[[#This Row],[Denominazione]]&amp;" - "&amp;Tabella1[[#This Row],[Città]]</f>
        <v>IL TEMPIO DI NOVANA - MONTE RINALDO</v>
      </c>
    </row>
    <row r="4290" spans="1:8" x14ac:dyDescent="0.25">
      <c r="A4290" s="1" t="s">
        <v>29</v>
      </c>
      <c r="B4290" s="1" t="s">
        <v>3634</v>
      </c>
      <c r="C4290" s="1" t="s">
        <v>3635</v>
      </c>
      <c r="D4290" s="1" t="s">
        <v>2386</v>
      </c>
      <c r="E4290" s="1" t="s">
        <v>2386</v>
      </c>
      <c r="G4290" s="1" t="s">
        <v>3636</v>
      </c>
      <c r="H4290" s="2" t="str">
        <f>Tabella1[[#This Row],[Denominazione]]&amp;" - "&amp;Tabella1[[#This Row],[Città]]</f>
        <v>IL TERRAZZINO - PESARO</v>
      </c>
    </row>
    <row r="4291" spans="1:8" x14ac:dyDescent="0.25">
      <c r="A4291" s="1" t="s">
        <v>29</v>
      </c>
      <c r="B4291" s="1" t="s">
        <v>3634</v>
      </c>
      <c r="C4291" s="1" t="s">
        <v>17974</v>
      </c>
      <c r="D4291" s="1" t="s">
        <v>17932</v>
      </c>
      <c r="E4291" s="1" t="s">
        <v>17932</v>
      </c>
      <c r="F4291" s="1" t="s">
        <v>17975</v>
      </c>
      <c r="G4291" s="1" t="s">
        <v>17976</v>
      </c>
      <c r="H4291" s="2" t="str">
        <f>Tabella1[[#This Row],[Denominazione]]&amp;" - "&amp;Tabella1[[#This Row],[Città]]</f>
        <v>IL TERRAZZINO - FERMO</v>
      </c>
    </row>
    <row r="4292" spans="1:8" x14ac:dyDescent="0.25">
      <c r="A4292" s="1" t="s">
        <v>29</v>
      </c>
      <c r="B4292" s="1" t="s">
        <v>18387</v>
      </c>
      <c r="C4292" s="1" t="s">
        <v>18388</v>
      </c>
      <c r="D4292" s="1" t="s">
        <v>18389</v>
      </c>
      <c r="G4292" s="1" t="s">
        <v>18390</v>
      </c>
      <c r="H4292" s="2" t="str">
        <f>Tabella1[[#This Row],[Denominazione]]&amp;" - "&amp;Tabella1[[#This Row],[Città]]</f>
        <v>IL TERRAZZO DELLE RONDINI - LAPEDONA</v>
      </c>
    </row>
    <row r="4293" spans="1:8" x14ac:dyDescent="0.25">
      <c r="A4293" s="1" t="s">
        <v>6</v>
      </c>
      <c r="B4293" s="1" t="s">
        <v>7614</v>
      </c>
      <c r="C4293" s="1" t="s">
        <v>7615</v>
      </c>
      <c r="D4293" s="1" t="s">
        <v>7611</v>
      </c>
      <c r="E4293" s="1" t="s">
        <v>7611</v>
      </c>
      <c r="F4293" s="1" t="s">
        <v>7616</v>
      </c>
      <c r="G4293" s="1" t="s">
        <v>7617</v>
      </c>
      <c r="H4293" s="2" t="str">
        <f>Tabella1[[#This Row],[Denominazione]]&amp;" - "&amp;Tabella1[[#This Row],[Città]]</f>
        <v>IL TIGLIO - MERGO</v>
      </c>
    </row>
    <row r="4294" spans="1:8" x14ac:dyDescent="0.25">
      <c r="A4294" s="1" t="s">
        <v>12</v>
      </c>
      <c r="B4294" s="1" t="s">
        <v>7614</v>
      </c>
      <c r="C4294" s="1" t="s">
        <v>8941</v>
      </c>
      <c r="D4294" s="1" t="s">
        <v>8849</v>
      </c>
      <c r="E4294" s="1" t="s">
        <v>8942</v>
      </c>
      <c r="G4294" s="1" t="s">
        <v>8943</v>
      </c>
      <c r="H4294" s="2" t="str">
        <f>Tabella1[[#This Row],[Denominazione]]&amp;" - "&amp;Tabella1[[#This Row],[Città]]</f>
        <v>IL TIGLIO - SASSOFERRATO</v>
      </c>
    </row>
    <row r="4295" spans="1:8" x14ac:dyDescent="0.25">
      <c r="A4295" s="1" t="s">
        <v>186</v>
      </c>
      <c r="B4295" s="1" t="s">
        <v>7614</v>
      </c>
      <c r="C4295" s="1" t="s">
        <v>14194</v>
      </c>
      <c r="D4295" s="1" t="s">
        <v>14195</v>
      </c>
      <c r="E4295" s="1" t="s">
        <v>14196</v>
      </c>
      <c r="G4295" s="1" t="s">
        <v>14197</v>
      </c>
      <c r="H4295" s="2" t="str">
        <f>Tabella1[[#This Row],[Denominazione]]&amp;" - "&amp;Tabella1[[#This Row],[Città]]</f>
        <v>IL TIGLIO - URBISAGLIA</v>
      </c>
    </row>
    <row r="4296" spans="1:8" x14ac:dyDescent="0.25">
      <c r="A4296" s="1" t="s">
        <v>35</v>
      </c>
      <c r="B4296" s="1" t="s">
        <v>16364</v>
      </c>
      <c r="C4296" s="1" t="s">
        <v>16365</v>
      </c>
      <c r="D4296" s="1" t="s">
        <v>16312</v>
      </c>
      <c r="E4296" s="1" t="s">
        <v>16312</v>
      </c>
      <c r="G4296" s="1" t="s">
        <v>16366</v>
      </c>
      <c r="H4296" s="2" t="str">
        <f>Tabella1[[#This Row],[Denominazione]]&amp;" - "&amp;Tabella1[[#This Row],[Città]]</f>
        <v>IL TIGLIO DI MAZZARONI ENRICO - MONTEMONACO</v>
      </c>
    </row>
    <row r="4297" spans="1:8" x14ac:dyDescent="0.25">
      <c r="A4297" s="1" t="s">
        <v>29</v>
      </c>
      <c r="B4297" s="1" t="s">
        <v>11684</v>
      </c>
      <c r="C4297" s="1" t="s">
        <v>11685</v>
      </c>
      <c r="D4297" s="1" t="s">
        <v>11244</v>
      </c>
      <c r="E4297" s="1" t="s">
        <v>11244</v>
      </c>
      <c r="G4297" s="1" t="s">
        <v>11686</v>
      </c>
      <c r="H4297" s="2" t="str">
        <f>Tabella1[[#This Row],[Denominazione]]&amp;" - "&amp;Tabella1[[#This Row],[Città]]</f>
        <v>IL TIMONE - CIVITANOVA MARCHE</v>
      </c>
    </row>
    <row r="4298" spans="1:8" x14ac:dyDescent="0.25">
      <c r="A4298" s="1" t="s">
        <v>679</v>
      </c>
      <c r="B4298" s="1" t="s">
        <v>11684</v>
      </c>
      <c r="D4298" s="1" t="s">
        <v>15819</v>
      </c>
      <c r="F4298" s="1" t="s">
        <v>17130</v>
      </c>
      <c r="H4298" s="2" t="str">
        <f>Tabella1[[#This Row],[Denominazione]]&amp;" - "&amp;Tabella1[[#This Row],[Città]]</f>
        <v>IL TIMONE - SAN BENEDETTO DEL TRONTO</v>
      </c>
    </row>
    <row r="4299" spans="1:8" x14ac:dyDescent="0.25">
      <c r="A4299" s="1" t="s">
        <v>20</v>
      </c>
      <c r="B4299" s="1" t="s">
        <v>11684</v>
      </c>
      <c r="C4299" s="1" t="s">
        <v>19157</v>
      </c>
      <c r="D4299" s="1" t="s">
        <v>18082</v>
      </c>
      <c r="E4299" s="1" t="s">
        <v>18082</v>
      </c>
      <c r="F4299" s="1" t="s">
        <v>19158</v>
      </c>
      <c r="G4299" s="1" t="s">
        <v>19159</v>
      </c>
      <c r="H4299" s="2" t="str">
        <f>Tabella1[[#This Row],[Denominazione]]&amp;" - "&amp;Tabella1[[#This Row],[Città]]</f>
        <v>IL TIMONE - PORTO SAN GIORGIO</v>
      </c>
    </row>
    <row r="4300" spans="1:8" x14ac:dyDescent="0.25">
      <c r="A4300" s="1" t="s">
        <v>20</v>
      </c>
      <c r="B4300" s="1" t="s">
        <v>207</v>
      </c>
      <c r="C4300" s="1" t="s">
        <v>208</v>
      </c>
      <c r="D4300" s="1" t="s">
        <v>199</v>
      </c>
      <c r="E4300" s="1" t="s">
        <v>199</v>
      </c>
      <c r="F4300" s="1" t="s">
        <v>209</v>
      </c>
      <c r="G4300" s="1" t="s">
        <v>210</v>
      </c>
      <c r="H4300" s="2" t="str">
        <f>Tabella1[[#This Row],[Denominazione]]&amp;" - "&amp;Tabella1[[#This Row],[Città]]</f>
        <v>IL TORRIONE - AUDITORE</v>
      </c>
    </row>
    <row r="4301" spans="1:8" x14ac:dyDescent="0.25">
      <c r="A4301" s="1" t="s">
        <v>35</v>
      </c>
      <c r="B4301" s="1" t="s">
        <v>13216</v>
      </c>
      <c r="C4301" s="1" t="s">
        <v>13217</v>
      </c>
      <c r="D4301" s="1" t="s">
        <v>13026</v>
      </c>
      <c r="E4301" s="1" t="s">
        <v>13026</v>
      </c>
      <c r="G4301" s="1" t="s">
        <v>13218</v>
      </c>
      <c r="H4301" s="2" t="str">
        <f>Tabella1[[#This Row],[Denominazione]]&amp;" - "&amp;Tabella1[[#This Row],[Città]]</f>
        <v>IL TRANSUMANTE - POTENZA PICENA</v>
      </c>
    </row>
    <row r="4302" spans="1:8" x14ac:dyDescent="0.25">
      <c r="A4302" s="1" t="s">
        <v>300</v>
      </c>
      <c r="B4302" s="1" t="s">
        <v>11810</v>
      </c>
      <c r="C4302" s="1" t="s">
        <v>11811</v>
      </c>
      <c r="D4302" s="1" t="s">
        <v>11792</v>
      </c>
      <c r="F4302" s="1" t="s">
        <v>11812</v>
      </c>
      <c r="G4302" s="1" t="s">
        <v>11813</v>
      </c>
      <c r="H4302" s="2" t="str">
        <f>Tabella1[[#This Row],[Denominazione]]&amp;" - "&amp;Tabella1[[#This Row],[Città]]</f>
        <v>IL TRIBBIO DI RICOTTINI GIANCARLO - FIASTRA</v>
      </c>
    </row>
    <row r="4303" spans="1:8" x14ac:dyDescent="0.25">
      <c r="A4303" s="1" t="s">
        <v>679</v>
      </c>
      <c r="B4303" s="1" t="s">
        <v>17141</v>
      </c>
      <c r="D4303" s="1" t="s">
        <v>15819</v>
      </c>
      <c r="H4303" s="2" t="str">
        <f>Tabella1[[#This Row],[Denominazione]]&amp;" - "&amp;Tabella1[[#This Row],[Città]]</f>
        <v>IL TRITONE - SAN BENEDETTO DEL TRONTO</v>
      </c>
    </row>
    <row r="4304" spans="1:8" x14ac:dyDescent="0.25">
      <c r="A4304" s="1" t="s">
        <v>679</v>
      </c>
      <c r="B4304" s="1" t="s">
        <v>15905</v>
      </c>
      <c r="C4304" s="1" t="s">
        <v>15906</v>
      </c>
      <c r="D4304" s="1" t="s">
        <v>15585</v>
      </c>
      <c r="H4304" s="2" t="str">
        <f>Tabella1[[#This Row],[Denominazione]]&amp;" - "&amp;Tabella1[[#This Row],[Città]]</f>
        <v>IL TUCANO - GROTTAMMARE</v>
      </c>
    </row>
    <row r="4305" spans="1:8" x14ac:dyDescent="0.25">
      <c r="A4305" s="1" t="s">
        <v>20</v>
      </c>
      <c r="B4305" s="1" t="s">
        <v>16583</v>
      </c>
      <c r="C4305" s="1" t="s">
        <v>16584</v>
      </c>
      <c r="D4305" s="1" t="s">
        <v>16585</v>
      </c>
      <c r="E4305" s="1" t="s">
        <v>16585</v>
      </c>
      <c r="F4305" s="1" t="s">
        <v>16586</v>
      </c>
      <c r="G4305" s="1" t="s">
        <v>16587</v>
      </c>
      <c r="H4305" s="2" t="str">
        <f>Tabella1[[#This Row],[Denominazione]]&amp;" - "&amp;Tabella1[[#This Row],[Città]]</f>
        <v>IL TUO CORBEZZOLO - RIPATRANSONE</v>
      </c>
    </row>
    <row r="4306" spans="1:8" x14ac:dyDescent="0.25">
      <c r="A4306" s="1" t="s">
        <v>679</v>
      </c>
      <c r="B4306" s="1" t="s">
        <v>5751</v>
      </c>
      <c r="D4306" s="1" t="s">
        <v>1864</v>
      </c>
      <c r="E4306" s="1" t="s">
        <v>5752</v>
      </c>
      <c r="F4306" s="1" t="s">
        <v>5753</v>
      </c>
      <c r="G4306" s="1" t="s">
        <v>5754</v>
      </c>
      <c r="H4306" s="2" t="str">
        <f>Tabella1[[#This Row],[Denominazione]]&amp;" - "&amp;Tabella1[[#This Row],[Città]]</f>
        <v>IL VALENTINO - ANCONA</v>
      </c>
    </row>
    <row r="4307" spans="1:8" x14ac:dyDescent="0.25">
      <c r="A4307" s="1" t="s">
        <v>571</v>
      </c>
      <c r="B4307" s="1" t="s">
        <v>12885</v>
      </c>
      <c r="C4307" s="1" t="s">
        <v>12886</v>
      </c>
      <c r="D4307" s="1" t="s">
        <v>12801</v>
      </c>
      <c r="E4307" s="1" t="s">
        <v>12801</v>
      </c>
      <c r="G4307" s="1" t="s">
        <v>12887</v>
      </c>
      <c r="H4307" s="2" t="str">
        <f>Tabella1[[#This Row],[Denominazione]]&amp;" - "&amp;Tabella1[[#This Row],[Città]]</f>
        <v>IL VASCELLO - PORTO RECANATI</v>
      </c>
    </row>
    <row r="4308" spans="1:8" x14ac:dyDescent="0.25">
      <c r="A4308" s="1" t="s">
        <v>1200</v>
      </c>
      <c r="B4308" s="1" t="s">
        <v>15959</v>
      </c>
      <c r="D4308" s="1" t="s">
        <v>15585</v>
      </c>
      <c r="E4308" s="1" t="s">
        <v>15585</v>
      </c>
      <c r="G4308" s="1" t="s">
        <v>15960</v>
      </c>
      <c r="H4308" s="2" t="str">
        <f>Tabella1[[#This Row],[Denominazione]]&amp;" - "&amp;Tabella1[[#This Row],[Città]]</f>
        <v>IL VECCHIO ED IL MARE - GROTTAMMARE</v>
      </c>
    </row>
    <row r="4309" spans="1:8" x14ac:dyDescent="0.25">
      <c r="A4309" s="1" t="s">
        <v>20</v>
      </c>
      <c r="B4309" s="1" t="s">
        <v>14082</v>
      </c>
      <c r="C4309" s="1" t="s">
        <v>14083</v>
      </c>
      <c r="D4309" s="1" t="s">
        <v>14065</v>
      </c>
      <c r="E4309" s="1" t="s">
        <v>14065</v>
      </c>
      <c r="F4309" s="1" t="s">
        <v>14084</v>
      </c>
      <c r="G4309" s="1" t="s">
        <v>14085</v>
      </c>
      <c r="H4309" s="2" t="str">
        <f>Tabella1[[#This Row],[Denominazione]]&amp;" - "&amp;Tabella1[[#This Row],[Città]]</f>
        <v>IL VECCHIO GRANAIO - TREIA</v>
      </c>
    </row>
    <row r="4310" spans="1:8" x14ac:dyDescent="0.25">
      <c r="A4310" s="1" t="s">
        <v>12</v>
      </c>
      <c r="B4310" s="1" t="s">
        <v>10441</v>
      </c>
      <c r="C4310" s="1" t="s">
        <v>10442</v>
      </c>
      <c r="D4310" s="1" t="s">
        <v>10206</v>
      </c>
      <c r="G4310" s="1" t="s">
        <v>10443</v>
      </c>
      <c r="H4310" s="2" t="str">
        <f>Tabella1[[#This Row],[Denominazione]]&amp;" - "&amp;Tabella1[[#This Row],[Città]]</f>
        <v>IL VECCHIO MANDORLO - SIROLO</v>
      </c>
    </row>
    <row r="4311" spans="1:8" x14ac:dyDescent="0.25">
      <c r="A4311" s="1" t="s">
        <v>35</v>
      </c>
      <c r="B4311" s="1" t="s">
        <v>18037</v>
      </c>
      <c r="C4311" s="1" t="s">
        <v>18038</v>
      </c>
      <c r="D4311" s="1" t="s">
        <v>17932</v>
      </c>
      <c r="E4311" s="1" t="s">
        <v>17932</v>
      </c>
      <c r="F4311" s="1" t="s">
        <v>18039</v>
      </c>
      <c r="G4311" s="1" t="s">
        <v>18040</v>
      </c>
      <c r="H4311" s="2" t="str">
        <f>Tabella1[[#This Row],[Denominazione]]&amp;" - "&amp;Tabella1[[#This Row],[Città]]</f>
        <v>IL VECCHIO PIOPPO - FERMO</v>
      </c>
    </row>
    <row r="4312" spans="1:8" x14ac:dyDescent="0.25">
      <c r="A4312" s="1" t="s">
        <v>29</v>
      </c>
      <c r="B4312" s="1" t="s">
        <v>18598</v>
      </c>
      <c r="C4312" s="1" t="s">
        <v>18599</v>
      </c>
      <c r="D4312" s="1" t="s">
        <v>18589</v>
      </c>
      <c r="E4312" s="1" t="s">
        <v>18589</v>
      </c>
      <c r="H4312" s="2" t="str">
        <f>Tabella1[[#This Row],[Denominazione]]&amp;" - "&amp;Tabella1[[#This Row],[Città]]</f>
        <v>IL VECCHIO PODERE - MONTE GIBERTO</v>
      </c>
    </row>
    <row r="4313" spans="1:8" x14ac:dyDescent="0.25">
      <c r="A4313" s="1" t="s">
        <v>35</v>
      </c>
      <c r="B4313" s="1" t="s">
        <v>9432</v>
      </c>
      <c r="C4313" s="1" t="s">
        <v>9433</v>
      </c>
      <c r="D4313" s="1" t="s">
        <v>8949</v>
      </c>
      <c r="E4313" s="1" t="s">
        <v>9027</v>
      </c>
      <c r="F4313" s="1" t="s">
        <v>9434</v>
      </c>
      <c r="G4313" s="1" t="s">
        <v>9435</v>
      </c>
      <c r="H4313" s="2" t="str">
        <f>Tabella1[[#This Row],[Denominazione]]&amp;" - "&amp;Tabella1[[#This Row],[Città]]</f>
        <v>IL VECCHIO SCORNABECCO - SENIGALLIA</v>
      </c>
    </row>
    <row r="4314" spans="1:8" x14ac:dyDescent="0.25">
      <c r="A4314" s="1" t="s">
        <v>82</v>
      </c>
      <c r="B4314" s="1" t="s">
        <v>19661</v>
      </c>
      <c r="C4314" s="1" t="s">
        <v>19662</v>
      </c>
      <c r="D4314" s="1" t="s">
        <v>19649</v>
      </c>
      <c r="F4314" s="1" t="s">
        <v>19663</v>
      </c>
      <c r="G4314" s="1" t="s">
        <v>19664</v>
      </c>
      <c r="H4314" s="2" t="str">
        <f>Tabella1[[#This Row],[Denominazione]]&amp;" - "&amp;Tabella1[[#This Row],[Città]]</f>
        <v>IL VECCHIO TASSO (BASSETTI CLAUDIA) - SMERILLO</v>
      </c>
    </row>
    <row r="4315" spans="1:8" x14ac:dyDescent="0.25">
      <c r="A4315" s="1" t="s">
        <v>20</v>
      </c>
      <c r="B4315" s="1" t="s">
        <v>18461</v>
      </c>
      <c r="C4315" s="1" t="s">
        <v>18462</v>
      </c>
      <c r="D4315" s="1" t="s">
        <v>18463</v>
      </c>
      <c r="E4315" s="1" t="s">
        <v>18464</v>
      </c>
      <c r="H4315" s="2" t="str">
        <f>Tabella1[[#This Row],[Denominazione]]&amp;" - "&amp;Tabella1[[#This Row],[Città]]</f>
        <v>IL VELIERO - MAGLIANO DI TENNA</v>
      </c>
    </row>
    <row r="4316" spans="1:8" x14ac:dyDescent="0.25">
      <c r="A4316" s="1" t="s">
        <v>82</v>
      </c>
      <c r="B4316" s="1" t="s">
        <v>10358</v>
      </c>
      <c r="C4316" s="1" t="s">
        <v>10359</v>
      </c>
      <c r="D4316" s="1" t="s">
        <v>10206</v>
      </c>
      <c r="F4316" s="1" t="s">
        <v>10360</v>
      </c>
      <c r="G4316" s="1" t="s">
        <v>10361</v>
      </c>
      <c r="H4316" s="2" t="str">
        <f>Tabella1[[#This Row],[Denominazione]]&amp;" - "&amp;Tabella1[[#This Row],[Città]]</f>
        <v>IL VICOLO RELAIS - SIROLO</v>
      </c>
    </row>
    <row r="4317" spans="1:8" x14ac:dyDescent="0.25">
      <c r="A4317" s="1" t="s">
        <v>35</v>
      </c>
      <c r="B4317" s="1" t="s">
        <v>12315</v>
      </c>
      <c r="C4317" s="1" t="s">
        <v>12316</v>
      </c>
      <c r="D4317" s="1" t="s">
        <v>12290</v>
      </c>
      <c r="G4317" s="1" t="s">
        <v>12317</v>
      </c>
      <c r="H4317" s="2" t="str">
        <f>Tabella1[[#This Row],[Denominazione]]&amp;" - "&amp;Tabella1[[#This Row],[Città]]</f>
        <v>IL VIGNETO - MOGLIANO</v>
      </c>
    </row>
    <row r="4318" spans="1:8" x14ac:dyDescent="0.25">
      <c r="A4318" s="1" t="s">
        <v>82</v>
      </c>
      <c r="B4318" s="1" t="s">
        <v>7564</v>
      </c>
      <c r="D4318" s="1" t="s">
        <v>7385</v>
      </c>
      <c r="G4318" s="1" t="s">
        <v>7565</v>
      </c>
      <c r="H4318" s="2" t="str">
        <f>Tabella1[[#This Row],[Denominazione]]&amp;" - "&amp;Tabella1[[#This Row],[Città]]</f>
        <v>IL VILLINO - LORETO</v>
      </c>
    </row>
    <row r="4319" spans="1:8" x14ac:dyDescent="0.25">
      <c r="A4319" s="1" t="s">
        <v>6</v>
      </c>
      <c r="B4319" s="1" t="s">
        <v>6611</v>
      </c>
      <c r="D4319" s="1" t="s">
        <v>6536</v>
      </c>
      <c r="E4319" s="1" t="s">
        <v>6612</v>
      </c>
      <c r="H4319" s="2" t="str">
        <f>Tabella1[[#This Row],[Denominazione]]&amp;" - "&amp;Tabella1[[#This Row],[Città]]</f>
        <v>IL VILLINO CAMPAGNOLO - CORINALDO</v>
      </c>
    </row>
    <row r="4320" spans="1:8" x14ac:dyDescent="0.25">
      <c r="A4320" s="1" t="s">
        <v>29</v>
      </c>
      <c r="B4320" s="1" t="s">
        <v>16717</v>
      </c>
      <c r="C4320" s="1" t="s">
        <v>16718</v>
      </c>
      <c r="D4320" s="1" t="s">
        <v>16714</v>
      </c>
      <c r="E4320" s="1" t="s">
        <v>16714</v>
      </c>
      <c r="H4320" s="2" t="str">
        <f>Tabella1[[#This Row],[Denominazione]]&amp;" - "&amp;Tabella1[[#This Row],[Città]]</f>
        <v>IL VIRGINIA - ROCCAFLUVIONE</v>
      </c>
    </row>
    <row r="4321" spans="1:8" x14ac:dyDescent="0.25">
      <c r="A4321" s="1" t="s">
        <v>12</v>
      </c>
      <c r="B4321" s="1" t="s">
        <v>9294</v>
      </c>
      <c r="C4321" s="1" t="s">
        <v>9295</v>
      </c>
      <c r="D4321" s="1" t="s">
        <v>8949</v>
      </c>
      <c r="E4321" s="1" t="s">
        <v>8949</v>
      </c>
      <c r="G4321" s="1" t="s">
        <v>9037</v>
      </c>
      <c r="H4321" s="2" t="str">
        <f>Tabella1[[#This Row],[Denominazione]]&amp;" - "&amp;Tabella1[[#This Row],[Città]]</f>
        <v>ILARI SERENELLA - SENIGALLIA</v>
      </c>
    </row>
    <row r="4322" spans="1:8" x14ac:dyDescent="0.25">
      <c r="A4322" s="1" t="s">
        <v>12</v>
      </c>
      <c r="B4322" s="1" t="s">
        <v>2965</v>
      </c>
      <c r="C4322" s="1" t="s">
        <v>2966</v>
      </c>
      <c r="D4322" s="1" t="s">
        <v>1605</v>
      </c>
      <c r="G4322" s="1" t="s">
        <v>2964</v>
      </c>
      <c r="H4322" s="2" t="str">
        <f>Tabella1[[#This Row],[Denominazione]]&amp;" - "&amp;Tabella1[[#This Row],[Città]]</f>
        <v>ILARIA, LUIGI MOSCATELLI - MONDOLFO</v>
      </c>
    </row>
    <row r="4323" spans="1:8" x14ac:dyDescent="0.25">
      <c r="A4323" s="1" t="s">
        <v>35</v>
      </c>
      <c r="B4323" s="1" t="s">
        <v>18069</v>
      </c>
      <c r="C4323" s="1" t="s">
        <v>18070</v>
      </c>
      <c r="D4323" s="1" t="s">
        <v>17932</v>
      </c>
      <c r="E4323" s="1" t="s">
        <v>17932</v>
      </c>
      <c r="G4323" s="1" t="s">
        <v>18071</v>
      </c>
      <c r="H4323" s="2" t="str">
        <f>Tabella1[[#This Row],[Denominazione]]&amp;" - "&amp;Tabella1[[#This Row],[Città]]</f>
        <v>ILPICCOLO BOSCO - FERMO</v>
      </c>
    </row>
    <row r="4324" spans="1:8" x14ac:dyDescent="0.25">
      <c r="A4324" s="1" t="s">
        <v>82</v>
      </c>
      <c r="B4324" s="1" t="s">
        <v>6354</v>
      </c>
      <c r="C4324" s="1" t="s">
        <v>6355</v>
      </c>
      <c r="D4324" s="1" t="s">
        <v>6344</v>
      </c>
      <c r="E4324" s="1" t="s">
        <v>6344</v>
      </c>
      <c r="G4324" s="1" t="s">
        <v>6349</v>
      </c>
      <c r="H4324" s="2" t="str">
        <f>Tabella1[[#This Row],[Denominazione]]&amp;" - "&amp;Tabella1[[#This Row],[Città]]</f>
        <v>IMMOBILIARE LE PIANE SNC - CAMERATA PICENA</v>
      </c>
    </row>
    <row r="4325" spans="1:8" x14ac:dyDescent="0.25">
      <c r="A4325" s="1" t="s">
        <v>82</v>
      </c>
      <c r="B4325" s="1" t="s">
        <v>7053</v>
      </c>
      <c r="C4325" s="1" t="s">
        <v>7054</v>
      </c>
      <c r="D4325" s="1" t="s">
        <v>5735</v>
      </c>
      <c r="E4325" s="1" t="s">
        <v>5735</v>
      </c>
      <c r="G4325" s="1" t="s">
        <v>7055</v>
      </c>
      <c r="H4325" s="2" t="str">
        <f>Tabella1[[#This Row],[Denominazione]]&amp;" - "&amp;Tabella1[[#This Row],[Città]]</f>
        <v>IMMOBILIARE SAN VITO - FALCONARA MARITTIMA</v>
      </c>
    </row>
    <row r="4326" spans="1:8" x14ac:dyDescent="0.25">
      <c r="A4326" s="1" t="s">
        <v>82</v>
      </c>
      <c r="B4326" s="1" t="s">
        <v>8302</v>
      </c>
      <c r="C4326" s="1" t="s">
        <v>8303</v>
      </c>
      <c r="D4326" s="1" t="s">
        <v>7889</v>
      </c>
      <c r="E4326" s="1" t="s">
        <v>7889</v>
      </c>
      <c r="F4326" s="1" t="s">
        <v>8304</v>
      </c>
      <c r="G4326" s="1" t="s">
        <v>8305</v>
      </c>
      <c r="H4326" s="2" t="str">
        <f>Tabella1[[#This Row],[Denominazione]]&amp;" - "&amp;Tabella1[[#This Row],[Città]]</f>
        <v>IMMOBILIARE TURISTICA BRANCHINI - NUMANA</v>
      </c>
    </row>
    <row r="4327" spans="1:8" x14ac:dyDescent="0.25">
      <c r="A4327" s="1" t="s">
        <v>20</v>
      </c>
      <c r="B4327" s="1" t="s">
        <v>1261</v>
      </c>
      <c r="C4327" s="1" t="s">
        <v>1262</v>
      </c>
      <c r="D4327" s="1" t="s">
        <v>682</v>
      </c>
      <c r="E4327" s="1" t="s">
        <v>1263</v>
      </c>
      <c r="F4327" s="1" t="s">
        <v>1264</v>
      </c>
      <c r="G4327" s="1" t="s">
        <v>1265</v>
      </c>
      <c r="H4327" s="2" t="str">
        <f>Tabella1[[#This Row],[Denominazione]]&amp;" - "&amp;Tabella1[[#This Row],[Città]]</f>
        <v>IMPERIAL - FANO</v>
      </c>
    </row>
    <row r="4328" spans="1:8" x14ac:dyDescent="0.25">
      <c r="A4328" s="1" t="s">
        <v>20</v>
      </c>
      <c r="B4328" s="1" t="s">
        <v>1261</v>
      </c>
      <c r="C4328" s="1" t="s">
        <v>17411</v>
      </c>
      <c r="D4328" s="1" t="s">
        <v>15819</v>
      </c>
      <c r="E4328" s="1" t="s">
        <v>15819</v>
      </c>
      <c r="F4328" s="1" t="s">
        <v>17446</v>
      </c>
      <c r="G4328" s="1" t="s">
        <v>17127</v>
      </c>
      <c r="H4328" s="2" t="str">
        <f>Tabella1[[#This Row],[Denominazione]]&amp;" - "&amp;Tabella1[[#This Row],[Città]]</f>
        <v>IMPERIAL - SAN BENEDETTO DEL TRONTO</v>
      </c>
    </row>
    <row r="4329" spans="1:8" x14ac:dyDescent="0.25">
      <c r="A4329" s="1" t="s">
        <v>679</v>
      </c>
      <c r="B4329" s="1" t="s">
        <v>17126</v>
      </c>
      <c r="D4329" s="1" t="s">
        <v>15819</v>
      </c>
      <c r="F4329" s="1" t="s">
        <v>17127</v>
      </c>
      <c r="H4329" s="2" t="str">
        <f>Tabella1[[#This Row],[Denominazione]]&amp;" - "&amp;Tabella1[[#This Row],[Città]]</f>
        <v>IMPERIAL BEACH - SAN BENEDETTO DEL TRONTO</v>
      </c>
    </row>
    <row r="4330" spans="1:8" x14ac:dyDescent="0.25">
      <c r="A4330" s="1" t="s">
        <v>35</v>
      </c>
      <c r="B4330" s="1" t="s">
        <v>17663</v>
      </c>
      <c r="C4330" s="1" t="s">
        <v>17664</v>
      </c>
      <c r="D4330" s="1" t="s">
        <v>17659</v>
      </c>
      <c r="E4330" s="1" t="s">
        <v>17659</v>
      </c>
      <c r="H4330" s="2" t="str">
        <f>Tabella1[[#This Row],[Denominazione]]&amp;" - "&amp;Tabella1[[#This Row],[Città]]</f>
        <v>IMPRESA AGRICOLA CALVARESI MARIA - SPINETOLI</v>
      </c>
    </row>
    <row r="4331" spans="1:8" x14ac:dyDescent="0.25">
      <c r="A4331" s="1" t="s">
        <v>35</v>
      </c>
      <c r="B4331" s="1" t="s">
        <v>17668</v>
      </c>
      <c r="D4331" s="1" t="s">
        <v>17659</v>
      </c>
      <c r="H4331" s="2" t="str">
        <f>Tabella1[[#This Row],[Denominazione]]&amp;" - "&amp;Tabella1[[#This Row],[Città]]</f>
        <v>IMPRESA AGRICOLA MASSI GIOVANNI - SPINETOLI</v>
      </c>
    </row>
    <row r="4332" spans="1:8" x14ac:dyDescent="0.25">
      <c r="A4332" s="1" t="s">
        <v>82</v>
      </c>
      <c r="B4332" s="1" t="s">
        <v>10881</v>
      </c>
      <c r="C4332" s="1" t="s">
        <v>10882</v>
      </c>
      <c r="D4332" s="1" t="s">
        <v>10737</v>
      </c>
      <c r="F4332" s="1" t="s">
        <v>10883</v>
      </c>
      <c r="G4332" s="1" t="s">
        <v>10884</v>
      </c>
      <c r="H4332" s="2" t="str">
        <f>Tabella1[[#This Row],[Denominazione]]&amp;" - "&amp;Tabella1[[#This Row],[Città]]</f>
        <v>IN TOWN LUXURY HOUSE - CAMERINO</v>
      </c>
    </row>
    <row r="4333" spans="1:8" x14ac:dyDescent="0.25">
      <c r="A4333" s="1" t="s">
        <v>29</v>
      </c>
      <c r="B4333" s="1" t="s">
        <v>16888</v>
      </c>
      <c r="C4333" s="1" t="s">
        <v>16889</v>
      </c>
      <c r="D4333" s="1" t="s">
        <v>15819</v>
      </c>
      <c r="E4333" s="1" t="s">
        <v>15819</v>
      </c>
      <c r="F4333" s="1" t="s">
        <v>16890</v>
      </c>
      <c r="G4333" s="1" t="s">
        <v>16891</v>
      </c>
      <c r="H4333" s="2" t="str">
        <f>Tabella1[[#This Row],[Denominazione]]&amp;" - "&amp;Tabella1[[#This Row],[Città]]</f>
        <v>INCANTO SOTTO IL MARE - SAN BENEDETTO DEL TRONTO</v>
      </c>
    </row>
    <row r="4334" spans="1:8" x14ac:dyDescent="0.25">
      <c r="A4334" s="1" t="s">
        <v>29</v>
      </c>
      <c r="B4334" s="1" t="s">
        <v>7288</v>
      </c>
      <c r="C4334" s="1" t="s">
        <v>7289</v>
      </c>
      <c r="D4334" s="1" t="s">
        <v>7254</v>
      </c>
      <c r="E4334" s="1" t="s">
        <v>7254</v>
      </c>
      <c r="F4334" s="1" t="s">
        <v>7290</v>
      </c>
      <c r="G4334" s="1" t="s">
        <v>7291</v>
      </c>
      <c r="H4334" s="2" t="str">
        <f>Tabella1[[#This Row],[Denominazione]]&amp;" - "&amp;Tabella1[[#This Row],[Città]]</f>
        <v>incentro - JESI</v>
      </c>
    </row>
    <row r="4335" spans="1:8" x14ac:dyDescent="0.25">
      <c r="A4335" s="1" t="s">
        <v>35</v>
      </c>
      <c r="B4335" s="1" t="s">
        <v>13527</v>
      </c>
      <c r="C4335" s="1" t="s">
        <v>13528</v>
      </c>
      <c r="D4335" s="1" t="s">
        <v>6072</v>
      </c>
      <c r="G4335" s="1" t="s">
        <v>13529</v>
      </c>
      <c r="H4335" s="2" t="str">
        <f>Tabella1[[#This Row],[Denominazione]]&amp;" - "&amp;Tabella1[[#This Row],[Città]]</f>
        <v>INFINITI ORIZZONTI - SAN GINESIO</v>
      </c>
    </row>
    <row r="4336" spans="1:8" x14ac:dyDescent="0.25">
      <c r="A4336" s="1" t="s">
        <v>20</v>
      </c>
      <c r="B4336" s="1" t="s">
        <v>2319</v>
      </c>
      <c r="C4336" s="1" t="s">
        <v>2320</v>
      </c>
      <c r="D4336" s="1" t="s">
        <v>1907</v>
      </c>
      <c r="E4336" s="1" t="s">
        <v>1907</v>
      </c>
      <c r="F4336" s="1" t="s">
        <v>2321</v>
      </c>
      <c r="G4336" s="1" t="s">
        <v>2322</v>
      </c>
      <c r="H4336" s="2" t="str">
        <f>Tabella1[[#This Row],[Denominazione]]&amp;" - "&amp;Tabella1[[#This Row],[Città]]</f>
        <v>INTERNATIONAL - GABICCE MARE</v>
      </c>
    </row>
    <row r="4337" spans="1:8" x14ac:dyDescent="0.25">
      <c r="A4337" s="1" t="s">
        <v>20</v>
      </c>
      <c r="B4337" s="1" t="s">
        <v>2319</v>
      </c>
      <c r="C4337" s="1" t="s">
        <v>9717</v>
      </c>
      <c r="D4337" s="1" t="s">
        <v>8949</v>
      </c>
      <c r="E4337" s="1" t="s">
        <v>8949</v>
      </c>
      <c r="F4337" s="1" t="s">
        <v>9718</v>
      </c>
      <c r="G4337" s="1" t="s">
        <v>9719</v>
      </c>
      <c r="H4337" s="2" t="str">
        <f>Tabella1[[#This Row],[Denominazione]]&amp;" - "&amp;Tabella1[[#This Row],[Città]]</f>
        <v>INTERNATIONAL - SENIGALLIA</v>
      </c>
    </row>
    <row r="4338" spans="1:8" x14ac:dyDescent="0.25">
      <c r="A4338" s="1" t="s">
        <v>20</v>
      </c>
      <c r="B4338" s="1" t="s">
        <v>410</v>
      </c>
      <c r="C4338" s="1" t="s">
        <v>411</v>
      </c>
      <c r="D4338" s="1" t="s">
        <v>316</v>
      </c>
      <c r="E4338" s="1" t="s">
        <v>316</v>
      </c>
      <c r="G4338" s="1" t="s">
        <v>412</v>
      </c>
      <c r="H4338" s="2" t="str">
        <f>Tabella1[[#This Row],[Denominazione]]&amp;" - "&amp;Tabella1[[#This Row],[Città]]</f>
        <v>INTERNATIONAL CAGLI HOTEL SRL - CAGLI</v>
      </c>
    </row>
    <row r="4339" spans="1:8" x14ac:dyDescent="0.25">
      <c r="A4339" s="1" t="s">
        <v>20</v>
      </c>
      <c r="B4339" s="1" t="s">
        <v>5600</v>
      </c>
      <c r="C4339" s="1" t="s">
        <v>5601</v>
      </c>
      <c r="D4339" s="1" t="s">
        <v>1864</v>
      </c>
      <c r="E4339" s="1" t="s">
        <v>5602</v>
      </c>
      <c r="F4339" s="1" t="s">
        <v>5603</v>
      </c>
      <c r="G4339" s="1" t="s">
        <v>5604</v>
      </c>
      <c r="H4339" s="2" t="str">
        <f>Tabella1[[#This Row],[Denominazione]]&amp;" - "&amp;Tabella1[[#This Row],[Città]]</f>
        <v>INTERNAZIONALE - ANCONA</v>
      </c>
    </row>
    <row r="4340" spans="1:8" x14ac:dyDescent="0.25">
      <c r="A4340" s="1" t="s">
        <v>679</v>
      </c>
      <c r="B4340" s="1" t="s">
        <v>11708</v>
      </c>
      <c r="D4340" s="1" t="s">
        <v>11244</v>
      </c>
      <c r="E4340" s="1" t="s">
        <v>11244</v>
      </c>
      <c r="F4340" s="1" t="s">
        <v>11709</v>
      </c>
      <c r="G4340" s="1" t="s">
        <v>11709</v>
      </c>
      <c r="H4340" s="2" t="str">
        <f>Tabella1[[#This Row],[Denominazione]]&amp;" - "&amp;Tabella1[[#This Row],[Città]]</f>
        <v>IPPOCAMPO - N. 35 - CIVITANOVA MARCHE</v>
      </c>
    </row>
    <row r="4341" spans="1:8" x14ac:dyDescent="0.25">
      <c r="A4341" s="1" t="s">
        <v>12</v>
      </c>
      <c r="B4341" s="1" t="s">
        <v>4756</v>
      </c>
      <c r="C4341" s="1" t="s">
        <v>4757</v>
      </c>
      <c r="D4341" s="1" t="s">
        <v>4735</v>
      </c>
      <c r="G4341" s="1" t="s">
        <v>4758</v>
      </c>
      <c r="H4341" s="2" t="str">
        <f>Tabella1[[#This Row],[Denominazione]]&amp;" - "&amp;Tabella1[[#This Row],[Città]]</f>
        <v>ISABELLE SARAH CORBETT - URBANIA</v>
      </c>
    </row>
    <row r="4342" spans="1:8" x14ac:dyDescent="0.25">
      <c r="A4342" s="1" t="s">
        <v>82</v>
      </c>
      <c r="B4342" s="1" t="s">
        <v>11974</v>
      </c>
      <c r="C4342" s="1" t="s">
        <v>11975</v>
      </c>
      <c r="D4342" s="1" t="s">
        <v>11883</v>
      </c>
      <c r="E4342" s="1" t="s">
        <v>11883</v>
      </c>
      <c r="G4342" s="1" t="s">
        <v>11976</v>
      </c>
      <c r="H4342" s="2" t="str">
        <f>Tabella1[[#This Row],[Denominazione]]&amp;" - "&amp;Tabella1[[#This Row],[Città]]</f>
        <v>ISIDORI PATRIZIO - GUALDO</v>
      </c>
    </row>
    <row r="4343" spans="1:8" x14ac:dyDescent="0.25">
      <c r="A4343" s="1" t="s">
        <v>679</v>
      </c>
      <c r="B4343" s="1" t="s">
        <v>680</v>
      </c>
      <c r="C4343" s="1" t="s">
        <v>681</v>
      </c>
      <c r="D4343" s="1" t="s">
        <v>682</v>
      </c>
      <c r="E4343" s="1" t="s">
        <v>683</v>
      </c>
      <c r="F4343" s="1" t="s">
        <v>684</v>
      </c>
      <c r="G4343" s="1" t="s">
        <v>685</v>
      </c>
      <c r="H4343" s="2" t="str">
        <f>Tabella1[[#This Row],[Denominazione]]&amp;" - "&amp;Tabella1[[#This Row],[Città]]</f>
        <v>ISLAMORADA DOG-BEACH - FANO</v>
      </c>
    </row>
    <row r="4344" spans="1:8" x14ac:dyDescent="0.25">
      <c r="A4344" s="1" t="s">
        <v>190</v>
      </c>
      <c r="B4344" s="1" t="s">
        <v>16371</v>
      </c>
      <c r="D4344" s="1" t="s">
        <v>16312</v>
      </c>
      <c r="E4344" s="1" t="s">
        <v>16371</v>
      </c>
      <c r="H4344" s="2" t="str">
        <f>Tabella1[[#This Row],[Denominazione]]&amp;" - "&amp;Tabella1[[#This Row],[Città]]</f>
        <v>ISOLA SAN BIAGIO - MONTEMONACO</v>
      </c>
    </row>
    <row r="4345" spans="1:8" x14ac:dyDescent="0.25">
      <c r="A4345" s="1" t="s">
        <v>190</v>
      </c>
      <c r="B4345" s="1" t="s">
        <v>13241</v>
      </c>
      <c r="C4345" s="1" t="s">
        <v>13242</v>
      </c>
      <c r="D4345" s="1" t="s">
        <v>13026</v>
      </c>
      <c r="E4345" s="1" t="s">
        <v>13026</v>
      </c>
      <c r="H4345" s="2" t="str">
        <f>Tabella1[[#This Row],[Denominazione]]&amp;" - "&amp;Tabella1[[#This Row],[Città]]</f>
        <v>ISTITUTO FIGLIE DELL'ADDOLORATA - POTENZA PICENA</v>
      </c>
    </row>
    <row r="4346" spans="1:8" x14ac:dyDescent="0.25">
      <c r="A4346" s="1" t="s">
        <v>190</v>
      </c>
      <c r="B4346" s="1" t="s">
        <v>7506</v>
      </c>
      <c r="C4346" s="1" t="s">
        <v>7507</v>
      </c>
      <c r="D4346" s="1" t="s">
        <v>7385</v>
      </c>
      <c r="E4346" s="1" t="s">
        <v>7385</v>
      </c>
      <c r="G4346" s="1" t="s">
        <v>7508</v>
      </c>
      <c r="H4346" s="2" t="str">
        <f>Tabella1[[#This Row],[Denominazione]]&amp;" - "&amp;Tabella1[[#This Row],[Città]]</f>
        <v>ISTITUTO SALESIANO MADONNA DI LORETO - LORETO</v>
      </c>
    </row>
    <row r="4347" spans="1:8" x14ac:dyDescent="0.25">
      <c r="A4347" s="1" t="s">
        <v>1200</v>
      </c>
      <c r="B4347" s="1" t="s">
        <v>4959</v>
      </c>
      <c r="C4347" s="1" t="s">
        <v>4960</v>
      </c>
      <c r="D4347" s="1" t="s">
        <v>9</v>
      </c>
      <c r="E4347" s="1" t="s">
        <v>9</v>
      </c>
      <c r="H4347" s="2" t="str">
        <f>Tabella1[[#This Row],[Denominazione]]&amp;" - "&amp;Tabella1[[#This Row],[Città]]</f>
        <v>ISTITUTO SANTA FELICITA - URBINO</v>
      </c>
    </row>
    <row r="4348" spans="1:8" x14ac:dyDescent="0.25">
      <c r="A4348" s="1" t="s">
        <v>190</v>
      </c>
      <c r="B4348" s="1" t="s">
        <v>4246</v>
      </c>
      <c r="C4348" s="1" t="s">
        <v>4247</v>
      </c>
      <c r="D4348" s="1" t="s">
        <v>4242</v>
      </c>
      <c r="E4348" s="1" t="s">
        <v>4242</v>
      </c>
      <c r="G4348" s="1" t="s">
        <v>4248</v>
      </c>
      <c r="H4348" s="2" t="str">
        <f>Tabella1[[#This Row],[Denominazione]]&amp;" - "&amp;Tabella1[[#This Row],[Città]]</f>
        <v>ISTITUTO SUORE DISCEPOLE DI GESU' EUCARISTICO - SALTARA</v>
      </c>
    </row>
    <row r="4349" spans="1:8" x14ac:dyDescent="0.25">
      <c r="A4349" s="1" t="s">
        <v>190</v>
      </c>
      <c r="B4349" s="1" t="s">
        <v>17384</v>
      </c>
      <c r="C4349" s="1" t="s">
        <v>17385</v>
      </c>
      <c r="D4349" s="1" t="s">
        <v>15819</v>
      </c>
      <c r="E4349" s="1" t="s">
        <v>15819</v>
      </c>
      <c r="G4349" s="1" t="s">
        <v>17386</v>
      </c>
      <c r="H4349" s="2" t="str">
        <f>Tabella1[[#This Row],[Denominazione]]&amp;" - "&amp;Tabella1[[#This Row],[Città]]</f>
        <v>ISTITUTO SUORE SAN GIOVANNI BATTISTA - SAN BENEDETTO DEL TRONTO</v>
      </c>
    </row>
    <row r="4350" spans="1:8" x14ac:dyDescent="0.25">
      <c r="A4350" s="1" t="s">
        <v>190</v>
      </c>
      <c r="B4350" s="1" t="s">
        <v>15645</v>
      </c>
      <c r="C4350" s="1" t="s">
        <v>15646</v>
      </c>
      <c r="D4350" s="1" t="s">
        <v>15585</v>
      </c>
      <c r="E4350" s="1" t="s">
        <v>15585</v>
      </c>
      <c r="F4350" s="1" t="s">
        <v>15647</v>
      </c>
      <c r="G4350" s="1" t="s">
        <v>15648</v>
      </c>
      <c r="H4350" s="2" t="str">
        <f>Tabella1[[#This Row],[Denominazione]]&amp;" - "&amp;Tabella1[[#This Row],[Città]]</f>
        <v>ISTITUTO VIRGO LAURETANA - GROTTAMMARE</v>
      </c>
    </row>
    <row r="4351" spans="1:8" x14ac:dyDescent="0.25">
      <c r="A4351" s="1" t="s">
        <v>679</v>
      </c>
      <c r="B4351" s="1" t="s">
        <v>3982</v>
      </c>
      <c r="C4351" s="1" t="s">
        <v>3983</v>
      </c>
      <c r="D4351" s="1" t="s">
        <v>2386</v>
      </c>
      <c r="H4351" s="2" t="str">
        <f>Tabella1[[#This Row],[Denominazione]]&amp;" - "&amp;Tabella1[[#This Row],[Città]]</f>
        <v>ITACA BEACH N 6/7 - PESARO</v>
      </c>
    </row>
    <row r="4352" spans="1:8" x14ac:dyDescent="0.25">
      <c r="A4352" s="1" t="s">
        <v>20</v>
      </c>
      <c r="B4352" s="1" t="s">
        <v>5092</v>
      </c>
      <c r="C4352" s="1" t="s">
        <v>5093</v>
      </c>
      <c r="D4352" s="1" t="s">
        <v>9</v>
      </c>
      <c r="E4352" s="1" t="s">
        <v>9</v>
      </c>
      <c r="F4352" s="1" t="s">
        <v>5094</v>
      </c>
      <c r="G4352" s="1" t="s">
        <v>5095</v>
      </c>
      <c r="H4352" s="2" t="str">
        <f>Tabella1[[#This Row],[Denominazione]]&amp;" - "&amp;Tabella1[[#This Row],[Città]]</f>
        <v>ITALIA - URBINO</v>
      </c>
    </row>
    <row r="4353" spans="1:8" x14ac:dyDescent="0.25">
      <c r="A4353" s="1" t="s">
        <v>20</v>
      </c>
      <c r="B4353" s="1" t="s">
        <v>5092</v>
      </c>
      <c r="C4353" s="1" t="s">
        <v>5609</v>
      </c>
      <c r="D4353" s="1" t="s">
        <v>1864</v>
      </c>
      <c r="E4353" s="1" t="s">
        <v>1864</v>
      </c>
      <c r="F4353" s="1" t="s">
        <v>5610</v>
      </c>
      <c r="G4353" s="1" t="s">
        <v>5611</v>
      </c>
      <c r="H4353" s="2" t="str">
        <f>Tabella1[[#This Row],[Denominazione]]&amp;" - "&amp;Tabella1[[#This Row],[Città]]</f>
        <v>ITALIA - ANCONA</v>
      </c>
    </row>
    <row r="4354" spans="1:8" x14ac:dyDescent="0.25">
      <c r="A4354" s="1" t="s">
        <v>20</v>
      </c>
      <c r="B4354" s="1" t="s">
        <v>5092</v>
      </c>
      <c r="C4354" s="1" t="s">
        <v>9714</v>
      </c>
      <c r="D4354" s="1" t="s">
        <v>8949</v>
      </c>
      <c r="E4354" s="1" t="s">
        <v>8949</v>
      </c>
      <c r="F4354" s="1" t="s">
        <v>9715</v>
      </c>
      <c r="G4354" s="1" t="s">
        <v>9716</v>
      </c>
      <c r="H4354" s="2" t="str">
        <f>Tabella1[[#This Row],[Denominazione]]&amp;" - "&amp;Tabella1[[#This Row],[Città]]</f>
        <v>ITALIA - SENIGALLIA</v>
      </c>
    </row>
    <row r="4355" spans="1:8" x14ac:dyDescent="0.25">
      <c r="A4355" s="1" t="s">
        <v>20</v>
      </c>
      <c r="B4355" s="1" t="s">
        <v>2178</v>
      </c>
      <c r="C4355" s="1" t="s">
        <v>2179</v>
      </c>
      <c r="D4355" s="1" t="s">
        <v>1907</v>
      </c>
      <c r="E4355" s="1" t="s">
        <v>1907</v>
      </c>
      <c r="F4355" s="1" t="s">
        <v>2180</v>
      </c>
      <c r="G4355" s="1" t="s">
        <v>2181</v>
      </c>
      <c r="H4355" s="2" t="str">
        <f>Tabella1[[#This Row],[Denominazione]]&amp;" - "&amp;Tabella1[[#This Row],[Città]]</f>
        <v>ITALIA MEUBLE' - GABICCE MARE</v>
      </c>
    </row>
    <row r="4356" spans="1:8" x14ac:dyDescent="0.25">
      <c r="A4356" s="1" t="s">
        <v>12</v>
      </c>
      <c r="B4356" s="1" t="s">
        <v>1428</v>
      </c>
      <c r="C4356" s="1" t="s">
        <v>1429</v>
      </c>
      <c r="D4356" s="1" t="s">
        <v>682</v>
      </c>
      <c r="H4356" s="2" t="str">
        <f>Tabella1[[#This Row],[Denominazione]]&amp;" - "&amp;Tabella1[[#This Row],[Città]]</f>
        <v>ITALO BOIANI - FANO</v>
      </c>
    </row>
    <row r="4357" spans="1:8" x14ac:dyDescent="0.25">
      <c r="A4357" s="1" t="s">
        <v>82</v>
      </c>
      <c r="B4357" s="1" t="s">
        <v>8217</v>
      </c>
      <c r="C4357" s="1" t="s">
        <v>8218</v>
      </c>
      <c r="D4357" s="1" t="s">
        <v>7889</v>
      </c>
      <c r="E4357" s="1" t="s">
        <v>7889</v>
      </c>
      <c r="H4357" s="2" t="str">
        <f>Tabella1[[#This Row],[Denominazione]]&amp;" - "&amp;Tabella1[[#This Row],[Città]]</f>
        <v>IURA FAUSTO - NUMANA</v>
      </c>
    </row>
    <row r="4358" spans="1:8" x14ac:dyDescent="0.25">
      <c r="A4358" s="1" t="s">
        <v>20</v>
      </c>
      <c r="B4358" s="1" t="s">
        <v>6957</v>
      </c>
      <c r="C4358" s="1" t="s">
        <v>6958</v>
      </c>
      <c r="D4358" s="1" t="s">
        <v>6790</v>
      </c>
      <c r="E4358" s="1" t="s">
        <v>6790</v>
      </c>
      <c r="F4358" s="1" t="s">
        <v>6959</v>
      </c>
      <c r="G4358" s="1" t="s">
        <v>6960</v>
      </c>
      <c r="H4358" s="2" t="str">
        <f>Tabella1[[#This Row],[Denominazione]]&amp;" - "&amp;Tabella1[[#This Row],[Città]]</f>
        <v>JANUS HOTEL FABRIANO - FABRIANO</v>
      </c>
    </row>
    <row r="4359" spans="1:8" x14ac:dyDescent="0.25">
      <c r="A4359" s="1" t="s">
        <v>20</v>
      </c>
      <c r="B4359" s="1" t="s">
        <v>15952</v>
      </c>
      <c r="C4359" s="1" t="s">
        <v>15953</v>
      </c>
      <c r="D4359" s="1" t="s">
        <v>15585</v>
      </c>
      <c r="E4359" s="1" t="s">
        <v>15585</v>
      </c>
      <c r="F4359" s="1" t="s">
        <v>15954</v>
      </c>
      <c r="G4359" s="1" t="s">
        <v>15955</v>
      </c>
      <c r="H4359" s="2" t="str">
        <f>Tabella1[[#This Row],[Denominazione]]&amp;" - "&amp;Tabella1[[#This Row],[Città]]</f>
        <v>JERRY - GROTTAMMARE</v>
      </c>
    </row>
    <row r="4360" spans="1:8" x14ac:dyDescent="0.25">
      <c r="A4360" s="1" t="s">
        <v>679</v>
      </c>
      <c r="B4360" s="1" t="s">
        <v>3841</v>
      </c>
      <c r="C4360" s="1" t="s">
        <v>3842</v>
      </c>
      <c r="D4360" s="1" t="s">
        <v>2386</v>
      </c>
      <c r="E4360" s="1" t="s">
        <v>2386</v>
      </c>
      <c r="H4360" s="2" t="str">
        <f>Tabella1[[#This Row],[Denominazione]]&amp;" - "&amp;Tabella1[[#This Row],[Città]]</f>
        <v>JOE AMARENA DI FILIPPO SPARACCA &amp; C. SNC - PESARO</v>
      </c>
    </row>
    <row r="4361" spans="1:8" x14ac:dyDescent="0.25">
      <c r="A4361" s="1" t="s">
        <v>6092</v>
      </c>
      <c r="B4361" s="1" t="s">
        <v>18121</v>
      </c>
      <c r="C4361" s="1" t="s">
        <v>18122</v>
      </c>
      <c r="D4361" s="1" t="s">
        <v>17932</v>
      </c>
      <c r="E4361" s="1" t="s">
        <v>17932</v>
      </c>
      <c r="F4361" s="1" t="s">
        <v>18123</v>
      </c>
      <c r="G4361" s="1" t="s">
        <v>18124</v>
      </c>
      <c r="H4361" s="2" t="str">
        <f>Tabella1[[#This Row],[Denominazione]]&amp;" - "&amp;Tabella1[[#This Row],[Città]]</f>
        <v>JOHNNY - FERMO</v>
      </c>
    </row>
    <row r="4362" spans="1:8" x14ac:dyDescent="0.25">
      <c r="A4362" s="1" t="s">
        <v>679</v>
      </c>
      <c r="B4362" s="1" t="s">
        <v>17329</v>
      </c>
      <c r="C4362" s="1" t="s">
        <v>17330</v>
      </c>
      <c r="D4362" s="1" t="s">
        <v>15819</v>
      </c>
      <c r="F4362" s="1" t="s">
        <v>17331</v>
      </c>
      <c r="G4362" s="1" t="s">
        <v>17332</v>
      </c>
      <c r="H4362" s="2" t="str">
        <f>Tabella1[[#This Row],[Denominazione]]&amp;" - "&amp;Tabella1[[#This Row],[Città]]</f>
        <v>JOSE' - SAN BENEDETTO DEL TRONTO</v>
      </c>
    </row>
    <row r="4363" spans="1:8" x14ac:dyDescent="0.25">
      <c r="A4363" s="1" t="s">
        <v>679</v>
      </c>
      <c r="B4363" s="1" t="s">
        <v>1413</v>
      </c>
      <c r="D4363" s="1" t="s">
        <v>682</v>
      </c>
      <c r="E4363" s="1" t="s">
        <v>1414</v>
      </c>
      <c r="F4363" s="1" t="s">
        <v>1415</v>
      </c>
      <c r="G4363" s="1" t="s">
        <v>1416</v>
      </c>
      <c r="H4363" s="2" t="str">
        <f>Tabella1[[#This Row],[Denominazione]]&amp;" - "&amp;Tabella1[[#This Row],[Città]]</f>
        <v>KALAVERDE DI BALDINI CLAUDIO - FANO</v>
      </c>
    </row>
    <row r="4364" spans="1:8" x14ac:dyDescent="0.25">
      <c r="A4364" s="1" t="s">
        <v>679</v>
      </c>
      <c r="B4364" s="1" t="s">
        <v>1059</v>
      </c>
      <c r="C4364" s="1" t="s">
        <v>1060</v>
      </c>
      <c r="D4364" s="1" t="s">
        <v>682</v>
      </c>
      <c r="E4364" s="1" t="s">
        <v>682</v>
      </c>
      <c r="H4364" s="2" t="str">
        <f>Tabella1[[#This Row],[Denominazione]]&amp;" - "&amp;Tabella1[[#This Row],[Città]]</f>
        <v>KENDWA BEACH DI CURSI MASSIMO - FANO</v>
      </c>
    </row>
    <row r="4365" spans="1:8" x14ac:dyDescent="0.25">
      <c r="A4365" s="1" t="s">
        <v>12</v>
      </c>
      <c r="B4365" s="1" t="s">
        <v>11938</v>
      </c>
      <c r="C4365" s="1" t="s">
        <v>11939</v>
      </c>
      <c r="D4365" s="1" t="s">
        <v>11883</v>
      </c>
      <c r="G4365" s="1" t="s">
        <v>11940</v>
      </c>
      <c r="H4365" s="2" t="str">
        <f>Tabella1[[#This Row],[Denominazione]]&amp;" - "&amp;Tabella1[[#This Row],[Città]]</f>
        <v>KENNETH WILLIAM EVERETT - GUALDO</v>
      </c>
    </row>
    <row r="4366" spans="1:8" x14ac:dyDescent="0.25">
      <c r="A4366" s="1" t="s">
        <v>12</v>
      </c>
      <c r="B4366" s="1" t="s">
        <v>11912</v>
      </c>
      <c r="C4366" s="1" t="s">
        <v>11913</v>
      </c>
      <c r="D4366" s="1" t="s">
        <v>11883</v>
      </c>
      <c r="E4366" s="1" t="s">
        <v>11914</v>
      </c>
      <c r="G4366" s="1" t="s">
        <v>11915</v>
      </c>
      <c r="H4366" s="2" t="str">
        <f>Tabella1[[#This Row],[Denominazione]]&amp;" - "&amp;Tabella1[[#This Row],[Città]]</f>
        <v>KEVIN GARRETT - GUALDO</v>
      </c>
    </row>
    <row r="4367" spans="1:8" x14ac:dyDescent="0.25">
      <c r="A4367" s="1" t="s">
        <v>679</v>
      </c>
      <c r="B4367" s="1" t="s">
        <v>12997</v>
      </c>
      <c r="D4367" s="1" t="s">
        <v>12801</v>
      </c>
      <c r="H4367" s="2" t="str">
        <f>Tabella1[[#This Row],[Denominazione]]&amp;" - "&amp;Tabella1[[#This Row],[Città]]</f>
        <v>KIRO KIRO BEACH - PORTO RECANATI</v>
      </c>
    </row>
    <row r="4368" spans="1:8" x14ac:dyDescent="0.25">
      <c r="A4368" s="1" t="s">
        <v>20</v>
      </c>
      <c r="B4368" s="1" t="s">
        <v>6419</v>
      </c>
      <c r="C4368" s="1" t="s">
        <v>6420</v>
      </c>
      <c r="D4368" s="1" t="s">
        <v>6371</v>
      </c>
      <c r="E4368" s="1" t="s">
        <v>6371</v>
      </c>
      <c r="F4368" s="1" t="s">
        <v>6421</v>
      </c>
      <c r="G4368" s="1" t="s">
        <v>6422</v>
      </c>
      <c r="H4368" s="2" t="str">
        <f>Tabella1[[#This Row],[Denominazione]]&amp;" - "&amp;Tabella1[[#This Row],[Città]]</f>
        <v>KLASS HOTEL - CASTELFIDARDO</v>
      </c>
    </row>
    <row r="4369" spans="1:8" x14ac:dyDescent="0.25">
      <c r="A4369" s="1" t="s">
        <v>679</v>
      </c>
      <c r="B4369" s="1" t="s">
        <v>7092</v>
      </c>
      <c r="C4369" s="1" t="s">
        <v>7087</v>
      </c>
      <c r="D4369" s="1" t="s">
        <v>5735</v>
      </c>
      <c r="E4369" s="1" t="s">
        <v>5735</v>
      </c>
      <c r="F4369" s="1" t="s">
        <v>7093</v>
      </c>
      <c r="H4369" s="2" t="str">
        <f>Tabella1[[#This Row],[Denominazione]]&amp;" - "&amp;Tabella1[[#This Row],[Città]]</f>
        <v>KOCO BEACH - FALCONARA MARITTIMA</v>
      </c>
    </row>
    <row r="4370" spans="1:8" x14ac:dyDescent="0.25">
      <c r="A4370" s="1" t="s">
        <v>679</v>
      </c>
      <c r="B4370" s="1" t="s">
        <v>15879</v>
      </c>
      <c r="C4370" s="1" t="s">
        <v>15818</v>
      </c>
      <c r="D4370" s="1" t="s">
        <v>15585</v>
      </c>
      <c r="E4370" s="1" t="s">
        <v>15819</v>
      </c>
      <c r="G4370" s="1" t="s">
        <v>15880</v>
      </c>
      <c r="H4370" s="2" t="str">
        <f>Tabella1[[#This Row],[Denominazione]]&amp;" - "&amp;Tabella1[[#This Row],[Città]]</f>
        <v>KOH I NOOR - GROTTAMMARE</v>
      </c>
    </row>
    <row r="4371" spans="1:8" x14ac:dyDescent="0.25">
      <c r="A4371" s="1" t="s">
        <v>679</v>
      </c>
      <c r="B4371" s="1" t="s">
        <v>8219</v>
      </c>
      <c r="C4371" s="1" t="s">
        <v>8160</v>
      </c>
      <c r="D4371" s="1" t="s">
        <v>7889</v>
      </c>
      <c r="E4371" s="1" t="s">
        <v>7895</v>
      </c>
      <c r="F4371" s="1" t="s">
        <v>7938</v>
      </c>
      <c r="G4371" s="1" t="s">
        <v>7937</v>
      </c>
      <c r="H4371" s="2" t="str">
        <f>Tabella1[[#This Row],[Denominazione]]&amp;" - "&amp;Tabella1[[#This Row],[Città]]</f>
        <v>KON TIKI - NUMANA</v>
      </c>
    </row>
    <row r="4372" spans="1:8" x14ac:dyDescent="0.25">
      <c r="A4372" s="1" t="s">
        <v>679</v>
      </c>
      <c r="B4372" s="1" t="s">
        <v>8219</v>
      </c>
      <c r="C4372" s="1" t="s">
        <v>17168</v>
      </c>
      <c r="D4372" s="1" t="s">
        <v>15819</v>
      </c>
      <c r="H4372" s="2" t="str">
        <f>Tabella1[[#This Row],[Denominazione]]&amp;" - "&amp;Tabella1[[#This Row],[Città]]</f>
        <v>KON TIKI - SAN BENEDETTO DEL TRONTO</v>
      </c>
    </row>
    <row r="4373" spans="1:8" x14ac:dyDescent="0.25">
      <c r="A4373" s="1" t="s">
        <v>679</v>
      </c>
      <c r="B4373" s="1" t="s">
        <v>19403</v>
      </c>
      <c r="C4373" s="1" t="s">
        <v>19382</v>
      </c>
      <c r="D4373" s="1" t="s">
        <v>19283</v>
      </c>
      <c r="E4373" s="1" t="s">
        <v>19363</v>
      </c>
      <c r="H4373" s="2" t="str">
        <f>Tabella1[[#This Row],[Denominazione]]&amp;" - "&amp;Tabella1[[#This Row],[Città]]</f>
        <v>KONKOBA - PORTO SANT'ELPIDIO</v>
      </c>
    </row>
    <row r="4374" spans="1:8" x14ac:dyDescent="0.25">
      <c r="A4374" s="1" t="s">
        <v>679</v>
      </c>
      <c r="B4374" s="1" t="s">
        <v>19476</v>
      </c>
      <c r="C4374" s="1" t="s">
        <v>19382</v>
      </c>
      <c r="D4374" s="1" t="s">
        <v>19283</v>
      </c>
      <c r="E4374" s="1" t="s">
        <v>19363</v>
      </c>
      <c r="F4374" s="1" t="s">
        <v>19477</v>
      </c>
      <c r="G4374" s="1" t="s">
        <v>19478</v>
      </c>
      <c r="H4374" s="2" t="str">
        <f>Tabella1[[#This Row],[Denominazione]]&amp;" - "&amp;Tabella1[[#This Row],[Città]]</f>
        <v>KOOKA - PORTO SANT'ELPIDIO</v>
      </c>
    </row>
    <row r="4375" spans="1:8" x14ac:dyDescent="0.25">
      <c r="A4375" s="1" t="s">
        <v>20</v>
      </c>
      <c r="B4375" s="1" t="s">
        <v>12174</v>
      </c>
      <c r="C4375" s="1" t="s">
        <v>12175</v>
      </c>
      <c r="D4375" s="1" t="s">
        <v>12050</v>
      </c>
      <c r="E4375" s="1" t="s">
        <v>12050</v>
      </c>
      <c r="H4375" s="2" t="str">
        <f>Tabella1[[#This Row],[Denominazione]]&amp;" - "&amp;Tabella1[[#This Row],[Città]]</f>
        <v>KRISTAL - MACERATA</v>
      </c>
    </row>
    <row r="4376" spans="1:8" x14ac:dyDescent="0.25">
      <c r="A4376" s="1" t="s">
        <v>12</v>
      </c>
      <c r="B4376" s="1" t="s">
        <v>6218</v>
      </c>
      <c r="C4376" s="1" t="s">
        <v>6219</v>
      </c>
      <c r="D4376" s="1" t="s">
        <v>6049</v>
      </c>
      <c r="E4376" s="1" t="s">
        <v>6049</v>
      </c>
      <c r="H4376" s="2" t="str">
        <f>Tabella1[[#This Row],[Denominazione]]&amp;" - "&amp;Tabella1[[#This Row],[Città]]</f>
        <v>KUHNE SORG HELGA CARMEN - ARCEVIA</v>
      </c>
    </row>
    <row r="4377" spans="1:8" x14ac:dyDescent="0.25">
      <c r="A4377" s="1" t="s">
        <v>679</v>
      </c>
      <c r="B4377" s="1" t="s">
        <v>19060</v>
      </c>
      <c r="C4377" s="1" t="s">
        <v>19048</v>
      </c>
      <c r="D4377" s="1" t="s">
        <v>18082</v>
      </c>
      <c r="E4377" s="1" t="s">
        <v>18082</v>
      </c>
      <c r="H4377" s="2" t="str">
        <f>Tabella1[[#This Row],[Denominazione]]&amp;" - "&amp;Tabella1[[#This Row],[Città]]</f>
        <v>KURSAAL - PORTO SAN GIORGIO</v>
      </c>
    </row>
    <row r="4378" spans="1:8" x14ac:dyDescent="0.25">
      <c r="A4378" s="1" t="s">
        <v>571</v>
      </c>
      <c r="B4378" s="1" t="s">
        <v>8631</v>
      </c>
      <c r="C4378" s="1" t="s">
        <v>8632</v>
      </c>
      <c r="D4378" s="1" t="s">
        <v>8608</v>
      </c>
      <c r="E4378" s="1" t="s">
        <v>8608</v>
      </c>
      <c r="F4378" s="1" t="s">
        <v>8633</v>
      </c>
      <c r="G4378" s="1" t="s">
        <v>8634</v>
      </c>
      <c r="H4378" s="2" t="str">
        <f>Tabella1[[#This Row],[Denominazione]]&amp;" - "&amp;Tabella1[[#This Row],[Città]]</f>
        <v>L PRE - OSTRA</v>
      </c>
    </row>
    <row r="4379" spans="1:8" x14ac:dyDescent="0.25">
      <c r="A4379" s="1" t="s">
        <v>679</v>
      </c>
      <c r="B4379" s="1" t="s">
        <v>12994</v>
      </c>
      <c r="D4379" s="1" t="s">
        <v>12801</v>
      </c>
      <c r="H4379" s="2" t="str">
        <f>Tabella1[[#This Row],[Denominazione]]&amp;" - "&amp;Tabella1[[#This Row],[Città]]</f>
        <v>LA BAITA - PORTO RECANATI</v>
      </c>
    </row>
    <row r="4380" spans="1:8" x14ac:dyDescent="0.25">
      <c r="A4380" s="1" t="s">
        <v>82</v>
      </c>
      <c r="B4380" s="1" t="s">
        <v>16367</v>
      </c>
      <c r="C4380" s="1" t="s">
        <v>16368</v>
      </c>
      <c r="D4380" s="1" t="s">
        <v>16312</v>
      </c>
      <c r="E4380" s="1" t="s">
        <v>16312</v>
      </c>
      <c r="F4380" s="1" t="s">
        <v>16369</v>
      </c>
      <c r="G4380" s="1" t="s">
        <v>16370</v>
      </c>
      <c r="H4380" s="2" t="str">
        <f>Tabella1[[#This Row],[Denominazione]]&amp;" - "&amp;Tabella1[[#This Row],[Città]]</f>
        <v>LA BAITA DI PILATO S.A.S. - MONTEMONACO</v>
      </c>
    </row>
    <row r="4381" spans="1:8" x14ac:dyDescent="0.25">
      <c r="A4381" s="1" t="s">
        <v>12</v>
      </c>
      <c r="B4381" s="1" t="s">
        <v>16876</v>
      </c>
      <c r="C4381" s="1" t="s">
        <v>16877</v>
      </c>
      <c r="D4381" s="1" t="s">
        <v>15819</v>
      </c>
      <c r="E4381" s="1" t="s">
        <v>15819</v>
      </c>
      <c r="G4381" s="1" t="s">
        <v>16878</v>
      </c>
      <c r="H4381" s="2" t="str">
        <f>Tabella1[[#This Row],[Denominazione]]&amp;" - "&amp;Tabella1[[#This Row],[Città]]</f>
        <v>LA BARCHETTA - SAN BENEDETTO DEL TRONTO</v>
      </c>
    </row>
    <row r="4382" spans="1:8" x14ac:dyDescent="0.25">
      <c r="A4382" s="1" t="s">
        <v>82</v>
      </c>
      <c r="B4382" s="1" t="s">
        <v>8351</v>
      </c>
      <c r="C4382" s="1" t="s">
        <v>8352</v>
      </c>
      <c r="D4382" s="1" t="s">
        <v>7889</v>
      </c>
      <c r="G4382" s="1" t="s">
        <v>7957</v>
      </c>
      <c r="H4382" s="2" t="str">
        <f>Tabella1[[#This Row],[Denominazione]]&amp;" - "&amp;Tabella1[[#This Row],[Città]]</f>
        <v>LA BATTIGIA - NUMANA</v>
      </c>
    </row>
    <row r="4383" spans="1:8" x14ac:dyDescent="0.25">
      <c r="A4383" s="1" t="s">
        <v>35</v>
      </c>
      <c r="B4383" s="1" t="s">
        <v>10172</v>
      </c>
      <c r="C4383" s="1" t="s">
        <v>10173</v>
      </c>
      <c r="D4383" s="1" t="s">
        <v>10117</v>
      </c>
      <c r="E4383" s="1" t="s">
        <v>10174</v>
      </c>
      <c r="F4383" s="1" t="s">
        <v>10175</v>
      </c>
      <c r="G4383" s="1" t="s">
        <v>10176</v>
      </c>
      <c r="H4383" s="2" t="str">
        <f>Tabella1[[#This Row],[Denominazione]]&amp;" - "&amp;Tabella1[[#This Row],[Città]]</f>
        <v>LA BECERCA - SERRA SAN QUIRICO</v>
      </c>
    </row>
    <row r="4384" spans="1:8" x14ac:dyDescent="0.25">
      <c r="A4384" s="1" t="s">
        <v>82</v>
      </c>
      <c r="B4384" s="1" t="s">
        <v>4022</v>
      </c>
      <c r="C4384" s="1" t="s">
        <v>4023</v>
      </c>
      <c r="D4384" s="1" t="s">
        <v>2386</v>
      </c>
      <c r="E4384" s="1" t="s">
        <v>2386</v>
      </c>
      <c r="G4384" s="1" t="s">
        <v>4024</v>
      </c>
      <c r="H4384" s="2" t="str">
        <f>Tabella1[[#This Row],[Denominazione]]&amp;" - "&amp;Tabella1[[#This Row],[Città]]</f>
        <v>LA BOTTE - PESARO</v>
      </c>
    </row>
    <row r="4385" spans="1:8" x14ac:dyDescent="0.25">
      <c r="A4385" s="1" t="s">
        <v>20</v>
      </c>
      <c r="B4385" s="1" t="s">
        <v>4022</v>
      </c>
      <c r="C4385" s="1" t="s">
        <v>16518</v>
      </c>
      <c r="D4385" s="1" t="s">
        <v>16440</v>
      </c>
      <c r="E4385" s="1" t="s">
        <v>16440</v>
      </c>
      <c r="F4385" s="1" t="s">
        <v>16519</v>
      </c>
      <c r="G4385" s="1" t="s">
        <v>16520</v>
      </c>
      <c r="H4385" s="2" t="str">
        <f>Tabella1[[#This Row],[Denominazione]]&amp;" - "&amp;Tabella1[[#This Row],[Città]]</f>
        <v>LA BOTTE - OFFIDA</v>
      </c>
    </row>
    <row r="4386" spans="1:8" x14ac:dyDescent="0.25">
      <c r="A4386" s="1" t="s">
        <v>35</v>
      </c>
      <c r="B4386" s="1" t="s">
        <v>11079</v>
      </c>
      <c r="C4386" s="1" t="s">
        <v>11080</v>
      </c>
      <c r="D4386" s="1" t="s">
        <v>11058</v>
      </c>
      <c r="E4386" s="1" t="s">
        <v>11058</v>
      </c>
      <c r="G4386" s="1" t="s">
        <v>11081</v>
      </c>
      <c r="H4386" s="2" t="str">
        <f>Tabella1[[#This Row],[Denominazione]]&amp;" - "&amp;Tabella1[[#This Row],[Città]]</f>
        <v>LA BOTTEGA DEI SAPORI - CINGOLI</v>
      </c>
    </row>
    <row r="4387" spans="1:8" x14ac:dyDescent="0.25">
      <c r="A4387" s="1" t="s">
        <v>82</v>
      </c>
      <c r="B4387" s="1" t="s">
        <v>8283</v>
      </c>
      <c r="C4387" s="1" t="s">
        <v>8284</v>
      </c>
      <c r="D4387" s="1" t="s">
        <v>7889</v>
      </c>
      <c r="E4387" s="1" t="s">
        <v>7889</v>
      </c>
      <c r="G4387" s="1" t="s">
        <v>8285</v>
      </c>
      <c r="H4387" s="2" t="str">
        <f>Tabella1[[#This Row],[Denominazione]]&amp;" - "&amp;Tabella1[[#This Row],[Città]]</f>
        <v>LA BOUGANVILLEA - NUMANA</v>
      </c>
    </row>
    <row r="4388" spans="1:8" x14ac:dyDescent="0.25">
      <c r="A4388" s="1" t="s">
        <v>679</v>
      </c>
      <c r="B4388" s="1" t="s">
        <v>8205</v>
      </c>
      <c r="C4388" s="1" t="s">
        <v>8136</v>
      </c>
      <c r="D4388" s="1" t="s">
        <v>7889</v>
      </c>
      <c r="E4388" s="1" t="s">
        <v>7889</v>
      </c>
      <c r="F4388" s="1" t="s">
        <v>8206</v>
      </c>
      <c r="H4388" s="2" t="str">
        <f>Tabella1[[#This Row],[Denominazione]]&amp;" - "&amp;Tabella1[[#This Row],[Città]]</f>
        <v>LA BUSSOLA - NUMANA</v>
      </c>
    </row>
    <row r="4389" spans="1:8" x14ac:dyDescent="0.25">
      <c r="A4389" s="1" t="s">
        <v>679</v>
      </c>
      <c r="B4389" s="1" t="s">
        <v>8205</v>
      </c>
      <c r="C4389" s="1" t="s">
        <v>11654</v>
      </c>
      <c r="D4389" s="1" t="s">
        <v>11244</v>
      </c>
      <c r="E4389" s="1" t="s">
        <v>11244</v>
      </c>
      <c r="H4389" s="2" t="str">
        <f>Tabella1[[#This Row],[Denominazione]]&amp;" - "&amp;Tabella1[[#This Row],[Città]]</f>
        <v>LA BUSSOLA - CIVITANOVA MARCHE</v>
      </c>
    </row>
    <row r="4390" spans="1:8" x14ac:dyDescent="0.25">
      <c r="A4390" s="1" t="s">
        <v>679</v>
      </c>
      <c r="B4390" s="1" t="s">
        <v>8205</v>
      </c>
      <c r="C4390" s="1" t="s">
        <v>17374</v>
      </c>
      <c r="D4390" s="1" t="s">
        <v>15819</v>
      </c>
      <c r="E4390" s="1" t="s">
        <v>15819</v>
      </c>
      <c r="F4390" s="1" t="s">
        <v>17375</v>
      </c>
      <c r="H4390" s="2" t="str">
        <f>Tabella1[[#This Row],[Denominazione]]&amp;" - "&amp;Tabella1[[#This Row],[Città]]</f>
        <v>LA BUSSOLA - SAN BENEDETTO DEL TRONTO</v>
      </c>
    </row>
    <row r="4391" spans="1:8" x14ac:dyDescent="0.25">
      <c r="A4391" s="1" t="s">
        <v>679</v>
      </c>
      <c r="B4391" s="1" t="s">
        <v>7751</v>
      </c>
      <c r="C4391" s="1" t="s">
        <v>7752</v>
      </c>
      <c r="D4391" s="1" t="s">
        <v>7718</v>
      </c>
      <c r="E4391" s="1" t="s">
        <v>7748</v>
      </c>
      <c r="H4391" s="2" t="str">
        <f>Tabella1[[#This Row],[Denominazione]]&amp;" - "&amp;Tabella1[[#This Row],[Città]]</f>
        <v>LA CABANA DI PELLEGRINI IVAN - MONTEMARCIANO</v>
      </c>
    </row>
    <row r="4392" spans="1:8" x14ac:dyDescent="0.25">
      <c r="A4392" s="1" t="s">
        <v>35</v>
      </c>
      <c r="B4392" s="1" t="s">
        <v>17696</v>
      </c>
      <c r="C4392" s="1" t="s">
        <v>17697</v>
      </c>
      <c r="D4392" s="1" t="s">
        <v>17691</v>
      </c>
      <c r="E4392" s="1" t="s">
        <v>17698</v>
      </c>
      <c r="F4392" s="1" t="s">
        <v>17699</v>
      </c>
      <c r="G4392" s="1" t="s">
        <v>17700</v>
      </c>
      <c r="H4392" s="2" t="str">
        <f>Tabella1[[#This Row],[Denominazione]]&amp;" - "&amp;Tabella1[[#This Row],[Città]]</f>
        <v>LA CAMBRA - VENAROTTA</v>
      </c>
    </row>
    <row r="4393" spans="1:8" x14ac:dyDescent="0.25">
      <c r="A4393" s="1" t="s">
        <v>35</v>
      </c>
      <c r="B4393" s="1" t="s">
        <v>16242</v>
      </c>
      <c r="C4393" s="1" t="s">
        <v>16243</v>
      </c>
      <c r="D4393" s="1" t="s">
        <v>16202</v>
      </c>
      <c r="E4393" s="1" t="s">
        <v>16203</v>
      </c>
      <c r="F4393" s="1" t="s">
        <v>16244</v>
      </c>
      <c r="G4393" s="1" t="s">
        <v>16245</v>
      </c>
      <c r="H4393" s="2" t="str">
        <f>Tabella1[[#This Row],[Denominazione]]&amp;" - "&amp;Tabella1[[#This Row],[Città]]</f>
        <v>LA CAMPANA - MONTEFIORE DELL'ASO</v>
      </c>
    </row>
    <row r="4394" spans="1:8" x14ac:dyDescent="0.25">
      <c r="A4394" s="1" t="s">
        <v>12</v>
      </c>
      <c r="B4394" s="1" t="s">
        <v>16770</v>
      </c>
      <c r="C4394" s="1" t="s">
        <v>16771</v>
      </c>
      <c r="D4394" s="1" t="s">
        <v>16767</v>
      </c>
      <c r="E4394" s="1" t="s">
        <v>16772</v>
      </c>
      <c r="G4394" s="1" t="s">
        <v>16773</v>
      </c>
      <c r="H4394" s="2" t="str">
        <f>Tabella1[[#This Row],[Denominazione]]&amp;" - "&amp;Tabella1[[#This Row],[Città]]</f>
        <v>LA CANOSA SRL AGROFORESTALE di Reina Riccardo - ROTELLA</v>
      </c>
    </row>
    <row r="4395" spans="1:8" x14ac:dyDescent="0.25">
      <c r="A4395" s="1" t="s">
        <v>20</v>
      </c>
      <c r="B4395" s="1" t="s">
        <v>13388</v>
      </c>
      <c r="C4395" s="1" t="s">
        <v>13389</v>
      </c>
      <c r="D4395" s="1" t="s">
        <v>13298</v>
      </c>
      <c r="E4395" s="1" t="s">
        <v>13298</v>
      </c>
      <c r="F4395" s="1" t="s">
        <v>13390</v>
      </c>
      <c r="G4395" s="1" t="s">
        <v>13391</v>
      </c>
      <c r="H4395" s="2" t="str">
        <f>Tabella1[[#This Row],[Denominazione]]&amp;" - "&amp;Tabella1[[#This Row],[Città]]</f>
        <v>LA CANTINA DI ALE - RECANATI</v>
      </c>
    </row>
    <row r="4396" spans="1:8" x14ac:dyDescent="0.25">
      <c r="A4396" s="1" t="s">
        <v>35</v>
      </c>
      <c r="B4396" s="1" t="s">
        <v>6179</v>
      </c>
      <c r="C4396" s="1" t="s">
        <v>6180</v>
      </c>
      <c r="D4396" s="1" t="s">
        <v>6049</v>
      </c>
      <c r="E4396" s="1" t="s">
        <v>6090</v>
      </c>
      <c r="F4396" s="1" t="s">
        <v>6181</v>
      </c>
      <c r="G4396" s="1" t="s">
        <v>6182</v>
      </c>
      <c r="H4396" s="2" t="str">
        <f>Tabella1[[#This Row],[Denominazione]]&amp;" - "&amp;Tabella1[[#This Row],[Città]]</f>
        <v>LA CANTINA DI BACCO - ARCEVIA</v>
      </c>
    </row>
    <row r="4397" spans="1:8" x14ac:dyDescent="0.25">
      <c r="A4397" s="1" t="s">
        <v>20</v>
      </c>
      <c r="B4397" s="1" t="s">
        <v>8606</v>
      </c>
      <c r="C4397" s="1" t="s">
        <v>8607</v>
      </c>
      <c r="D4397" s="1" t="s">
        <v>8608</v>
      </c>
      <c r="E4397" s="1" t="s">
        <v>8608</v>
      </c>
      <c r="F4397" s="1" t="s">
        <v>8609</v>
      </c>
      <c r="G4397" s="1" t="s">
        <v>8610</v>
      </c>
      <c r="H4397" s="2" t="str">
        <f>Tabella1[[#This Row],[Denominazione]]&amp;" - "&amp;Tabella1[[#This Row],[Città]]</f>
        <v>LA CANTINELLA - OSTRA</v>
      </c>
    </row>
    <row r="4398" spans="1:8" x14ac:dyDescent="0.25">
      <c r="A4398" s="1" t="s">
        <v>20</v>
      </c>
      <c r="B4398" s="1" t="s">
        <v>10692</v>
      </c>
      <c r="C4398" s="1" t="s">
        <v>10693</v>
      </c>
      <c r="D4398" s="1" t="s">
        <v>10690</v>
      </c>
      <c r="E4398" s="1" t="s">
        <v>10691</v>
      </c>
      <c r="G4398" s="1" t="s">
        <v>10694</v>
      </c>
      <c r="H4398" s="2" t="str">
        <f>Tabella1[[#This Row],[Denominazione]]&amp;" - "&amp;Tabella1[[#This Row],[Città]]</f>
        <v>LA CAPANNA - BOLOGNOLA</v>
      </c>
    </row>
    <row r="4399" spans="1:8" x14ac:dyDescent="0.25">
      <c r="A4399" s="1" t="s">
        <v>679</v>
      </c>
      <c r="B4399" s="1" t="s">
        <v>5452</v>
      </c>
      <c r="C4399" s="1" t="s">
        <v>5453</v>
      </c>
      <c r="D4399" s="1" t="s">
        <v>1864</v>
      </c>
      <c r="E4399" s="1" t="s">
        <v>1864</v>
      </c>
      <c r="F4399" s="1" t="s">
        <v>5454</v>
      </c>
      <c r="G4399" s="1" t="s">
        <v>5455</v>
      </c>
      <c r="H4399" s="2" t="str">
        <f>Tabella1[[#This Row],[Denominazione]]&amp;" - "&amp;Tabella1[[#This Row],[Città]]</f>
        <v>LA CAPANNINA - ANCONA</v>
      </c>
    </row>
    <row r="4400" spans="1:8" x14ac:dyDescent="0.25">
      <c r="A4400" s="1" t="s">
        <v>679</v>
      </c>
      <c r="B4400" s="1" t="s">
        <v>5452</v>
      </c>
      <c r="C4400" s="1" t="s">
        <v>8165</v>
      </c>
      <c r="D4400" s="1" t="s">
        <v>7889</v>
      </c>
      <c r="E4400" s="1" t="s">
        <v>7889</v>
      </c>
      <c r="H4400" s="2" t="str">
        <f>Tabella1[[#This Row],[Denominazione]]&amp;" - "&amp;Tabella1[[#This Row],[Città]]</f>
        <v>LA CAPANNINA - NUMANA</v>
      </c>
    </row>
    <row r="4401" spans="1:8" x14ac:dyDescent="0.25">
      <c r="A4401" s="1" t="s">
        <v>12</v>
      </c>
      <c r="B4401" s="1" t="s">
        <v>5452</v>
      </c>
      <c r="C4401" s="1" t="s">
        <v>13767</v>
      </c>
      <c r="D4401" s="1" t="s">
        <v>13756</v>
      </c>
      <c r="E4401" s="1" t="s">
        <v>13768</v>
      </c>
      <c r="G4401" s="1" t="s">
        <v>13769</v>
      </c>
      <c r="H4401" s="2" t="str">
        <f>Tabella1[[#This Row],[Denominazione]]&amp;" - "&amp;Tabella1[[#This Row],[Città]]</f>
        <v>LA CAPANNINA - SARNANO</v>
      </c>
    </row>
    <row r="4402" spans="1:8" x14ac:dyDescent="0.25">
      <c r="A4402" s="1" t="s">
        <v>679</v>
      </c>
      <c r="B4402" s="1" t="s">
        <v>5452</v>
      </c>
      <c r="C4402" s="1" t="s">
        <v>15419</v>
      </c>
      <c r="D4402" s="1" t="s">
        <v>15349</v>
      </c>
      <c r="E4402" s="1" t="s">
        <v>15349</v>
      </c>
      <c r="F4402" s="1" t="s">
        <v>15430</v>
      </c>
      <c r="H4402" s="2" t="str">
        <f>Tabella1[[#This Row],[Denominazione]]&amp;" - "&amp;Tabella1[[#This Row],[Città]]</f>
        <v>LA CAPANNINA - CUPRA MARITTIMA</v>
      </c>
    </row>
    <row r="4403" spans="1:8" x14ac:dyDescent="0.25">
      <c r="A4403" s="1" t="s">
        <v>679</v>
      </c>
      <c r="B4403" s="1" t="s">
        <v>5452</v>
      </c>
      <c r="C4403" s="1" t="s">
        <v>19068</v>
      </c>
      <c r="D4403" s="1" t="s">
        <v>18082</v>
      </c>
      <c r="E4403" s="1" t="s">
        <v>18082</v>
      </c>
      <c r="F4403" s="1" t="s">
        <v>19069</v>
      </c>
      <c r="H4403" s="2" t="str">
        <f>Tabella1[[#This Row],[Denominazione]]&amp;" - "&amp;Tabella1[[#This Row],[Città]]</f>
        <v>LA CAPANNINA - PORTO SAN GIORGIO</v>
      </c>
    </row>
    <row r="4404" spans="1:8" x14ac:dyDescent="0.25">
      <c r="A4404" s="1" t="s">
        <v>6092</v>
      </c>
      <c r="B4404" s="1" t="s">
        <v>5452</v>
      </c>
      <c r="C4404" s="1" t="s">
        <v>19151</v>
      </c>
      <c r="D4404" s="1" t="s">
        <v>18082</v>
      </c>
      <c r="E4404" s="1" t="s">
        <v>18082</v>
      </c>
      <c r="F4404" s="1" t="s">
        <v>19152</v>
      </c>
      <c r="G4404" s="1" t="s">
        <v>19069</v>
      </c>
      <c r="H4404" s="2" t="str">
        <f>Tabella1[[#This Row],[Denominazione]]&amp;" - "&amp;Tabella1[[#This Row],[Città]]</f>
        <v>LA CAPANNINA - PORTO SAN GIORGIO</v>
      </c>
    </row>
    <row r="4405" spans="1:8" x14ac:dyDescent="0.25">
      <c r="A4405" s="1" t="s">
        <v>6</v>
      </c>
      <c r="B4405" s="1" t="s">
        <v>1785</v>
      </c>
      <c r="C4405" s="1" t="s">
        <v>1786</v>
      </c>
      <c r="D4405" s="1" t="s">
        <v>1724</v>
      </c>
      <c r="E4405" s="1" t="s">
        <v>1724</v>
      </c>
      <c r="F4405" s="1" t="s">
        <v>1787</v>
      </c>
      <c r="G4405" s="1" t="s">
        <v>1788</v>
      </c>
      <c r="H4405" s="2" t="str">
        <f>Tabella1[[#This Row],[Denominazione]]&amp;" - "&amp;Tabella1[[#This Row],[Città]]</f>
        <v>LA CAPINERA - FOSSOMBRONE</v>
      </c>
    </row>
    <row r="4406" spans="1:8" x14ac:dyDescent="0.25">
      <c r="A4406" s="1" t="s">
        <v>186</v>
      </c>
      <c r="B4406" s="1" t="s">
        <v>12109</v>
      </c>
      <c r="C4406" s="1" t="s">
        <v>12110</v>
      </c>
      <c r="D4406" s="1" t="s">
        <v>12050</v>
      </c>
      <c r="E4406" s="1" t="s">
        <v>12050</v>
      </c>
      <c r="F4406" s="1" t="s">
        <v>12111</v>
      </c>
      <c r="G4406" s="1" t="s">
        <v>12112</v>
      </c>
      <c r="H4406" s="2" t="str">
        <f>Tabella1[[#This Row],[Denominazione]]&amp;" - "&amp;Tabella1[[#This Row],[Città]]</f>
        <v>LA CARAVELLA Residenza Universitaria - MACERATA</v>
      </c>
    </row>
    <row r="4407" spans="1:8" x14ac:dyDescent="0.25">
      <c r="A4407" s="1" t="s">
        <v>82</v>
      </c>
      <c r="B4407" s="1" t="s">
        <v>5663</v>
      </c>
      <c r="C4407" s="1" t="s">
        <v>5664</v>
      </c>
      <c r="D4407" s="1" t="s">
        <v>1864</v>
      </c>
      <c r="E4407" s="1" t="s">
        <v>1864</v>
      </c>
      <c r="F4407" s="1" t="s">
        <v>5665</v>
      </c>
      <c r="G4407" s="1" t="s">
        <v>5666</v>
      </c>
      <c r="H4407" s="2" t="str">
        <f>Tabella1[[#This Row],[Denominazione]]&amp;" - "&amp;Tabella1[[#This Row],[Città]]</f>
        <v>LA CARPINELLA - ANCONA</v>
      </c>
    </row>
    <row r="4408" spans="1:8" x14ac:dyDescent="0.25">
      <c r="A4408" s="1" t="s">
        <v>35</v>
      </c>
      <c r="B4408" s="1" t="s">
        <v>18924</v>
      </c>
      <c r="C4408" s="1" t="s">
        <v>18925</v>
      </c>
      <c r="D4408" s="1" t="s">
        <v>18909</v>
      </c>
      <c r="E4408" s="1" t="s">
        <v>18926</v>
      </c>
      <c r="G4408" s="1" t="s">
        <v>18923</v>
      </c>
      <c r="H4408" s="2" t="str">
        <f>Tabella1[[#This Row],[Denominazione]]&amp;" - "&amp;Tabella1[[#This Row],[Città]]</f>
        <v>LA CASA DEGLI ELFI - ORTEZZANO</v>
      </c>
    </row>
    <row r="4409" spans="1:8" x14ac:dyDescent="0.25">
      <c r="A4409" s="1" t="s">
        <v>35</v>
      </c>
      <c r="B4409" s="1" t="s">
        <v>18920</v>
      </c>
      <c r="C4409" s="1" t="s">
        <v>18921</v>
      </c>
      <c r="D4409" s="1" t="s">
        <v>18909</v>
      </c>
      <c r="E4409" s="1" t="s">
        <v>18909</v>
      </c>
      <c r="F4409" s="1" t="s">
        <v>18922</v>
      </c>
      <c r="G4409" s="1" t="s">
        <v>18923</v>
      </c>
      <c r="H4409" s="2" t="str">
        <f>Tabella1[[#This Row],[Denominazione]]&amp;" - "&amp;Tabella1[[#This Row],[Città]]</f>
        <v>LA CASA DEGLI GNOMI - ORTEZZANO</v>
      </c>
    </row>
    <row r="4410" spans="1:8" x14ac:dyDescent="0.25">
      <c r="A4410" s="1" t="s">
        <v>35</v>
      </c>
      <c r="B4410" s="1" t="s">
        <v>15173</v>
      </c>
      <c r="C4410" s="1" t="s">
        <v>15174</v>
      </c>
      <c r="D4410" s="1" t="s">
        <v>15151</v>
      </c>
      <c r="F4410" s="1" t="s">
        <v>15175</v>
      </c>
      <c r="G4410" s="1" t="s">
        <v>15176</v>
      </c>
      <c r="H4410" s="2" t="str">
        <f>Tabella1[[#This Row],[Denominazione]]&amp;" - "&amp;Tabella1[[#This Row],[Città]]</f>
        <v>LA CASA DEGLI ULIVI - CASTIGNANO</v>
      </c>
    </row>
    <row r="4411" spans="1:8" x14ac:dyDescent="0.25">
      <c r="A4411" s="1" t="s">
        <v>6</v>
      </c>
      <c r="B4411" s="1" t="s">
        <v>12206</v>
      </c>
      <c r="C4411" s="1" t="s">
        <v>12207</v>
      </c>
      <c r="D4411" s="1" t="s">
        <v>12208</v>
      </c>
      <c r="E4411" s="1" t="s">
        <v>12209</v>
      </c>
      <c r="F4411" s="1" t="s">
        <v>12210</v>
      </c>
      <c r="G4411" s="1" t="s">
        <v>12211</v>
      </c>
      <c r="H4411" s="2" t="str">
        <f>Tabella1[[#This Row],[Denominazione]]&amp;" - "&amp;Tabella1[[#This Row],[Città]]</f>
        <v>LA CASA DEI FIORI - MATELICA</v>
      </c>
    </row>
    <row r="4412" spans="1:8" x14ac:dyDescent="0.25">
      <c r="A4412" s="1" t="s">
        <v>29</v>
      </c>
      <c r="B4412" s="1" t="s">
        <v>18696</v>
      </c>
      <c r="C4412" s="1" t="s">
        <v>18697</v>
      </c>
      <c r="D4412" s="1" t="s">
        <v>18693</v>
      </c>
      <c r="F4412" s="1" t="s">
        <v>18698</v>
      </c>
      <c r="G4412" s="1" t="s">
        <v>18699</v>
      </c>
      <c r="H4412" s="2" t="str">
        <f>Tabella1[[#This Row],[Denominazione]]&amp;" - "&amp;Tabella1[[#This Row],[Città]]</f>
        <v>LA CASA DEI NONNI - MONTELEONE DI FERMO</v>
      </c>
    </row>
    <row r="4413" spans="1:8" x14ac:dyDescent="0.25">
      <c r="A4413" s="1" t="s">
        <v>35</v>
      </c>
      <c r="B4413" s="1" t="s">
        <v>17834</v>
      </c>
      <c r="C4413" s="1" t="s">
        <v>17835</v>
      </c>
      <c r="D4413" s="1" t="s">
        <v>17823</v>
      </c>
      <c r="G4413" s="1" t="s">
        <v>17836</v>
      </c>
      <c r="H4413" s="2" t="str">
        <f>Tabella1[[#This Row],[Denominazione]]&amp;" - "&amp;Tabella1[[#This Row],[Città]]</f>
        <v>LA CASA DEL MIRTO - BELMONTE PICENO</v>
      </c>
    </row>
    <row r="4414" spans="1:8" x14ac:dyDescent="0.25">
      <c r="A4414" s="1" t="s">
        <v>29</v>
      </c>
      <c r="B4414" s="1" t="s">
        <v>4680</v>
      </c>
      <c r="C4414" s="1" t="s">
        <v>4681</v>
      </c>
      <c r="D4414" s="1" t="s">
        <v>4657</v>
      </c>
      <c r="E4414" s="1" t="s">
        <v>4657</v>
      </c>
      <c r="F4414" s="1" t="s">
        <v>4682</v>
      </c>
      <c r="G4414" s="1" t="s">
        <v>4683</v>
      </c>
      <c r="H4414" s="2" t="str">
        <f>Tabella1[[#This Row],[Denominazione]]&amp;" - "&amp;Tabella1[[#This Row],[Città]]</f>
        <v>LA CASA DEL TESORO - TAVULLIA</v>
      </c>
    </row>
    <row r="4415" spans="1:8" x14ac:dyDescent="0.25">
      <c r="A4415" s="1" t="s">
        <v>35</v>
      </c>
      <c r="B4415" s="1" t="s">
        <v>15109</v>
      </c>
      <c r="C4415" s="1" t="s">
        <v>15110</v>
      </c>
      <c r="D4415" s="1" t="s">
        <v>15096</v>
      </c>
      <c r="E4415" s="1" t="s">
        <v>15096</v>
      </c>
      <c r="F4415" s="1" t="s">
        <v>15111</v>
      </c>
      <c r="G4415" s="1" t="s">
        <v>15112</v>
      </c>
      <c r="H4415" s="2" t="str">
        <f>Tabella1[[#This Row],[Denominazione]]&amp;" - "&amp;Tabella1[[#This Row],[Città]]</f>
        <v>LA CASA DEL VECCHIO MULINO - CARASSAI</v>
      </c>
    </row>
    <row r="4416" spans="1:8" x14ac:dyDescent="0.25">
      <c r="A4416" s="1" t="s">
        <v>29</v>
      </c>
      <c r="B4416" s="1" t="s">
        <v>18798</v>
      </c>
      <c r="D4416" s="1" t="s">
        <v>18783</v>
      </c>
      <c r="E4416" s="1" t="s">
        <v>18799</v>
      </c>
      <c r="F4416" s="1" t="s">
        <v>18800</v>
      </c>
      <c r="G4416" s="1" t="s">
        <v>18801</v>
      </c>
      <c r="H4416" s="2" t="str">
        <f>Tabella1[[#This Row],[Denominazione]]&amp;" - "&amp;Tabella1[[#This Row],[Città]]</f>
        <v>LA CASA DELL'ARTE - MONTERUBBIANO</v>
      </c>
    </row>
    <row r="4417" spans="1:8" x14ac:dyDescent="0.25">
      <c r="A4417" s="1" t="s">
        <v>29</v>
      </c>
      <c r="B4417" s="1" t="s">
        <v>12128</v>
      </c>
      <c r="C4417" s="1" t="s">
        <v>12129</v>
      </c>
      <c r="D4417" s="1" t="s">
        <v>12050</v>
      </c>
      <c r="E4417" s="1" t="s">
        <v>12050</v>
      </c>
      <c r="F4417" s="1" t="s">
        <v>12130</v>
      </c>
      <c r="G4417" s="1" t="s">
        <v>12131</v>
      </c>
      <c r="H4417" s="2" t="str">
        <f>Tabella1[[#This Row],[Denominazione]]&amp;" - "&amp;Tabella1[[#This Row],[Città]]</f>
        <v>LA CASA DELLE FAVOLE di SHEILA CONTI - MACERATA</v>
      </c>
    </row>
    <row r="4418" spans="1:8" x14ac:dyDescent="0.25">
      <c r="A4418" s="1" t="s">
        <v>12</v>
      </c>
      <c r="B4418" s="1" t="s">
        <v>2676</v>
      </c>
      <c r="C4418" s="1" t="s">
        <v>2677</v>
      </c>
      <c r="D4418" s="1" t="s">
        <v>2678</v>
      </c>
      <c r="G4418" s="1" t="s">
        <v>2679</v>
      </c>
      <c r="H4418" s="2" t="str">
        <f>Tabella1[[#This Row],[Denominazione]]&amp;" - "&amp;Tabella1[[#This Row],[Città]]</f>
        <v>LA CASA DELLE LUNE - MOMBAROCCIO</v>
      </c>
    </row>
    <row r="4419" spans="1:8" x14ac:dyDescent="0.25">
      <c r="A4419" s="1" t="s">
        <v>29</v>
      </c>
      <c r="B4419" s="1" t="s">
        <v>10491</v>
      </c>
      <c r="C4419" s="1" t="s">
        <v>10492</v>
      </c>
      <c r="D4419" s="1" t="s">
        <v>10488</v>
      </c>
      <c r="E4419" s="1" t="s">
        <v>10488</v>
      </c>
      <c r="F4419" s="1" t="s">
        <v>10493</v>
      </c>
      <c r="G4419" s="1" t="s">
        <v>10494</v>
      </c>
      <c r="H4419" s="2" t="str">
        <f>Tabella1[[#This Row],[Denominazione]]&amp;" - "&amp;Tabella1[[#This Row],[Città]]</f>
        <v>LA CASA DELLE RONDINI B&amp;B - STAFFOLO</v>
      </c>
    </row>
    <row r="4420" spans="1:8" x14ac:dyDescent="0.25">
      <c r="A4420" s="1" t="s">
        <v>35</v>
      </c>
      <c r="B4420" s="1" t="s">
        <v>6817</v>
      </c>
      <c r="C4420" s="1" t="s">
        <v>6818</v>
      </c>
      <c r="D4420" s="1" t="s">
        <v>6790</v>
      </c>
      <c r="E4420" s="1" t="s">
        <v>6819</v>
      </c>
      <c r="F4420" s="1" t="s">
        <v>6820</v>
      </c>
      <c r="G4420" s="1" t="s">
        <v>6821</v>
      </c>
      <c r="H4420" s="2" t="str">
        <f>Tabella1[[#This Row],[Denominazione]]&amp;" - "&amp;Tabella1[[#This Row],[Città]]</f>
        <v>LA CASA DI CAMPAGNA - FABRIANO</v>
      </c>
    </row>
    <row r="4421" spans="1:8" x14ac:dyDescent="0.25">
      <c r="A4421" s="1" t="s">
        <v>82</v>
      </c>
      <c r="B4421" s="1" t="s">
        <v>18190</v>
      </c>
      <c r="C4421" s="1" t="s">
        <v>18191</v>
      </c>
      <c r="D4421" s="1" t="s">
        <v>17932</v>
      </c>
      <c r="E4421" s="1" t="s">
        <v>17932</v>
      </c>
      <c r="F4421" s="1" t="s">
        <v>18192</v>
      </c>
      <c r="G4421" s="1" t="s">
        <v>18193</v>
      </c>
      <c r="H4421" s="2" t="str">
        <f>Tabella1[[#This Row],[Denominazione]]&amp;" - "&amp;Tabella1[[#This Row],[Città]]</f>
        <v>LA CASA DI CARLA - FERMO</v>
      </c>
    </row>
    <row r="4422" spans="1:8" x14ac:dyDescent="0.25">
      <c r="A4422" s="1" t="s">
        <v>12</v>
      </c>
      <c r="B4422" s="1" t="s">
        <v>13048</v>
      </c>
      <c r="C4422" s="1" t="s">
        <v>13049</v>
      </c>
      <c r="D4422" s="1" t="s">
        <v>13026</v>
      </c>
      <c r="E4422" s="1" t="s">
        <v>13026</v>
      </c>
      <c r="G4422" s="1" t="s">
        <v>13050</v>
      </c>
      <c r="H4422" s="2" t="str">
        <f>Tabella1[[#This Row],[Denominazione]]&amp;" - "&amp;Tabella1[[#This Row],[Città]]</f>
        <v>LA CASA DI CECILIA - POTENZA PICENA</v>
      </c>
    </row>
    <row r="4423" spans="1:8" x14ac:dyDescent="0.25">
      <c r="A4423" s="1" t="s">
        <v>12</v>
      </c>
      <c r="B4423" s="1" t="s">
        <v>10667</v>
      </c>
      <c r="C4423" s="1" t="s">
        <v>10668</v>
      </c>
      <c r="D4423" s="1" t="s">
        <v>10654</v>
      </c>
      <c r="E4423" s="1" t="s">
        <v>10654</v>
      </c>
      <c r="H4423" s="2" t="str">
        <f>Tabella1[[#This Row],[Denominazione]]&amp;" - "&amp;Tabella1[[#This Row],[Città]]</f>
        <v>LA CASA DI DORA di SALVATORI GIULIANO - BELFORTE DEL CHIENTI</v>
      </c>
    </row>
    <row r="4424" spans="1:8" x14ac:dyDescent="0.25">
      <c r="A4424" s="1" t="s">
        <v>12</v>
      </c>
      <c r="B4424" s="1" t="s">
        <v>5406</v>
      </c>
      <c r="C4424" s="1" t="s">
        <v>5368</v>
      </c>
      <c r="D4424" s="1" t="s">
        <v>5358</v>
      </c>
      <c r="E4424" s="1" t="s">
        <v>5407</v>
      </c>
      <c r="G4424" s="1" t="s">
        <v>5408</v>
      </c>
      <c r="H4424" s="2" t="str">
        <f>Tabella1[[#This Row],[Denominazione]]&amp;" - "&amp;Tabella1[[#This Row],[Città]]</f>
        <v>LA CASA DI GIOVANNA - VALLEFOGLIA</v>
      </c>
    </row>
    <row r="4425" spans="1:8" x14ac:dyDescent="0.25">
      <c r="A4425" s="1" t="s">
        <v>12</v>
      </c>
      <c r="B4425" s="1" t="s">
        <v>8611</v>
      </c>
      <c r="C4425" s="1" t="s">
        <v>8612</v>
      </c>
      <c r="D4425" s="1" t="s">
        <v>8608</v>
      </c>
      <c r="E4425" s="1" t="s">
        <v>8608</v>
      </c>
      <c r="G4425" s="1" t="s">
        <v>8613</v>
      </c>
      <c r="H4425" s="2" t="str">
        <f>Tabella1[[#This Row],[Denominazione]]&amp;" - "&amp;Tabella1[[#This Row],[Città]]</f>
        <v>LA CASA DI LENU' - OSTRA</v>
      </c>
    </row>
    <row r="4426" spans="1:8" x14ac:dyDescent="0.25">
      <c r="A4426" s="1" t="s">
        <v>29</v>
      </c>
      <c r="B4426" s="1" t="s">
        <v>16457</v>
      </c>
      <c r="C4426" s="1" t="s">
        <v>16458</v>
      </c>
      <c r="D4426" s="1" t="s">
        <v>16440</v>
      </c>
      <c r="E4426" s="1" t="s">
        <v>16440</v>
      </c>
      <c r="G4426" s="1" t="s">
        <v>16459</v>
      </c>
      <c r="H4426" s="2" t="str">
        <f>Tabella1[[#This Row],[Denominazione]]&amp;" - "&amp;Tabella1[[#This Row],[Città]]</f>
        <v>LA CASA DI MARINELLA - OFFIDA</v>
      </c>
    </row>
    <row r="4427" spans="1:8" x14ac:dyDescent="0.25">
      <c r="A4427" s="1" t="s">
        <v>29</v>
      </c>
      <c r="B4427" s="1" t="s">
        <v>12055</v>
      </c>
      <c r="C4427" s="1" t="s">
        <v>12056</v>
      </c>
      <c r="D4427" s="1" t="s">
        <v>12050</v>
      </c>
      <c r="E4427" s="1" t="s">
        <v>12050</v>
      </c>
      <c r="G4427" s="1" t="s">
        <v>12057</v>
      </c>
      <c r="H4427" s="2" t="str">
        <f>Tabella1[[#This Row],[Denominazione]]&amp;" - "&amp;Tabella1[[#This Row],[Città]]</f>
        <v>LA CASA DI OLIVA - MACERATA</v>
      </c>
    </row>
    <row r="4428" spans="1:8" x14ac:dyDescent="0.25">
      <c r="A4428" s="1" t="s">
        <v>12</v>
      </c>
      <c r="B4428" s="1" t="s">
        <v>5889</v>
      </c>
      <c r="C4428" s="1" t="s">
        <v>5890</v>
      </c>
      <c r="D4428" s="1" t="s">
        <v>1864</v>
      </c>
      <c r="E4428" s="1" t="s">
        <v>1864</v>
      </c>
      <c r="F4428" s="1" t="s">
        <v>5891</v>
      </c>
      <c r="G4428" s="1" t="s">
        <v>5892</v>
      </c>
      <c r="H4428" s="2" t="str">
        <f>Tabella1[[#This Row],[Denominazione]]&amp;" - "&amp;Tabella1[[#This Row],[Città]]</f>
        <v>LA CASA DI PALLINA - ANCONA</v>
      </c>
    </row>
    <row r="4429" spans="1:8" x14ac:dyDescent="0.25">
      <c r="A4429" s="1" t="s">
        <v>82</v>
      </c>
      <c r="B4429" s="1" t="s">
        <v>11741</v>
      </c>
      <c r="C4429" s="1" t="s">
        <v>11742</v>
      </c>
      <c r="D4429" s="1" t="s">
        <v>11728</v>
      </c>
      <c r="G4429" s="1" t="s">
        <v>11743</v>
      </c>
      <c r="H4429" s="2" t="str">
        <f>Tabella1[[#This Row],[Denominazione]]&amp;" - "&amp;Tabella1[[#This Row],[Città]]</f>
        <v>LA CASA DI PEPPA - CORRIDONIA</v>
      </c>
    </row>
    <row r="4430" spans="1:8" x14ac:dyDescent="0.25">
      <c r="A4430" s="1" t="s">
        <v>29</v>
      </c>
      <c r="B4430" s="1" t="s">
        <v>10734</v>
      </c>
      <c r="D4430" s="1" t="s">
        <v>10702</v>
      </c>
      <c r="H4430" s="2" t="str">
        <f>Tabella1[[#This Row],[Denominazione]]&amp;" - "&amp;Tabella1[[#This Row],[Città]]</f>
        <v>LA CASA DI ROSA - CALDAROLA</v>
      </c>
    </row>
    <row r="4431" spans="1:8" x14ac:dyDescent="0.25">
      <c r="A4431" s="1" t="s">
        <v>29</v>
      </c>
      <c r="B4431" s="1" t="s">
        <v>11323</v>
      </c>
      <c r="C4431" s="1" t="s">
        <v>11324</v>
      </c>
      <c r="D4431" s="1" t="s">
        <v>11244</v>
      </c>
      <c r="E4431" s="1" t="s">
        <v>11244</v>
      </c>
      <c r="G4431" s="1" t="s">
        <v>11325</v>
      </c>
      <c r="H4431" s="2" t="str">
        <f>Tabella1[[#This Row],[Denominazione]]&amp;" - "&amp;Tabella1[[#This Row],[Città]]</f>
        <v>LA CASA DI TITTI - CIVITANOVA MARCHE</v>
      </c>
    </row>
    <row r="4432" spans="1:8" x14ac:dyDescent="0.25">
      <c r="A4432" s="1" t="s">
        <v>29</v>
      </c>
      <c r="B4432" s="1" t="s">
        <v>6208</v>
      </c>
      <c r="C4432" s="1" t="s">
        <v>6209</v>
      </c>
      <c r="D4432" s="1" t="s">
        <v>6049</v>
      </c>
      <c r="E4432" s="1" t="s">
        <v>6049</v>
      </c>
      <c r="G4432" s="1" t="s">
        <v>6210</v>
      </c>
      <c r="H4432" s="2" t="str">
        <f>Tabella1[[#This Row],[Denominazione]]&amp;" - "&amp;Tabella1[[#This Row],[Città]]</f>
        <v>LA CASA DI ZIA SESTA - ARCEVIA</v>
      </c>
    </row>
    <row r="4433" spans="1:8" x14ac:dyDescent="0.25">
      <c r="A4433" s="1" t="s">
        <v>35</v>
      </c>
      <c r="B4433" s="1" t="s">
        <v>12793</v>
      </c>
      <c r="C4433" s="1" t="s">
        <v>12794</v>
      </c>
      <c r="D4433" s="1" t="s">
        <v>12772</v>
      </c>
      <c r="E4433" s="1" t="s">
        <v>12772</v>
      </c>
      <c r="F4433" s="1" t="s">
        <v>12795</v>
      </c>
      <c r="G4433" s="1" t="s">
        <v>12796</v>
      </c>
      <c r="H4433" s="2" t="str">
        <f>Tabella1[[#This Row],[Denominazione]]&amp;" - "&amp;Tabella1[[#This Row],[Città]]</f>
        <v>LA CASA DI ZOE - POLLENZA</v>
      </c>
    </row>
    <row r="4434" spans="1:8" x14ac:dyDescent="0.25">
      <c r="A4434" s="1" t="s">
        <v>29</v>
      </c>
      <c r="B4434" s="1" t="s">
        <v>12602</v>
      </c>
      <c r="C4434" s="1" t="s">
        <v>12603</v>
      </c>
      <c r="D4434" s="1" t="s">
        <v>12546</v>
      </c>
      <c r="E4434" s="1" t="s">
        <v>12599</v>
      </c>
      <c r="F4434" s="1" t="s">
        <v>12600</v>
      </c>
      <c r="G4434" s="1" t="s">
        <v>12601</v>
      </c>
      <c r="H4434" s="2" t="str">
        <f>Tabella1[[#This Row],[Denominazione]]&amp;" - "&amp;Tabella1[[#This Row],[Città]]</f>
        <v>LA CASA DOPO IL PONTE - MORROVALLE</v>
      </c>
    </row>
    <row r="4435" spans="1:8" x14ac:dyDescent="0.25">
      <c r="A4435" s="1" t="s">
        <v>35</v>
      </c>
      <c r="B4435" s="1" t="s">
        <v>5877</v>
      </c>
      <c r="C4435" s="1" t="s">
        <v>5878</v>
      </c>
      <c r="D4435" s="1" t="s">
        <v>1864</v>
      </c>
      <c r="E4435" s="1" t="s">
        <v>5879</v>
      </c>
      <c r="G4435" s="1" t="s">
        <v>5880</v>
      </c>
      <c r="H4435" s="2" t="str">
        <f>Tabella1[[#This Row],[Denominazione]]&amp;" - "&amp;Tabella1[[#This Row],[Città]]</f>
        <v>LA CASA IN CAMPAGNA - ANCONA</v>
      </c>
    </row>
    <row r="4436" spans="1:8" x14ac:dyDescent="0.25">
      <c r="A4436" s="1" t="s">
        <v>29</v>
      </c>
      <c r="B4436" s="1" t="s">
        <v>5877</v>
      </c>
      <c r="C4436" s="1" t="s">
        <v>15338</v>
      </c>
      <c r="D4436" s="1" t="s">
        <v>15282</v>
      </c>
      <c r="E4436" s="1" t="s">
        <v>15339</v>
      </c>
      <c r="F4436" s="1" t="s">
        <v>15340</v>
      </c>
      <c r="G4436" s="1" t="s">
        <v>15341</v>
      </c>
      <c r="H4436" s="2" t="str">
        <f>Tabella1[[#This Row],[Denominazione]]&amp;" - "&amp;Tabella1[[#This Row],[Città]]</f>
        <v>LA CASA IN CAMPAGNA - COSSIGNANO</v>
      </c>
    </row>
    <row r="4437" spans="1:8" x14ac:dyDescent="0.25">
      <c r="A4437" s="1" t="s">
        <v>6</v>
      </c>
      <c r="B4437" s="1" t="s">
        <v>2635</v>
      </c>
      <c r="C4437" s="1" t="s">
        <v>2621</v>
      </c>
      <c r="D4437" s="1" t="s">
        <v>2594</v>
      </c>
      <c r="E4437" s="1" t="s">
        <v>2594</v>
      </c>
      <c r="H4437" s="2" t="str">
        <f>Tabella1[[#This Row],[Denominazione]]&amp;" - "&amp;Tabella1[[#This Row],[Città]]</f>
        <v>LA CASA NEL BORGO - MERCATELLO SUL METAURO</v>
      </c>
    </row>
    <row r="4438" spans="1:8" x14ac:dyDescent="0.25">
      <c r="A4438" s="1" t="s">
        <v>29</v>
      </c>
      <c r="B4438" s="1" t="s">
        <v>2635</v>
      </c>
      <c r="C4438" s="1" t="s">
        <v>14320</v>
      </c>
      <c r="D4438" s="1" t="s">
        <v>14276</v>
      </c>
      <c r="G4438" s="1" t="s">
        <v>14321</v>
      </c>
      <c r="H4438" s="2" t="str">
        <f>Tabella1[[#This Row],[Denominazione]]&amp;" - "&amp;Tabella1[[#This Row],[Città]]</f>
        <v>LA CASA NEL BORGO - VISSO</v>
      </c>
    </row>
    <row r="4439" spans="1:8" x14ac:dyDescent="0.25">
      <c r="A4439" s="1" t="s">
        <v>12</v>
      </c>
      <c r="B4439" s="1" t="s">
        <v>16710</v>
      </c>
      <c r="C4439" s="1" t="s">
        <v>16711</v>
      </c>
      <c r="D4439" s="1" t="s">
        <v>16585</v>
      </c>
      <c r="E4439" s="1" t="s">
        <v>16585</v>
      </c>
      <c r="G4439" s="1" t="s">
        <v>16683</v>
      </c>
      <c r="H4439" s="2" t="str">
        <f>Tabella1[[#This Row],[Denominazione]]&amp;" - "&amp;Tabella1[[#This Row],[Città]]</f>
        <v>LA CASA NEL BOSCO APP.TO - RIPATRANSONE</v>
      </c>
    </row>
    <row r="4440" spans="1:8" x14ac:dyDescent="0.25">
      <c r="A4440" s="1" t="s">
        <v>29</v>
      </c>
      <c r="B4440" s="1" t="s">
        <v>13423</v>
      </c>
      <c r="C4440" s="1" t="s">
        <v>13424</v>
      </c>
      <c r="D4440" s="1" t="s">
        <v>13298</v>
      </c>
      <c r="E4440" s="1" t="s">
        <v>13298</v>
      </c>
      <c r="G4440" s="1" t="s">
        <v>13425</v>
      </c>
      <c r="H4440" s="2" t="str">
        <f>Tabella1[[#This Row],[Denominazione]]&amp;" - "&amp;Tabella1[[#This Row],[Città]]</f>
        <v>LA CASA NEL VICOLO - RECANATI</v>
      </c>
    </row>
    <row r="4441" spans="1:8" x14ac:dyDescent="0.25">
      <c r="A4441" s="1" t="s">
        <v>82</v>
      </c>
      <c r="B4441" s="1" t="s">
        <v>18675</v>
      </c>
      <c r="C4441" s="1" t="s">
        <v>18676</v>
      </c>
      <c r="D4441" s="1" t="s">
        <v>18653</v>
      </c>
      <c r="E4441" s="1" t="s">
        <v>18653</v>
      </c>
      <c r="F4441" s="1" t="s">
        <v>18677</v>
      </c>
      <c r="G4441" s="1" t="s">
        <v>18678</v>
      </c>
      <c r="H4441" s="2" t="str">
        <f>Tabella1[[#This Row],[Denominazione]]&amp;" - "&amp;Tabella1[[#This Row],[Città]]</f>
        <v>LA CASA NELLA VIGNA RIO MAGGIO - MONTEGRANARO</v>
      </c>
    </row>
    <row r="4442" spans="1:8" x14ac:dyDescent="0.25">
      <c r="A4442" s="1" t="s">
        <v>29</v>
      </c>
      <c r="B4442" s="1" t="s">
        <v>12597</v>
      </c>
      <c r="C4442" s="1" t="s">
        <v>12598</v>
      </c>
      <c r="D4442" s="1" t="s">
        <v>12546</v>
      </c>
      <c r="E4442" s="1" t="s">
        <v>12599</v>
      </c>
      <c r="F4442" s="1" t="s">
        <v>12600</v>
      </c>
      <c r="G4442" s="1" t="s">
        <v>12601</v>
      </c>
      <c r="H4442" s="2" t="str">
        <f>Tabella1[[#This Row],[Denominazione]]&amp;" - "&amp;Tabella1[[#This Row],[Città]]</f>
        <v>LA CASA PRIMA DEL PONTE - MORROVALLE</v>
      </c>
    </row>
    <row r="4443" spans="1:8" x14ac:dyDescent="0.25">
      <c r="A4443" s="1" t="s">
        <v>29</v>
      </c>
      <c r="B4443" s="1" t="s">
        <v>8584</v>
      </c>
      <c r="C4443" s="1" t="s">
        <v>8585</v>
      </c>
      <c r="D4443" s="1" t="s">
        <v>8454</v>
      </c>
      <c r="E4443" s="1" t="s">
        <v>8454</v>
      </c>
      <c r="F4443" s="1" t="s">
        <v>8586</v>
      </c>
      <c r="G4443" s="1" t="s">
        <v>8587</v>
      </c>
      <c r="H4443" s="2" t="str">
        <f>Tabella1[[#This Row],[Denominazione]]&amp;" - "&amp;Tabella1[[#This Row],[Città]]</f>
        <v>LA CASA STORTA - OSIMO</v>
      </c>
    </row>
    <row r="4444" spans="1:8" x14ac:dyDescent="0.25">
      <c r="A4444" s="1" t="s">
        <v>82</v>
      </c>
      <c r="B4444" s="1" t="s">
        <v>18441</v>
      </c>
      <c r="C4444" s="1" t="s">
        <v>18442</v>
      </c>
      <c r="D4444" s="1" t="s">
        <v>18389</v>
      </c>
      <c r="G4444" s="1" t="s">
        <v>18443</v>
      </c>
      <c r="H4444" s="2" t="str">
        <f>Tabella1[[#This Row],[Denominazione]]&amp;" - "&amp;Tabella1[[#This Row],[Città]]</f>
        <v>LA CASA SUL BORGO - LAPEDONA</v>
      </c>
    </row>
    <row r="4445" spans="1:8" x14ac:dyDescent="0.25">
      <c r="A4445" s="1" t="s">
        <v>35</v>
      </c>
      <c r="B4445" s="1" t="s">
        <v>10915</v>
      </c>
      <c r="C4445" s="1" t="s">
        <v>10916</v>
      </c>
      <c r="D4445" s="1" t="s">
        <v>10912</v>
      </c>
      <c r="E4445" s="1" t="s">
        <v>10912</v>
      </c>
      <c r="G4445" s="1" t="s">
        <v>10917</v>
      </c>
      <c r="H4445" s="2" t="str">
        <f>Tabella1[[#This Row],[Denominazione]]&amp;" - "&amp;Tabella1[[#This Row],[Città]]</f>
        <v>LA CASA SUL FIUME - CAMPOROTONDO DI FIASTRONE</v>
      </c>
    </row>
    <row r="4446" spans="1:8" x14ac:dyDescent="0.25">
      <c r="A4446" s="1" t="s">
        <v>29</v>
      </c>
      <c r="B4446" s="1" t="s">
        <v>13045</v>
      </c>
      <c r="C4446" s="1" t="s">
        <v>13046</v>
      </c>
      <c r="D4446" s="1" t="s">
        <v>13026</v>
      </c>
      <c r="E4446" s="1" t="s">
        <v>13026</v>
      </c>
      <c r="G4446" s="1" t="s">
        <v>13047</v>
      </c>
      <c r="H4446" s="2" t="str">
        <f>Tabella1[[#This Row],[Denominazione]]&amp;" - "&amp;Tabella1[[#This Row],[Città]]</f>
        <v>LA CASA SUL TETTO - POTENZA PICENA</v>
      </c>
    </row>
    <row r="4447" spans="1:8" x14ac:dyDescent="0.25">
      <c r="A4447" s="1" t="s">
        <v>35</v>
      </c>
      <c r="B4447" s="1" t="s">
        <v>7738</v>
      </c>
      <c r="C4447" s="1" t="s">
        <v>7739</v>
      </c>
      <c r="D4447" s="1" t="s">
        <v>7718</v>
      </c>
      <c r="E4447" s="1" t="s">
        <v>7718</v>
      </c>
      <c r="F4447" s="1" t="s">
        <v>7740</v>
      </c>
      <c r="G4447" s="1" t="s">
        <v>7741</v>
      </c>
      <c r="H4447" s="2" t="str">
        <f>Tabella1[[#This Row],[Denominazione]]&amp;" - "&amp;Tabella1[[#This Row],[Città]]</f>
        <v>LA CASA SULL' ALBERO - MONTEMARCIANO</v>
      </c>
    </row>
    <row r="4448" spans="1:8" x14ac:dyDescent="0.25">
      <c r="A4448" s="1" t="s">
        <v>35</v>
      </c>
      <c r="B4448" s="1" t="s">
        <v>7828</v>
      </c>
      <c r="C4448" s="1" t="s">
        <v>7829</v>
      </c>
      <c r="D4448" s="1" t="s">
        <v>7824</v>
      </c>
      <c r="E4448" s="1" t="s">
        <v>7824</v>
      </c>
      <c r="F4448" s="1" t="s">
        <v>7740</v>
      </c>
      <c r="G4448" s="1" t="s">
        <v>7741</v>
      </c>
      <c r="H4448" s="2" t="str">
        <f>Tabella1[[#This Row],[Denominazione]]&amp;" - "&amp;Tabella1[[#This Row],[Città]]</f>
        <v>LA CASA SULL'ALBERO - MONTE SAN VITO</v>
      </c>
    </row>
    <row r="4449" spans="1:8" x14ac:dyDescent="0.25">
      <c r="A4449" s="1" t="s">
        <v>82</v>
      </c>
      <c r="B4449" s="1" t="s">
        <v>13879</v>
      </c>
      <c r="C4449" s="1" t="s">
        <v>13880</v>
      </c>
      <c r="D4449" s="1" t="s">
        <v>13881</v>
      </c>
      <c r="E4449" s="1" t="s">
        <v>13881</v>
      </c>
      <c r="F4449" s="1" t="s">
        <v>13882</v>
      </c>
      <c r="G4449" s="1" t="s">
        <v>13883</v>
      </c>
      <c r="H4449" s="2" t="str">
        <f>Tabella1[[#This Row],[Denominazione]]&amp;" - "&amp;Tabella1[[#This Row],[Città]]</f>
        <v>LA CASCATA - SEFRO</v>
      </c>
    </row>
    <row r="4450" spans="1:8" x14ac:dyDescent="0.25">
      <c r="A4450" s="1" t="s">
        <v>35</v>
      </c>
      <c r="B4450" s="1" t="s">
        <v>19636</v>
      </c>
      <c r="C4450" s="1" t="s">
        <v>19637</v>
      </c>
      <c r="D4450" s="1" t="s">
        <v>19628</v>
      </c>
      <c r="F4450" s="1" t="s">
        <v>19638</v>
      </c>
      <c r="G4450" s="1" t="s">
        <v>19639</v>
      </c>
      <c r="H4450" s="2" t="str">
        <f>Tabella1[[#This Row],[Denominazione]]&amp;" - "&amp;Tabella1[[#This Row],[Città]]</f>
        <v>LA CASCINA DEGLI ULIVI - SERVIGLIANO</v>
      </c>
    </row>
    <row r="4451" spans="1:8" x14ac:dyDescent="0.25">
      <c r="A4451" s="1" t="s">
        <v>6</v>
      </c>
      <c r="B4451" s="1" t="s">
        <v>16589</v>
      </c>
      <c r="C4451" s="1" t="s">
        <v>16590</v>
      </c>
      <c r="D4451" s="1" t="s">
        <v>16585</v>
      </c>
      <c r="E4451" s="1" t="s">
        <v>16591</v>
      </c>
      <c r="F4451" s="1" t="s">
        <v>16592</v>
      </c>
      <c r="G4451" s="1" t="s">
        <v>16593</v>
      </c>
      <c r="H4451" s="2" t="str">
        <f>Tabella1[[#This Row],[Denominazione]]&amp;" - "&amp;Tabella1[[#This Row],[Città]]</f>
        <v>LA CASCINA DEI CILIEGI - RIPATRANSONE</v>
      </c>
    </row>
    <row r="4452" spans="1:8" x14ac:dyDescent="0.25">
      <c r="A4452" s="1" t="s">
        <v>6</v>
      </c>
      <c r="B4452" s="1" t="s">
        <v>13357</v>
      </c>
      <c r="C4452" s="1" t="s">
        <v>13358</v>
      </c>
      <c r="D4452" s="1" t="s">
        <v>13298</v>
      </c>
      <c r="E4452" s="1" t="s">
        <v>13298</v>
      </c>
      <c r="F4452" s="1" t="s">
        <v>13359</v>
      </c>
      <c r="G4452" s="1" t="s">
        <v>13360</v>
      </c>
      <c r="H4452" s="2" t="str">
        <f>Tabella1[[#This Row],[Denominazione]]&amp;" - "&amp;Tabella1[[#This Row],[Città]]</f>
        <v>LA CASCINA DEL POETA - RECANATI</v>
      </c>
    </row>
    <row r="4453" spans="1:8" x14ac:dyDescent="0.25">
      <c r="A4453" s="1" t="s">
        <v>29</v>
      </c>
      <c r="B4453" s="1" t="s">
        <v>14946</v>
      </c>
      <c r="C4453" s="1" t="s">
        <v>14947</v>
      </c>
      <c r="D4453" s="1" t="s">
        <v>14576</v>
      </c>
      <c r="E4453" s="1" t="s">
        <v>14576</v>
      </c>
      <c r="G4453" s="1" t="s">
        <v>14948</v>
      </c>
      <c r="H4453" s="2" t="str">
        <f>Tabella1[[#This Row],[Denominazione]]&amp;" - "&amp;Tabella1[[#This Row],[Città]]</f>
        <v>LA CASETTA - ASCOLI PICENO</v>
      </c>
    </row>
    <row r="4454" spans="1:8" x14ac:dyDescent="0.25">
      <c r="A4454" s="1" t="s">
        <v>6</v>
      </c>
      <c r="B4454" s="1" t="s">
        <v>16189</v>
      </c>
      <c r="C4454" s="1" t="s">
        <v>16190</v>
      </c>
      <c r="D4454" s="1" t="s">
        <v>16165</v>
      </c>
      <c r="G4454" s="1" t="s">
        <v>16191</v>
      </c>
      <c r="H4454" s="2" t="str">
        <f>Tabella1[[#This Row],[Denominazione]]&amp;" - "&amp;Tabella1[[#This Row],[Città]]</f>
        <v>LA CASETTA AL SOLE - MONTEDINOVE</v>
      </c>
    </row>
    <row r="4455" spans="1:8" x14ac:dyDescent="0.25">
      <c r="A4455" s="1" t="s">
        <v>12</v>
      </c>
      <c r="B4455" s="1" t="s">
        <v>13419</v>
      </c>
      <c r="C4455" s="1" t="s">
        <v>13420</v>
      </c>
      <c r="D4455" s="1" t="s">
        <v>13298</v>
      </c>
      <c r="E4455" s="1" t="s">
        <v>13298</v>
      </c>
      <c r="G4455" s="1" t="s">
        <v>13421</v>
      </c>
      <c r="H4455" s="2" t="str">
        <f>Tabella1[[#This Row],[Denominazione]]&amp;" - "&amp;Tabella1[[#This Row],[Città]]</f>
        <v>LA CASETTA DEL MURATORE GRANDE - RECANATI</v>
      </c>
    </row>
    <row r="4456" spans="1:8" x14ac:dyDescent="0.25">
      <c r="A4456" s="1" t="s">
        <v>12</v>
      </c>
      <c r="B4456" s="1" t="s">
        <v>13422</v>
      </c>
      <c r="C4456" s="1" t="s">
        <v>13420</v>
      </c>
      <c r="D4456" s="1" t="s">
        <v>13298</v>
      </c>
      <c r="E4456" s="1" t="s">
        <v>13298</v>
      </c>
      <c r="G4456" s="1" t="s">
        <v>13421</v>
      </c>
      <c r="H4456" s="2" t="str">
        <f>Tabella1[[#This Row],[Denominazione]]&amp;" - "&amp;Tabella1[[#This Row],[Città]]</f>
        <v>LA CASETTA DEL MURATORE PICCOLO - RECANATI</v>
      </c>
    </row>
    <row r="4457" spans="1:8" x14ac:dyDescent="0.25">
      <c r="A4457" s="1" t="s">
        <v>29</v>
      </c>
      <c r="B4457" s="1" t="s">
        <v>17827</v>
      </c>
      <c r="C4457" s="1" t="s">
        <v>17828</v>
      </c>
      <c r="D4457" s="1" t="s">
        <v>17823</v>
      </c>
      <c r="E4457" s="1" t="s">
        <v>17823</v>
      </c>
      <c r="G4457" s="1" t="s">
        <v>17829</v>
      </c>
      <c r="H4457" s="2" t="str">
        <f>Tabella1[[#This Row],[Denominazione]]&amp;" - "&amp;Tabella1[[#This Row],[Città]]</f>
        <v>LA CASETTA DELL'ORTO - BELMONTE PICENO</v>
      </c>
    </row>
    <row r="4458" spans="1:8" x14ac:dyDescent="0.25">
      <c r="A4458" s="1" t="s">
        <v>12</v>
      </c>
      <c r="B4458" s="1" t="s">
        <v>2751</v>
      </c>
      <c r="C4458" s="1" t="s">
        <v>2752</v>
      </c>
      <c r="D4458" s="1" t="s">
        <v>2729</v>
      </c>
      <c r="E4458" s="1" t="s">
        <v>2729</v>
      </c>
      <c r="G4458" s="1" t="s">
        <v>2753</v>
      </c>
      <c r="H4458" s="2" t="str">
        <f>Tabella1[[#This Row],[Denominazione]]&amp;" - "&amp;Tabella1[[#This Row],[Città]]</f>
        <v>LA CASINA DI MONDAVIO - MONDAVIO</v>
      </c>
    </row>
    <row r="4459" spans="1:8" x14ac:dyDescent="0.25">
      <c r="A4459" s="1" t="s">
        <v>35</v>
      </c>
      <c r="B4459" s="1" t="s">
        <v>11857</v>
      </c>
      <c r="C4459" s="1" t="s">
        <v>11858</v>
      </c>
      <c r="D4459" s="1" t="s">
        <v>11854</v>
      </c>
      <c r="E4459" s="1" t="s">
        <v>11854</v>
      </c>
      <c r="F4459" s="1" t="s">
        <v>11859</v>
      </c>
      <c r="G4459" s="1" t="s">
        <v>11860</v>
      </c>
      <c r="H4459" s="2" t="str">
        <f>Tabella1[[#This Row],[Denominazione]]&amp;" - "&amp;Tabella1[[#This Row],[Città]]</f>
        <v>LA CASTAGNA - FIUMINATA</v>
      </c>
    </row>
    <row r="4460" spans="1:8" x14ac:dyDescent="0.25">
      <c r="A4460" s="1" t="s">
        <v>6</v>
      </c>
      <c r="B4460" s="1" t="s">
        <v>7000</v>
      </c>
      <c r="C4460" s="1" t="s">
        <v>7001</v>
      </c>
      <c r="D4460" s="1" t="s">
        <v>6790</v>
      </c>
      <c r="E4460" s="1" t="s">
        <v>6790</v>
      </c>
      <c r="G4460" s="1" t="s">
        <v>7002</v>
      </c>
      <c r="H4460" s="2" t="str">
        <f>Tabella1[[#This Row],[Denominazione]]&amp;" - "&amp;Tabella1[[#This Row],[Città]]</f>
        <v>LA CASTELLAIA RESORT - FABRIANO</v>
      </c>
    </row>
    <row r="4461" spans="1:8" x14ac:dyDescent="0.25">
      <c r="A4461" s="1" t="s">
        <v>20</v>
      </c>
      <c r="B4461" s="1" t="s">
        <v>13861</v>
      </c>
      <c r="D4461" s="1" t="s">
        <v>13756</v>
      </c>
      <c r="E4461" s="1" t="s">
        <v>13756</v>
      </c>
      <c r="H4461" s="2" t="str">
        <f>Tabella1[[#This Row],[Denominazione]]&amp;" - "&amp;Tabella1[[#This Row],[Città]]</f>
        <v>LA CASTELLANA - SARNANO</v>
      </c>
    </row>
    <row r="4462" spans="1:8" x14ac:dyDescent="0.25">
      <c r="A4462" s="1" t="s">
        <v>35</v>
      </c>
      <c r="B4462" s="1" t="s">
        <v>15470</v>
      </c>
      <c r="C4462" s="1" t="s">
        <v>15471</v>
      </c>
      <c r="D4462" s="1" t="s">
        <v>15349</v>
      </c>
      <c r="E4462" s="1" t="s">
        <v>15349</v>
      </c>
      <c r="F4462" s="1" t="s">
        <v>15472</v>
      </c>
      <c r="G4462" s="1" t="s">
        <v>15473</v>
      </c>
      <c r="H4462" s="2" t="str">
        <f>Tabella1[[#This Row],[Denominazione]]&amp;" - "&amp;Tabella1[[#This Row],[Città]]</f>
        <v>LA CASTELLETTA - CUPRA MARITTIMA</v>
      </c>
    </row>
    <row r="4463" spans="1:8" x14ac:dyDescent="0.25">
      <c r="A4463" s="1" t="s">
        <v>35</v>
      </c>
      <c r="B4463" s="1" t="s">
        <v>12631</v>
      </c>
      <c r="C4463" s="1" t="s">
        <v>12632</v>
      </c>
      <c r="D4463" s="1" t="s">
        <v>12612</v>
      </c>
      <c r="E4463" s="1" t="s">
        <v>12612</v>
      </c>
      <c r="H4463" s="2" t="str">
        <f>Tabella1[[#This Row],[Denominazione]]&amp;" - "&amp;Tabella1[[#This Row],[Città]]</f>
        <v>LA CASTELLINA - MUCCIA</v>
      </c>
    </row>
    <row r="4464" spans="1:8" x14ac:dyDescent="0.25">
      <c r="A4464" s="1" t="s">
        <v>35</v>
      </c>
      <c r="B4464" s="1" t="s">
        <v>10857</v>
      </c>
      <c r="C4464" s="1" t="s">
        <v>10858</v>
      </c>
      <c r="D4464" s="1" t="s">
        <v>10737</v>
      </c>
      <c r="E4464" s="1" t="s">
        <v>10737</v>
      </c>
      <c r="F4464" s="1" t="s">
        <v>10859</v>
      </c>
      <c r="G4464" s="1" t="s">
        <v>10860</v>
      </c>
      <c r="H4464" s="2" t="str">
        <f>Tabella1[[#This Row],[Denominazione]]&amp;" - "&amp;Tabella1[[#This Row],[Città]]</f>
        <v>LA CAVALLINA - CAMERINO</v>
      </c>
    </row>
    <row r="4465" spans="1:8" x14ac:dyDescent="0.25">
      <c r="A4465" s="1" t="s">
        <v>35</v>
      </c>
      <c r="B4465" s="1" t="s">
        <v>4534</v>
      </c>
      <c r="C4465" s="1" t="s">
        <v>4535</v>
      </c>
      <c r="D4465" s="1" t="s">
        <v>4527</v>
      </c>
      <c r="E4465" s="1" t="s">
        <v>4536</v>
      </c>
      <c r="F4465" s="1" t="s">
        <v>4537</v>
      </c>
      <c r="G4465" s="1" t="s">
        <v>4538</v>
      </c>
      <c r="H4465" s="2" t="str">
        <f>Tabella1[[#This Row],[Denominazione]]&amp;" - "&amp;Tabella1[[#This Row],[Città]]</f>
        <v>L'A CECCOLI - SASSOFELTRIO</v>
      </c>
    </row>
    <row r="4466" spans="1:8" x14ac:dyDescent="0.25">
      <c r="A4466" s="1" t="s">
        <v>82</v>
      </c>
      <c r="B4466" s="1" t="s">
        <v>11661</v>
      </c>
      <c r="C4466" s="1" t="s">
        <v>11372</v>
      </c>
      <c r="D4466" s="1" t="s">
        <v>11244</v>
      </c>
      <c r="E4466" s="1" t="s">
        <v>11244</v>
      </c>
      <c r="F4466" s="1" t="s">
        <v>11373</v>
      </c>
      <c r="G4466" s="1" t="s">
        <v>11374</v>
      </c>
      <c r="H4466" s="2" t="str">
        <f>Tabella1[[#This Row],[Denominazione]]&amp;" - "&amp;Tabella1[[#This Row],[Città]]</f>
        <v>LA CELESTE DI ELISEI NICOLETTA - CIVITANOVA MARCHE</v>
      </c>
    </row>
    <row r="4467" spans="1:8" x14ac:dyDescent="0.25">
      <c r="A4467" s="1" t="s">
        <v>6</v>
      </c>
      <c r="B4467" s="1" t="s">
        <v>11371</v>
      </c>
      <c r="C4467" s="1" t="s">
        <v>11372</v>
      </c>
      <c r="D4467" s="1" t="s">
        <v>11244</v>
      </c>
      <c r="E4467" s="1" t="s">
        <v>11244</v>
      </c>
      <c r="F4467" s="1" t="s">
        <v>11373</v>
      </c>
      <c r="G4467" s="1" t="s">
        <v>11374</v>
      </c>
      <c r="H4467" s="2" t="str">
        <f>Tabella1[[#This Row],[Denominazione]]&amp;" - "&amp;Tabella1[[#This Row],[Città]]</f>
        <v>LA CELESTE DI ELISEI NICOLETTA - Country house - CIVITANOVA MARCHE</v>
      </c>
    </row>
    <row r="4468" spans="1:8" x14ac:dyDescent="0.25">
      <c r="A4468" s="1" t="s">
        <v>6</v>
      </c>
      <c r="B4468" s="1" t="s">
        <v>5176</v>
      </c>
      <c r="C4468" s="1" t="s">
        <v>5177</v>
      </c>
      <c r="D4468" s="1" t="s">
        <v>9</v>
      </c>
      <c r="E4468" s="1" t="s">
        <v>9</v>
      </c>
      <c r="F4468" s="1" t="s">
        <v>5178</v>
      </c>
      <c r="G4468" s="1" t="s">
        <v>5179</v>
      </c>
      <c r="H4468" s="2" t="str">
        <f>Tabella1[[#This Row],[Denominazione]]&amp;" - "&amp;Tabella1[[#This Row],[Città]]</f>
        <v>LA CELLETTA - URBINO</v>
      </c>
    </row>
    <row r="4469" spans="1:8" x14ac:dyDescent="0.25">
      <c r="A4469" s="1" t="s">
        <v>82</v>
      </c>
      <c r="B4469" s="1" t="s">
        <v>13474</v>
      </c>
      <c r="C4469" s="1" t="s">
        <v>13475</v>
      </c>
      <c r="D4469" s="1" t="s">
        <v>6072</v>
      </c>
      <c r="E4469" s="1" t="s">
        <v>13476</v>
      </c>
      <c r="F4469" s="1" t="s">
        <v>13477</v>
      </c>
      <c r="H4469" s="2" t="str">
        <f>Tabella1[[#This Row],[Denominazione]]&amp;" - "&amp;Tabella1[[#This Row],[Città]]</f>
        <v>LA CESA - SAN GINESIO</v>
      </c>
    </row>
    <row r="4470" spans="1:8" x14ac:dyDescent="0.25">
      <c r="A4470" s="1" t="s">
        <v>29</v>
      </c>
      <c r="B4470" s="1" t="s">
        <v>18011</v>
      </c>
      <c r="C4470" s="1" t="s">
        <v>18012</v>
      </c>
      <c r="D4470" s="1" t="s">
        <v>17932</v>
      </c>
      <c r="E4470" s="1" t="s">
        <v>17932</v>
      </c>
      <c r="G4470" s="1" t="s">
        <v>18013</v>
      </c>
      <c r="H4470" s="2" t="str">
        <f>Tabella1[[#This Row],[Denominazione]]&amp;" - "&amp;Tabella1[[#This Row],[Città]]</f>
        <v>LA CHIAVE DI VIOLINO - FERMO</v>
      </c>
    </row>
    <row r="4471" spans="1:8" x14ac:dyDescent="0.25">
      <c r="A4471" s="1" t="s">
        <v>6</v>
      </c>
      <c r="B4471" s="1" t="s">
        <v>10502</v>
      </c>
      <c r="C4471" s="1" t="s">
        <v>10503</v>
      </c>
      <c r="D4471" s="1" t="s">
        <v>10488</v>
      </c>
      <c r="E4471" s="1" t="s">
        <v>10488</v>
      </c>
      <c r="F4471" s="1" t="s">
        <v>10504</v>
      </c>
      <c r="G4471" s="1" t="s">
        <v>10505</v>
      </c>
      <c r="H4471" s="2" t="str">
        <f>Tabella1[[#This Row],[Denominazione]]&amp;" - "&amp;Tabella1[[#This Row],[Città]]</f>
        <v>LA CIMINIERA 1846 - STAFFOLO</v>
      </c>
    </row>
    <row r="4472" spans="1:8" x14ac:dyDescent="0.25">
      <c r="A4472" s="1" t="s">
        <v>35</v>
      </c>
      <c r="B4472" s="1" t="s">
        <v>13461</v>
      </c>
      <c r="C4472" s="1" t="s">
        <v>13462</v>
      </c>
      <c r="D4472" s="1" t="s">
        <v>6072</v>
      </c>
      <c r="E4472" s="1" t="s">
        <v>6072</v>
      </c>
      <c r="F4472" s="1" t="s">
        <v>13463</v>
      </c>
      <c r="G4472" s="1" t="s">
        <v>13464</v>
      </c>
      <c r="H4472" s="2" t="str">
        <f>Tabella1[[#This Row],[Denominazione]]&amp;" - "&amp;Tabella1[[#This Row],[Città]]</f>
        <v>LA CIOPPA - SAN GINESIO</v>
      </c>
    </row>
    <row r="4473" spans="1:8" x14ac:dyDescent="0.25">
      <c r="A4473" s="1" t="s">
        <v>6</v>
      </c>
      <c r="B4473" s="1" t="s">
        <v>13247</v>
      </c>
      <c r="C4473" s="1" t="s">
        <v>13248</v>
      </c>
      <c r="D4473" s="1" t="s">
        <v>13026</v>
      </c>
      <c r="E4473" s="1" t="s">
        <v>13026</v>
      </c>
      <c r="F4473" s="1" t="s">
        <v>13249</v>
      </c>
      <c r="G4473" s="1" t="s">
        <v>13250</v>
      </c>
      <c r="H4473" s="2" t="str">
        <f>Tabella1[[#This Row],[Denominazione]]&amp;" - "&amp;Tabella1[[#This Row],[Città]]</f>
        <v>LA CIPOLLA D'ORO - POTENZA PICENA</v>
      </c>
    </row>
    <row r="4474" spans="1:8" x14ac:dyDescent="0.25">
      <c r="A4474" s="1" t="s">
        <v>679</v>
      </c>
      <c r="B4474" s="1" t="s">
        <v>8087</v>
      </c>
      <c r="D4474" s="1" t="s">
        <v>7889</v>
      </c>
      <c r="E4474" s="1" t="s">
        <v>8088</v>
      </c>
      <c r="H4474" s="2" t="str">
        <f>Tabella1[[#This Row],[Denominazione]]&amp;" - "&amp;Tabella1[[#This Row],[Città]]</f>
        <v>LA CITTA' IDEALE - NUMANA</v>
      </c>
    </row>
    <row r="4475" spans="1:8" x14ac:dyDescent="0.25">
      <c r="A4475" s="1" t="s">
        <v>6</v>
      </c>
      <c r="B4475" s="1" t="s">
        <v>16345</v>
      </c>
      <c r="D4475" s="1" t="s">
        <v>16312</v>
      </c>
      <c r="E4475" s="1" t="s">
        <v>16346</v>
      </c>
      <c r="F4475" s="1" t="s">
        <v>16347</v>
      </c>
      <c r="G4475" s="1" t="s">
        <v>16348</v>
      </c>
      <c r="H4475" s="2" t="str">
        <f>Tabella1[[#This Row],[Denominazione]]&amp;" - "&amp;Tabella1[[#This Row],[Città]]</f>
        <v>LA CITTADELLA - MONTEMONACO</v>
      </c>
    </row>
    <row r="4476" spans="1:8" x14ac:dyDescent="0.25">
      <c r="A4476" s="1" t="s">
        <v>35</v>
      </c>
      <c r="B4476" s="1" t="s">
        <v>16345</v>
      </c>
      <c r="C4476" s="1" t="s">
        <v>16381</v>
      </c>
      <c r="D4476" s="1" t="s">
        <v>16312</v>
      </c>
      <c r="E4476" s="1" t="s">
        <v>16312</v>
      </c>
      <c r="F4476" s="1" t="s">
        <v>16347</v>
      </c>
      <c r="G4476" s="1" t="s">
        <v>16348</v>
      </c>
      <c r="H4476" s="2" t="str">
        <f>Tabella1[[#This Row],[Denominazione]]&amp;" - "&amp;Tabella1[[#This Row],[Città]]</f>
        <v>LA CITTADELLA - MONTEMONACO</v>
      </c>
    </row>
    <row r="4477" spans="1:8" x14ac:dyDescent="0.25">
      <c r="A4477" s="1" t="s">
        <v>29</v>
      </c>
      <c r="B4477" s="1" t="s">
        <v>7346</v>
      </c>
      <c r="C4477" s="1" t="s">
        <v>7347</v>
      </c>
      <c r="D4477" s="1" t="s">
        <v>7254</v>
      </c>
      <c r="F4477" s="1" t="s">
        <v>7348</v>
      </c>
      <c r="G4477" s="1" t="s">
        <v>7349</v>
      </c>
      <c r="H4477" s="2" t="str">
        <f>Tabella1[[#This Row],[Denominazione]]&amp;" - "&amp;Tabella1[[#This Row],[Città]]</f>
        <v>LA COCCINELLA - JESI</v>
      </c>
    </row>
    <row r="4478" spans="1:8" x14ac:dyDescent="0.25">
      <c r="A4478" s="1" t="s">
        <v>29</v>
      </c>
      <c r="B4478" s="1" t="s">
        <v>7346</v>
      </c>
      <c r="C4478" s="1" t="s">
        <v>18588</v>
      </c>
      <c r="D4478" s="1" t="s">
        <v>18589</v>
      </c>
      <c r="G4478" s="1" t="s">
        <v>18590</v>
      </c>
      <c r="H4478" s="2" t="str">
        <f>Tabella1[[#This Row],[Denominazione]]&amp;" - "&amp;Tabella1[[#This Row],[Città]]</f>
        <v>LA COCCINELLA - MONTE GIBERTO</v>
      </c>
    </row>
    <row r="4479" spans="1:8" x14ac:dyDescent="0.25">
      <c r="A4479" s="1" t="s">
        <v>29</v>
      </c>
      <c r="B4479" s="1" t="s">
        <v>7346</v>
      </c>
      <c r="C4479" s="1" t="s">
        <v>18830</v>
      </c>
      <c r="D4479" s="1" t="s">
        <v>18829</v>
      </c>
      <c r="E4479" s="1" t="s">
        <v>18829</v>
      </c>
      <c r="H4479" s="2" t="str">
        <f>Tabella1[[#This Row],[Denominazione]]&amp;" - "&amp;Tabella1[[#This Row],[Città]]</f>
        <v>LA COCCINELLA - MONTE SAN PIETRANGELI</v>
      </c>
    </row>
    <row r="4480" spans="1:8" x14ac:dyDescent="0.25">
      <c r="A4480" s="1" t="s">
        <v>29</v>
      </c>
      <c r="B4480" s="1" t="s">
        <v>12062</v>
      </c>
      <c r="C4480" s="1" t="s">
        <v>12063</v>
      </c>
      <c r="D4480" s="1" t="s">
        <v>12050</v>
      </c>
      <c r="E4480" s="1" t="s">
        <v>12050</v>
      </c>
      <c r="G4480" s="1" t="s">
        <v>12064</v>
      </c>
      <c r="H4480" s="2" t="str">
        <f>Tabella1[[#This Row],[Denominazione]]&amp;" - "&amp;Tabella1[[#This Row],[Città]]</f>
        <v>LA COCOLLA - MACERATA</v>
      </c>
    </row>
    <row r="4481" spans="1:8" x14ac:dyDescent="0.25">
      <c r="A4481" s="1" t="s">
        <v>20</v>
      </c>
      <c r="B4481" s="1" t="s">
        <v>7439</v>
      </c>
      <c r="C4481" s="1" t="s">
        <v>7440</v>
      </c>
      <c r="D4481" s="1" t="s">
        <v>7385</v>
      </c>
      <c r="E4481" s="1" t="s">
        <v>7385</v>
      </c>
      <c r="G4481" s="1" t="s">
        <v>7441</v>
      </c>
      <c r="H4481" s="2" t="str">
        <f>Tabella1[[#This Row],[Denominazione]]&amp;" - "&amp;Tabella1[[#This Row],[Città]]</f>
        <v>LA COLLINA - LORETO</v>
      </c>
    </row>
    <row r="4482" spans="1:8" x14ac:dyDescent="0.25">
      <c r="A4482" s="1" t="s">
        <v>29</v>
      </c>
      <c r="B4482" s="1" t="s">
        <v>7439</v>
      </c>
      <c r="C4482" s="1" t="s">
        <v>18485</v>
      </c>
      <c r="D4482" s="1" t="s">
        <v>18478</v>
      </c>
      <c r="E4482" s="1" t="s">
        <v>18478</v>
      </c>
      <c r="G4482" s="1" t="s">
        <v>18486</v>
      </c>
      <c r="H4482" s="2" t="str">
        <f>Tabella1[[#This Row],[Denominazione]]&amp;" - "&amp;Tabella1[[#This Row],[Città]]</f>
        <v>LA COLLINA - MONSAMPIETRO MORICO</v>
      </c>
    </row>
    <row r="4483" spans="1:8" x14ac:dyDescent="0.25">
      <c r="A4483" s="1" t="s">
        <v>35</v>
      </c>
      <c r="B4483" s="1" t="s">
        <v>1726</v>
      </c>
      <c r="C4483" s="1" t="s">
        <v>1727</v>
      </c>
      <c r="D4483" s="1" t="s">
        <v>1724</v>
      </c>
      <c r="E4483" s="1" t="s">
        <v>1724</v>
      </c>
      <c r="G4483" s="1" t="s">
        <v>1728</v>
      </c>
      <c r="H4483" s="2" t="str">
        <f>Tabella1[[#This Row],[Denominazione]]&amp;" - "&amp;Tabella1[[#This Row],[Città]]</f>
        <v>LA COLLINA DEGLI OLIVI - FOSSOMBRONE</v>
      </c>
    </row>
    <row r="4484" spans="1:8" x14ac:dyDescent="0.25">
      <c r="A4484" s="1" t="s">
        <v>82</v>
      </c>
      <c r="B4484" s="1" t="s">
        <v>1726</v>
      </c>
      <c r="C4484" s="1" t="s">
        <v>7570</v>
      </c>
      <c r="D4484" s="1" t="s">
        <v>7571</v>
      </c>
      <c r="F4484" s="1" t="s">
        <v>7572</v>
      </c>
      <c r="G4484" s="1" t="s">
        <v>7573</v>
      </c>
      <c r="H4484" s="2" t="str">
        <f>Tabella1[[#This Row],[Denominazione]]&amp;" - "&amp;Tabella1[[#This Row],[Città]]</f>
        <v>LA COLLINA DEGLI OLIVI - MAIOLATI SPONTINI</v>
      </c>
    </row>
    <row r="4485" spans="1:8" x14ac:dyDescent="0.25">
      <c r="A4485" s="1" t="s">
        <v>35</v>
      </c>
      <c r="B4485" s="1" t="s">
        <v>16186</v>
      </c>
      <c r="C4485" s="1" t="s">
        <v>16187</v>
      </c>
      <c r="D4485" s="1" t="s">
        <v>16165</v>
      </c>
      <c r="E4485" s="1" t="s">
        <v>16165</v>
      </c>
      <c r="G4485" s="1" t="s">
        <v>16188</v>
      </c>
      <c r="H4485" s="2" t="str">
        <f>Tabella1[[#This Row],[Denominazione]]&amp;" - "&amp;Tabella1[[#This Row],[Città]]</f>
        <v>LA COLLINA DEGLI ULIVI - MONTEDINOVE</v>
      </c>
    </row>
    <row r="4486" spans="1:8" x14ac:dyDescent="0.25">
      <c r="A4486" s="1" t="s">
        <v>35</v>
      </c>
      <c r="B4486" s="1" t="s">
        <v>10778</v>
      </c>
      <c r="C4486" s="1" t="s">
        <v>10779</v>
      </c>
      <c r="D4486" s="1" t="s">
        <v>10737</v>
      </c>
      <c r="E4486" s="1" t="s">
        <v>10737</v>
      </c>
      <c r="H4486" s="2" t="str">
        <f>Tabella1[[#This Row],[Denominazione]]&amp;" - "&amp;Tabella1[[#This Row],[Città]]</f>
        <v>LA COLLINA DEI CILIEGI - CAMERINO</v>
      </c>
    </row>
    <row r="4487" spans="1:8" x14ac:dyDescent="0.25">
      <c r="A4487" s="1" t="s">
        <v>35</v>
      </c>
      <c r="B4487" s="1" t="s">
        <v>10778</v>
      </c>
      <c r="C4487" s="1" t="s">
        <v>13727</v>
      </c>
      <c r="D4487" s="1" t="s">
        <v>13548</v>
      </c>
      <c r="E4487" s="1" t="s">
        <v>13548</v>
      </c>
      <c r="G4487" s="1" t="s">
        <v>13728</v>
      </c>
      <c r="H4487" s="2" t="str">
        <f>Tabella1[[#This Row],[Denominazione]]&amp;" - "&amp;Tabella1[[#This Row],[Città]]</f>
        <v>LA COLLINA DEI CILIEGI - SAN SEVERINO MARCHE</v>
      </c>
    </row>
    <row r="4488" spans="1:8" x14ac:dyDescent="0.25">
      <c r="A4488" s="1" t="s">
        <v>35</v>
      </c>
      <c r="B4488" s="1" t="s">
        <v>10778</v>
      </c>
      <c r="D4488" s="1" t="s">
        <v>17932</v>
      </c>
      <c r="E4488" s="1" t="s">
        <v>17932</v>
      </c>
      <c r="F4488" s="1" t="s">
        <v>18029</v>
      </c>
      <c r="G4488" s="1" t="s">
        <v>18030</v>
      </c>
      <c r="H4488" s="2" t="str">
        <f>Tabella1[[#This Row],[Denominazione]]&amp;" - "&amp;Tabella1[[#This Row],[Città]]</f>
        <v>LA COLLINA DEI CILIEGI - FERMO</v>
      </c>
    </row>
    <row r="4489" spans="1:8" x14ac:dyDescent="0.25">
      <c r="A4489" s="1" t="s">
        <v>6</v>
      </c>
      <c r="B4489" s="1" t="s">
        <v>9962</v>
      </c>
      <c r="C4489" s="1" t="s">
        <v>9963</v>
      </c>
      <c r="D4489" s="1" t="s">
        <v>8949</v>
      </c>
      <c r="E4489" s="1" t="s">
        <v>8949</v>
      </c>
      <c r="H4489" s="2" t="str">
        <f>Tabella1[[#This Row],[Denominazione]]&amp;" - "&amp;Tabella1[[#This Row],[Città]]</f>
        <v>LA COLLINA DEL LAGO - SENIGALLIA</v>
      </c>
    </row>
    <row r="4490" spans="1:8" x14ac:dyDescent="0.25">
      <c r="A4490" s="1" t="s">
        <v>35</v>
      </c>
      <c r="B4490" s="1" t="s">
        <v>16757</v>
      </c>
      <c r="C4490" s="1" t="s">
        <v>16758</v>
      </c>
      <c r="D4490" s="1" t="s">
        <v>16714</v>
      </c>
      <c r="F4490" s="1" t="s">
        <v>16755</v>
      </c>
      <c r="G4490" s="1" t="s">
        <v>16759</v>
      </c>
      <c r="H4490" s="2" t="str">
        <f>Tabella1[[#This Row],[Denominazione]]&amp;" - "&amp;Tabella1[[#This Row],[Città]]</f>
        <v>LA COLLINA DEL TARTUFO - ROCCAFLUVIONE</v>
      </c>
    </row>
    <row r="4491" spans="1:8" x14ac:dyDescent="0.25">
      <c r="A4491" s="1" t="s">
        <v>35</v>
      </c>
      <c r="B4491" s="1" t="s">
        <v>6358</v>
      </c>
      <c r="C4491" s="1" t="s">
        <v>6359</v>
      </c>
      <c r="D4491" s="1" t="s">
        <v>6357</v>
      </c>
      <c r="E4491" s="1" t="s">
        <v>6360</v>
      </c>
      <c r="F4491" s="1" t="s">
        <v>6361</v>
      </c>
      <c r="G4491" s="1" t="s">
        <v>6362</v>
      </c>
      <c r="H4491" s="2" t="str">
        <f>Tabella1[[#This Row],[Denominazione]]&amp;" - "&amp;Tabella1[[#This Row],[Città]]</f>
        <v>LA COLLINA DELLE STREGHE DI BECCACECI LORENA - CASTELBELLINO</v>
      </c>
    </row>
    <row r="4492" spans="1:8" x14ac:dyDescent="0.25">
      <c r="A4492" s="1" t="s">
        <v>403</v>
      </c>
      <c r="B4492" s="1" t="s">
        <v>404</v>
      </c>
      <c r="C4492" s="1" t="s">
        <v>405</v>
      </c>
      <c r="D4492" s="1" t="s">
        <v>316</v>
      </c>
      <c r="E4492" s="1" t="s">
        <v>316</v>
      </c>
      <c r="G4492" s="1" t="s">
        <v>406</v>
      </c>
      <c r="H4492" s="2" t="str">
        <f>Tabella1[[#This Row],[Denominazione]]&amp;" - "&amp;Tabella1[[#This Row],[Città]]</f>
        <v>LA COLLINETTA - CAGLI</v>
      </c>
    </row>
    <row r="4493" spans="1:8" x14ac:dyDescent="0.25">
      <c r="A4493" s="1" t="s">
        <v>6</v>
      </c>
      <c r="B4493" s="1" t="s">
        <v>10641</v>
      </c>
      <c r="C4493" s="1" t="s">
        <v>10642</v>
      </c>
      <c r="D4493" s="1" t="s">
        <v>10630</v>
      </c>
      <c r="F4493" s="1" t="s">
        <v>10643</v>
      </c>
      <c r="G4493" s="1" t="s">
        <v>10644</v>
      </c>
      <c r="H4493" s="2" t="str">
        <f>Tabella1[[#This Row],[Denominazione]]&amp;" - "&amp;Tabella1[[#This Row],[Città]]</f>
        <v>LA COLOMBAIA Srl - APPIGNANO</v>
      </c>
    </row>
    <row r="4494" spans="1:8" x14ac:dyDescent="0.25">
      <c r="A4494" s="1" t="s">
        <v>35</v>
      </c>
      <c r="B4494" s="1" t="s">
        <v>72</v>
      </c>
      <c r="C4494" s="1" t="s">
        <v>73</v>
      </c>
      <c r="D4494" s="1" t="s">
        <v>15</v>
      </c>
      <c r="H4494" s="2" t="str">
        <f>Tabella1[[#This Row],[Denominazione]]&amp;" - "&amp;Tabella1[[#This Row],[Città]]</f>
        <v>LA COLOMBARA - ACQUALAGNA</v>
      </c>
    </row>
    <row r="4495" spans="1:8" x14ac:dyDescent="0.25">
      <c r="A4495" s="1" t="s">
        <v>20</v>
      </c>
      <c r="B4495" s="1" t="s">
        <v>16349</v>
      </c>
      <c r="C4495" s="1" t="s">
        <v>16350</v>
      </c>
      <c r="D4495" s="1" t="s">
        <v>16312</v>
      </c>
      <c r="E4495" s="1" t="s">
        <v>16312</v>
      </c>
      <c r="G4495" s="1" t="s">
        <v>16351</v>
      </c>
      <c r="H4495" s="2" t="str">
        <f>Tabella1[[#This Row],[Denominazione]]&amp;" - "&amp;Tabella1[[#This Row],[Città]]</f>
        <v>LA COLOMBELLA - MONTEMONACO</v>
      </c>
    </row>
    <row r="4496" spans="1:8" x14ac:dyDescent="0.25">
      <c r="A4496" s="1" t="s">
        <v>35</v>
      </c>
      <c r="B4496" s="1" t="s">
        <v>426</v>
      </c>
      <c r="C4496" s="1" t="s">
        <v>427</v>
      </c>
      <c r="D4496" s="1" t="s">
        <v>316</v>
      </c>
      <c r="E4496" s="1" t="s">
        <v>316</v>
      </c>
      <c r="F4496" s="1" t="s">
        <v>428</v>
      </c>
      <c r="G4496" s="1" t="s">
        <v>429</v>
      </c>
      <c r="H4496" s="2" t="str">
        <f>Tabella1[[#This Row],[Denominazione]]&amp;" - "&amp;Tabella1[[#This Row],[Città]]</f>
        <v>LA COLTICCIOLA DI CANCELLIERI AUGUSTO - CAGLI</v>
      </c>
    </row>
    <row r="4497" spans="1:8" x14ac:dyDescent="0.25">
      <c r="A4497" s="1" t="s">
        <v>6</v>
      </c>
      <c r="B4497" s="1" t="s">
        <v>8546</v>
      </c>
      <c r="C4497" s="1" t="s">
        <v>8547</v>
      </c>
      <c r="D4497" s="1" t="s">
        <v>8454</v>
      </c>
      <c r="E4497" s="1" t="s">
        <v>8454</v>
      </c>
      <c r="F4497" s="1" t="s">
        <v>8548</v>
      </c>
      <c r="G4497" s="1" t="s">
        <v>8549</v>
      </c>
      <c r="H4497" s="2" t="str">
        <f>Tabella1[[#This Row],[Denominazione]]&amp;" - "&amp;Tabella1[[#This Row],[Città]]</f>
        <v>LA COMMENDA - OSIMO</v>
      </c>
    </row>
    <row r="4498" spans="1:8" x14ac:dyDescent="0.25">
      <c r="A4498" s="1" t="s">
        <v>679</v>
      </c>
      <c r="B4498" s="1" t="s">
        <v>8210</v>
      </c>
      <c r="C4498" s="1" t="s">
        <v>8211</v>
      </c>
      <c r="D4498" s="1" t="s">
        <v>7889</v>
      </c>
      <c r="E4498" s="1" t="s">
        <v>7889</v>
      </c>
      <c r="H4498" s="2" t="str">
        <f>Tabella1[[#This Row],[Denominazione]]&amp;" - "&amp;Tabella1[[#This Row],[Città]]</f>
        <v>LA CONCHIGLIA - NUMANA</v>
      </c>
    </row>
    <row r="4499" spans="1:8" x14ac:dyDescent="0.25">
      <c r="A4499" s="1" t="s">
        <v>679</v>
      </c>
      <c r="B4499" s="1" t="s">
        <v>8210</v>
      </c>
      <c r="C4499" s="1" t="s">
        <v>3805</v>
      </c>
      <c r="D4499" s="1" t="s">
        <v>15819</v>
      </c>
      <c r="F4499" s="1" t="s">
        <v>17101</v>
      </c>
      <c r="H4499" s="2" t="str">
        <f>Tabella1[[#This Row],[Denominazione]]&amp;" - "&amp;Tabella1[[#This Row],[Città]]</f>
        <v>LA CONCHIGLIA - SAN BENEDETTO DEL TRONTO</v>
      </c>
    </row>
    <row r="4500" spans="1:8" x14ac:dyDescent="0.25">
      <c r="A4500" s="1" t="s">
        <v>679</v>
      </c>
      <c r="B4500" s="1" t="s">
        <v>19113</v>
      </c>
      <c r="C4500" s="1" t="s">
        <v>19048</v>
      </c>
      <c r="D4500" s="1" t="s">
        <v>18082</v>
      </c>
      <c r="E4500" s="1" t="s">
        <v>18082</v>
      </c>
      <c r="H4500" s="2" t="str">
        <f>Tabella1[[#This Row],[Denominazione]]&amp;" - "&amp;Tabella1[[#This Row],[Città]]</f>
        <v>LA CONCHIGLIA   di  MELONARI  GIUSTINA - PORTO SAN GIORGIO</v>
      </c>
    </row>
    <row r="4501" spans="1:8" x14ac:dyDescent="0.25">
      <c r="A4501" s="1" t="s">
        <v>82</v>
      </c>
      <c r="B4501" s="1" t="s">
        <v>437</v>
      </c>
      <c r="C4501" s="1" t="s">
        <v>438</v>
      </c>
      <c r="D4501" s="1" t="s">
        <v>316</v>
      </c>
      <c r="E4501" s="1" t="s">
        <v>439</v>
      </c>
      <c r="F4501" s="1" t="s">
        <v>440</v>
      </c>
      <c r="G4501" s="1" t="s">
        <v>441</v>
      </c>
      <c r="H4501" s="2" t="str">
        <f>Tabella1[[#This Row],[Denominazione]]&amp;" - "&amp;Tabella1[[#This Row],[Città]]</f>
        <v>LA CONTESA di BERTOZZI MAFALDA - CAGLI</v>
      </c>
    </row>
    <row r="4502" spans="1:8" x14ac:dyDescent="0.25">
      <c r="A4502" s="1" t="s">
        <v>679</v>
      </c>
      <c r="B4502" s="1" t="s">
        <v>11623</v>
      </c>
      <c r="C4502" s="1" t="s">
        <v>11624</v>
      </c>
      <c r="D4502" s="1" t="s">
        <v>11244</v>
      </c>
      <c r="E4502" s="1" t="s">
        <v>11244</v>
      </c>
      <c r="F4502" s="1" t="s">
        <v>11625</v>
      </c>
      <c r="H4502" s="2" t="str">
        <f>Tabella1[[#This Row],[Denominazione]]&amp;" - "&amp;Tabella1[[#This Row],[Città]]</f>
        <v>LA CONTESSA - CIVITANOVA MARCHE</v>
      </c>
    </row>
    <row r="4503" spans="1:8" x14ac:dyDescent="0.25">
      <c r="A4503" s="1" t="s">
        <v>20</v>
      </c>
      <c r="B4503" s="1" t="s">
        <v>13944</v>
      </c>
      <c r="C4503" s="1" t="s">
        <v>13945</v>
      </c>
      <c r="D4503" s="1" t="s">
        <v>13946</v>
      </c>
      <c r="E4503" s="1" t="s">
        <v>13946</v>
      </c>
      <c r="F4503" s="1" t="s">
        <v>13947</v>
      </c>
      <c r="G4503" s="1" t="s">
        <v>13948</v>
      </c>
      <c r="H4503" s="2" t="str">
        <f>Tabella1[[#This Row],[Denominazione]]&amp;" - "&amp;Tabella1[[#This Row],[Città]]</f>
        <v>LA CONTRADA - TOLENTINO</v>
      </c>
    </row>
    <row r="4504" spans="1:8" x14ac:dyDescent="0.25">
      <c r="A4504" s="1" t="s">
        <v>35</v>
      </c>
      <c r="B4504" s="1" t="s">
        <v>13944</v>
      </c>
      <c r="C4504" s="1" t="s">
        <v>16594</v>
      </c>
      <c r="D4504" s="1" t="s">
        <v>16585</v>
      </c>
      <c r="E4504" s="1" t="s">
        <v>16585</v>
      </c>
      <c r="F4504" s="1" t="s">
        <v>16595</v>
      </c>
      <c r="G4504" s="1" t="s">
        <v>16596</v>
      </c>
      <c r="H4504" s="2" t="str">
        <f>Tabella1[[#This Row],[Denominazione]]&amp;" - "&amp;Tabella1[[#This Row],[Città]]</f>
        <v>LA CONTRADA - RIPATRANSONE</v>
      </c>
    </row>
    <row r="4505" spans="1:8" x14ac:dyDescent="0.25">
      <c r="A4505" s="1" t="s">
        <v>35</v>
      </c>
      <c r="B4505" s="1" t="s">
        <v>13262</v>
      </c>
      <c r="C4505" s="1" t="s">
        <v>13263</v>
      </c>
      <c r="D4505" s="1" t="s">
        <v>13026</v>
      </c>
      <c r="E4505" s="1" t="s">
        <v>13026</v>
      </c>
      <c r="F4505" s="1" t="s">
        <v>13264</v>
      </c>
      <c r="G4505" s="1" t="s">
        <v>13265</v>
      </c>
      <c r="H4505" s="2" t="str">
        <f>Tabella1[[#This Row],[Denominazione]]&amp;" - "&amp;Tabella1[[#This Row],[Città]]</f>
        <v>LA CONTRADA DEL RAGLIO - POTENZA PICENA</v>
      </c>
    </row>
    <row r="4506" spans="1:8" x14ac:dyDescent="0.25">
      <c r="A4506" s="1" t="s">
        <v>82</v>
      </c>
      <c r="B4506" s="1" t="s">
        <v>13977</v>
      </c>
      <c r="C4506" s="1" t="s">
        <v>13954</v>
      </c>
      <c r="D4506" s="1" t="s">
        <v>13946</v>
      </c>
      <c r="G4506" s="1" t="s">
        <v>13956</v>
      </c>
      <c r="H4506" s="2" t="str">
        <f>Tabella1[[#This Row],[Denominazione]]&amp;" - "&amp;Tabella1[[#This Row],[Città]]</f>
        <v>LA CORTE - TOLENTINO</v>
      </c>
    </row>
    <row r="4507" spans="1:8" x14ac:dyDescent="0.25">
      <c r="A4507" s="1" t="s">
        <v>82</v>
      </c>
      <c r="B4507" s="1" t="s">
        <v>6056</v>
      </c>
      <c r="C4507" s="1" t="s">
        <v>6057</v>
      </c>
      <c r="D4507" s="1" t="s">
        <v>6049</v>
      </c>
      <c r="E4507" s="1" t="s">
        <v>6058</v>
      </c>
      <c r="F4507" s="1" t="s">
        <v>6059</v>
      </c>
      <c r="G4507" s="1" t="s">
        <v>6060</v>
      </c>
      <c r="H4507" s="2" t="str">
        <f>Tabella1[[#This Row],[Denominazione]]&amp;" - "&amp;Tabella1[[#This Row],[Città]]</f>
        <v>LA CORTE DEL GUSTO - ARCEVIA</v>
      </c>
    </row>
    <row r="4508" spans="1:8" x14ac:dyDescent="0.25">
      <c r="A4508" s="1" t="s">
        <v>6</v>
      </c>
      <c r="B4508" s="1" t="s">
        <v>5264</v>
      </c>
      <c r="C4508" s="1" t="s">
        <v>5265</v>
      </c>
      <c r="D4508" s="1" t="s">
        <v>9</v>
      </c>
      <c r="E4508" s="1" t="s">
        <v>9</v>
      </c>
      <c r="F4508" s="1" t="s">
        <v>5266</v>
      </c>
      <c r="G4508" s="1" t="s">
        <v>5267</v>
      </c>
      <c r="H4508" s="2" t="str">
        <f>Tabella1[[#This Row],[Denominazione]]&amp;" - "&amp;Tabella1[[#This Row],[Città]]</f>
        <v>LA CORTE DELLA MINIERA - URBINO</v>
      </c>
    </row>
    <row r="4509" spans="1:8" x14ac:dyDescent="0.25">
      <c r="A4509" s="1" t="s">
        <v>35</v>
      </c>
      <c r="B4509" s="1" t="s">
        <v>11035</v>
      </c>
      <c r="C4509" s="1" t="s">
        <v>11036</v>
      </c>
      <c r="D4509" s="1" t="s">
        <v>11022</v>
      </c>
      <c r="G4509" s="1" t="s">
        <v>11037</v>
      </c>
      <c r="H4509" s="2" t="str">
        <f>Tabella1[[#This Row],[Denominazione]]&amp;" - "&amp;Tabella1[[#This Row],[Città]]</f>
        <v>LA CORTE DI MAREGNANO - CESSAPALOMBO</v>
      </c>
    </row>
    <row r="4510" spans="1:8" x14ac:dyDescent="0.25">
      <c r="A4510" s="1" t="s">
        <v>35</v>
      </c>
      <c r="B4510" s="1" t="s">
        <v>11056</v>
      </c>
      <c r="C4510" s="1" t="s">
        <v>11057</v>
      </c>
      <c r="D4510" s="1" t="s">
        <v>11058</v>
      </c>
      <c r="E4510" s="1" t="s">
        <v>11058</v>
      </c>
      <c r="F4510" s="1" t="s">
        <v>11059</v>
      </c>
      <c r="G4510" s="1" t="s">
        <v>11060</v>
      </c>
      <c r="H4510" s="2" t="str">
        <f>Tabella1[[#This Row],[Denominazione]]&amp;" - "&amp;Tabella1[[#This Row],[Città]]</f>
        <v>LA CORTE SUL LAGO - CINGOLI</v>
      </c>
    </row>
    <row r="4511" spans="1:8" x14ac:dyDescent="0.25">
      <c r="A4511" s="1" t="s">
        <v>679</v>
      </c>
      <c r="B4511" s="1" t="s">
        <v>17324</v>
      </c>
      <c r="C4511" s="1" t="s">
        <v>17325</v>
      </c>
      <c r="D4511" s="1" t="s">
        <v>15819</v>
      </c>
      <c r="F4511" s="1" t="s">
        <v>17326</v>
      </c>
      <c r="H4511" s="2" t="str">
        <f>Tabella1[[#This Row],[Denominazione]]&amp;" - "&amp;Tabella1[[#This Row],[Città]]</f>
        <v>LA CROISETTE - SAN BENEDETTO DEL TRONTO</v>
      </c>
    </row>
    <row r="4512" spans="1:8" x14ac:dyDescent="0.25">
      <c r="A4512" s="1" t="s">
        <v>82</v>
      </c>
      <c r="B4512" s="1" t="s">
        <v>18759</v>
      </c>
      <c r="C4512" s="1" t="s">
        <v>18760</v>
      </c>
      <c r="D4512" s="1" t="s">
        <v>18757</v>
      </c>
      <c r="G4512" s="1" t="s">
        <v>18761</v>
      </c>
      <c r="H4512" s="2" t="str">
        <f>Tabella1[[#This Row],[Denominazione]]&amp;" - "&amp;Tabella1[[#This Row],[Città]]</f>
        <v>LA CUMA - MONTE RINALDO</v>
      </c>
    </row>
    <row r="4513" spans="1:8" x14ac:dyDescent="0.25">
      <c r="A4513" s="1" t="s">
        <v>679</v>
      </c>
      <c r="B4513" s="1" t="s">
        <v>15431</v>
      </c>
      <c r="C4513" s="1" t="s">
        <v>15403</v>
      </c>
      <c r="D4513" s="1" t="s">
        <v>15349</v>
      </c>
      <c r="E4513" s="1" t="s">
        <v>15349</v>
      </c>
      <c r="H4513" s="2" t="str">
        <f>Tabella1[[#This Row],[Denominazione]]&amp;" - "&amp;Tabella1[[#This Row],[Città]]</f>
        <v>LA CUNA - CUPRA MARITTIMA</v>
      </c>
    </row>
    <row r="4514" spans="1:8" x14ac:dyDescent="0.25">
      <c r="A4514" s="1" t="s">
        <v>35</v>
      </c>
      <c r="B4514" s="1" t="s">
        <v>16155</v>
      </c>
      <c r="C4514" s="1" t="s">
        <v>16156</v>
      </c>
      <c r="D4514" s="1" t="s">
        <v>16083</v>
      </c>
      <c r="E4514" s="1" t="s">
        <v>16157</v>
      </c>
      <c r="G4514" s="1" t="s">
        <v>16158</v>
      </c>
      <c r="H4514" s="2" t="str">
        <f>Tabella1[[#This Row],[Denominazione]]&amp;" - "&amp;Tabella1[[#This Row],[Città]]</f>
        <v>LA CURTIS - MONTALTO DELLE MARCHE</v>
      </c>
    </row>
    <row r="4515" spans="1:8" x14ac:dyDescent="0.25">
      <c r="A4515" s="1" t="s">
        <v>29</v>
      </c>
      <c r="B4515" s="1" t="s">
        <v>773</v>
      </c>
      <c r="C4515" s="1" t="s">
        <v>774</v>
      </c>
      <c r="D4515" s="1" t="s">
        <v>682</v>
      </c>
      <c r="E4515" s="1" t="s">
        <v>682</v>
      </c>
      <c r="G4515" s="1" t="s">
        <v>775</v>
      </c>
      <c r="H4515" s="2" t="str">
        <f>Tabella1[[#This Row],[Denominazione]]&amp;" - "&amp;Tabella1[[#This Row],[Città]]</f>
        <v>LA DARSENA - FANO</v>
      </c>
    </row>
    <row r="4516" spans="1:8" x14ac:dyDescent="0.25">
      <c r="A4516" s="1" t="s">
        <v>82</v>
      </c>
      <c r="B4516" s="1" t="s">
        <v>15263</v>
      </c>
      <c r="C4516" s="1" t="s">
        <v>15264</v>
      </c>
      <c r="D4516" s="1" t="s">
        <v>15249</v>
      </c>
      <c r="E4516" s="1" t="s">
        <v>15249</v>
      </c>
      <c r="H4516" s="2" t="str">
        <f>Tabella1[[#This Row],[Denominazione]]&amp;" - "&amp;Tabella1[[#This Row],[Città]]</f>
        <v>LA DIGA S.N.C. (LUCIANI GIORGIO) - COMUNANZA</v>
      </c>
    </row>
    <row r="4517" spans="1:8" x14ac:dyDescent="0.25">
      <c r="A4517" s="1" t="s">
        <v>20</v>
      </c>
      <c r="B4517" s="1" t="s">
        <v>296</v>
      </c>
      <c r="C4517" s="1" t="s">
        <v>297</v>
      </c>
      <c r="D4517" s="1" t="s">
        <v>266</v>
      </c>
      <c r="E4517" s="1" t="s">
        <v>266</v>
      </c>
      <c r="F4517" s="1" t="s">
        <v>298</v>
      </c>
      <c r="G4517" s="1" t="s">
        <v>299</v>
      </c>
      <c r="H4517" s="2" t="str">
        <f>Tabella1[[#This Row],[Denominazione]]&amp;" - "&amp;Tabella1[[#This Row],[Città]]</f>
        <v>LA DILIGENZA - BORGO PACE</v>
      </c>
    </row>
    <row r="4518" spans="1:8" x14ac:dyDescent="0.25">
      <c r="A4518" s="1" t="s">
        <v>29</v>
      </c>
      <c r="B4518" s="1" t="s">
        <v>7003</v>
      </c>
      <c r="C4518" s="1" t="s">
        <v>7004</v>
      </c>
      <c r="D4518" s="1" t="s">
        <v>6790</v>
      </c>
      <c r="G4518" s="1" t="s">
        <v>7005</v>
      </c>
      <c r="H4518" s="2" t="str">
        <f>Tabella1[[#This Row],[Denominazione]]&amp;" - "&amp;Tabella1[[#This Row],[Città]]</f>
        <v>LA DIMORA DEL CAPITANO - FABRIANO</v>
      </c>
    </row>
    <row r="4519" spans="1:8" x14ac:dyDescent="0.25">
      <c r="A4519" s="1" t="s">
        <v>35</v>
      </c>
      <c r="B4519" s="1" t="s">
        <v>12688</v>
      </c>
      <c r="C4519" s="1" t="s">
        <v>12689</v>
      </c>
      <c r="D4519" s="1" t="s">
        <v>12675</v>
      </c>
      <c r="E4519" s="1" t="s">
        <v>12675</v>
      </c>
      <c r="F4519" s="1" t="s">
        <v>12690</v>
      </c>
      <c r="G4519" s="1" t="s">
        <v>12691</v>
      </c>
      <c r="H4519" s="2" t="str">
        <f>Tabella1[[#This Row],[Denominazione]]&amp;" - "&amp;Tabella1[[#This Row],[Città]]</f>
        <v>LA DIMORA DEL SOLE - PETRIOLO</v>
      </c>
    </row>
    <row r="4520" spans="1:8" x14ac:dyDescent="0.25">
      <c r="A4520" s="1" t="s">
        <v>29</v>
      </c>
      <c r="B4520" s="1" t="s">
        <v>10897</v>
      </c>
      <c r="C4520" s="1" t="s">
        <v>10898</v>
      </c>
      <c r="D4520" s="1" t="s">
        <v>10737</v>
      </c>
      <c r="E4520" s="1" t="s">
        <v>10737</v>
      </c>
      <c r="G4520" s="1" t="s">
        <v>10899</v>
      </c>
      <c r="H4520" s="2" t="str">
        <f>Tabella1[[#This Row],[Denominazione]]&amp;" - "&amp;Tabella1[[#This Row],[Città]]</f>
        <v>LA DIMORA DELL'ARCIERE - CAMERINO</v>
      </c>
    </row>
    <row r="4521" spans="1:8" x14ac:dyDescent="0.25">
      <c r="A4521" s="1" t="s">
        <v>35</v>
      </c>
      <c r="B4521" s="1" t="s">
        <v>6685</v>
      </c>
      <c r="C4521" s="1" t="s">
        <v>6686</v>
      </c>
      <c r="D4521" s="1" t="s">
        <v>6652</v>
      </c>
      <c r="E4521" s="1" t="s">
        <v>6652</v>
      </c>
      <c r="F4521" s="1" t="s">
        <v>6687</v>
      </c>
      <c r="G4521" s="1" t="s">
        <v>6688</v>
      </c>
      <c r="H4521" s="2" t="str">
        <f>Tabella1[[#This Row],[Denominazione]]&amp;" - "&amp;Tabella1[[#This Row],[Città]]</f>
        <v>LA DISTESA - CUPRAMONTANA</v>
      </c>
    </row>
    <row r="4522" spans="1:8" x14ac:dyDescent="0.25">
      <c r="A4522" s="1" t="s">
        <v>35</v>
      </c>
      <c r="B4522" s="1" t="s">
        <v>16340</v>
      </c>
      <c r="C4522" s="1" t="s">
        <v>16341</v>
      </c>
      <c r="D4522" s="1" t="s">
        <v>16312</v>
      </c>
      <c r="E4522" s="1" t="s">
        <v>16342</v>
      </c>
      <c r="F4522" s="1" t="s">
        <v>16343</v>
      </c>
      <c r="G4522" s="1" t="s">
        <v>16344</v>
      </c>
      <c r="H4522" s="2" t="str">
        <f>Tabella1[[#This Row],[Denominazione]]&amp;" - "&amp;Tabella1[[#This Row],[Città]]</f>
        <v>LA FATTORIA - MONTEMONACO</v>
      </c>
    </row>
    <row r="4523" spans="1:8" x14ac:dyDescent="0.25">
      <c r="A4523" s="1" t="s">
        <v>29</v>
      </c>
      <c r="B4523" s="1" t="s">
        <v>7343</v>
      </c>
      <c r="C4523" s="1" t="s">
        <v>7344</v>
      </c>
      <c r="D4523" s="1" t="s">
        <v>7254</v>
      </c>
      <c r="G4523" s="1" t="s">
        <v>7345</v>
      </c>
      <c r="H4523" s="2" t="str">
        <f>Tabella1[[#This Row],[Denominazione]]&amp;" - "&amp;Tabella1[[#This Row],[Città]]</f>
        <v>LA FATTORIA DI OTELLO - JESI</v>
      </c>
    </row>
    <row r="4524" spans="1:8" x14ac:dyDescent="0.25">
      <c r="A4524" s="1" t="s">
        <v>35</v>
      </c>
      <c r="B4524" s="1" t="s">
        <v>16238</v>
      </c>
      <c r="C4524" s="1" t="s">
        <v>16239</v>
      </c>
      <c r="D4524" s="1" t="s">
        <v>16202</v>
      </c>
      <c r="E4524" s="1" t="s">
        <v>16203</v>
      </c>
      <c r="F4524" s="1" t="s">
        <v>16240</v>
      </c>
      <c r="G4524" s="1" t="s">
        <v>16241</v>
      </c>
      <c r="H4524" s="2" t="str">
        <f>Tabella1[[#This Row],[Denominazione]]&amp;" - "&amp;Tabella1[[#This Row],[Città]]</f>
        <v>LA FAVELLA - MONTEFIORE DELL'ASO</v>
      </c>
    </row>
    <row r="4525" spans="1:8" x14ac:dyDescent="0.25">
      <c r="A4525" s="1" t="s">
        <v>20</v>
      </c>
      <c r="B4525" s="1" t="s">
        <v>5409</v>
      </c>
      <c r="C4525" s="1" t="s">
        <v>5410</v>
      </c>
      <c r="D4525" s="1" t="s">
        <v>5358</v>
      </c>
      <c r="E4525" s="1" t="s">
        <v>5411</v>
      </c>
      <c r="F4525" s="1" t="s">
        <v>5412</v>
      </c>
      <c r="G4525" s="1" t="s">
        <v>5413</v>
      </c>
      <c r="H4525" s="2" t="str">
        <f>Tabella1[[#This Row],[Denominazione]]&amp;" - "&amp;Tabella1[[#This Row],[Città]]</f>
        <v>LA FAZENDA - VALLEFOGLIA</v>
      </c>
    </row>
    <row r="4526" spans="1:8" x14ac:dyDescent="0.25">
      <c r="A4526" s="1" t="s">
        <v>35</v>
      </c>
      <c r="B4526" s="1" t="s">
        <v>399</v>
      </c>
      <c r="C4526" s="1" t="s">
        <v>400</v>
      </c>
      <c r="D4526" s="1" t="s">
        <v>316</v>
      </c>
      <c r="E4526" s="1" t="s">
        <v>316</v>
      </c>
      <c r="F4526" s="1" t="s">
        <v>401</v>
      </c>
      <c r="G4526" s="1" t="s">
        <v>402</v>
      </c>
      <c r="H4526" s="2" t="str">
        <f>Tabella1[[#This Row],[Denominazione]]&amp;" - "&amp;Tabella1[[#This Row],[Città]]</f>
        <v>LA FERRAIA - CAGLI</v>
      </c>
    </row>
    <row r="4527" spans="1:8" x14ac:dyDescent="0.25">
      <c r="A4527" s="1" t="s">
        <v>35</v>
      </c>
      <c r="B4527" s="1" t="s">
        <v>18520</v>
      </c>
      <c r="C4527" s="1" t="s">
        <v>18521</v>
      </c>
      <c r="D4527" s="1" t="s">
        <v>18522</v>
      </c>
      <c r="G4527" s="1" t="s">
        <v>18523</v>
      </c>
      <c r="H4527" s="2" t="str">
        <f>Tabella1[[#This Row],[Denominazione]]&amp;" - "&amp;Tabella1[[#This Row],[Città]]</f>
        <v>LA FILOMENA - MONTEFORTINO</v>
      </c>
    </row>
    <row r="4528" spans="1:8" x14ac:dyDescent="0.25">
      <c r="A4528" s="1" t="s">
        <v>20</v>
      </c>
      <c r="B4528" s="1" t="s">
        <v>10993</v>
      </c>
      <c r="C4528" s="1" t="s">
        <v>10994</v>
      </c>
      <c r="D4528" s="1" t="s">
        <v>10990</v>
      </c>
      <c r="E4528" s="1" t="s">
        <v>10990</v>
      </c>
      <c r="H4528" s="2" t="str">
        <f>Tabella1[[#This Row],[Denominazione]]&amp;" - "&amp;Tabella1[[#This Row],[Città]]</f>
        <v>LA FIORITA - CASTELSANTANGELO SUL NERA</v>
      </c>
    </row>
    <row r="4529" spans="1:8" x14ac:dyDescent="0.25">
      <c r="A4529" s="1" t="s">
        <v>20</v>
      </c>
      <c r="B4529" s="1" t="s">
        <v>8566</v>
      </c>
      <c r="C4529" s="1" t="s">
        <v>8567</v>
      </c>
      <c r="D4529" s="1" t="s">
        <v>8454</v>
      </c>
      <c r="E4529" s="1" t="s">
        <v>8454</v>
      </c>
      <c r="F4529" s="1" t="s">
        <v>8568</v>
      </c>
      <c r="G4529" s="1" t="s">
        <v>8569</v>
      </c>
      <c r="H4529" s="2" t="str">
        <f>Tabella1[[#This Row],[Denominazione]]&amp;" - "&amp;Tabella1[[#This Row],[Città]]</f>
        <v>LA FONTE - OSIMO</v>
      </c>
    </row>
    <row r="4530" spans="1:8" x14ac:dyDescent="0.25">
      <c r="A4530" s="1" t="s">
        <v>35</v>
      </c>
      <c r="B4530" s="1" t="s">
        <v>8566</v>
      </c>
      <c r="C4530" s="1" t="s">
        <v>13214</v>
      </c>
      <c r="D4530" s="1" t="s">
        <v>13026</v>
      </c>
      <c r="E4530" s="1" t="s">
        <v>13026</v>
      </c>
      <c r="G4530" s="1" t="s">
        <v>13215</v>
      </c>
      <c r="H4530" s="2" t="str">
        <f>Tabella1[[#This Row],[Denominazione]]&amp;" - "&amp;Tabella1[[#This Row],[Città]]</f>
        <v>LA FONTE - POTENZA PICENA</v>
      </c>
    </row>
    <row r="4531" spans="1:8" x14ac:dyDescent="0.25">
      <c r="A4531" s="1" t="s">
        <v>20</v>
      </c>
      <c r="B4531" s="1" t="s">
        <v>8566</v>
      </c>
      <c r="C4531" s="1" t="s">
        <v>16515</v>
      </c>
      <c r="D4531" s="1" t="s">
        <v>16440</v>
      </c>
      <c r="E4531" s="1" t="s">
        <v>16440</v>
      </c>
      <c r="F4531" s="1" t="s">
        <v>16516</v>
      </c>
      <c r="G4531" s="1" t="s">
        <v>16517</v>
      </c>
      <c r="H4531" s="2" t="str">
        <f>Tabella1[[#This Row],[Denominazione]]&amp;" - "&amp;Tabella1[[#This Row],[Città]]</f>
        <v>LA FONTE - OFFIDA</v>
      </c>
    </row>
    <row r="4532" spans="1:8" x14ac:dyDescent="0.25">
      <c r="A4532" s="1" t="s">
        <v>35</v>
      </c>
      <c r="B4532" s="1" t="s">
        <v>8566</v>
      </c>
      <c r="C4532" s="1" t="s">
        <v>19030</v>
      </c>
      <c r="D4532" s="1" t="s">
        <v>19027</v>
      </c>
      <c r="E4532" s="1" t="s">
        <v>19027</v>
      </c>
      <c r="F4532" s="1" t="s">
        <v>19031</v>
      </c>
      <c r="G4532" s="1" t="s">
        <v>19032</v>
      </c>
      <c r="H4532" s="2" t="str">
        <f>Tabella1[[#This Row],[Denominazione]]&amp;" - "&amp;Tabella1[[#This Row],[Città]]</f>
        <v>LA FONTE - PONZANO DI FERMO</v>
      </c>
    </row>
    <row r="4533" spans="1:8" x14ac:dyDescent="0.25">
      <c r="A4533" s="1" t="s">
        <v>35</v>
      </c>
      <c r="B4533" s="1" t="s">
        <v>16315</v>
      </c>
      <c r="C4533" s="1" t="s">
        <v>16316</v>
      </c>
      <c r="D4533" s="1" t="s">
        <v>16312</v>
      </c>
      <c r="E4533" s="1" t="s">
        <v>16312</v>
      </c>
      <c r="H4533" s="2" t="str">
        <f>Tabella1[[#This Row],[Denominazione]]&amp;" - "&amp;Tabella1[[#This Row],[Città]]</f>
        <v>LA FONTE di CORBELLI CAROLINA RITA - MONTEMONACO</v>
      </c>
    </row>
    <row r="4534" spans="1:8" x14ac:dyDescent="0.25">
      <c r="A4534" s="1" t="s">
        <v>82</v>
      </c>
      <c r="B4534" s="1" t="s">
        <v>18159</v>
      </c>
      <c r="C4534" s="1" t="s">
        <v>18160</v>
      </c>
      <c r="D4534" s="1" t="s">
        <v>17932</v>
      </c>
      <c r="E4534" s="1" t="s">
        <v>17932</v>
      </c>
      <c r="F4534" s="1" t="s">
        <v>18161</v>
      </c>
      <c r="G4534" s="1" t="s">
        <v>18162</v>
      </c>
      <c r="H4534" s="2" t="str">
        <f>Tabella1[[#This Row],[Denominazione]]&amp;" - "&amp;Tabella1[[#This Row],[Città]]</f>
        <v>LA FONTE DI MOSE' - FERMO</v>
      </c>
    </row>
    <row r="4535" spans="1:8" x14ac:dyDescent="0.25">
      <c r="A4535" s="1" t="s">
        <v>35</v>
      </c>
      <c r="B4535" s="1" t="s">
        <v>5064</v>
      </c>
      <c r="C4535" s="1" t="s">
        <v>5065</v>
      </c>
      <c r="D4535" s="1" t="s">
        <v>9</v>
      </c>
      <c r="E4535" s="1" t="s">
        <v>9</v>
      </c>
      <c r="G4535" s="1" t="s">
        <v>5066</v>
      </c>
      <c r="H4535" s="2" t="str">
        <f>Tabella1[[#This Row],[Denominazione]]&amp;" - "&amp;Tabella1[[#This Row],[Città]]</f>
        <v>LA FORNACE - URBINO</v>
      </c>
    </row>
    <row r="4536" spans="1:8" x14ac:dyDescent="0.25">
      <c r="A4536" s="1" t="s">
        <v>6</v>
      </c>
      <c r="B4536" s="1" t="s">
        <v>7871</v>
      </c>
      <c r="C4536" s="1" t="s">
        <v>7872</v>
      </c>
      <c r="D4536" s="1" t="s">
        <v>7849</v>
      </c>
      <c r="E4536" s="1" t="s">
        <v>7849</v>
      </c>
      <c r="G4536" s="1" t="s">
        <v>7873</v>
      </c>
      <c r="H4536" s="2" t="str">
        <f>Tabella1[[#This Row],[Denominazione]]&amp;" - "&amp;Tabella1[[#This Row],[Città]]</f>
        <v>LA GEMMA DI SANT'ELENA - MORRO D'ALBA</v>
      </c>
    </row>
    <row r="4537" spans="1:8" x14ac:dyDescent="0.25">
      <c r="A4537" s="1" t="s">
        <v>6</v>
      </c>
      <c r="B4537" s="1" t="s">
        <v>10109</v>
      </c>
      <c r="C4537" s="1" t="s">
        <v>10110</v>
      </c>
      <c r="D4537" s="1" t="s">
        <v>10074</v>
      </c>
      <c r="G4537" s="1" t="s">
        <v>10111</v>
      </c>
      <c r="H4537" s="2" t="str">
        <f>Tabella1[[#This Row],[Denominazione]]&amp;" - "&amp;Tabella1[[#This Row],[Città]]</f>
        <v>LA GIARA di Tenuta Mattei - SERRA DE' CONTI</v>
      </c>
    </row>
    <row r="4538" spans="1:8" x14ac:dyDescent="0.25">
      <c r="A4538" s="1" t="s">
        <v>20</v>
      </c>
      <c r="B4538" s="1" t="s">
        <v>38</v>
      </c>
      <c r="C4538" s="1" t="s">
        <v>39</v>
      </c>
      <c r="D4538" s="1" t="s">
        <v>15</v>
      </c>
      <c r="E4538" s="1" t="s">
        <v>15</v>
      </c>
      <c r="F4538" s="1" t="s">
        <v>40</v>
      </c>
      <c r="G4538" s="1" t="s">
        <v>41</v>
      </c>
      <c r="H4538" s="2" t="str">
        <f>Tabella1[[#This Row],[Denominazione]]&amp;" - "&amp;Tabella1[[#This Row],[Città]]</f>
        <v>LA GINESTRA - ACQUALAGNA</v>
      </c>
    </row>
    <row r="4539" spans="1:8" x14ac:dyDescent="0.25">
      <c r="A4539" s="1" t="s">
        <v>20</v>
      </c>
      <c r="B4539" s="1" t="s">
        <v>38</v>
      </c>
      <c r="C4539" s="1" t="s">
        <v>6405</v>
      </c>
      <c r="D4539" s="1" t="s">
        <v>6371</v>
      </c>
      <c r="E4539" s="1" t="s">
        <v>6371</v>
      </c>
      <c r="G4539" s="1" t="s">
        <v>6406</v>
      </c>
      <c r="H4539" s="2" t="str">
        <f>Tabella1[[#This Row],[Denominazione]]&amp;" - "&amp;Tabella1[[#This Row],[Città]]</f>
        <v>LA GINESTRA - CASTELFIDARDO</v>
      </c>
    </row>
    <row r="4540" spans="1:8" x14ac:dyDescent="0.25">
      <c r="A4540" s="1" t="s">
        <v>29</v>
      </c>
      <c r="B4540" s="1" t="s">
        <v>38</v>
      </c>
      <c r="C4540" s="1" t="s">
        <v>10461</v>
      </c>
      <c r="D4540" s="1" t="s">
        <v>10206</v>
      </c>
      <c r="F4540" s="1" t="s">
        <v>10462</v>
      </c>
      <c r="G4540" s="1" t="s">
        <v>10463</v>
      </c>
      <c r="H4540" s="2" t="str">
        <f>Tabella1[[#This Row],[Denominazione]]&amp;" - "&amp;Tabella1[[#This Row],[Città]]</f>
        <v>LA GINESTRA - SIROLO</v>
      </c>
    </row>
    <row r="4541" spans="1:8" x14ac:dyDescent="0.25">
      <c r="A4541" s="1" t="s">
        <v>20</v>
      </c>
      <c r="B4541" s="1" t="s">
        <v>38</v>
      </c>
      <c r="C4541" s="1" t="s">
        <v>13320</v>
      </c>
      <c r="D4541" s="1" t="s">
        <v>13298</v>
      </c>
      <c r="E4541" s="1" t="s">
        <v>13298</v>
      </c>
      <c r="F4541" s="1" t="s">
        <v>13321</v>
      </c>
      <c r="G4541" s="1" t="s">
        <v>13322</v>
      </c>
      <c r="H4541" s="2" t="str">
        <f>Tabella1[[#This Row],[Denominazione]]&amp;" - "&amp;Tabella1[[#This Row],[Città]]</f>
        <v>LA GINESTRA - RECANATI</v>
      </c>
    </row>
    <row r="4542" spans="1:8" x14ac:dyDescent="0.25">
      <c r="A4542" s="1" t="s">
        <v>403</v>
      </c>
      <c r="B4542" s="1" t="s">
        <v>18747</v>
      </c>
      <c r="C4542" s="1" t="s">
        <v>18748</v>
      </c>
      <c r="D4542" s="1" t="s">
        <v>18702</v>
      </c>
      <c r="E4542" s="1" t="s">
        <v>18702</v>
      </c>
      <c r="F4542" s="1" t="s">
        <v>18749</v>
      </c>
      <c r="G4542" s="1" t="s">
        <v>18750</v>
      </c>
      <c r="H4542" s="2" t="str">
        <f>Tabella1[[#This Row],[Denominazione]]&amp;" - "&amp;Tabella1[[#This Row],[Città]]</f>
        <v>LA GINESTRA HOTEL - MONTELPARO</v>
      </c>
    </row>
    <row r="4543" spans="1:8" x14ac:dyDescent="0.25">
      <c r="A4543" s="1" t="s">
        <v>82</v>
      </c>
      <c r="B4543" s="1" t="s">
        <v>231</v>
      </c>
      <c r="C4543" s="1" t="s">
        <v>232</v>
      </c>
      <c r="D4543" s="1" t="s">
        <v>227</v>
      </c>
      <c r="F4543" s="1" t="s">
        <v>233</v>
      </c>
      <c r="G4543" s="1" t="s">
        <v>234</v>
      </c>
      <c r="H4543" s="2" t="str">
        <f>Tabella1[[#This Row],[Denominazione]]&amp;" - "&amp;Tabella1[[#This Row],[Città]]</f>
        <v>LA GIRAVOLTA - BARCHI</v>
      </c>
    </row>
    <row r="4544" spans="1:8" x14ac:dyDescent="0.25">
      <c r="A4544" s="1" t="s">
        <v>35</v>
      </c>
      <c r="B4544" s="1" t="s">
        <v>5681</v>
      </c>
      <c r="C4544" s="1" t="s">
        <v>5682</v>
      </c>
      <c r="D4544" s="1" t="s">
        <v>1864</v>
      </c>
      <c r="E4544" s="1" t="s">
        <v>5683</v>
      </c>
      <c r="F4544" s="1" t="s">
        <v>5684</v>
      </c>
      <c r="G4544" s="1" t="s">
        <v>5685</v>
      </c>
      <c r="H4544" s="2" t="str">
        <f>Tabella1[[#This Row],[Denominazione]]&amp;" - "&amp;Tabella1[[#This Row],[Città]]</f>
        <v>LA GIUGGIOLA - ANCONA</v>
      </c>
    </row>
    <row r="4545" spans="1:8" x14ac:dyDescent="0.25">
      <c r="A4545" s="1" t="s">
        <v>35</v>
      </c>
      <c r="B4545" s="1" t="s">
        <v>14111</v>
      </c>
      <c r="C4545" s="1" t="s">
        <v>14112</v>
      </c>
      <c r="D4545" s="1" t="s">
        <v>14065</v>
      </c>
      <c r="E4545" s="1" t="s">
        <v>14065</v>
      </c>
      <c r="F4545" s="1" t="s">
        <v>14113</v>
      </c>
      <c r="G4545" s="1" t="s">
        <v>14114</v>
      </c>
      <c r="H4545" s="2" t="str">
        <f>Tabella1[[#This Row],[Denominazione]]&amp;" - "&amp;Tabella1[[#This Row],[Città]]</f>
        <v>LA GRANCIA - TREIA</v>
      </c>
    </row>
    <row r="4546" spans="1:8" x14ac:dyDescent="0.25">
      <c r="A4546" s="1" t="s">
        <v>35</v>
      </c>
      <c r="B4546" s="1" t="s">
        <v>1209</v>
      </c>
      <c r="C4546" s="1" t="s">
        <v>1210</v>
      </c>
      <c r="D4546" s="1" t="s">
        <v>682</v>
      </c>
      <c r="E4546" s="1" t="s">
        <v>682</v>
      </c>
      <c r="F4546" s="1" t="s">
        <v>1211</v>
      </c>
      <c r="G4546" s="1" t="s">
        <v>1212</v>
      </c>
      <c r="H4546" s="2" t="str">
        <f>Tabella1[[#This Row],[Denominazione]]&amp;" - "&amp;Tabella1[[#This Row],[Città]]</f>
        <v>LA GROTTA - FANO</v>
      </c>
    </row>
    <row r="4547" spans="1:8" x14ac:dyDescent="0.25">
      <c r="A4547" s="1" t="s">
        <v>12</v>
      </c>
      <c r="B4547" s="1" t="s">
        <v>10698</v>
      </c>
      <c r="C4547" s="1" t="s">
        <v>10699</v>
      </c>
      <c r="D4547" s="1" t="s">
        <v>10690</v>
      </c>
      <c r="E4547" s="1" t="s">
        <v>10690</v>
      </c>
      <c r="G4547" s="1" t="s">
        <v>10700</v>
      </c>
      <c r="H4547" s="2" t="str">
        <f>Tabella1[[#This Row],[Denominazione]]&amp;" - "&amp;Tabella1[[#This Row],[Città]]</f>
        <v>LA KUMARI di BISCONTI LEONARDO - BOLOGNOLA</v>
      </c>
    </row>
    <row r="4548" spans="1:8" x14ac:dyDescent="0.25">
      <c r="A4548" s="1" t="s">
        <v>82</v>
      </c>
      <c r="B4548" s="1" t="s">
        <v>11308</v>
      </c>
      <c r="C4548" s="1" t="s">
        <v>11309</v>
      </c>
      <c r="D4548" s="1" t="s">
        <v>11244</v>
      </c>
      <c r="E4548" s="1" t="s">
        <v>11244</v>
      </c>
      <c r="G4548" s="1" t="s">
        <v>11310</v>
      </c>
      <c r="H4548" s="2" t="str">
        <f>Tabella1[[#This Row],[Denominazione]]&amp;" - "&amp;Tabella1[[#This Row],[Città]]</f>
        <v>LA LAMPARA S.N.C. di BROCCOLO ROBERTO - CIVITANOVA MARCHE</v>
      </c>
    </row>
    <row r="4549" spans="1:8" x14ac:dyDescent="0.25">
      <c r="A4549" s="1" t="s">
        <v>679</v>
      </c>
      <c r="B4549" s="1" t="s">
        <v>12850</v>
      </c>
      <c r="D4549" s="1" t="s">
        <v>12801</v>
      </c>
      <c r="H4549" s="2" t="str">
        <f>Tabella1[[#This Row],[Denominazione]]&amp;" - "&amp;Tabella1[[#This Row],[Città]]</f>
        <v>LA LANCETTA - PORTO RECANATI</v>
      </c>
    </row>
    <row r="4550" spans="1:8" x14ac:dyDescent="0.25">
      <c r="A4550" s="1" t="s">
        <v>679</v>
      </c>
      <c r="B4550" s="1" t="s">
        <v>17335</v>
      </c>
      <c r="C4550" s="1" t="s">
        <v>17336</v>
      </c>
      <c r="D4550" s="1" t="s">
        <v>15819</v>
      </c>
      <c r="E4550" s="1" t="s">
        <v>17337</v>
      </c>
      <c r="F4550" s="1" t="s">
        <v>17338</v>
      </c>
      <c r="G4550" s="1" t="s">
        <v>17339</v>
      </c>
      <c r="H4550" s="2" t="str">
        <f>Tabella1[[#This Row],[Denominazione]]&amp;" - "&amp;Tabella1[[#This Row],[Città]]</f>
        <v>LA LANCETTE - SAN BENEDETTO DEL TRONTO</v>
      </c>
    </row>
    <row r="4551" spans="1:8" x14ac:dyDescent="0.25">
      <c r="A4551" s="1" t="s">
        <v>679</v>
      </c>
      <c r="B4551" s="1" t="s">
        <v>8172</v>
      </c>
      <c r="C4551" s="1" t="s">
        <v>8173</v>
      </c>
      <c r="D4551" s="1" t="s">
        <v>7889</v>
      </c>
      <c r="E4551" s="1" t="s">
        <v>7895</v>
      </c>
      <c r="F4551" s="1" t="s">
        <v>8174</v>
      </c>
      <c r="H4551" s="2" t="str">
        <f>Tabella1[[#This Row],[Denominazione]]&amp;" - "&amp;Tabella1[[#This Row],[Città]]</f>
        <v>LA LANTERNA - NUMANA</v>
      </c>
    </row>
    <row r="4552" spans="1:8" x14ac:dyDescent="0.25">
      <c r="A4552" s="1" t="s">
        <v>35</v>
      </c>
      <c r="B4552" s="1" t="s">
        <v>13704</v>
      </c>
      <c r="C4552" s="1" t="s">
        <v>13705</v>
      </c>
      <c r="D4552" s="1" t="s">
        <v>13548</v>
      </c>
      <c r="E4552" s="1" t="s">
        <v>13548</v>
      </c>
      <c r="F4552" s="1" t="s">
        <v>13706</v>
      </c>
      <c r="G4552" s="1" t="s">
        <v>13707</v>
      </c>
      <c r="H4552" s="2" t="str">
        <f>Tabella1[[#This Row],[Denominazione]]&amp;" - "&amp;Tabella1[[#This Row],[Città]]</f>
        <v>LA LOCANDA DEI COMACINI - SAN SEVERINO MARCHE</v>
      </c>
    </row>
    <row r="4553" spans="1:8" x14ac:dyDescent="0.25">
      <c r="A4553" s="1" t="s">
        <v>20</v>
      </c>
      <c r="B4553" s="1" t="s">
        <v>552</v>
      </c>
      <c r="C4553" s="1" t="s">
        <v>553</v>
      </c>
      <c r="D4553" s="1" t="s">
        <v>535</v>
      </c>
      <c r="E4553" s="1" t="s">
        <v>535</v>
      </c>
      <c r="F4553" s="1" t="s">
        <v>554</v>
      </c>
      <c r="G4553" s="1" t="s">
        <v>555</v>
      </c>
      <c r="H4553" s="2" t="str">
        <f>Tabella1[[#This Row],[Denominazione]]&amp;" - "&amp;Tabella1[[#This Row],[Città]]</f>
        <v>LA LOCANDA DEL BROLIO - CANTIANO</v>
      </c>
    </row>
    <row r="4554" spans="1:8" x14ac:dyDescent="0.25">
      <c r="A4554" s="1" t="s">
        <v>6</v>
      </c>
      <c r="B4554" s="1" t="s">
        <v>11662</v>
      </c>
      <c r="C4554" s="1" t="s">
        <v>11663</v>
      </c>
      <c r="D4554" s="1" t="s">
        <v>11244</v>
      </c>
      <c r="E4554" s="1" t="s">
        <v>11244</v>
      </c>
      <c r="F4554" s="1" t="s">
        <v>11664</v>
      </c>
      <c r="G4554" s="1" t="s">
        <v>11665</v>
      </c>
      <c r="H4554" s="2" t="str">
        <f>Tabella1[[#This Row],[Denominazione]]&amp;" - "&amp;Tabella1[[#This Row],[Città]]</f>
        <v>LA LOCANDA DEL CAVALIERE - CIVITANOVA MARCHE</v>
      </c>
    </row>
    <row r="4555" spans="1:8" x14ac:dyDescent="0.25">
      <c r="A4555" s="1" t="s">
        <v>6</v>
      </c>
      <c r="B4555" s="1" t="s">
        <v>10752</v>
      </c>
      <c r="C4555" s="1" t="s">
        <v>10753</v>
      </c>
      <c r="D4555" s="1" t="s">
        <v>10737</v>
      </c>
      <c r="E4555" s="1" t="s">
        <v>10737</v>
      </c>
      <c r="F4555" s="1" t="s">
        <v>10754</v>
      </c>
      <c r="G4555" s="1" t="s">
        <v>10755</v>
      </c>
      <c r="H4555" s="2" t="str">
        <f>Tabella1[[#This Row],[Denominazione]]&amp;" - "&amp;Tabella1[[#This Row],[Città]]</f>
        <v>LA LOCANDA DELL' ISTRICE - CAMERINO</v>
      </c>
    </row>
    <row r="4556" spans="1:8" x14ac:dyDescent="0.25">
      <c r="A4556" s="1" t="s">
        <v>35</v>
      </c>
      <c r="B4556" s="1" t="s">
        <v>13543</v>
      </c>
      <c r="D4556" s="1" t="s">
        <v>6072</v>
      </c>
      <c r="E4556" s="1" t="s">
        <v>13544</v>
      </c>
      <c r="G4556" s="1" t="s">
        <v>13545</v>
      </c>
      <c r="H4556" s="2" t="str">
        <f>Tabella1[[#This Row],[Denominazione]]&amp;" - "&amp;Tabella1[[#This Row],[Città]]</f>
        <v>LA LOCANDA DELLA ROCCA - SAN GINESIO</v>
      </c>
    </row>
    <row r="4557" spans="1:8" x14ac:dyDescent="0.25">
      <c r="A4557" s="1" t="s">
        <v>35</v>
      </c>
      <c r="B4557" s="1" t="s">
        <v>16332</v>
      </c>
      <c r="D4557" s="1" t="s">
        <v>16312</v>
      </c>
      <c r="E4557" s="1" t="s">
        <v>16333</v>
      </c>
      <c r="F4557" s="1" t="s">
        <v>16334</v>
      </c>
      <c r="G4557" s="1" t="s">
        <v>16335</v>
      </c>
      <c r="H4557" s="2" t="str">
        <f>Tabella1[[#This Row],[Denominazione]]&amp;" - "&amp;Tabella1[[#This Row],[Città]]</f>
        <v>LA LOCANDA DI ULISSE - MONTEMONACO</v>
      </c>
    </row>
    <row r="4558" spans="1:8" x14ac:dyDescent="0.25">
      <c r="A4558" s="1" t="s">
        <v>82</v>
      </c>
      <c r="B4558" s="1" t="s">
        <v>6533</v>
      </c>
      <c r="C4558" s="1" t="s">
        <v>6524</v>
      </c>
      <c r="D4558" s="1" t="s">
        <v>6520</v>
      </c>
      <c r="F4558" s="1" t="s">
        <v>6525</v>
      </c>
      <c r="G4558" s="1" t="s">
        <v>6526</v>
      </c>
      <c r="H4558" s="2" t="str">
        <f>Tabella1[[#This Row],[Denominazione]]&amp;" - "&amp;Tabella1[[#This Row],[Città]]</f>
        <v>LA LOCOMOTIVA CAFE' DI P. PETRUCCI srl UNIPERSONALE - CHIARAVALLE</v>
      </c>
    </row>
    <row r="4559" spans="1:8" x14ac:dyDescent="0.25">
      <c r="A4559" s="1" t="s">
        <v>82</v>
      </c>
      <c r="B4559" s="1" t="s">
        <v>2480</v>
      </c>
      <c r="C4559" s="1" t="s">
        <v>2481</v>
      </c>
      <c r="D4559" s="1" t="s">
        <v>2425</v>
      </c>
      <c r="E4559" s="1" t="s">
        <v>2425</v>
      </c>
      <c r="F4559" s="1" t="s">
        <v>2482</v>
      </c>
      <c r="G4559" s="1" t="s">
        <v>2483</v>
      </c>
      <c r="H4559" s="2" t="str">
        <f>Tabella1[[#This Row],[Denominazione]]&amp;" - "&amp;Tabella1[[#This Row],[Città]]</f>
        <v>LA LOGGIA - GRADARA</v>
      </c>
    </row>
    <row r="4560" spans="1:8" x14ac:dyDescent="0.25">
      <c r="A4560" s="1" t="s">
        <v>35</v>
      </c>
      <c r="B4560" s="1" t="s">
        <v>2480</v>
      </c>
      <c r="C4560" s="1" t="s">
        <v>4555</v>
      </c>
      <c r="D4560" s="1" t="s">
        <v>4550</v>
      </c>
      <c r="E4560" s="1" t="s">
        <v>4556</v>
      </c>
      <c r="F4560" s="1" t="s">
        <v>4557</v>
      </c>
      <c r="G4560" s="1" t="s">
        <v>4558</v>
      </c>
      <c r="H4560" s="2" t="str">
        <f>Tabella1[[#This Row],[Denominazione]]&amp;" - "&amp;Tabella1[[#This Row],[Città]]</f>
        <v>LA LOGGIA - SERRA SANT'ABBONDIO</v>
      </c>
    </row>
    <row r="4561" spans="1:8" x14ac:dyDescent="0.25">
      <c r="A4561" s="1" t="s">
        <v>12</v>
      </c>
      <c r="B4561" s="1" t="s">
        <v>6757</v>
      </c>
      <c r="C4561" s="1" t="s">
        <v>6758</v>
      </c>
      <c r="D4561" s="1" t="s">
        <v>6652</v>
      </c>
      <c r="F4561" s="1" t="s">
        <v>6759</v>
      </c>
      <c r="G4561" s="1" t="s">
        <v>6748</v>
      </c>
      <c r="H4561" s="2" t="str">
        <f>Tabella1[[#This Row],[Denominazione]]&amp;" - "&amp;Tabella1[[#This Row],[Città]]</f>
        <v>LA LUCCIOLA 1 DI CORNILS BOY VOLQUART PETER - CUPRAMONTANA</v>
      </c>
    </row>
    <row r="4562" spans="1:8" x14ac:dyDescent="0.25">
      <c r="A4562" s="1" t="s">
        <v>12</v>
      </c>
      <c r="B4562" s="1" t="s">
        <v>6746</v>
      </c>
      <c r="C4562" s="1" t="s">
        <v>6747</v>
      </c>
      <c r="D4562" s="1" t="s">
        <v>6652</v>
      </c>
      <c r="G4562" s="1" t="s">
        <v>6748</v>
      </c>
      <c r="H4562" s="2" t="str">
        <f>Tabella1[[#This Row],[Denominazione]]&amp;" - "&amp;Tabella1[[#This Row],[Città]]</f>
        <v>LA LUCCIOLA 2 DI CORNILS MAIKE - CUPRAMONTANA</v>
      </c>
    </row>
    <row r="4563" spans="1:8" x14ac:dyDescent="0.25">
      <c r="A4563" s="1" t="s">
        <v>20</v>
      </c>
      <c r="B4563" s="1" t="s">
        <v>12396</v>
      </c>
      <c r="C4563" s="1" t="s">
        <v>12397</v>
      </c>
      <c r="D4563" s="1" t="s">
        <v>12382</v>
      </c>
      <c r="E4563" s="1" t="s">
        <v>12382</v>
      </c>
      <c r="F4563" s="1" t="s">
        <v>12398</v>
      </c>
      <c r="G4563" s="1" t="s">
        <v>12399</v>
      </c>
      <c r="H4563" s="2" t="str">
        <f>Tabella1[[#This Row],[Denominazione]]&amp;" - "&amp;Tabella1[[#This Row],[Città]]</f>
        <v>LA LUMA - MONTECOSARO</v>
      </c>
    </row>
    <row r="4564" spans="1:8" x14ac:dyDescent="0.25">
      <c r="A4564" s="1" t="s">
        <v>29</v>
      </c>
      <c r="B4564" s="1" t="s">
        <v>7296</v>
      </c>
      <c r="C4564" s="1" t="s">
        <v>7266</v>
      </c>
      <c r="D4564" s="1" t="s">
        <v>7254</v>
      </c>
      <c r="E4564" s="1" t="s">
        <v>7254</v>
      </c>
      <c r="F4564" s="1" t="s">
        <v>7297</v>
      </c>
      <c r="G4564" s="1" t="s">
        <v>7298</v>
      </c>
      <c r="H4564" s="2" t="str">
        <f>Tabella1[[#This Row],[Denominazione]]&amp;" - "&amp;Tabella1[[#This Row],[Città]]</f>
        <v>LA LUNA DAL BORGO - JESI</v>
      </c>
    </row>
    <row r="4565" spans="1:8" x14ac:dyDescent="0.25">
      <c r="A4565" s="1" t="s">
        <v>12</v>
      </c>
      <c r="B4565" s="1" t="s">
        <v>225</v>
      </c>
      <c r="C4565" s="1" t="s">
        <v>226</v>
      </c>
      <c r="D4565" s="1" t="s">
        <v>227</v>
      </c>
      <c r="E4565" s="1" t="s">
        <v>228</v>
      </c>
      <c r="F4565" s="1" t="s">
        <v>229</v>
      </c>
      <c r="G4565" s="1" t="s">
        <v>230</v>
      </c>
      <c r="H4565" s="2" t="str">
        <f>Tabella1[[#This Row],[Denominazione]]&amp;" - "&amp;Tabella1[[#This Row],[Città]]</f>
        <v>LA LUNA NELL'ORTO - BARCHI</v>
      </c>
    </row>
    <row r="4566" spans="1:8" x14ac:dyDescent="0.25">
      <c r="A4566" s="1" t="s">
        <v>20</v>
      </c>
      <c r="B4566" s="1" t="s">
        <v>14201</v>
      </c>
      <c r="C4566" s="1" t="s">
        <v>14202</v>
      </c>
      <c r="D4566" s="1" t="s">
        <v>14195</v>
      </c>
      <c r="E4566" s="1" t="s">
        <v>14195</v>
      </c>
      <c r="H4566" s="2" t="str">
        <f>Tabella1[[#This Row],[Denominazione]]&amp;" - "&amp;Tabella1[[#This Row],[Città]]</f>
        <v>LA MAESTA' - URBISAGLIA</v>
      </c>
    </row>
    <row r="4567" spans="1:8" x14ac:dyDescent="0.25">
      <c r="A4567" s="1" t="s">
        <v>35</v>
      </c>
      <c r="B4567" s="1" t="s">
        <v>6769</v>
      </c>
      <c r="C4567" s="1" t="s">
        <v>6770</v>
      </c>
      <c r="D4567" s="1" t="s">
        <v>6652</v>
      </c>
      <c r="E4567" s="1" t="s">
        <v>6652</v>
      </c>
      <c r="F4567" s="1" t="s">
        <v>6771</v>
      </c>
      <c r="G4567" s="1" t="s">
        <v>6772</v>
      </c>
      <c r="H4567" s="2" t="str">
        <f>Tabella1[[#This Row],[Denominazione]]&amp;" - "&amp;Tabella1[[#This Row],[Città]]</f>
        <v>LA MANCIANELLA - CUPRAMONTANA</v>
      </c>
    </row>
    <row r="4568" spans="1:8" x14ac:dyDescent="0.25">
      <c r="A4568" s="1" t="s">
        <v>29</v>
      </c>
      <c r="B4568" s="1" t="s">
        <v>3539</v>
      </c>
      <c r="C4568" s="1" t="s">
        <v>3540</v>
      </c>
      <c r="D4568" s="1" t="s">
        <v>2386</v>
      </c>
      <c r="E4568" s="1" t="s">
        <v>2386</v>
      </c>
      <c r="G4568" s="1" t="s">
        <v>3541</v>
      </c>
      <c r="H4568" s="2" t="str">
        <f>Tabella1[[#This Row],[Denominazione]]&amp;" - "&amp;Tabella1[[#This Row],[Città]]</f>
        <v>LA MANSARDINA - PESARO</v>
      </c>
    </row>
    <row r="4569" spans="1:8" x14ac:dyDescent="0.25">
      <c r="A4569" s="1" t="s">
        <v>20</v>
      </c>
      <c r="B4569" s="1" t="s">
        <v>13846</v>
      </c>
      <c r="C4569" s="1" t="s">
        <v>13847</v>
      </c>
      <c r="D4569" s="1" t="s">
        <v>13756</v>
      </c>
      <c r="E4569" s="1" t="s">
        <v>13756</v>
      </c>
      <c r="F4569" s="1" t="s">
        <v>13848</v>
      </c>
      <c r="G4569" s="1" t="s">
        <v>13849</v>
      </c>
      <c r="H4569" s="2" t="str">
        <f>Tabella1[[#This Row],[Denominazione]]&amp;" - "&amp;Tabella1[[#This Row],[Città]]</f>
        <v>LA MARCHIGIANA - SARNANO</v>
      </c>
    </row>
    <row r="4570" spans="1:8" x14ac:dyDescent="0.25">
      <c r="A4570" s="1" t="s">
        <v>20</v>
      </c>
      <c r="B4570" s="1" t="s">
        <v>7778</v>
      </c>
      <c r="C4570" s="1" t="s">
        <v>7779</v>
      </c>
      <c r="D4570" s="1" t="s">
        <v>7718</v>
      </c>
      <c r="E4570" s="1" t="s">
        <v>7718</v>
      </c>
      <c r="F4570" s="1" t="s">
        <v>7780</v>
      </c>
      <c r="G4570" s="1" t="s">
        <v>7781</v>
      </c>
      <c r="H4570" s="2" t="str">
        <f>Tabella1[[#This Row],[Denominazione]]&amp;" - "&amp;Tabella1[[#This Row],[Città]]</f>
        <v>LA MARINELLA - MONTEMARCIANO</v>
      </c>
    </row>
    <row r="4571" spans="1:8" x14ac:dyDescent="0.25">
      <c r="A4571" s="1" t="s">
        <v>35</v>
      </c>
      <c r="B4571" s="1" t="s">
        <v>14104</v>
      </c>
      <c r="C4571" s="1" t="s">
        <v>14105</v>
      </c>
      <c r="D4571" s="1" t="s">
        <v>14065</v>
      </c>
      <c r="E4571" s="1" t="s">
        <v>14065</v>
      </c>
      <c r="H4571" s="2" t="str">
        <f>Tabella1[[#This Row],[Denominazione]]&amp;" - "&amp;Tabella1[[#This Row],[Città]]</f>
        <v>LA MATTORA - TREIA</v>
      </c>
    </row>
    <row r="4572" spans="1:8" x14ac:dyDescent="0.25">
      <c r="A4572" s="1" t="s">
        <v>571</v>
      </c>
      <c r="B4572" s="1" t="s">
        <v>12875</v>
      </c>
      <c r="C4572" s="1" t="s">
        <v>12876</v>
      </c>
      <c r="D4572" s="1" t="s">
        <v>12801</v>
      </c>
      <c r="E4572" s="1" t="s">
        <v>12801</v>
      </c>
      <c r="F4572" s="1" t="s">
        <v>12877</v>
      </c>
      <c r="G4572" s="1" t="s">
        <v>12878</v>
      </c>
      <c r="H4572" s="2" t="str">
        <f>Tabella1[[#This Row],[Denominazione]]&amp;" - "&amp;Tabella1[[#This Row],[Città]]</f>
        <v>LA MEDUSA - PORTO RECANATI</v>
      </c>
    </row>
    <row r="4573" spans="1:8" x14ac:dyDescent="0.25">
      <c r="A4573" s="1" t="s">
        <v>679</v>
      </c>
      <c r="B4573" s="1" t="s">
        <v>12875</v>
      </c>
      <c r="C4573" s="1" t="s">
        <v>17102</v>
      </c>
      <c r="D4573" s="1" t="s">
        <v>15819</v>
      </c>
      <c r="H4573" s="2" t="str">
        <f>Tabella1[[#This Row],[Denominazione]]&amp;" - "&amp;Tabella1[[#This Row],[Città]]</f>
        <v>LA MEDUSA - SAN BENEDETTO DEL TRONTO</v>
      </c>
    </row>
    <row r="4574" spans="1:8" x14ac:dyDescent="0.25">
      <c r="A4574" s="1" t="s">
        <v>12</v>
      </c>
      <c r="B4574" s="1" t="s">
        <v>17800</v>
      </c>
      <c r="C4574" s="1" t="s">
        <v>17801</v>
      </c>
      <c r="D4574" s="1" t="s">
        <v>17745</v>
      </c>
      <c r="E4574" s="1" t="s">
        <v>17802</v>
      </c>
      <c r="G4574" s="1" t="s">
        <v>17803</v>
      </c>
      <c r="H4574" s="2" t="str">
        <f>Tabella1[[#This Row],[Denominazione]]&amp;" - "&amp;Tabella1[[#This Row],[Città]]</f>
        <v>LA MELA ROSA - AMANDOLA</v>
      </c>
    </row>
    <row r="4575" spans="1:8" x14ac:dyDescent="0.25">
      <c r="A4575" s="1" t="s">
        <v>403</v>
      </c>
      <c r="B4575" s="1" t="s">
        <v>2823</v>
      </c>
      <c r="C4575" s="1" t="s">
        <v>2824</v>
      </c>
      <c r="D4575" s="1" t="s">
        <v>1605</v>
      </c>
      <c r="E4575" s="1" t="s">
        <v>1605</v>
      </c>
      <c r="H4575" s="2" t="str">
        <f>Tabella1[[#This Row],[Denominazione]]&amp;" - "&amp;Tabella1[[#This Row],[Città]]</f>
        <v>LA MERIDIANA - MONDOLFO</v>
      </c>
    </row>
    <row r="4576" spans="1:8" x14ac:dyDescent="0.25">
      <c r="A4576" s="1" t="s">
        <v>20</v>
      </c>
      <c r="B4576" s="1" t="s">
        <v>2823</v>
      </c>
      <c r="C4576" s="1" t="s">
        <v>5096</v>
      </c>
      <c r="D4576" s="1" t="s">
        <v>9</v>
      </c>
      <c r="E4576" s="1" t="s">
        <v>9</v>
      </c>
      <c r="F4576" s="1" t="s">
        <v>5097</v>
      </c>
      <c r="G4576" s="1" t="s">
        <v>5098</v>
      </c>
      <c r="H4576" s="2" t="str">
        <f>Tabella1[[#This Row],[Denominazione]]&amp;" - "&amp;Tabella1[[#This Row],[Città]]</f>
        <v>LA MERIDIANA - URBINO</v>
      </c>
    </row>
    <row r="4577" spans="1:8" x14ac:dyDescent="0.25">
      <c r="A4577" s="1" t="s">
        <v>35</v>
      </c>
      <c r="B4577" s="1" t="s">
        <v>2823</v>
      </c>
      <c r="C4577" s="1" t="s">
        <v>18904</v>
      </c>
      <c r="D4577" s="1" t="s">
        <v>18897</v>
      </c>
      <c r="E4577" s="1" t="s">
        <v>18897</v>
      </c>
      <c r="F4577" s="1" t="s">
        <v>18905</v>
      </c>
      <c r="G4577" s="1" t="s">
        <v>18906</v>
      </c>
      <c r="H4577" s="2" t="str">
        <f>Tabella1[[#This Row],[Denominazione]]&amp;" - "&amp;Tabella1[[#This Row],[Città]]</f>
        <v>LA MERIDIANA - MORESCO</v>
      </c>
    </row>
    <row r="4578" spans="1:8" x14ac:dyDescent="0.25">
      <c r="A4578" s="1" t="s">
        <v>35</v>
      </c>
      <c r="B4578" s="1" t="s">
        <v>4616</v>
      </c>
      <c r="C4578" s="1" t="s">
        <v>4617</v>
      </c>
      <c r="D4578" s="1" t="s">
        <v>4578</v>
      </c>
      <c r="E4578" s="1" t="s">
        <v>4578</v>
      </c>
      <c r="H4578" s="2" t="str">
        <f>Tabella1[[#This Row],[Denominazione]]&amp;" - "&amp;Tabella1[[#This Row],[Città]]</f>
        <v>LA MERIDIANA 2 - "PALAZZO" di PURCARO VALERIA - SERRUNGARINA</v>
      </c>
    </row>
    <row r="4579" spans="1:8" x14ac:dyDescent="0.25">
      <c r="A4579" s="1" t="s">
        <v>29</v>
      </c>
      <c r="B4579" s="1" t="s">
        <v>12607</v>
      </c>
      <c r="C4579" s="1" t="s">
        <v>12608</v>
      </c>
      <c r="D4579" s="1" t="s">
        <v>12546</v>
      </c>
      <c r="E4579" s="1" t="s">
        <v>12546</v>
      </c>
      <c r="G4579" s="1" t="s">
        <v>12609</v>
      </c>
      <c r="H4579" s="2" t="str">
        <f>Tabella1[[#This Row],[Denominazione]]&amp;" - "&amp;Tabella1[[#This Row],[Città]]</f>
        <v>LA MERLANA - MORROVALLE</v>
      </c>
    </row>
    <row r="4580" spans="1:8" x14ac:dyDescent="0.25">
      <c r="A4580" s="1" t="s">
        <v>679</v>
      </c>
      <c r="B4580" s="1" t="s">
        <v>1013</v>
      </c>
      <c r="D4580" s="1" t="s">
        <v>682</v>
      </c>
      <c r="E4580" s="1" t="s">
        <v>1014</v>
      </c>
      <c r="F4580" s="1" t="s">
        <v>1015</v>
      </c>
      <c r="H4580" s="2" t="str">
        <f>Tabella1[[#This Row],[Denominazione]]&amp;" - "&amp;Tabella1[[#This Row],[Città]]</f>
        <v>LA META BEACH DI FERRI MAURO - FANO</v>
      </c>
    </row>
    <row r="4581" spans="1:8" x14ac:dyDescent="0.25">
      <c r="A4581" s="1" t="s">
        <v>82</v>
      </c>
      <c r="B4581" s="1" t="s">
        <v>19584</v>
      </c>
      <c r="C4581" s="1" t="s">
        <v>19585</v>
      </c>
      <c r="D4581" s="1" t="s">
        <v>19541</v>
      </c>
      <c r="G4581" s="1" t="s">
        <v>19586</v>
      </c>
      <c r="H4581" s="2" t="str">
        <f>Tabella1[[#This Row],[Denominazione]]&amp;" - "&amp;Tabella1[[#This Row],[Città]]</f>
        <v>LA MEZZINA - SANT'ELPIDIO A MARE</v>
      </c>
    </row>
    <row r="4582" spans="1:8" x14ac:dyDescent="0.25">
      <c r="A4582" s="1" t="s">
        <v>571</v>
      </c>
      <c r="B4582" s="1" t="s">
        <v>1249</v>
      </c>
      <c r="C4582" s="1" t="s">
        <v>1250</v>
      </c>
      <c r="D4582" s="1" t="s">
        <v>682</v>
      </c>
      <c r="E4582" s="1" t="s">
        <v>682</v>
      </c>
      <c r="F4582" s="1" t="s">
        <v>956</v>
      </c>
      <c r="G4582" s="1" t="s">
        <v>955</v>
      </c>
      <c r="H4582" s="2" t="str">
        <f>Tabella1[[#This Row],[Denominazione]]&amp;" - "&amp;Tabella1[[#This Row],[Città]]</f>
        <v>LA MIMOSA - FANO</v>
      </c>
    </row>
    <row r="4583" spans="1:8" x14ac:dyDescent="0.25">
      <c r="A4583" s="1" t="s">
        <v>12</v>
      </c>
      <c r="B4583" s="1" t="s">
        <v>17751</v>
      </c>
      <c r="C4583" s="1" t="s">
        <v>17752</v>
      </c>
      <c r="D4583" s="1" t="s">
        <v>17745</v>
      </c>
      <c r="F4583" s="1" t="s">
        <v>17753</v>
      </c>
      <c r="G4583" s="1" t="s">
        <v>17754</v>
      </c>
      <c r="H4583" s="2" t="str">
        <f>Tabella1[[#This Row],[Denominazione]]&amp;" - "&amp;Tabella1[[#This Row],[Città]]</f>
        <v>LA MIRABELLA - AMANDOLA</v>
      </c>
    </row>
    <row r="4584" spans="1:8" x14ac:dyDescent="0.25">
      <c r="A4584" s="1" t="s">
        <v>35</v>
      </c>
      <c r="B4584" s="1" t="s">
        <v>18543</v>
      </c>
      <c r="C4584" s="1" t="s">
        <v>18544</v>
      </c>
      <c r="D4584" s="1" t="s">
        <v>18522</v>
      </c>
      <c r="E4584" s="1" t="s">
        <v>18522</v>
      </c>
      <c r="G4584" s="1" t="s">
        <v>18545</v>
      </c>
      <c r="H4584" s="2" t="str">
        <f>Tabella1[[#This Row],[Denominazione]]&amp;" - "&amp;Tabella1[[#This Row],[Città]]</f>
        <v>LA MORETTA di EVANGELISTA EDOARDO - MONTEFORTINO</v>
      </c>
    </row>
    <row r="4585" spans="1:8" x14ac:dyDescent="0.25">
      <c r="A4585" s="1" t="s">
        <v>679</v>
      </c>
      <c r="B4585" s="1" t="s">
        <v>19450</v>
      </c>
      <c r="C4585" s="1" t="s">
        <v>19451</v>
      </c>
      <c r="D4585" s="1" t="s">
        <v>19283</v>
      </c>
      <c r="E4585" s="1" t="s">
        <v>19363</v>
      </c>
      <c r="H4585" s="2" t="str">
        <f>Tabella1[[#This Row],[Denominazione]]&amp;" - "&amp;Tabella1[[#This Row],[Città]]</f>
        <v>LA MOVIDA BEACH DI AVINO ANTONIO - PORTO SANT'ELPIDIO</v>
      </c>
    </row>
    <row r="4586" spans="1:8" x14ac:dyDescent="0.25">
      <c r="A4586" s="1" t="s">
        <v>35</v>
      </c>
      <c r="B4586" s="1" t="s">
        <v>8513</v>
      </c>
      <c r="C4586" s="1" t="s">
        <v>8514</v>
      </c>
      <c r="D4586" s="1" t="s">
        <v>8454</v>
      </c>
      <c r="E4586" s="1" t="s">
        <v>8454</v>
      </c>
      <c r="F4586" s="1" t="s">
        <v>8515</v>
      </c>
      <c r="G4586" s="1" t="s">
        <v>8516</v>
      </c>
      <c r="H4586" s="2" t="str">
        <f>Tabella1[[#This Row],[Denominazione]]&amp;" - "&amp;Tabella1[[#This Row],[Città]]</f>
        <v>LA NATURA DEL MONTE - OSIMO</v>
      </c>
    </row>
    <row r="4587" spans="1:8" x14ac:dyDescent="0.25">
      <c r="A4587" s="1" t="s">
        <v>403</v>
      </c>
      <c r="B4587" s="1" t="s">
        <v>9460</v>
      </c>
      <c r="C4587" s="1" t="s">
        <v>9461</v>
      </c>
      <c r="D4587" s="1" t="s">
        <v>8949</v>
      </c>
      <c r="E4587" s="1" t="s">
        <v>8949</v>
      </c>
      <c r="F4587" s="1" t="s">
        <v>9462</v>
      </c>
      <c r="G4587" s="1" t="s">
        <v>9463</v>
      </c>
      <c r="H4587" s="2" t="str">
        <f>Tabella1[[#This Row],[Denominazione]]&amp;" - "&amp;Tabella1[[#This Row],[Città]]</f>
        <v>LA NAVE - SENIGALLIA</v>
      </c>
    </row>
    <row r="4588" spans="1:8" x14ac:dyDescent="0.25">
      <c r="A4588" s="1" t="s">
        <v>35</v>
      </c>
      <c r="B4588" s="1" t="s">
        <v>7597</v>
      </c>
      <c r="C4588" s="1" t="s">
        <v>7598</v>
      </c>
      <c r="D4588" s="1" t="s">
        <v>7571</v>
      </c>
      <c r="E4588" s="1" t="s">
        <v>7571</v>
      </c>
      <c r="F4588" s="1" t="s">
        <v>7599</v>
      </c>
      <c r="G4588" s="1" t="s">
        <v>7600</v>
      </c>
      <c r="H4588" s="2" t="str">
        <f>Tabella1[[#This Row],[Denominazione]]&amp;" - "&amp;Tabella1[[#This Row],[Città]]</f>
        <v>LA NICCHIA ECOLOGICA - MAIOLATI SPONTINI</v>
      </c>
    </row>
    <row r="4589" spans="1:8" x14ac:dyDescent="0.25">
      <c r="A4589" s="1" t="s">
        <v>35</v>
      </c>
      <c r="B4589" s="1" t="s">
        <v>7723</v>
      </c>
      <c r="C4589" s="1" t="s">
        <v>7724</v>
      </c>
      <c r="D4589" s="1" t="s">
        <v>7718</v>
      </c>
      <c r="G4589" s="1" t="s">
        <v>7725</v>
      </c>
      <c r="H4589" s="2" t="str">
        <f>Tabella1[[#This Row],[Denominazione]]&amp;" - "&amp;Tabella1[[#This Row],[Città]]</f>
        <v>LA NOCICCHIA - MONTEMARCIANO</v>
      </c>
    </row>
    <row r="4590" spans="1:8" x14ac:dyDescent="0.25">
      <c r="A4590" s="1" t="s">
        <v>6</v>
      </c>
      <c r="B4590" s="1" t="s">
        <v>1812</v>
      </c>
      <c r="D4590" s="1" t="s">
        <v>1810</v>
      </c>
      <c r="E4590" s="1" t="s">
        <v>1810</v>
      </c>
      <c r="G4590" s="1" t="s">
        <v>1813</v>
      </c>
      <c r="H4590" s="2" t="str">
        <f>Tabella1[[#This Row],[Denominazione]]&amp;" - "&amp;Tabella1[[#This Row],[Città]]</f>
        <v>LA PALAZZINA - FRONTINO</v>
      </c>
    </row>
    <row r="4591" spans="1:8" x14ac:dyDescent="0.25">
      <c r="A4591" s="1" t="s">
        <v>20</v>
      </c>
      <c r="B4591" s="1" t="s">
        <v>1812</v>
      </c>
      <c r="C4591" s="1" t="s">
        <v>17525</v>
      </c>
      <c r="D4591" s="1" t="s">
        <v>15819</v>
      </c>
      <c r="E4591" s="1" t="s">
        <v>15819</v>
      </c>
      <c r="F4591" s="1" t="s">
        <v>17526</v>
      </c>
      <c r="G4591" s="1" t="s">
        <v>17527</v>
      </c>
      <c r="H4591" s="2" t="str">
        <f>Tabella1[[#This Row],[Denominazione]]&amp;" - "&amp;Tabella1[[#This Row],[Città]]</f>
        <v>LA PALAZZINA - SAN BENEDETTO DEL TRONTO</v>
      </c>
    </row>
    <row r="4592" spans="1:8" x14ac:dyDescent="0.25">
      <c r="A4592" s="1" t="s">
        <v>82</v>
      </c>
      <c r="B4592" s="1" t="s">
        <v>2887</v>
      </c>
      <c r="C4592" s="1" t="s">
        <v>2888</v>
      </c>
      <c r="D4592" s="1" t="s">
        <v>1605</v>
      </c>
      <c r="E4592" s="1" t="s">
        <v>1605</v>
      </c>
      <c r="G4592" s="1" t="s">
        <v>2889</v>
      </c>
      <c r="H4592" s="2" t="str">
        <f>Tabella1[[#This Row],[Denominazione]]&amp;" - "&amp;Tabella1[[#This Row],[Città]]</f>
        <v>LA PALMA - MONDOLFO</v>
      </c>
    </row>
    <row r="4593" spans="1:8" x14ac:dyDescent="0.25">
      <c r="A4593" s="1" t="s">
        <v>12</v>
      </c>
      <c r="B4593" s="1" t="s">
        <v>7007</v>
      </c>
      <c r="C4593" s="1" t="s">
        <v>7008</v>
      </c>
      <c r="D4593" s="1" t="s">
        <v>6790</v>
      </c>
      <c r="E4593" s="1" t="s">
        <v>6790</v>
      </c>
      <c r="G4593" s="1" t="s">
        <v>7009</v>
      </c>
      <c r="H4593" s="2" t="str">
        <f>Tabella1[[#This Row],[Denominazione]]&amp;" - "&amp;Tabella1[[#This Row],[Città]]</f>
        <v>LA PALOMBAIA - FABRIANO</v>
      </c>
    </row>
    <row r="4594" spans="1:8" x14ac:dyDescent="0.25">
      <c r="A4594" s="1" t="s">
        <v>20</v>
      </c>
      <c r="B4594" s="1" t="s">
        <v>6288</v>
      </c>
      <c r="C4594" s="1" t="s">
        <v>6289</v>
      </c>
      <c r="D4594" s="1" t="s">
        <v>6290</v>
      </c>
      <c r="F4594" s="1" t="s">
        <v>6291</v>
      </c>
      <c r="G4594" s="1" t="s">
        <v>6292</v>
      </c>
      <c r="H4594" s="2" t="str">
        <f>Tabella1[[#This Row],[Denominazione]]&amp;" - "&amp;Tabella1[[#This Row],[Città]]</f>
        <v>LA PERLA - CAMERANO</v>
      </c>
    </row>
    <row r="4595" spans="1:8" x14ac:dyDescent="0.25">
      <c r="A4595" s="1" t="s">
        <v>679</v>
      </c>
      <c r="B4595" s="1" t="s">
        <v>6288</v>
      </c>
      <c r="C4595" s="1" t="s">
        <v>8152</v>
      </c>
      <c r="D4595" s="1" t="s">
        <v>7889</v>
      </c>
      <c r="E4595" s="1" t="s">
        <v>7889</v>
      </c>
      <c r="F4595" s="1" t="s">
        <v>8153</v>
      </c>
      <c r="G4595" s="1" t="s">
        <v>8154</v>
      </c>
      <c r="H4595" s="2" t="str">
        <f>Tabella1[[#This Row],[Denominazione]]&amp;" - "&amp;Tabella1[[#This Row],[Città]]</f>
        <v>LA PERLA - NUMANA</v>
      </c>
    </row>
    <row r="4596" spans="1:8" x14ac:dyDescent="0.25">
      <c r="A4596" s="1" t="s">
        <v>679</v>
      </c>
      <c r="B4596" s="1" t="s">
        <v>15398</v>
      </c>
      <c r="C4596" s="1" t="s">
        <v>15399</v>
      </c>
      <c r="D4596" s="1" t="s">
        <v>15349</v>
      </c>
      <c r="F4596" s="1" t="s">
        <v>15400</v>
      </c>
      <c r="G4596" s="1" t="s">
        <v>15401</v>
      </c>
      <c r="H4596" s="2" t="str">
        <f>Tabella1[[#This Row],[Denominazione]]&amp;" - "&amp;Tabella1[[#This Row],[Città]]</f>
        <v>LA PERLA - Conc. n. 12 - CUPRA MARITTIMA</v>
      </c>
    </row>
    <row r="4597" spans="1:8" x14ac:dyDescent="0.25">
      <c r="A4597" s="1" t="s">
        <v>679</v>
      </c>
      <c r="B4597" s="1" t="s">
        <v>15416</v>
      </c>
      <c r="C4597" s="1" t="s">
        <v>15417</v>
      </c>
      <c r="D4597" s="1" t="s">
        <v>15349</v>
      </c>
      <c r="E4597" s="1" t="s">
        <v>15349</v>
      </c>
      <c r="F4597" s="1" t="s">
        <v>15400</v>
      </c>
      <c r="G4597" s="1" t="s">
        <v>15401</v>
      </c>
      <c r="H4597" s="2" t="str">
        <f>Tabella1[[#This Row],[Denominazione]]&amp;" - "&amp;Tabella1[[#This Row],[Città]]</f>
        <v>LA PERLA - Conc. n. 13 - CUPRA MARITTIMA</v>
      </c>
    </row>
    <row r="4598" spans="1:8" x14ac:dyDescent="0.25">
      <c r="A4598" s="1" t="s">
        <v>82</v>
      </c>
      <c r="B4598" s="1" t="s">
        <v>341</v>
      </c>
      <c r="C4598" s="1" t="s">
        <v>342</v>
      </c>
      <c r="D4598" s="1" t="s">
        <v>316</v>
      </c>
      <c r="F4598" s="1" t="s">
        <v>343</v>
      </c>
      <c r="G4598" s="1" t="s">
        <v>344</v>
      </c>
      <c r="H4598" s="2" t="str">
        <f>Tabella1[[#This Row],[Denominazione]]&amp;" - "&amp;Tabella1[[#This Row],[Città]]</f>
        <v>LA PIAZZA - CAGLI</v>
      </c>
    </row>
    <row r="4599" spans="1:8" x14ac:dyDescent="0.25">
      <c r="A4599" s="1" t="s">
        <v>679</v>
      </c>
      <c r="B4599" s="1" t="s">
        <v>8045</v>
      </c>
      <c r="C4599" s="1" t="s">
        <v>8046</v>
      </c>
      <c r="D4599" s="1" t="s">
        <v>7889</v>
      </c>
      <c r="E4599" s="1" t="s">
        <v>7889</v>
      </c>
      <c r="H4599" s="2" t="str">
        <f>Tabella1[[#This Row],[Denominazione]]&amp;" - "&amp;Tabella1[[#This Row],[Città]]</f>
        <v>LA PICCOLA SPIAGGIA - NUMANA</v>
      </c>
    </row>
    <row r="4600" spans="1:8" x14ac:dyDescent="0.25">
      <c r="A4600" s="1" t="s">
        <v>35</v>
      </c>
      <c r="B4600" s="1" t="s">
        <v>17726</v>
      </c>
      <c r="C4600" s="1" t="s">
        <v>17727</v>
      </c>
      <c r="D4600" s="1" t="s">
        <v>17703</v>
      </c>
      <c r="E4600" s="1" t="s">
        <v>17703</v>
      </c>
      <c r="F4600" s="1" t="s">
        <v>17728</v>
      </c>
      <c r="G4600" s="1" t="s">
        <v>17729</v>
      </c>
      <c r="H4600" s="2" t="str">
        <f>Tabella1[[#This Row],[Denominazione]]&amp;" - "&amp;Tabella1[[#This Row],[Città]]</f>
        <v>LA PIEVE - ALTIDONA</v>
      </c>
    </row>
    <row r="4601" spans="1:8" x14ac:dyDescent="0.25">
      <c r="A4601" s="1" t="s">
        <v>20</v>
      </c>
      <c r="B4601" s="1" t="s">
        <v>11123</v>
      </c>
      <c r="C4601" s="1" t="s">
        <v>11124</v>
      </c>
      <c r="D4601" s="1" t="s">
        <v>11058</v>
      </c>
      <c r="E4601" s="1" t="s">
        <v>11125</v>
      </c>
      <c r="G4601" s="1" t="s">
        <v>11126</v>
      </c>
      <c r="H4601" s="2" t="str">
        <f>Tabella1[[#This Row],[Denominazione]]&amp;" - "&amp;Tabella1[[#This Row],[Città]]</f>
        <v>LA PINETA - CINGOLI</v>
      </c>
    </row>
    <row r="4602" spans="1:8" x14ac:dyDescent="0.25">
      <c r="A4602" s="1" t="s">
        <v>679</v>
      </c>
      <c r="B4602" s="1" t="s">
        <v>19099</v>
      </c>
      <c r="C4602" s="1" t="s">
        <v>19078</v>
      </c>
      <c r="D4602" s="1" t="s">
        <v>18082</v>
      </c>
      <c r="E4602" s="1" t="s">
        <v>18082</v>
      </c>
      <c r="F4602" s="1" t="s">
        <v>19100</v>
      </c>
      <c r="H4602" s="2" t="str">
        <f>Tabella1[[#This Row],[Denominazione]]&amp;" - "&amp;Tabella1[[#This Row],[Città]]</f>
        <v>LA PINETINA - PORTO SAN GIORGIO</v>
      </c>
    </row>
    <row r="4603" spans="1:8" x14ac:dyDescent="0.25">
      <c r="A4603" s="1" t="s">
        <v>29</v>
      </c>
      <c r="B4603" s="1" t="s">
        <v>7377</v>
      </c>
      <c r="C4603" s="1" t="s">
        <v>7378</v>
      </c>
      <c r="D4603" s="1" t="s">
        <v>7254</v>
      </c>
      <c r="E4603" s="1" t="s">
        <v>7254</v>
      </c>
      <c r="G4603" s="1" t="s">
        <v>7379</v>
      </c>
      <c r="H4603" s="2" t="str">
        <f>Tabella1[[#This Row],[Denominazione]]&amp;" - "&amp;Tabella1[[#This Row],[Città]]</f>
        <v>LA PINTA - JESI</v>
      </c>
    </row>
    <row r="4604" spans="1:8" x14ac:dyDescent="0.25">
      <c r="A4604" s="1" t="s">
        <v>679</v>
      </c>
      <c r="B4604" s="1" t="s">
        <v>7776</v>
      </c>
      <c r="C4604" s="1" t="s">
        <v>7777</v>
      </c>
      <c r="D4604" s="1" t="s">
        <v>7718</v>
      </c>
      <c r="E4604" s="1" t="s">
        <v>7748</v>
      </c>
      <c r="H4604" s="2" t="str">
        <f>Tabella1[[#This Row],[Denominazione]]&amp;" - "&amp;Tabella1[[#This Row],[Città]]</f>
        <v>LA PLAYA - MONTEMARCIANO</v>
      </c>
    </row>
    <row r="4605" spans="1:8" x14ac:dyDescent="0.25">
      <c r="A4605" s="1" t="s">
        <v>679</v>
      </c>
      <c r="B4605" s="1" t="s">
        <v>19459</v>
      </c>
      <c r="C4605" s="1" t="s">
        <v>19460</v>
      </c>
      <c r="D4605" s="1" t="s">
        <v>19283</v>
      </c>
      <c r="E4605" s="1" t="s">
        <v>19363</v>
      </c>
      <c r="F4605" s="1" t="s">
        <v>19461</v>
      </c>
      <c r="H4605" s="2" t="str">
        <f>Tabella1[[#This Row],[Denominazione]]&amp;" - "&amp;Tabella1[[#This Row],[Città]]</f>
        <v>LA PLAYA DE' COCOCCIO' - PORTO SANT'ELPIDIO</v>
      </c>
    </row>
    <row r="4606" spans="1:8" x14ac:dyDescent="0.25">
      <c r="A4606" s="1" t="s">
        <v>35</v>
      </c>
      <c r="B4606" s="1" t="s">
        <v>2543</v>
      </c>
      <c r="C4606" s="1" t="s">
        <v>2544</v>
      </c>
      <c r="D4606" s="1" t="s">
        <v>2529</v>
      </c>
      <c r="E4606" s="1" t="s">
        <v>2529</v>
      </c>
      <c r="H4606" s="2" t="str">
        <f>Tabella1[[#This Row],[Denominazione]]&amp;" - "&amp;Tabella1[[#This Row],[Città]]</f>
        <v>LA POLARINA DI BATTISTI GIUSEPPINA - ISOLA DEL PIANO</v>
      </c>
    </row>
    <row r="4607" spans="1:8" x14ac:dyDescent="0.25">
      <c r="A4607" s="1" t="s">
        <v>82</v>
      </c>
      <c r="B4607" s="1" t="s">
        <v>7017</v>
      </c>
      <c r="C4607" s="1" t="s">
        <v>7018</v>
      </c>
      <c r="D4607" s="1" t="s">
        <v>6790</v>
      </c>
      <c r="E4607" s="1" t="s">
        <v>6790</v>
      </c>
      <c r="G4607" s="1" t="s">
        <v>7019</v>
      </c>
      <c r="H4607" s="2" t="str">
        <f>Tabella1[[#This Row],[Denominazione]]&amp;" - "&amp;Tabella1[[#This Row],[Città]]</f>
        <v>LA PORTELLA di RICCARDI PAOLA - FABRIANO</v>
      </c>
    </row>
    <row r="4608" spans="1:8" x14ac:dyDescent="0.25">
      <c r="A4608" s="1" t="s">
        <v>679</v>
      </c>
      <c r="B4608" s="1" t="s">
        <v>1074</v>
      </c>
      <c r="C4608" s="1" t="s">
        <v>1075</v>
      </c>
      <c r="D4608" s="1" t="s">
        <v>682</v>
      </c>
      <c r="E4608" s="1" t="s">
        <v>682</v>
      </c>
      <c r="H4608" s="2" t="str">
        <f>Tabella1[[#This Row],[Denominazione]]&amp;" - "&amp;Tabella1[[#This Row],[Città]]</f>
        <v>LA PRIMASECCA DI DE FRANCESCO PATRIZIA - FANO</v>
      </c>
    </row>
    <row r="4609" spans="1:8" x14ac:dyDescent="0.25">
      <c r="A4609" s="1" t="s">
        <v>35</v>
      </c>
      <c r="B4609" s="1" t="s">
        <v>16336</v>
      </c>
      <c r="D4609" s="1" t="s">
        <v>16312</v>
      </c>
      <c r="E4609" s="1" t="s">
        <v>16337</v>
      </c>
      <c r="F4609" s="1" t="s">
        <v>16338</v>
      </c>
      <c r="G4609" s="1" t="s">
        <v>16339</v>
      </c>
      <c r="H4609" s="2" t="str">
        <f>Tabella1[[#This Row],[Denominazione]]&amp;" - "&amp;Tabella1[[#This Row],[Città]]</f>
        <v>LA PRIMULA - MONTEMONACO</v>
      </c>
    </row>
    <row r="4610" spans="1:8" x14ac:dyDescent="0.25">
      <c r="A4610" s="1" t="s">
        <v>82</v>
      </c>
      <c r="B4610" s="1" t="s">
        <v>15790</v>
      </c>
      <c r="C4610" s="1" t="s">
        <v>15791</v>
      </c>
      <c r="D4610" s="1" t="s">
        <v>15585</v>
      </c>
      <c r="E4610" s="1" t="s">
        <v>15585</v>
      </c>
      <c r="H4610" s="2" t="str">
        <f>Tabella1[[#This Row],[Denominazione]]&amp;" - "&amp;Tabella1[[#This Row],[Città]]</f>
        <v>LA PRIORA - GROTTAMMARE</v>
      </c>
    </row>
    <row r="4611" spans="1:8" x14ac:dyDescent="0.25">
      <c r="A4611" s="1" t="s">
        <v>679</v>
      </c>
      <c r="B4611" s="1" t="s">
        <v>17245</v>
      </c>
      <c r="D4611" s="1" t="s">
        <v>15819</v>
      </c>
      <c r="F4611" s="1" t="s">
        <v>17246</v>
      </c>
      <c r="H4611" s="2" t="str">
        <f>Tabella1[[#This Row],[Denominazione]]&amp;" - "&amp;Tabella1[[#This Row],[Città]]</f>
        <v>LA PROMENADE - SAN BENEDETTO DEL TRONTO</v>
      </c>
    </row>
    <row r="4612" spans="1:8" x14ac:dyDescent="0.25">
      <c r="A4612" s="1" t="s">
        <v>35</v>
      </c>
      <c r="B4612" s="1" t="s">
        <v>18065</v>
      </c>
      <c r="C4612" s="1" t="s">
        <v>18066</v>
      </c>
      <c r="D4612" s="1" t="s">
        <v>17932</v>
      </c>
      <c r="E4612" s="1" t="s">
        <v>17932</v>
      </c>
      <c r="F4612" s="1" t="s">
        <v>18067</v>
      </c>
      <c r="G4612" s="1" t="s">
        <v>18068</v>
      </c>
      <c r="H4612" s="2" t="str">
        <f>Tabella1[[#This Row],[Denominazione]]&amp;" - "&amp;Tabella1[[#This Row],[Città]]</f>
        <v>LA QUARTA - FERMO</v>
      </c>
    </row>
    <row r="4613" spans="1:8" x14ac:dyDescent="0.25">
      <c r="A4613" s="1" t="s">
        <v>6</v>
      </c>
      <c r="B4613" s="1" t="s">
        <v>11137</v>
      </c>
      <c r="C4613" s="1" t="s">
        <v>11138</v>
      </c>
      <c r="D4613" s="1" t="s">
        <v>11058</v>
      </c>
      <c r="E4613" s="1" t="s">
        <v>11139</v>
      </c>
      <c r="F4613" s="1" t="s">
        <v>11140</v>
      </c>
      <c r="G4613" s="1" t="s">
        <v>11141</v>
      </c>
      <c r="H4613" s="2" t="str">
        <f>Tabella1[[#This Row],[Denominazione]]&amp;" - "&amp;Tabella1[[#This Row],[Città]]</f>
        <v>LA QUERCIA - CINGOLI</v>
      </c>
    </row>
    <row r="4614" spans="1:8" x14ac:dyDescent="0.25">
      <c r="A4614" s="1" t="s">
        <v>29</v>
      </c>
      <c r="B4614" s="1" t="s">
        <v>11137</v>
      </c>
      <c r="C4614" s="1" t="s">
        <v>18791</v>
      </c>
      <c r="D4614" s="1" t="s">
        <v>18783</v>
      </c>
      <c r="E4614" s="1" t="s">
        <v>18783</v>
      </c>
      <c r="F4614" s="1" t="s">
        <v>18792</v>
      </c>
      <c r="G4614" s="1" t="s">
        <v>18392</v>
      </c>
      <c r="H4614" s="2" t="str">
        <f>Tabella1[[#This Row],[Denominazione]]&amp;" - "&amp;Tabella1[[#This Row],[Città]]</f>
        <v>LA QUERCIA - MONTERUBBIANO</v>
      </c>
    </row>
    <row r="4615" spans="1:8" x14ac:dyDescent="0.25">
      <c r="A4615" s="1" t="s">
        <v>35</v>
      </c>
      <c r="B4615" s="1" t="s">
        <v>11137</v>
      </c>
      <c r="D4615" s="1" t="s">
        <v>19500</v>
      </c>
      <c r="F4615" s="1" t="s">
        <v>19520</v>
      </c>
      <c r="G4615" s="1" t="s">
        <v>19521</v>
      </c>
      <c r="H4615" s="2" t="str">
        <f>Tabella1[[#This Row],[Denominazione]]&amp;" - "&amp;Tabella1[[#This Row],[Città]]</f>
        <v>LA QUERCIA - SANTA VITTORIA IN MATENANO</v>
      </c>
    </row>
    <row r="4616" spans="1:8" x14ac:dyDescent="0.25">
      <c r="A4616" s="1" t="s">
        <v>35</v>
      </c>
      <c r="B4616" s="1" t="s">
        <v>9468</v>
      </c>
      <c r="C4616" s="1" t="s">
        <v>9469</v>
      </c>
      <c r="D4616" s="1" t="s">
        <v>8949</v>
      </c>
      <c r="E4616" s="1" t="s">
        <v>8949</v>
      </c>
      <c r="F4616" s="1" t="s">
        <v>9470</v>
      </c>
      <c r="G4616" s="1" t="s">
        <v>9471</v>
      </c>
      <c r="H4616" s="2" t="str">
        <f>Tabella1[[#This Row],[Denominazione]]&amp;" - "&amp;Tabella1[[#This Row],[Città]]</f>
        <v>LA QUERCIA DEL SAGGIO - SENIGALLIA</v>
      </c>
    </row>
    <row r="4617" spans="1:8" x14ac:dyDescent="0.25">
      <c r="A4617" s="1" t="s">
        <v>35</v>
      </c>
      <c r="B4617" s="1" t="s">
        <v>13478</v>
      </c>
      <c r="C4617" s="1" t="s">
        <v>13479</v>
      </c>
      <c r="D4617" s="1" t="s">
        <v>6072</v>
      </c>
      <c r="E4617" s="1" t="s">
        <v>13480</v>
      </c>
      <c r="F4617" s="1" t="s">
        <v>13481</v>
      </c>
      <c r="G4617" s="1" t="s">
        <v>13482</v>
      </c>
      <c r="H4617" s="2" t="str">
        <f>Tabella1[[#This Row],[Denominazione]]&amp;" - "&amp;Tabella1[[#This Row],[Città]]</f>
        <v>LA QUERCIA DELLA MEMORIA - SAN GINESIO</v>
      </c>
    </row>
    <row r="4618" spans="1:8" x14ac:dyDescent="0.25">
      <c r="A4618" s="1" t="s">
        <v>35</v>
      </c>
      <c r="B4618" s="1" t="s">
        <v>16194</v>
      </c>
      <c r="C4618" s="1" t="s">
        <v>16195</v>
      </c>
      <c r="D4618" s="1" t="s">
        <v>16165</v>
      </c>
      <c r="F4618" s="1" t="s">
        <v>16196</v>
      </c>
      <c r="G4618" s="1" t="s">
        <v>16197</v>
      </c>
      <c r="H4618" s="2" t="str">
        <f>Tabella1[[#This Row],[Denominazione]]&amp;" - "&amp;Tabella1[[#This Row],[Città]]</f>
        <v>LA QUERCIA DI CHECCO - MONTEDINOVE</v>
      </c>
    </row>
    <row r="4619" spans="1:8" x14ac:dyDescent="0.25">
      <c r="A4619" s="1" t="s">
        <v>6</v>
      </c>
      <c r="B4619" s="1" t="s">
        <v>8637</v>
      </c>
      <c r="C4619" s="1" t="s">
        <v>8638</v>
      </c>
      <c r="D4619" s="1" t="s">
        <v>8608</v>
      </c>
      <c r="E4619" s="1" t="s">
        <v>8608</v>
      </c>
      <c r="F4619" s="1" t="s">
        <v>8639</v>
      </c>
      <c r="G4619" s="1" t="s">
        <v>8640</v>
      </c>
      <c r="H4619" s="2" t="str">
        <f>Tabella1[[#This Row],[Denominazione]]&amp;" - "&amp;Tabella1[[#This Row],[Città]]</f>
        <v>LA RAGOLA - OSTRA</v>
      </c>
    </row>
    <row r="4620" spans="1:8" x14ac:dyDescent="0.25">
      <c r="A4620" s="1" t="s">
        <v>6</v>
      </c>
      <c r="B4620" s="1" t="s">
        <v>17895</v>
      </c>
      <c r="C4620" s="1" t="s">
        <v>17896</v>
      </c>
      <c r="D4620" s="1" t="s">
        <v>17839</v>
      </c>
      <c r="E4620" s="1" t="s">
        <v>17897</v>
      </c>
      <c r="G4620" s="1" t="s">
        <v>17898</v>
      </c>
      <c r="H4620" s="2" t="str">
        <f>Tabella1[[#This Row],[Denominazione]]&amp;" - "&amp;Tabella1[[#This Row],[Città]]</f>
        <v>LA RESIDENZA DEGLI ULIVI - CAMPOFILONE</v>
      </c>
    </row>
    <row r="4621" spans="1:8" x14ac:dyDescent="0.25">
      <c r="A4621" s="1" t="s">
        <v>679</v>
      </c>
      <c r="B4621" s="1" t="s">
        <v>15877</v>
      </c>
      <c r="C4621" s="1" t="s">
        <v>15878</v>
      </c>
      <c r="D4621" s="1" t="s">
        <v>15585</v>
      </c>
      <c r="H4621" s="2" t="str">
        <f>Tabella1[[#This Row],[Denominazione]]&amp;" - "&amp;Tabella1[[#This Row],[Città]]</f>
        <v>LA RISACCA - GROTTAMMARE</v>
      </c>
    </row>
    <row r="4622" spans="1:8" x14ac:dyDescent="0.25">
      <c r="A4622" s="1" t="s">
        <v>679</v>
      </c>
      <c r="B4622" s="1" t="s">
        <v>15877</v>
      </c>
      <c r="C4622" s="1" t="s">
        <v>19446</v>
      </c>
      <c r="D4622" s="1" t="s">
        <v>19283</v>
      </c>
      <c r="E4622" s="1" t="s">
        <v>19447</v>
      </c>
      <c r="F4622" s="1" t="s">
        <v>19433</v>
      </c>
      <c r="H4622" s="2" t="str">
        <f>Tabella1[[#This Row],[Denominazione]]&amp;" - "&amp;Tabella1[[#This Row],[Città]]</f>
        <v>LA RISACCA - PORTO SANT'ELPIDIO</v>
      </c>
    </row>
    <row r="4623" spans="1:8" x14ac:dyDescent="0.25">
      <c r="A4623" s="1" t="s">
        <v>6</v>
      </c>
      <c r="B4623" s="1" t="s">
        <v>4488</v>
      </c>
      <c r="C4623" s="1" t="s">
        <v>4489</v>
      </c>
      <c r="D4623" s="1" t="s">
        <v>4465</v>
      </c>
      <c r="G4623" s="1" t="s">
        <v>4490</v>
      </c>
      <c r="H4623" s="2" t="str">
        <f>Tabella1[[#This Row],[Denominazione]]&amp;" - "&amp;Tabella1[[#This Row],[Città]]</f>
        <v>LA RITROVATA - SANT'IPPOLITO</v>
      </c>
    </row>
    <row r="4624" spans="1:8" x14ac:dyDescent="0.25">
      <c r="A4624" s="1" t="s">
        <v>679</v>
      </c>
      <c r="B4624" s="1" t="s">
        <v>15425</v>
      </c>
      <c r="C4624" s="1" t="s">
        <v>15403</v>
      </c>
      <c r="D4624" s="1" t="s">
        <v>15349</v>
      </c>
      <c r="E4624" s="1" t="s">
        <v>15349</v>
      </c>
      <c r="F4624" s="1" t="s">
        <v>15426</v>
      </c>
      <c r="H4624" s="2" t="str">
        <f>Tabella1[[#This Row],[Denominazione]]&amp;" - "&amp;Tabella1[[#This Row],[Città]]</f>
        <v>LA RIVA - CUPRA MARITTIMA</v>
      </c>
    </row>
    <row r="4625" spans="1:8" x14ac:dyDescent="0.25">
      <c r="A4625" s="1" t="s">
        <v>29</v>
      </c>
      <c r="B4625" s="1" t="s">
        <v>11794</v>
      </c>
      <c r="C4625" s="1" t="s">
        <v>11795</v>
      </c>
      <c r="D4625" s="1" t="s">
        <v>11792</v>
      </c>
      <c r="E4625" s="1" t="s">
        <v>11792</v>
      </c>
      <c r="F4625" s="1" t="s">
        <v>11796</v>
      </c>
      <c r="G4625" s="1" t="s">
        <v>11797</v>
      </c>
      <c r="H4625" s="2" t="str">
        <f>Tabella1[[#This Row],[Denominazione]]&amp;" - "&amp;Tabella1[[#This Row],[Città]]</f>
        <v>LA Ro.Sa. - FIASTRA</v>
      </c>
    </row>
    <row r="4626" spans="1:8" x14ac:dyDescent="0.25">
      <c r="A4626" s="1" t="s">
        <v>29</v>
      </c>
      <c r="B4626" s="1" t="s">
        <v>19653</v>
      </c>
      <c r="C4626" s="1" t="s">
        <v>19654</v>
      </c>
      <c r="D4626" s="1" t="s">
        <v>19649</v>
      </c>
      <c r="E4626" s="1" t="s">
        <v>19649</v>
      </c>
      <c r="G4626" s="1" t="s">
        <v>19655</v>
      </c>
      <c r="H4626" s="2" t="str">
        <f>Tabella1[[#This Row],[Denominazione]]&amp;" - "&amp;Tabella1[[#This Row],[Città]]</f>
        <v>LA ROCCA (RICCI  EGIDIO) - SMERILLO</v>
      </c>
    </row>
    <row r="4627" spans="1:8" x14ac:dyDescent="0.25">
      <c r="A4627" s="1" t="s">
        <v>20</v>
      </c>
      <c r="B4627" s="1" t="s">
        <v>1842</v>
      </c>
      <c r="C4627" s="1" t="s">
        <v>1843</v>
      </c>
      <c r="D4627" s="1" t="s">
        <v>1810</v>
      </c>
      <c r="E4627" s="1" t="s">
        <v>1810</v>
      </c>
      <c r="F4627" s="1" t="s">
        <v>1844</v>
      </c>
      <c r="G4627" s="1" t="s">
        <v>1845</v>
      </c>
      <c r="H4627" s="2" t="str">
        <f>Tabella1[[#This Row],[Denominazione]]&amp;" - "&amp;Tabella1[[#This Row],[Città]]</f>
        <v>LA ROCCA DEI MALATESTA - FRONTINO</v>
      </c>
    </row>
    <row r="4628" spans="1:8" x14ac:dyDescent="0.25">
      <c r="A4628" s="1" t="s">
        <v>82</v>
      </c>
      <c r="B4628" s="1" t="s">
        <v>7069</v>
      </c>
      <c r="C4628" s="1" t="s">
        <v>7070</v>
      </c>
      <c r="D4628" s="1" t="s">
        <v>5735</v>
      </c>
      <c r="E4628" s="1" t="s">
        <v>5735</v>
      </c>
      <c r="G4628" s="1" t="s">
        <v>7071</v>
      </c>
      <c r="H4628" s="2" t="str">
        <f>Tabella1[[#This Row],[Denominazione]]&amp;" - "&amp;Tabella1[[#This Row],[Città]]</f>
        <v>LA ROCCA di PRENNA FRANCO - FALCONARA MARITTIMA</v>
      </c>
    </row>
    <row r="4629" spans="1:8" x14ac:dyDescent="0.25">
      <c r="A4629" s="1" t="s">
        <v>35</v>
      </c>
      <c r="B4629" s="1" t="s">
        <v>5955</v>
      </c>
      <c r="C4629" s="1" t="s">
        <v>5956</v>
      </c>
      <c r="D4629" s="1" t="s">
        <v>1864</v>
      </c>
      <c r="E4629" s="1" t="s">
        <v>5957</v>
      </c>
      <c r="F4629" s="1" t="s">
        <v>5958</v>
      </c>
      <c r="G4629" s="1" t="s">
        <v>5959</v>
      </c>
      <c r="H4629" s="2" t="str">
        <f>Tabella1[[#This Row],[Denominazione]]&amp;" - "&amp;Tabella1[[#This Row],[Città]]</f>
        <v>LA ROCCA VERDE - ANCONA</v>
      </c>
    </row>
    <row r="4630" spans="1:8" x14ac:dyDescent="0.25">
      <c r="A4630" s="1" t="s">
        <v>35</v>
      </c>
      <c r="B4630" s="1" t="s">
        <v>644</v>
      </c>
      <c r="C4630" s="1" t="s">
        <v>645</v>
      </c>
      <c r="D4630" s="1" t="s">
        <v>634</v>
      </c>
      <c r="E4630" s="1" t="s">
        <v>634</v>
      </c>
      <c r="F4630" s="1" t="s">
        <v>646</v>
      </c>
      <c r="G4630" s="1" t="s">
        <v>647</v>
      </c>
      <c r="H4630" s="2" t="str">
        <f>Tabella1[[#This Row],[Denominazione]]&amp;" - "&amp;Tabella1[[#This Row],[Città]]</f>
        <v>LA ROSA - CARTOCETO</v>
      </c>
    </row>
    <row r="4631" spans="1:8" x14ac:dyDescent="0.25">
      <c r="A4631" s="1" t="s">
        <v>29</v>
      </c>
      <c r="B4631" s="1" t="s">
        <v>644</v>
      </c>
      <c r="C4631" s="1" t="s">
        <v>6800</v>
      </c>
      <c r="D4631" s="1" t="s">
        <v>6790</v>
      </c>
      <c r="G4631" s="1" t="s">
        <v>6801</v>
      </c>
      <c r="H4631" s="2" t="str">
        <f>Tabella1[[#This Row],[Denominazione]]&amp;" - "&amp;Tabella1[[#This Row],[Città]]</f>
        <v>LA ROSA - FABRIANO</v>
      </c>
    </row>
    <row r="4632" spans="1:8" x14ac:dyDescent="0.25">
      <c r="A4632" s="1" t="s">
        <v>29</v>
      </c>
      <c r="B4632" s="1" t="s">
        <v>12065</v>
      </c>
      <c r="C4632" s="1" t="s">
        <v>12066</v>
      </c>
      <c r="D4632" s="1" t="s">
        <v>12050</v>
      </c>
      <c r="E4632" s="1" t="s">
        <v>12050</v>
      </c>
      <c r="G4632" s="1" t="s">
        <v>12067</v>
      </c>
      <c r="H4632" s="2" t="str">
        <f>Tabella1[[#This Row],[Denominazione]]&amp;" - "&amp;Tabella1[[#This Row],[Città]]</f>
        <v>LA ROSA BIANCA - MACERATA</v>
      </c>
    </row>
    <row r="4633" spans="1:8" x14ac:dyDescent="0.25">
      <c r="A4633" s="1" t="s">
        <v>29</v>
      </c>
      <c r="B4633" s="1" t="s">
        <v>3631</v>
      </c>
      <c r="C4633" s="1" t="s">
        <v>3632</v>
      </c>
      <c r="D4633" s="1" t="s">
        <v>2386</v>
      </c>
      <c r="E4633" s="1" t="s">
        <v>2386</v>
      </c>
      <c r="G4633" s="1" t="s">
        <v>3633</v>
      </c>
      <c r="H4633" s="2" t="str">
        <f>Tabella1[[#This Row],[Denominazione]]&amp;" - "&amp;Tabella1[[#This Row],[Città]]</f>
        <v>LA ROSA BLU - PESARO</v>
      </c>
    </row>
    <row r="4634" spans="1:8" x14ac:dyDescent="0.25">
      <c r="A4634" s="1" t="s">
        <v>35</v>
      </c>
      <c r="B4634" s="1" t="s">
        <v>4640</v>
      </c>
      <c r="C4634" s="1" t="s">
        <v>4641</v>
      </c>
      <c r="D4634" s="1" t="s">
        <v>4630</v>
      </c>
      <c r="E4634" s="1" t="s">
        <v>4642</v>
      </c>
      <c r="F4634" s="1" t="s">
        <v>4643</v>
      </c>
      <c r="G4634" s="1" t="s">
        <v>4644</v>
      </c>
      <c r="H4634" s="2" t="str">
        <f>Tabella1[[#This Row],[Denominazione]]&amp;" - "&amp;Tabella1[[#This Row],[Città]]</f>
        <v>LA ROSA DEI VENTI - TAVOLETO</v>
      </c>
    </row>
    <row r="4635" spans="1:8" x14ac:dyDescent="0.25">
      <c r="A4635" s="1" t="s">
        <v>679</v>
      </c>
      <c r="B4635" s="1" t="s">
        <v>4640</v>
      </c>
      <c r="C4635" s="1" t="s">
        <v>8158</v>
      </c>
      <c r="D4635" s="1" t="s">
        <v>7889</v>
      </c>
      <c r="E4635" s="1" t="s">
        <v>7895</v>
      </c>
      <c r="F4635" s="1" t="s">
        <v>8226</v>
      </c>
      <c r="H4635" s="2" t="str">
        <f>Tabella1[[#This Row],[Denominazione]]&amp;" - "&amp;Tabella1[[#This Row],[Città]]</f>
        <v>LA ROSA DEI VENTI - NUMANA</v>
      </c>
    </row>
    <row r="4636" spans="1:8" x14ac:dyDescent="0.25">
      <c r="A4636" s="1" t="s">
        <v>679</v>
      </c>
      <c r="B4636" s="1" t="s">
        <v>4640</v>
      </c>
      <c r="D4636" s="1" t="s">
        <v>13026</v>
      </c>
      <c r="E4636" s="1" t="s">
        <v>13105</v>
      </c>
      <c r="G4636" s="1" t="s">
        <v>13129</v>
      </c>
      <c r="H4636" s="2" t="str">
        <f>Tabella1[[#This Row],[Denominazione]]&amp;" - "&amp;Tabella1[[#This Row],[Città]]</f>
        <v>LA ROSA DEI VENTI - POTENZA PICENA</v>
      </c>
    </row>
    <row r="4637" spans="1:8" x14ac:dyDescent="0.25">
      <c r="A4637" s="1" t="s">
        <v>82</v>
      </c>
      <c r="B4637" s="1" t="s">
        <v>15098</v>
      </c>
      <c r="C4637" s="1" t="s">
        <v>15099</v>
      </c>
      <c r="D4637" s="1" t="s">
        <v>15096</v>
      </c>
      <c r="E4637" s="1" t="s">
        <v>15096</v>
      </c>
      <c r="G4637" s="1" t="s">
        <v>15100</v>
      </c>
      <c r="H4637" s="2" t="str">
        <f>Tabella1[[#This Row],[Denominazione]]&amp;" - "&amp;Tabella1[[#This Row],[Città]]</f>
        <v>LA ROSA E LA VIOLA - CARASSAI</v>
      </c>
    </row>
    <row r="4638" spans="1:8" x14ac:dyDescent="0.25">
      <c r="A4638" s="1" t="s">
        <v>82</v>
      </c>
      <c r="B4638" s="1" t="s">
        <v>18814</v>
      </c>
      <c r="C4638" s="1" t="s">
        <v>18815</v>
      </c>
      <c r="D4638" s="1" t="s">
        <v>18783</v>
      </c>
      <c r="E4638" s="1" t="s">
        <v>18783</v>
      </c>
      <c r="F4638" s="1" t="s">
        <v>18816</v>
      </c>
      <c r="G4638" s="1" t="s">
        <v>18817</v>
      </c>
      <c r="H4638" s="2" t="str">
        <f>Tabella1[[#This Row],[Denominazione]]&amp;" - "&amp;Tabella1[[#This Row],[Città]]</f>
        <v>LA ROSA SCARLATTA - MONTERUBBIANO</v>
      </c>
    </row>
    <row r="4639" spans="1:8" x14ac:dyDescent="0.25">
      <c r="A4639" s="1" t="s">
        <v>35</v>
      </c>
      <c r="B4639" s="1" t="s">
        <v>4782</v>
      </c>
      <c r="C4639" s="1" t="s">
        <v>4783</v>
      </c>
      <c r="D4639" s="1" t="s">
        <v>4735</v>
      </c>
      <c r="E4639" s="1" t="s">
        <v>4735</v>
      </c>
      <c r="F4639" s="1" t="s">
        <v>4784</v>
      </c>
      <c r="G4639" s="1" t="s">
        <v>4785</v>
      </c>
      <c r="H4639" s="2" t="str">
        <f>Tabella1[[#This Row],[Denominazione]]&amp;" - "&amp;Tabella1[[#This Row],[Città]]</f>
        <v>LA ROSA TEA - URBANIA</v>
      </c>
    </row>
    <row r="4640" spans="1:8" x14ac:dyDescent="0.25">
      <c r="A4640" s="1" t="s">
        <v>679</v>
      </c>
      <c r="B4640" s="1" t="s">
        <v>12840</v>
      </c>
      <c r="C4640" s="1" t="s">
        <v>12841</v>
      </c>
      <c r="D4640" s="1" t="s">
        <v>12801</v>
      </c>
      <c r="F4640" s="1" t="s">
        <v>12842</v>
      </c>
      <c r="G4640" s="1" t="s">
        <v>12843</v>
      </c>
      <c r="H4640" s="2" t="str">
        <f>Tabella1[[#This Row],[Denominazione]]&amp;" - "&amp;Tabella1[[#This Row],[Città]]</f>
        <v>LA ROTONDA - PORTO RECANATI</v>
      </c>
    </row>
    <row r="4641" spans="1:8" x14ac:dyDescent="0.25">
      <c r="A4641" s="1" t="s">
        <v>679</v>
      </c>
      <c r="B4641" s="1" t="s">
        <v>12840</v>
      </c>
      <c r="D4641" s="1" t="s">
        <v>19283</v>
      </c>
      <c r="H4641" s="2" t="str">
        <f>Tabella1[[#This Row],[Denominazione]]&amp;" - "&amp;Tabella1[[#This Row],[Città]]</f>
        <v>LA ROTONDA - PORTO SANT'ELPIDIO</v>
      </c>
    </row>
    <row r="4642" spans="1:8" x14ac:dyDescent="0.25">
      <c r="A4642" s="1" t="s">
        <v>679</v>
      </c>
      <c r="B4642" s="1" t="s">
        <v>8184</v>
      </c>
      <c r="C4642" s="1" t="s">
        <v>8185</v>
      </c>
      <c r="D4642" s="1" t="s">
        <v>7889</v>
      </c>
      <c r="E4642" s="1" t="s">
        <v>7895</v>
      </c>
      <c r="F4642" s="1" t="s">
        <v>8186</v>
      </c>
      <c r="G4642" s="1" t="s">
        <v>8081</v>
      </c>
      <c r="H4642" s="2" t="str">
        <f>Tabella1[[#This Row],[Denominazione]]&amp;" - "&amp;Tabella1[[#This Row],[Città]]</f>
        <v>LA ROTONDA GIGLI - NUMANA</v>
      </c>
    </row>
    <row r="4643" spans="1:8" x14ac:dyDescent="0.25">
      <c r="A4643" s="1" t="s">
        <v>12</v>
      </c>
      <c r="B4643" s="1" t="s">
        <v>3059</v>
      </c>
      <c r="C4643" s="1" t="s">
        <v>3060</v>
      </c>
      <c r="D4643" s="1" t="s">
        <v>3038</v>
      </c>
      <c r="G4643" s="1" t="s">
        <v>3061</v>
      </c>
      <c r="H4643" s="2" t="str">
        <f>Tabella1[[#This Row],[Denominazione]]&amp;" - "&amp;Tabella1[[#This Row],[Città]]</f>
        <v>LA RUPE DEL FALCO - MONTECICCARDO</v>
      </c>
    </row>
    <row r="4644" spans="1:8" x14ac:dyDescent="0.25">
      <c r="A4644" s="1" t="s">
        <v>82</v>
      </c>
      <c r="B4644" s="1" t="s">
        <v>4164</v>
      </c>
      <c r="C4644" s="1" t="s">
        <v>4165</v>
      </c>
      <c r="D4644" s="1" t="s">
        <v>4151</v>
      </c>
      <c r="E4644" s="1" t="s">
        <v>4151</v>
      </c>
      <c r="H4644" s="2" t="str">
        <f>Tabella1[[#This Row],[Denominazione]]&amp;" - "&amp;Tabella1[[#This Row],[Città]]</f>
        <v>LA RUPE DI SEVERI MARCO &amp; C. S.N.C. - PIETRARUBBIA</v>
      </c>
    </row>
    <row r="4645" spans="1:8" x14ac:dyDescent="0.25">
      <c r="A4645" s="1" t="s">
        <v>82</v>
      </c>
      <c r="B4645" s="1" t="s">
        <v>7368</v>
      </c>
      <c r="C4645" s="1" t="s">
        <v>7369</v>
      </c>
      <c r="D4645" s="1" t="s">
        <v>7254</v>
      </c>
      <c r="E4645" s="1" t="s">
        <v>7254</v>
      </c>
      <c r="G4645" s="1" t="s">
        <v>7370</v>
      </c>
      <c r="H4645" s="2" t="str">
        <f>Tabella1[[#This Row],[Denominazione]]&amp;" - "&amp;Tabella1[[#This Row],[Città]]</f>
        <v>LA SAETTA - JESI</v>
      </c>
    </row>
    <row r="4646" spans="1:8" x14ac:dyDescent="0.25">
      <c r="A4646" s="1" t="s">
        <v>29</v>
      </c>
      <c r="B4646" s="1" t="s">
        <v>11163</v>
      </c>
      <c r="C4646" s="1" t="s">
        <v>11164</v>
      </c>
      <c r="D4646" s="1" t="s">
        <v>11058</v>
      </c>
      <c r="E4646" s="1" t="s">
        <v>11058</v>
      </c>
      <c r="F4646" s="1" t="s">
        <v>11165</v>
      </c>
      <c r="G4646" s="1" t="s">
        <v>11166</v>
      </c>
      <c r="H4646" s="2" t="str">
        <f>Tabella1[[#This Row],[Denominazione]]&amp;" - "&amp;Tabella1[[#This Row],[Città]]</f>
        <v>LA SCAGLIA ROSSA di STEFANIA CICARILLI - CINGOLI</v>
      </c>
    </row>
    <row r="4647" spans="1:8" x14ac:dyDescent="0.25">
      <c r="A4647" s="1" t="s">
        <v>35</v>
      </c>
      <c r="B4647" s="1" t="s">
        <v>13152</v>
      </c>
      <c r="C4647" s="1" t="s">
        <v>13153</v>
      </c>
      <c r="D4647" s="1" t="s">
        <v>13026</v>
      </c>
      <c r="E4647" s="1" t="s">
        <v>13154</v>
      </c>
      <c r="F4647" s="1" t="s">
        <v>13155</v>
      </c>
      <c r="G4647" s="1" t="s">
        <v>13156</v>
      </c>
      <c r="H4647" s="2" t="str">
        <f>Tabella1[[#This Row],[Denominazione]]&amp;" - "&amp;Tabella1[[#This Row],[Città]]</f>
        <v>LA SCALA DI SETA - POTENZA PICENA</v>
      </c>
    </row>
    <row r="4648" spans="1:8" x14ac:dyDescent="0.25">
      <c r="A4648" s="1" t="s">
        <v>29</v>
      </c>
      <c r="B4648" s="1" t="s">
        <v>13020</v>
      </c>
      <c r="C4648" s="1" t="s">
        <v>13021</v>
      </c>
      <c r="D4648" s="1" t="s">
        <v>12801</v>
      </c>
      <c r="E4648" s="1" t="s">
        <v>12801</v>
      </c>
      <c r="F4648" s="1" t="s">
        <v>13022</v>
      </c>
      <c r="G4648" s="1" t="s">
        <v>13023</v>
      </c>
      <c r="H4648" s="2" t="str">
        <f>Tabella1[[#This Row],[Denominazione]]&amp;" - "&amp;Tabella1[[#This Row],[Città]]</f>
        <v>LA SCIABBEGA B&amp;B - PORTO RECANATI</v>
      </c>
    </row>
    <row r="4649" spans="1:8" x14ac:dyDescent="0.25">
      <c r="A4649" s="1" t="s">
        <v>20</v>
      </c>
      <c r="B4649" s="1" t="s">
        <v>6407</v>
      </c>
      <c r="C4649" s="1" t="s">
        <v>6408</v>
      </c>
      <c r="D4649" s="1" t="s">
        <v>6371</v>
      </c>
      <c r="E4649" s="1" t="s">
        <v>6371</v>
      </c>
      <c r="G4649" s="1" t="s">
        <v>6409</v>
      </c>
      <c r="H4649" s="2" t="str">
        <f>Tabella1[[#This Row],[Denominazione]]&amp;" - "&amp;Tabella1[[#This Row],[Città]]</f>
        <v>LA SELVA - CASTELFIDARDO</v>
      </c>
    </row>
    <row r="4650" spans="1:8" x14ac:dyDescent="0.25">
      <c r="A4650" s="1" t="s">
        <v>35</v>
      </c>
      <c r="B4650" s="1" t="s">
        <v>6407</v>
      </c>
      <c r="C4650" s="1" t="s">
        <v>18299</v>
      </c>
      <c r="D4650" s="1" t="s">
        <v>17932</v>
      </c>
      <c r="F4650" s="1" t="s">
        <v>18300</v>
      </c>
      <c r="G4650" s="1" t="s">
        <v>18301</v>
      </c>
      <c r="H4650" s="2" t="str">
        <f>Tabella1[[#This Row],[Denominazione]]&amp;" - "&amp;Tabella1[[#This Row],[Città]]</f>
        <v>LA SELVA - FERMO</v>
      </c>
    </row>
    <row r="4651" spans="1:8" x14ac:dyDescent="0.25">
      <c r="A4651" s="1" t="s">
        <v>679</v>
      </c>
      <c r="B4651" s="1" t="s">
        <v>17328</v>
      </c>
      <c r="C4651" s="1" t="s">
        <v>3805</v>
      </c>
      <c r="D4651" s="1" t="s">
        <v>15819</v>
      </c>
      <c r="H4651" s="2" t="str">
        <f>Tabella1[[#This Row],[Denominazione]]&amp;" - "&amp;Tabella1[[#This Row],[Città]]</f>
        <v>LA SERENELLA - SAN BENEDETTO DEL TRONTO</v>
      </c>
    </row>
    <row r="4652" spans="1:8" x14ac:dyDescent="0.25">
      <c r="A4652" s="1" t="s">
        <v>20</v>
      </c>
      <c r="B4652" s="1" t="s">
        <v>17623</v>
      </c>
      <c r="C4652" s="1" t="s">
        <v>17624</v>
      </c>
      <c r="D4652" s="1" t="s">
        <v>15819</v>
      </c>
      <c r="E4652" s="1" t="s">
        <v>15819</v>
      </c>
      <c r="F4652" s="1" t="s">
        <v>17625</v>
      </c>
      <c r="G4652" s="1" t="s">
        <v>17626</v>
      </c>
      <c r="H4652" s="2" t="str">
        <f>Tabella1[[#This Row],[Denominazione]]&amp;" - "&amp;Tabella1[[#This Row],[Città]]</f>
        <v>LA SFINGE - SAN BENEDETTO DEL TRONTO</v>
      </c>
    </row>
    <row r="4653" spans="1:8" x14ac:dyDescent="0.25">
      <c r="A4653" s="1" t="s">
        <v>20</v>
      </c>
      <c r="B4653" s="1" t="s">
        <v>13854</v>
      </c>
      <c r="C4653" s="1" t="s">
        <v>13855</v>
      </c>
      <c r="D4653" s="1" t="s">
        <v>13756</v>
      </c>
      <c r="E4653" s="1" t="s">
        <v>13756</v>
      </c>
      <c r="F4653" s="1" t="s">
        <v>13856</v>
      </c>
      <c r="G4653" s="1" t="s">
        <v>13857</v>
      </c>
      <c r="H4653" s="2" t="str">
        <f>Tabella1[[#This Row],[Denominazione]]&amp;" - "&amp;Tabella1[[#This Row],[Città]]</f>
        <v>LA SIBILLA - SARNANO</v>
      </c>
    </row>
    <row r="4654" spans="1:8" x14ac:dyDescent="0.25">
      <c r="A4654" s="1" t="s">
        <v>35</v>
      </c>
      <c r="B4654" s="1" t="s">
        <v>14119</v>
      </c>
      <c r="C4654" s="1" t="s">
        <v>14120</v>
      </c>
      <c r="D4654" s="1" t="s">
        <v>14065</v>
      </c>
      <c r="E4654" s="1" t="s">
        <v>14121</v>
      </c>
      <c r="F4654" s="1" t="s">
        <v>14122</v>
      </c>
      <c r="G4654" s="1" t="s">
        <v>14123</v>
      </c>
      <c r="H4654" s="2" t="str">
        <f>Tabella1[[#This Row],[Denominazione]]&amp;" - "&amp;Tabella1[[#This Row],[Città]]</f>
        <v>LA SIESTA - TREIA</v>
      </c>
    </row>
    <row r="4655" spans="1:8" x14ac:dyDescent="0.25">
      <c r="A4655" s="1" t="s">
        <v>679</v>
      </c>
      <c r="B4655" s="1" t="s">
        <v>8223</v>
      </c>
      <c r="C4655" s="1" t="s">
        <v>8224</v>
      </c>
      <c r="D4655" s="1" t="s">
        <v>7889</v>
      </c>
      <c r="E4655" s="1" t="s">
        <v>7889</v>
      </c>
      <c r="H4655" s="2" t="str">
        <f>Tabella1[[#This Row],[Denominazione]]&amp;" - "&amp;Tabella1[[#This Row],[Città]]</f>
        <v>LA SIRENETTA - NUMANA</v>
      </c>
    </row>
    <row r="4656" spans="1:8" x14ac:dyDescent="0.25">
      <c r="A4656" s="1" t="s">
        <v>679</v>
      </c>
      <c r="B4656" s="1" t="s">
        <v>8223</v>
      </c>
      <c r="C4656" s="1" t="s">
        <v>11614</v>
      </c>
      <c r="D4656" s="1" t="s">
        <v>11244</v>
      </c>
      <c r="E4656" s="1" t="s">
        <v>11244</v>
      </c>
      <c r="H4656" s="2" t="str">
        <f>Tabella1[[#This Row],[Denominazione]]&amp;" - "&amp;Tabella1[[#This Row],[Città]]</f>
        <v>LA SIRENETTA - CIVITANOVA MARCHE</v>
      </c>
    </row>
    <row r="4657" spans="1:8" x14ac:dyDescent="0.25">
      <c r="A4657" s="1" t="s">
        <v>6</v>
      </c>
      <c r="B4657" s="1" t="s">
        <v>16000</v>
      </c>
      <c r="C4657" s="1" t="s">
        <v>16001</v>
      </c>
      <c r="D4657" s="1" t="s">
        <v>5692</v>
      </c>
      <c r="E4657" s="1" t="s">
        <v>5692</v>
      </c>
      <c r="F4657" s="1" t="s">
        <v>16002</v>
      </c>
      <c r="G4657" s="1" t="s">
        <v>16003</v>
      </c>
      <c r="H4657" s="2" t="str">
        <f>Tabella1[[#This Row],[Denominazione]]&amp;" - "&amp;Tabella1[[#This Row],[Città]]</f>
        <v>LA SORGENTE - MASSIGNANO</v>
      </c>
    </row>
    <row r="4658" spans="1:8" x14ac:dyDescent="0.25">
      <c r="A4658" s="1" t="s">
        <v>6</v>
      </c>
      <c r="B4658" s="1" t="s">
        <v>16000</v>
      </c>
      <c r="C4658" s="1" t="s">
        <v>16636</v>
      </c>
      <c r="D4658" s="1" t="s">
        <v>16585</v>
      </c>
      <c r="G4658" s="1" t="s">
        <v>16637</v>
      </c>
      <c r="H4658" s="2" t="str">
        <f>Tabella1[[#This Row],[Denominazione]]&amp;" - "&amp;Tabella1[[#This Row],[Città]]</f>
        <v>LA SORGENTE - RIPATRANSONE</v>
      </c>
    </row>
    <row r="4659" spans="1:8" x14ac:dyDescent="0.25">
      <c r="A4659" s="1" t="s">
        <v>6</v>
      </c>
      <c r="B4659" s="1" t="s">
        <v>13650</v>
      </c>
      <c r="C4659" s="1" t="s">
        <v>13651</v>
      </c>
      <c r="D4659" s="1" t="s">
        <v>13548</v>
      </c>
      <c r="E4659" s="1" t="s">
        <v>13652</v>
      </c>
      <c r="F4659" s="1" t="s">
        <v>13653</v>
      </c>
      <c r="G4659" s="1" t="s">
        <v>13654</v>
      </c>
      <c r="H4659" s="2" t="str">
        <f>Tabella1[[#This Row],[Denominazione]]&amp;" - "&amp;Tabella1[[#This Row],[Città]]</f>
        <v>LA SORGENTE DEL SOLE - SAN SEVERINO MARCHE</v>
      </c>
    </row>
    <row r="4660" spans="1:8" x14ac:dyDescent="0.25">
      <c r="A4660" s="1" t="s">
        <v>679</v>
      </c>
      <c r="B4660" s="1" t="s">
        <v>19097</v>
      </c>
      <c r="C4660" s="1" t="s">
        <v>19078</v>
      </c>
      <c r="D4660" s="1" t="s">
        <v>18082</v>
      </c>
      <c r="E4660" s="1" t="s">
        <v>18082</v>
      </c>
      <c r="F4660" s="1" t="s">
        <v>19098</v>
      </c>
      <c r="H4660" s="2" t="str">
        <f>Tabella1[[#This Row],[Denominazione]]&amp;" - "&amp;Tabella1[[#This Row],[Città]]</f>
        <v>LA SPIAGGETTA - PORTO SAN GIORGIO</v>
      </c>
    </row>
    <row r="4661" spans="1:8" x14ac:dyDescent="0.25">
      <c r="A4661" s="1" t="s">
        <v>679</v>
      </c>
      <c r="B4661" s="1" t="s">
        <v>8163</v>
      </c>
      <c r="C4661" s="1" t="s">
        <v>2346</v>
      </c>
      <c r="D4661" s="1" t="s">
        <v>7889</v>
      </c>
      <c r="E4661" s="1" t="s">
        <v>7889</v>
      </c>
      <c r="F4661" s="1" t="s">
        <v>8164</v>
      </c>
      <c r="H4661" s="2" t="str">
        <f>Tabella1[[#This Row],[Denominazione]]&amp;" - "&amp;Tabella1[[#This Row],[Città]]</f>
        <v>LA SPIAGGIOLA - NUMANA</v>
      </c>
    </row>
    <row r="4662" spans="1:8" x14ac:dyDescent="0.25">
      <c r="A4662" s="1" t="s">
        <v>35</v>
      </c>
      <c r="B4662" s="1" t="s">
        <v>1819</v>
      </c>
      <c r="C4662" s="1" t="s">
        <v>1820</v>
      </c>
      <c r="D4662" s="1" t="s">
        <v>1810</v>
      </c>
      <c r="E4662" s="1" t="s">
        <v>1810</v>
      </c>
      <c r="F4662" s="1" t="s">
        <v>1821</v>
      </c>
      <c r="G4662" s="1" t="s">
        <v>1822</v>
      </c>
      <c r="H4662" s="2" t="str">
        <f>Tabella1[[#This Row],[Denominazione]]&amp;" - "&amp;Tabella1[[#This Row],[Città]]</f>
        <v>LA SPIGA D'ORO - FRONTINO</v>
      </c>
    </row>
    <row r="4663" spans="1:8" x14ac:dyDescent="0.25">
      <c r="A4663" s="1" t="s">
        <v>82</v>
      </c>
      <c r="B4663" s="1" t="s">
        <v>18425</v>
      </c>
      <c r="C4663" s="1" t="s">
        <v>18426</v>
      </c>
      <c r="D4663" s="1" t="s">
        <v>18389</v>
      </c>
      <c r="E4663" s="1" t="s">
        <v>18389</v>
      </c>
      <c r="H4663" s="2" t="str">
        <f>Tabella1[[#This Row],[Denominazione]]&amp;" - "&amp;Tabella1[[#This Row],[Città]]</f>
        <v>LA STORIELLA - LAPEDONA</v>
      </c>
    </row>
    <row r="4664" spans="1:8" x14ac:dyDescent="0.25">
      <c r="A4664" s="1" t="s">
        <v>6</v>
      </c>
      <c r="B4664" s="1" t="s">
        <v>6382</v>
      </c>
      <c r="C4664" s="1" t="s">
        <v>6383</v>
      </c>
      <c r="D4664" s="1" t="s">
        <v>6371</v>
      </c>
      <c r="F4664" s="1" t="s">
        <v>6384</v>
      </c>
      <c r="G4664" s="1" t="s">
        <v>6385</v>
      </c>
      <c r="H4664" s="2" t="str">
        <f>Tabella1[[#This Row],[Denominazione]]&amp;" - "&amp;Tabella1[[#This Row],[Città]]</f>
        <v>LA TABERNA - CASTELFIDARDO</v>
      </c>
    </row>
    <row r="4665" spans="1:8" x14ac:dyDescent="0.25">
      <c r="A4665" s="1" t="s">
        <v>35</v>
      </c>
      <c r="B4665" s="1" t="s">
        <v>9449</v>
      </c>
      <c r="C4665" s="1" t="s">
        <v>9450</v>
      </c>
      <c r="D4665" s="1" t="s">
        <v>8949</v>
      </c>
      <c r="E4665" s="1" t="s">
        <v>9451</v>
      </c>
      <c r="F4665" s="1" t="s">
        <v>9452</v>
      </c>
      <c r="G4665" s="1" t="s">
        <v>9453</v>
      </c>
      <c r="H4665" s="2" t="str">
        <f>Tabella1[[#This Row],[Denominazione]]&amp;" - "&amp;Tabella1[[#This Row],[Città]]</f>
        <v>LA TAMERICE - SENIGALLIA</v>
      </c>
    </row>
    <row r="4666" spans="1:8" x14ac:dyDescent="0.25">
      <c r="A4666" s="1" t="s">
        <v>6</v>
      </c>
      <c r="B4666" s="1" t="s">
        <v>16059</v>
      </c>
      <c r="C4666" s="1" t="s">
        <v>16060</v>
      </c>
      <c r="D4666" s="1" t="s">
        <v>16040</v>
      </c>
      <c r="E4666" s="1" t="s">
        <v>16061</v>
      </c>
      <c r="F4666" s="1" t="s">
        <v>16062</v>
      </c>
      <c r="G4666" s="1" t="s">
        <v>16063</v>
      </c>
      <c r="H4666" s="2" t="str">
        <f>Tabella1[[#This Row],[Denominazione]]&amp;" - "&amp;Tabella1[[#This Row],[Città]]</f>
        <v>LA TANA DEI LEONI - MONSAMPOLO DEL TRONTO</v>
      </c>
    </row>
    <row r="4667" spans="1:8" x14ac:dyDescent="0.25">
      <c r="A4667" s="1" t="s">
        <v>35</v>
      </c>
      <c r="B4667" s="1" t="s">
        <v>19498</v>
      </c>
      <c r="C4667" s="1" t="s">
        <v>19499</v>
      </c>
      <c r="D4667" s="1" t="s">
        <v>19500</v>
      </c>
      <c r="F4667" s="1" t="s">
        <v>19501</v>
      </c>
      <c r="G4667" s="1" t="s">
        <v>19502</v>
      </c>
      <c r="H4667" s="2" t="str">
        <f>Tabella1[[#This Row],[Denominazione]]&amp;" - "&amp;Tabella1[[#This Row],[Città]]</f>
        <v>LA TANA DEL CINGHIALE - SANTA VITTORIA IN MATENANO</v>
      </c>
    </row>
    <row r="4668" spans="1:8" x14ac:dyDescent="0.25">
      <c r="A4668" s="1" t="s">
        <v>35</v>
      </c>
      <c r="B4668" s="1" t="s">
        <v>10079</v>
      </c>
      <c r="C4668" s="1" t="s">
        <v>10080</v>
      </c>
      <c r="D4668" s="1" t="s">
        <v>10074</v>
      </c>
      <c r="E4668" s="1" t="s">
        <v>10074</v>
      </c>
      <c r="G4668" s="1" t="s">
        <v>10081</v>
      </c>
      <c r="H4668" s="2" t="str">
        <f>Tabella1[[#This Row],[Denominazione]]&amp;" - "&amp;Tabella1[[#This Row],[Città]]</f>
        <v>LA TANA DEL GHIRO - SERRA DE' CONTI</v>
      </c>
    </row>
    <row r="4669" spans="1:8" x14ac:dyDescent="0.25">
      <c r="A4669" s="1" t="s">
        <v>29</v>
      </c>
      <c r="B4669" s="1" t="s">
        <v>5543</v>
      </c>
      <c r="C4669" s="1" t="s">
        <v>5544</v>
      </c>
      <c r="D4669" s="1" t="s">
        <v>1864</v>
      </c>
      <c r="E4669" s="1" t="s">
        <v>1864</v>
      </c>
      <c r="G4669" s="1" t="s">
        <v>5545</v>
      </c>
      <c r="H4669" s="2" t="str">
        <f>Tabella1[[#This Row],[Denominazione]]&amp;" - "&amp;Tabella1[[#This Row],[Città]]</f>
        <v>LA TANA DEL NANO - ANCONA</v>
      </c>
    </row>
    <row r="4670" spans="1:8" x14ac:dyDescent="0.25">
      <c r="A4670" s="1" t="s">
        <v>29</v>
      </c>
      <c r="B4670" s="1" t="s">
        <v>16438</v>
      </c>
      <c r="C4670" s="1" t="s">
        <v>16439</v>
      </c>
      <c r="D4670" s="1" t="s">
        <v>16440</v>
      </c>
      <c r="E4670" s="1" t="s">
        <v>16441</v>
      </c>
      <c r="F4670" s="1" t="s">
        <v>16442</v>
      </c>
      <c r="G4670" s="1" t="s">
        <v>16443</v>
      </c>
      <c r="H4670" s="2" t="str">
        <f>Tabella1[[#This Row],[Denominazione]]&amp;" - "&amp;Tabella1[[#This Row],[Città]]</f>
        <v>LA TANA DEL SERPENTE di DESANTIS TIZIANA - OFFIDA</v>
      </c>
    </row>
    <row r="4671" spans="1:8" x14ac:dyDescent="0.25">
      <c r="A4671" s="1" t="s">
        <v>6</v>
      </c>
      <c r="B4671" s="1" t="s">
        <v>11075</v>
      </c>
      <c r="C4671" s="1" t="s">
        <v>11076</v>
      </c>
      <c r="D4671" s="1" t="s">
        <v>11058</v>
      </c>
      <c r="E4671" s="1" t="s">
        <v>11058</v>
      </c>
      <c r="F4671" s="1" t="s">
        <v>11077</v>
      </c>
      <c r="G4671" s="1" t="s">
        <v>11078</v>
      </c>
      <c r="H4671" s="2" t="str">
        <f>Tabella1[[#This Row],[Denominazione]]&amp;" - "&amp;Tabella1[[#This Row],[Città]]</f>
        <v>LA TANA DELLA LEPRE - CINGOLI</v>
      </c>
    </row>
    <row r="4672" spans="1:8" x14ac:dyDescent="0.25">
      <c r="A4672" s="1" t="s">
        <v>82</v>
      </c>
      <c r="B4672" s="1" t="s">
        <v>2832</v>
      </c>
      <c r="C4672" s="1" t="s">
        <v>2833</v>
      </c>
      <c r="D4672" s="1" t="s">
        <v>1605</v>
      </c>
      <c r="E4672" s="1" t="s">
        <v>1605</v>
      </c>
      <c r="G4672" s="1" t="s">
        <v>2834</v>
      </c>
      <c r="H4672" s="2" t="str">
        <f>Tabella1[[#This Row],[Denominazione]]&amp;" - "&amp;Tabella1[[#This Row],[Città]]</f>
        <v>LA TAVOLA - MONDOLFO</v>
      </c>
    </row>
    <row r="4673" spans="1:8" x14ac:dyDescent="0.25">
      <c r="A4673" s="1" t="s">
        <v>35</v>
      </c>
      <c r="B4673" s="1" t="s">
        <v>4423</v>
      </c>
      <c r="D4673" s="1" t="s">
        <v>4397</v>
      </c>
      <c r="E4673" s="1" t="s">
        <v>4406</v>
      </c>
      <c r="G4673" s="1" t="s">
        <v>4424</v>
      </c>
      <c r="H4673" s="2" t="str">
        <f>Tabella1[[#This Row],[Denominazione]]&amp;" - "&amp;Tabella1[[#This Row],[Città]]</f>
        <v>LA TAVOLA MARCHE - SANT'ANGELO IN VADO</v>
      </c>
    </row>
    <row r="4674" spans="1:8" x14ac:dyDescent="0.25">
      <c r="A4674" s="1" t="s">
        <v>679</v>
      </c>
      <c r="B4674" s="1" t="s">
        <v>17173</v>
      </c>
      <c r="C4674" s="1" t="s">
        <v>17174</v>
      </c>
      <c r="D4674" s="1" t="s">
        <v>15819</v>
      </c>
      <c r="H4674" s="2" t="str">
        <f>Tabella1[[#This Row],[Denominazione]]&amp;" - "&amp;Tabella1[[#This Row],[Città]]</f>
        <v>LA TELLINA - SAN BENEDETTO DEL TRONTO</v>
      </c>
    </row>
    <row r="4675" spans="1:8" x14ac:dyDescent="0.25">
      <c r="A4675" s="1" t="s">
        <v>35</v>
      </c>
      <c r="B4675" s="1" t="s">
        <v>456</v>
      </c>
      <c r="C4675" s="1" t="s">
        <v>457</v>
      </c>
      <c r="D4675" s="1" t="s">
        <v>316</v>
      </c>
      <c r="E4675" s="1" t="s">
        <v>458</v>
      </c>
      <c r="F4675" s="1" t="s">
        <v>459</v>
      </c>
      <c r="G4675" s="1" t="s">
        <v>460</v>
      </c>
      <c r="H4675" s="2" t="str">
        <f>Tabella1[[#This Row],[Denominazione]]&amp;" - "&amp;Tabella1[[#This Row],[Città]]</f>
        <v>LA TENUTA CA' GIONE DI NUCCI VALERIO E GIANMARCO - CAGLI</v>
      </c>
    </row>
    <row r="4676" spans="1:8" x14ac:dyDescent="0.25">
      <c r="A4676" s="1" t="s">
        <v>35</v>
      </c>
      <c r="B4676" s="1" t="s">
        <v>18055</v>
      </c>
      <c r="C4676" s="1" t="s">
        <v>18056</v>
      </c>
      <c r="D4676" s="1" t="s">
        <v>17932</v>
      </c>
      <c r="E4676" s="1" t="s">
        <v>17932</v>
      </c>
      <c r="F4676" s="1" t="s">
        <v>18057</v>
      </c>
      <c r="G4676" s="1" t="s">
        <v>18058</v>
      </c>
      <c r="H4676" s="2" t="str">
        <f>Tabella1[[#This Row],[Denominazione]]&amp;" - "&amp;Tabella1[[#This Row],[Città]]</f>
        <v>LA TENUTA DEL CONTE - FERMO</v>
      </c>
    </row>
    <row r="4677" spans="1:8" x14ac:dyDescent="0.25">
      <c r="A4677" s="1" t="s">
        <v>35</v>
      </c>
      <c r="B4677" s="1" t="s">
        <v>4671</v>
      </c>
      <c r="C4677" s="1" t="s">
        <v>4672</v>
      </c>
      <c r="D4677" s="1" t="s">
        <v>4657</v>
      </c>
      <c r="E4677" s="1" t="s">
        <v>4673</v>
      </c>
      <c r="F4677" s="1" t="s">
        <v>4674</v>
      </c>
      <c r="G4677" s="1" t="s">
        <v>4675</v>
      </c>
      <c r="H4677" s="2" t="str">
        <f>Tabella1[[#This Row],[Denominazione]]&amp;" - "&amp;Tabella1[[#This Row],[Città]]</f>
        <v>LA TENUTA DEL GIGLIO - TAVULLIA</v>
      </c>
    </row>
    <row r="4678" spans="1:8" x14ac:dyDescent="0.25">
      <c r="A4678" s="1" t="s">
        <v>82</v>
      </c>
      <c r="B4678" s="1" t="s">
        <v>18210</v>
      </c>
      <c r="C4678" s="1" t="s">
        <v>18211</v>
      </c>
      <c r="D4678" s="1" t="s">
        <v>17932</v>
      </c>
      <c r="E4678" s="1" t="s">
        <v>17932</v>
      </c>
      <c r="F4678" s="1" t="s">
        <v>18212</v>
      </c>
      <c r="G4678" s="1" t="s">
        <v>18213</v>
      </c>
      <c r="H4678" s="2" t="str">
        <f>Tabella1[[#This Row],[Denominazione]]&amp;" - "&amp;Tabella1[[#This Row],[Città]]</f>
        <v>LA TENUTA DI SANT'ELISABETTA - FERMO</v>
      </c>
    </row>
    <row r="4679" spans="1:8" x14ac:dyDescent="0.25">
      <c r="A4679" s="1" t="s">
        <v>35</v>
      </c>
      <c r="B4679" s="1" t="s">
        <v>18249</v>
      </c>
      <c r="C4679" s="1" t="s">
        <v>18250</v>
      </c>
      <c r="D4679" s="1" t="s">
        <v>17932</v>
      </c>
      <c r="E4679" s="1" t="s">
        <v>17932</v>
      </c>
      <c r="F4679" s="1" t="s">
        <v>18212</v>
      </c>
      <c r="G4679" s="1" t="s">
        <v>18213</v>
      </c>
      <c r="H4679" s="2" t="str">
        <f>Tabella1[[#This Row],[Denominazione]]&amp;" - "&amp;Tabella1[[#This Row],[Città]]</f>
        <v>LA TENUTA SANT'ELISABETTA - FERMO</v>
      </c>
    </row>
    <row r="4680" spans="1:8" x14ac:dyDescent="0.25">
      <c r="A4680" s="1" t="s">
        <v>82</v>
      </c>
      <c r="B4680" s="1" t="s">
        <v>8832</v>
      </c>
      <c r="C4680" s="1" t="s">
        <v>8833</v>
      </c>
      <c r="D4680" s="1" t="s">
        <v>8834</v>
      </c>
      <c r="E4680" s="1" t="s">
        <v>8834</v>
      </c>
      <c r="G4680" s="1" t="s">
        <v>7370</v>
      </c>
      <c r="H4680" s="2" t="str">
        <f>Tabella1[[#This Row],[Denominazione]]&amp;" - "&amp;Tabella1[[#This Row],[Città]]</f>
        <v>LA TERRAZZA - SANTA MARIA NUOVA</v>
      </c>
    </row>
    <row r="4681" spans="1:8" x14ac:dyDescent="0.25">
      <c r="A4681" s="1" t="s">
        <v>20</v>
      </c>
      <c r="B4681" s="1" t="s">
        <v>8832</v>
      </c>
      <c r="C4681" s="1" t="s">
        <v>13259</v>
      </c>
      <c r="D4681" s="1" t="s">
        <v>13026</v>
      </c>
      <c r="E4681" s="1" t="s">
        <v>13026</v>
      </c>
      <c r="F4681" s="1" t="s">
        <v>13260</v>
      </c>
      <c r="G4681" s="1" t="s">
        <v>13261</v>
      </c>
      <c r="H4681" s="2" t="str">
        <f>Tabella1[[#This Row],[Denominazione]]&amp;" - "&amp;Tabella1[[#This Row],[Città]]</f>
        <v>LA TERRAZZA - POTENZA PICENA</v>
      </c>
    </row>
    <row r="4682" spans="1:8" x14ac:dyDescent="0.25">
      <c r="A4682" s="1" t="s">
        <v>29</v>
      </c>
      <c r="B4682" s="1" t="s">
        <v>8832</v>
      </c>
      <c r="C4682" s="1" t="s">
        <v>15093</v>
      </c>
      <c r="D4682" s="1" t="s">
        <v>14576</v>
      </c>
      <c r="E4682" s="1" t="s">
        <v>14576</v>
      </c>
      <c r="G4682" s="1" t="s">
        <v>15092</v>
      </c>
      <c r="H4682" s="2" t="str">
        <f>Tabella1[[#This Row],[Denominazione]]&amp;" - "&amp;Tabella1[[#This Row],[Città]]</f>
        <v>LA TERRAZZA - ASCOLI PICENO</v>
      </c>
    </row>
    <row r="4683" spans="1:8" x14ac:dyDescent="0.25">
      <c r="A4683" s="1" t="s">
        <v>29</v>
      </c>
      <c r="B4683" s="1" t="s">
        <v>15063</v>
      </c>
      <c r="C4683" s="1" t="s">
        <v>15064</v>
      </c>
      <c r="D4683" s="1" t="s">
        <v>14576</v>
      </c>
      <c r="E4683" s="1" t="s">
        <v>14576</v>
      </c>
      <c r="G4683" s="1" t="s">
        <v>15065</v>
      </c>
      <c r="H4683" s="2" t="str">
        <f>Tabella1[[#This Row],[Denominazione]]&amp;" - "&amp;Tabella1[[#This Row],[Città]]</f>
        <v>LA TERRAZZA E LA LUNA - ASCOLI PICENO</v>
      </c>
    </row>
    <row r="4684" spans="1:8" x14ac:dyDescent="0.25">
      <c r="A4684" s="1" t="s">
        <v>679</v>
      </c>
      <c r="B4684" s="1" t="s">
        <v>19057</v>
      </c>
      <c r="C4684" s="1" t="s">
        <v>19058</v>
      </c>
      <c r="D4684" s="1" t="s">
        <v>18082</v>
      </c>
      <c r="E4684" s="1" t="s">
        <v>18082</v>
      </c>
      <c r="H4684" s="2" t="str">
        <f>Tabella1[[#This Row],[Denominazione]]&amp;" - "&amp;Tabella1[[#This Row],[Città]]</f>
        <v>LA TERRAZZA-PRAIA DO SOL - PORTO SAN GIORGIO</v>
      </c>
    </row>
    <row r="4685" spans="1:8" x14ac:dyDescent="0.25">
      <c r="A4685" s="1" t="s">
        <v>6</v>
      </c>
      <c r="B4685" s="1" t="s">
        <v>4848</v>
      </c>
      <c r="C4685" s="1" t="s">
        <v>4849</v>
      </c>
      <c r="D4685" s="1" t="s">
        <v>4735</v>
      </c>
      <c r="G4685" s="1" t="s">
        <v>4850</v>
      </c>
      <c r="H4685" s="2" t="str">
        <f>Tabella1[[#This Row],[Denominazione]]&amp;" - "&amp;Tabella1[[#This Row],[Città]]</f>
        <v>LA TINTORIA - URBANIA</v>
      </c>
    </row>
    <row r="4686" spans="1:8" x14ac:dyDescent="0.25">
      <c r="A4686" s="1" t="s">
        <v>6</v>
      </c>
      <c r="B4686" s="1" t="s">
        <v>2620</v>
      </c>
      <c r="C4686" s="1" t="s">
        <v>2621</v>
      </c>
      <c r="D4686" s="1" t="s">
        <v>2594</v>
      </c>
      <c r="E4686" s="1" t="s">
        <v>2594</v>
      </c>
      <c r="H4686" s="2" t="str">
        <f>Tabella1[[#This Row],[Denominazione]]&amp;" - "&amp;Tabella1[[#This Row],[Città]]</f>
        <v>LA TORRE - MERCATELLO SUL METAURO</v>
      </c>
    </row>
    <row r="4687" spans="1:8" x14ac:dyDescent="0.25">
      <c r="A4687" s="1" t="s">
        <v>82</v>
      </c>
      <c r="B4687" s="1" t="s">
        <v>8025</v>
      </c>
      <c r="C4687" s="1" t="s">
        <v>8026</v>
      </c>
      <c r="D4687" s="1" t="s">
        <v>7889</v>
      </c>
      <c r="E4687" s="1" t="s">
        <v>7889</v>
      </c>
      <c r="F4687" s="1" t="s">
        <v>8027</v>
      </c>
      <c r="G4687" s="1" t="s">
        <v>8028</v>
      </c>
      <c r="H4687" s="2" t="str">
        <f>Tabella1[[#This Row],[Denominazione]]&amp;" - "&amp;Tabella1[[#This Row],[Città]]</f>
        <v>LA TORRE CAMERE - NUMANA</v>
      </c>
    </row>
    <row r="4688" spans="1:8" x14ac:dyDescent="0.25">
      <c r="A4688" s="1" t="s">
        <v>20</v>
      </c>
      <c r="B4688" s="1" t="s">
        <v>16614</v>
      </c>
      <c r="C4688" s="1" t="s">
        <v>16615</v>
      </c>
      <c r="D4688" s="1" t="s">
        <v>16585</v>
      </c>
      <c r="E4688" s="1" t="s">
        <v>16585</v>
      </c>
      <c r="F4688" s="1" t="s">
        <v>16616</v>
      </c>
      <c r="G4688" s="1" t="s">
        <v>16617</v>
      </c>
      <c r="H4688" s="2" t="str">
        <f>Tabella1[[#This Row],[Denominazione]]&amp;" - "&amp;Tabella1[[#This Row],[Città]]</f>
        <v>LA TORRE DEL GALLO - RIPATRANSONE</v>
      </c>
    </row>
    <row r="4689" spans="1:8" x14ac:dyDescent="0.25">
      <c r="A4689" s="1" t="s">
        <v>82</v>
      </c>
      <c r="B4689" s="1" t="s">
        <v>15668</v>
      </c>
      <c r="C4689" s="1" t="s">
        <v>15669</v>
      </c>
      <c r="D4689" s="1" t="s">
        <v>15585</v>
      </c>
      <c r="E4689" s="1" t="s">
        <v>15585</v>
      </c>
      <c r="F4689" s="1" t="s">
        <v>15670</v>
      </c>
      <c r="G4689" s="1" t="s">
        <v>15671</v>
      </c>
      <c r="H4689" s="2" t="str">
        <f>Tabella1[[#This Row],[Denominazione]]&amp;" - "&amp;Tabella1[[#This Row],[Città]]</f>
        <v>LA TORRETTA SUL BORGO - GROTTAMMARE</v>
      </c>
    </row>
    <row r="4690" spans="1:8" x14ac:dyDescent="0.25">
      <c r="A4690" s="1" t="s">
        <v>679</v>
      </c>
      <c r="B4690" s="1" t="s">
        <v>19441</v>
      </c>
      <c r="C4690" s="1" t="s">
        <v>19382</v>
      </c>
      <c r="D4690" s="1" t="s">
        <v>19283</v>
      </c>
      <c r="E4690" s="1" t="s">
        <v>19363</v>
      </c>
      <c r="H4690" s="2" t="str">
        <f>Tabella1[[#This Row],[Denominazione]]&amp;" - "&amp;Tabella1[[#This Row],[Città]]</f>
        <v>LA VACA PACA - PORTO SANT'ELPIDIO</v>
      </c>
    </row>
    <row r="4691" spans="1:8" x14ac:dyDescent="0.25">
      <c r="A4691" s="1" t="s">
        <v>35</v>
      </c>
      <c r="B4691" s="1" t="s">
        <v>11046</v>
      </c>
      <c r="C4691" s="1" t="s">
        <v>11047</v>
      </c>
      <c r="D4691" s="1" t="s">
        <v>11022</v>
      </c>
      <c r="E4691" s="1" t="s">
        <v>11022</v>
      </c>
      <c r="G4691" s="1" t="s">
        <v>11048</v>
      </c>
      <c r="H4691" s="2" t="str">
        <f>Tabella1[[#This Row],[Denominazione]]&amp;" - "&amp;Tabella1[[#This Row],[Città]]</f>
        <v>LA VALLE - CESSAPALOMBO</v>
      </c>
    </row>
    <row r="4692" spans="1:8" x14ac:dyDescent="0.25">
      <c r="A4692" s="1" t="s">
        <v>35</v>
      </c>
      <c r="B4692" s="1" t="s">
        <v>16171</v>
      </c>
      <c r="D4692" s="1" t="s">
        <v>16165</v>
      </c>
      <c r="E4692" s="1" t="s">
        <v>16172</v>
      </c>
      <c r="H4692" s="2" t="str">
        <f>Tabella1[[#This Row],[Denominazione]]&amp;" - "&amp;Tabella1[[#This Row],[Città]]</f>
        <v>LA VALLE DEI PICENI - MONTEDINOVE</v>
      </c>
    </row>
    <row r="4693" spans="1:8" x14ac:dyDescent="0.25">
      <c r="A4693" s="1" t="s">
        <v>6</v>
      </c>
      <c r="B4693" s="1" t="s">
        <v>4477</v>
      </c>
      <c r="C4693" s="1" t="s">
        <v>4478</v>
      </c>
      <c r="D4693" s="1" t="s">
        <v>4465</v>
      </c>
      <c r="E4693" s="1" t="s">
        <v>4465</v>
      </c>
      <c r="F4693" s="1" t="s">
        <v>4479</v>
      </c>
      <c r="G4693" s="1" t="s">
        <v>4480</v>
      </c>
      <c r="H4693" s="2" t="str">
        <f>Tabella1[[#This Row],[Denominazione]]&amp;" - "&amp;Tabella1[[#This Row],[Città]]</f>
        <v>LA VALLE DEL SOLE - SANT'IPPOLITO</v>
      </c>
    </row>
    <row r="4694" spans="1:8" x14ac:dyDescent="0.25">
      <c r="A4694" s="1" t="s">
        <v>35</v>
      </c>
      <c r="B4694" s="1" t="s">
        <v>4477</v>
      </c>
      <c r="C4694" s="1" t="s">
        <v>16525</v>
      </c>
      <c r="D4694" s="1" t="s">
        <v>16440</v>
      </c>
      <c r="E4694" s="1" t="s">
        <v>16526</v>
      </c>
      <c r="F4694" s="1" t="s">
        <v>16527</v>
      </c>
      <c r="G4694" s="1" t="s">
        <v>16528</v>
      </c>
      <c r="H4694" s="2" t="str">
        <f>Tabella1[[#This Row],[Denominazione]]&amp;" - "&amp;Tabella1[[#This Row],[Città]]</f>
        <v>LA VALLE DEL SOLE - OFFIDA</v>
      </c>
    </row>
    <row r="4695" spans="1:8" x14ac:dyDescent="0.25">
      <c r="A4695" s="1" t="s">
        <v>6</v>
      </c>
      <c r="B4695" s="1" t="s">
        <v>5120</v>
      </c>
      <c r="C4695" s="1" t="s">
        <v>5121</v>
      </c>
      <c r="D4695" s="1" t="s">
        <v>9</v>
      </c>
      <c r="E4695" s="1" t="s">
        <v>9</v>
      </c>
      <c r="F4695" s="1" t="s">
        <v>5122</v>
      </c>
      <c r="G4695" s="1" t="s">
        <v>5123</v>
      </c>
      <c r="H4695" s="2" t="str">
        <f>Tabella1[[#This Row],[Denominazione]]&amp;" - "&amp;Tabella1[[#This Row],[Città]]</f>
        <v>LA VALLE DEL VENTO - URBINO</v>
      </c>
    </row>
    <row r="4696" spans="1:8" x14ac:dyDescent="0.25">
      <c r="A4696" s="1" t="s">
        <v>35</v>
      </c>
      <c r="B4696" s="1" t="s">
        <v>14100</v>
      </c>
      <c r="C4696" s="1" t="s">
        <v>14101</v>
      </c>
      <c r="D4696" s="1" t="s">
        <v>14065</v>
      </c>
      <c r="E4696" s="1" t="s">
        <v>14065</v>
      </c>
      <c r="F4696" s="1" t="s">
        <v>14102</v>
      </c>
      <c r="G4696" s="1" t="s">
        <v>14103</v>
      </c>
      <c r="H4696" s="2" t="str">
        <f>Tabella1[[#This Row],[Denominazione]]&amp;" - "&amp;Tabella1[[#This Row],[Città]]</f>
        <v>LA VALLE DEL VENTO di FARABOLLINI FRANCESCO - TREIA</v>
      </c>
    </row>
    <row r="4697" spans="1:8" x14ac:dyDescent="0.25">
      <c r="A4697" s="1" t="s">
        <v>6</v>
      </c>
      <c r="B4697" s="1" t="s">
        <v>3103</v>
      </c>
      <c r="C4697" s="1" t="s">
        <v>3104</v>
      </c>
      <c r="D4697" s="1" t="s">
        <v>3100</v>
      </c>
      <c r="E4697" s="1" t="s">
        <v>3105</v>
      </c>
      <c r="F4697" s="1" t="s">
        <v>3106</v>
      </c>
      <c r="G4697" s="1" t="s">
        <v>3107</v>
      </c>
      <c r="H4697" s="2" t="str">
        <f>Tabella1[[#This Row],[Denominazione]]&amp;" - "&amp;Tabella1[[#This Row],[Città]]</f>
        <v>LA VALLE DELL'OLMO SCURO - MONTEFELCINO</v>
      </c>
    </row>
    <row r="4698" spans="1:8" x14ac:dyDescent="0.25">
      <c r="A4698" s="1" t="s">
        <v>35</v>
      </c>
      <c r="B4698" s="1" t="s">
        <v>4865</v>
      </c>
      <c r="C4698" s="1" t="s">
        <v>4866</v>
      </c>
      <c r="D4698" s="1" t="s">
        <v>4735</v>
      </c>
      <c r="E4698" s="1" t="s">
        <v>4867</v>
      </c>
      <c r="F4698" s="1" t="s">
        <v>4868</v>
      </c>
      <c r="G4698" s="1" t="s">
        <v>4869</v>
      </c>
      <c r="H4698" s="2" t="str">
        <f>Tabella1[[#This Row],[Denominazione]]&amp;" - "&amp;Tabella1[[#This Row],[Città]]</f>
        <v>LA VALLE DIMENTICATA - URBANIA</v>
      </c>
    </row>
    <row r="4699" spans="1:8" x14ac:dyDescent="0.25">
      <c r="A4699" s="1" t="s">
        <v>35</v>
      </c>
      <c r="B4699" s="1" t="s">
        <v>14339</v>
      </c>
      <c r="C4699" s="1" t="s">
        <v>14340</v>
      </c>
      <c r="D4699" s="1" t="s">
        <v>14334</v>
      </c>
      <c r="E4699" s="1" t="s">
        <v>14334</v>
      </c>
      <c r="G4699" s="1" t="s">
        <v>14341</v>
      </c>
      <c r="H4699" s="2" t="str">
        <f>Tabella1[[#This Row],[Denominazione]]&amp;" - "&amp;Tabella1[[#This Row],[Città]]</f>
        <v>LA VALLE VERDE - ACQUASANTA TERME</v>
      </c>
    </row>
    <row r="4700" spans="1:8" x14ac:dyDescent="0.25">
      <c r="A4700" s="1" t="s">
        <v>35</v>
      </c>
      <c r="B4700" s="1" t="s">
        <v>2998</v>
      </c>
      <c r="C4700" s="1" t="s">
        <v>2999</v>
      </c>
      <c r="D4700" s="1" t="s">
        <v>2994</v>
      </c>
      <c r="E4700" s="1" t="s">
        <v>2994</v>
      </c>
      <c r="G4700" s="1" t="s">
        <v>3000</v>
      </c>
      <c r="H4700" s="2" t="str">
        <f>Tabella1[[#This Row],[Denominazione]]&amp;" - "&amp;Tabella1[[#This Row],[Città]]</f>
        <v>LA VECCHIA CANTINA - MONTECALVO IN FOGLIA</v>
      </c>
    </row>
    <row r="4701" spans="1:8" x14ac:dyDescent="0.25">
      <c r="A4701" s="1" t="s">
        <v>82</v>
      </c>
      <c r="B4701" s="1" t="s">
        <v>2998</v>
      </c>
      <c r="C4701" s="1" t="s">
        <v>3755</v>
      </c>
      <c r="D4701" s="1" t="s">
        <v>2386</v>
      </c>
      <c r="E4701" s="1" t="s">
        <v>2386</v>
      </c>
      <c r="G4701" s="1" t="s">
        <v>3756</v>
      </c>
      <c r="H4701" s="2" t="str">
        <f>Tabella1[[#This Row],[Denominazione]]&amp;" - "&amp;Tabella1[[#This Row],[Città]]</f>
        <v>LA VECCHIA CANTINA - PESARO</v>
      </c>
    </row>
    <row r="4702" spans="1:8" x14ac:dyDescent="0.25">
      <c r="A4702" s="1" t="s">
        <v>20</v>
      </c>
      <c r="B4702" s="1" t="s">
        <v>7435</v>
      </c>
      <c r="C4702" s="1" t="s">
        <v>7436</v>
      </c>
      <c r="D4702" s="1" t="s">
        <v>7385</v>
      </c>
      <c r="E4702" s="1" t="s">
        <v>7385</v>
      </c>
      <c r="F4702" s="1" t="s">
        <v>7437</v>
      </c>
      <c r="G4702" s="1" t="s">
        <v>7438</v>
      </c>
      <c r="H4702" s="2" t="str">
        <f>Tabella1[[#This Row],[Denominazione]]&amp;" - "&amp;Tabella1[[#This Row],[Città]]</f>
        <v>LA VECCHIA FATTORIA - LORETO</v>
      </c>
    </row>
    <row r="4703" spans="1:8" x14ac:dyDescent="0.25">
      <c r="A4703" s="1" t="s">
        <v>35</v>
      </c>
      <c r="B4703" s="1" t="s">
        <v>6363</v>
      </c>
      <c r="C4703" s="1" t="s">
        <v>6364</v>
      </c>
      <c r="D4703" s="1" t="s">
        <v>6357</v>
      </c>
      <c r="G4703" s="1" t="s">
        <v>6365</v>
      </c>
      <c r="H4703" s="2" t="str">
        <f>Tabella1[[#This Row],[Denominazione]]&amp;" - "&amp;Tabella1[[#This Row],[Città]]</f>
        <v>LA VECCHIA FONTE - CASTELBELLINO</v>
      </c>
    </row>
    <row r="4704" spans="1:8" x14ac:dyDescent="0.25">
      <c r="A4704" s="1" t="s">
        <v>6</v>
      </c>
      <c r="B4704" s="1" t="s">
        <v>6363</v>
      </c>
      <c r="C4704" s="1" t="s">
        <v>12704</v>
      </c>
      <c r="D4704" s="1" t="s">
        <v>12694</v>
      </c>
      <c r="E4704" s="1" t="s">
        <v>12705</v>
      </c>
      <c r="F4704" s="1" t="s">
        <v>12706</v>
      </c>
      <c r="G4704" s="1" t="s">
        <v>12707</v>
      </c>
      <c r="H4704" s="2" t="str">
        <f>Tabella1[[#This Row],[Denominazione]]&amp;" - "&amp;Tabella1[[#This Row],[Città]]</f>
        <v>LA VECCHIA FONTE - PIEVEBOVIGLIANA</v>
      </c>
    </row>
    <row r="4705" spans="1:8" x14ac:dyDescent="0.25">
      <c r="A4705" s="1" t="s">
        <v>20</v>
      </c>
      <c r="B4705" s="1" t="s">
        <v>15564</v>
      </c>
      <c r="C4705" s="1" t="s">
        <v>15565</v>
      </c>
      <c r="D4705" s="1" t="s">
        <v>15560</v>
      </c>
      <c r="E4705" s="1" t="s">
        <v>15560</v>
      </c>
      <c r="F4705" s="1" t="s">
        <v>15566</v>
      </c>
      <c r="G4705" s="1" t="s">
        <v>15567</v>
      </c>
      <c r="H4705" s="2" t="str">
        <f>Tabella1[[#This Row],[Denominazione]]&amp;" - "&amp;Tabella1[[#This Row],[Città]]</f>
        <v>LA VECCHIA POSTA - FORCE</v>
      </c>
    </row>
    <row r="4706" spans="1:8" x14ac:dyDescent="0.25">
      <c r="A4706" s="1" t="s">
        <v>29</v>
      </c>
      <c r="B4706" s="1" t="s">
        <v>12436</v>
      </c>
      <c r="C4706" s="1" t="s">
        <v>12437</v>
      </c>
      <c r="D4706" s="1" t="s">
        <v>12427</v>
      </c>
      <c r="E4706" s="1" t="s">
        <v>12427</v>
      </c>
      <c r="G4706" s="1" t="s">
        <v>12438</v>
      </c>
      <c r="H4706" s="2" t="str">
        <f>Tabella1[[#This Row],[Denominazione]]&amp;" - "&amp;Tabella1[[#This Row],[Città]]</f>
        <v>LA VECCHIA SCUOLA - MONTEFANO</v>
      </c>
    </row>
    <row r="4707" spans="1:8" x14ac:dyDescent="0.25">
      <c r="A4707" s="1" t="s">
        <v>679</v>
      </c>
      <c r="B4707" s="1" t="s">
        <v>7080</v>
      </c>
      <c r="D4707" s="1" t="s">
        <v>5735</v>
      </c>
      <c r="E4707" s="1" t="s">
        <v>5735</v>
      </c>
      <c r="F4707" s="1" t="s">
        <v>7081</v>
      </c>
      <c r="H4707" s="2" t="str">
        <f>Tabella1[[#This Row],[Denominazione]]&amp;" - "&amp;Tabella1[[#This Row],[Città]]</f>
        <v>LA VELA - FALCONARA MARITTIMA</v>
      </c>
    </row>
    <row r="4708" spans="1:8" x14ac:dyDescent="0.25">
      <c r="A4708" s="1" t="s">
        <v>20</v>
      </c>
      <c r="B4708" s="1" t="s">
        <v>7080</v>
      </c>
      <c r="C4708" s="1" t="s">
        <v>9687</v>
      </c>
      <c r="D4708" s="1" t="s">
        <v>8949</v>
      </c>
      <c r="E4708" s="1" t="s">
        <v>8949</v>
      </c>
      <c r="F4708" s="1" t="s">
        <v>9688</v>
      </c>
      <c r="G4708" s="1" t="s">
        <v>9689</v>
      </c>
      <c r="H4708" s="2" t="str">
        <f>Tabella1[[#This Row],[Denominazione]]&amp;" - "&amp;Tabella1[[#This Row],[Città]]</f>
        <v>LA VELA - SENIGALLIA</v>
      </c>
    </row>
    <row r="4709" spans="1:8" x14ac:dyDescent="0.25">
      <c r="A4709" s="1" t="s">
        <v>20</v>
      </c>
      <c r="B4709" s="1" t="s">
        <v>19177</v>
      </c>
      <c r="C4709" s="1" t="s">
        <v>19178</v>
      </c>
      <c r="D4709" s="1" t="s">
        <v>18082</v>
      </c>
      <c r="E4709" s="1" t="s">
        <v>18082</v>
      </c>
      <c r="H4709" s="2" t="str">
        <f>Tabella1[[#This Row],[Denominazione]]&amp;" - "&amp;Tabella1[[#This Row],[Città]]</f>
        <v>LA VERANDA - PORTO SAN GIORGIO</v>
      </c>
    </row>
    <row r="4710" spans="1:8" x14ac:dyDescent="0.25">
      <c r="A4710" s="1" t="s">
        <v>35</v>
      </c>
      <c r="B4710" s="1" t="s">
        <v>19683</v>
      </c>
      <c r="C4710" s="1" t="s">
        <v>19684</v>
      </c>
      <c r="D4710" s="1" t="s">
        <v>19685</v>
      </c>
      <c r="E4710" s="1" t="s">
        <v>19685</v>
      </c>
      <c r="F4710" s="1" t="s">
        <v>19686</v>
      </c>
      <c r="G4710" s="1" t="s">
        <v>19687</v>
      </c>
      <c r="H4710" s="2" t="str">
        <f>Tabella1[[#This Row],[Denominazione]]&amp;" - "&amp;Tabella1[[#This Row],[Città]]</f>
        <v>LA VIA DEL SOLE - TORRE SAN PATRIZIO</v>
      </c>
    </row>
    <row r="4711" spans="1:8" x14ac:dyDescent="0.25">
      <c r="A4711" s="1" t="s">
        <v>35</v>
      </c>
      <c r="B4711" s="1" t="s">
        <v>16106</v>
      </c>
      <c r="D4711" s="1" t="s">
        <v>16083</v>
      </c>
      <c r="E4711" s="1" t="s">
        <v>16083</v>
      </c>
      <c r="F4711" s="1" t="s">
        <v>16107</v>
      </c>
      <c r="G4711" s="1" t="s">
        <v>16108</v>
      </c>
      <c r="H4711" s="2" t="str">
        <f>Tabella1[[#This Row],[Denominazione]]&amp;" - "&amp;Tabella1[[#This Row],[Città]]</f>
        <v>LA VIA SISTINA - MONTALTO DELLE MARCHE</v>
      </c>
    </row>
    <row r="4712" spans="1:8" x14ac:dyDescent="0.25">
      <c r="A4712" s="1" t="s">
        <v>82</v>
      </c>
      <c r="B4712" s="1" t="s">
        <v>13546</v>
      </c>
      <c r="C4712" s="1" t="s">
        <v>13547</v>
      </c>
      <c r="D4712" s="1" t="s">
        <v>13548</v>
      </c>
      <c r="G4712" s="1" t="s">
        <v>13549</v>
      </c>
      <c r="H4712" s="2" t="str">
        <f>Tabella1[[#This Row],[Denominazione]]&amp;" - "&amp;Tabella1[[#This Row],[Città]]</f>
        <v>LA VILLA AFFITTACAMERE - SAN SEVERINO MARCHE</v>
      </c>
    </row>
    <row r="4713" spans="1:8" x14ac:dyDescent="0.25">
      <c r="A4713" s="1" t="s">
        <v>29</v>
      </c>
      <c r="B4713" s="1" t="s">
        <v>9090</v>
      </c>
      <c r="C4713" s="1" t="s">
        <v>9091</v>
      </c>
      <c r="D4713" s="1" t="s">
        <v>8949</v>
      </c>
      <c r="E4713" s="1" t="s">
        <v>8949</v>
      </c>
      <c r="G4713" s="1" t="s">
        <v>9092</v>
      </c>
      <c r="H4713" s="2" t="str">
        <f>Tabella1[[#This Row],[Denominazione]]&amp;" - "&amp;Tabella1[[#This Row],[Città]]</f>
        <v>LA VIOLA - SENIGALLIA</v>
      </c>
    </row>
    <row r="4714" spans="1:8" x14ac:dyDescent="0.25">
      <c r="A4714" s="1" t="s">
        <v>35</v>
      </c>
      <c r="B4714" s="1" t="s">
        <v>6797</v>
      </c>
      <c r="D4714" s="1" t="s">
        <v>6790</v>
      </c>
      <c r="E4714" s="1" t="s">
        <v>6798</v>
      </c>
      <c r="G4714" s="1" t="s">
        <v>6799</v>
      </c>
      <c r="H4714" s="2" t="str">
        <f>Tabella1[[#This Row],[Denominazione]]&amp;" - "&amp;Tabella1[[#This Row],[Città]]</f>
        <v>LA VITA E' BELLA - FABRIANO</v>
      </c>
    </row>
    <row r="4715" spans="1:8" x14ac:dyDescent="0.25">
      <c r="A4715" s="1" t="s">
        <v>6</v>
      </c>
      <c r="B4715" s="1" t="s">
        <v>7874</v>
      </c>
      <c r="C4715" s="1" t="s">
        <v>7875</v>
      </c>
      <c r="D4715" s="1" t="s">
        <v>7849</v>
      </c>
      <c r="G4715" s="1" t="s">
        <v>7876</v>
      </c>
      <c r="H4715" s="2" t="str">
        <f>Tabella1[[#This Row],[Denominazione]]&amp;" - "&amp;Tabella1[[#This Row],[Città]]</f>
        <v>LA VITA NUOVA srl - MORRO D'ALBA</v>
      </c>
    </row>
    <row r="4716" spans="1:8" x14ac:dyDescent="0.25">
      <c r="A4716" s="1" t="s">
        <v>35</v>
      </c>
      <c r="B4716" s="1" t="s">
        <v>18872</v>
      </c>
      <c r="C4716" s="1" t="s">
        <v>18873</v>
      </c>
      <c r="D4716" s="1" t="s">
        <v>18867</v>
      </c>
      <c r="E4716" s="1" t="s">
        <v>18867</v>
      </c>
      <c r="G4716" s="1" t="s">
        <v>17773</v>
      </c>
      <c r="H4716" s="2" t="str">
        <f>Tabella1[[#This Row],[Denominazione]]&amp;" - "&amp;Tabella1[[#This Row],[Città]]</f>
        <v>L'ACACIA - MONTE VIDON CORRADO</v>
      </c>
    </row>
    <row r="4717" spans="1:8" x14ac:dyDescent="0.25">
      <c r="A4717" s="1" t="s">
        <v>35</v>
      </c>
      <c r="B4717" s="1" t="s">
        <v>8758</v>
      </c>
      <c r="C4717" s="1" t="s">
        <v>8759</v>
      </c>
      <c r="D4717" s="1" t="s">
        <v>8731</v>
      </c>
      <c r="E4717" s="1" t="s">
        <v>8756</v>
      </c>
      <c r="G4717" s="1" t="s">
        <v>8760</v>
      </c>
      <c r="H4717" s="2" t="str">
        <f>Tabella1[[#This Row],[Denominazione]]&amp;" - "&amp;Tabella1[[#This Row],[Città]]</f>
        <v>LACRIMARTE - POLVERIGI</v>
      </c>
    </row>
    <row r="4718" spans="1:8" x14ac:dyDescent="0.25">
      <c r="A4718" s="1" t="s">
        <v>35</v>
      </c>
      <c r="B4718" s="1" t="s">
        <v>14394</v>
      </c>
      <c r="C4718" s="1" t="s">
        <v>14395</v>
      </c>
      <c r="D4718" s="1" t="s">
        <v>14334</v>
      </c>
      <c r="E4718" s="1" t="s">
        <v>14396</v>
      </c>
      <c r="F4718" s="1" t="s">
        <v>14397</v>
      </c>
      <c r="G4718" s="1" t="s">
        <v>14398</v>
      </c>
      <c r="H4718" s="2" t="str">
        <f>Tabella1[[#This Row],[Denominazione]]&amp;" - "&amp;Tabella1[[#This Row],[Città]]</f>
        <v>LAGA NORD - ACQUASANTA TERME</v>
      </c>
    </row>
    <row r="4719" spans="1:8" x14ac:dyDescent="0.25">
      <c r="A4719" s="1" t="s">
        <v>82</v>
      </c>
      <c r="B4719" s="1" t="s">
        <v>8124</v>
      </c>
      <c r="C4719" s="1" t="s">
        <v>8125</v>
      </c>
      <c r="D4719" s="1" t="s">
        <v>7889</v>
      </c>
      <c r="E4719" s="1" t="s">
        <v>7890</v>
      </c>
      <c r="G4719" s="1" t="s">
        <v>8126</v>
      </c>
      <c r="H4719" s="2" t="str">
        <f>Tabella1[[#This Row],[Denominazione]]&amp;" - "&amp;Tabella1[[#This Row],[Città]]</f>
        <v>L'AGAVE - NUMANA</v>
      </c>
    </row>
    <row r="4720" spans="1:8" x14ac:dyDescent="0.25">
      <c r="A4720" s="1" t="s">
        <v>35</v>
      </c>
      <c r="B4720" s="1" t="s">
        <v>10596</v>
      </c>
      <c r="C4720" s="1" t="s">
        <v>10597</v>
      </c>
      <c r="D4720" s="1" t="s">
        <v>10589</v>
      </c>
      <c r="G4720" s="1" t="s">
        <v>10598</v>
      </c>
      <c r="H4720" s="2" t="str">
        <f>Tabella1[[#This Row],[Denominazione]]&amp;" - "&amp;Tabella1[[#This Row],[Città]]</f>
        <v>LAGO LA TROTA - APIRO</v>
      </c>
    </row>
    <row r="4721" spans="1:8" x14ac:dyDescent="0.25">
      <c r="A4721" s="1" t="s">
        <v>29</v>
      </c>
      <c r="B4721" s="1" t="s">
        <v>11249</v>
      </c>
      <c r="C4721" s="1" t="s">
        <v>11250</v>
      </c>
      <c r="D4721" s="1" t="s">
        <v>11244</v>
      </c>
      <c r="E4721" s="1" t="s">
        <v>11244</v>
      </c>
      <c r="F4721" s="1" t="s">
        <v>11251</v>
      </c>
      <c r="G4721" s="1" t="s">
        <v>11252</v>
      </c>
      <c r="H4721" s="2" t="str">
        <f>Tabella1[[#This Row],[Denominazione]]&amp;" - "&amp;Tabella1[[#This Row],[Città]]</f>
        <v>L'AIRONE - CIVITANOVA MARCHE</v>
      </c>
    </row>
    <row r="4722" spans="1:8" x14ac:dyDescent="0.25">
      <c r="A4722" s="1" t="s">
        <v>6</v>
      </c>
      <c r="B4722" s="1" t="s">
        <v>12712</v>
      </c>
      <c r="D4722" s="1" t="s">
        <v>12694</v>
      </c>
      <c r="G4722" s="1" t="s">
        <v>12713</v>
      </c>
      <c r="H4722" s="2" t="str">
        <f>Tabella1[[#This Row],[Denominazione]]&amp;" - "&amp;Tabella1[[#This Row],[Città]]</f>
        <v>L'AIRONE CINERINO - PIEVEBOVIGLIANA</v>
      </c>
    </row>
    <row r="4723" spans="1:8" x14ac:dyDescent="0.25">
      <c r="A4723" s="1" t="s">
        <v>35</v>
      </c>
      <c r="B4723" s="1" t="s">
        <v>10164</v>
      </c>
      <c r="C4723" s="1" t="s">
        <v>10165</v>
      </c>
      <c r="D4723" s="1" t="s">
        <v>10117</v>
      </c>
      <c r="E4723" s="1" t="s">
        <v>10117</v>
      </c>
      <c r="F4723" s="1" t="s">
        <v>10166</v>
      </c>
      <c r="G4723" s="1" t="s">
        <v>10167</v>
      </c>
      <c r="H4723" s="2" t="str">
        <f>Tabella1[[#This Row],[Denominazione]]&amp;" - "&amp;Tabella1[[#This Row],[Città]]</f>
        <v>L'ALBORETO SALVATICO - SERRA SAN QUIRICO</v>
      </c>
    </row>
    <row r="4724" spans="1:8" x14ac:dyDescent="0.25">
      <c r="A4724" s="1" t="s">
        <v>12</v>
      </c>
      <c r="B4724" s="1" t="s">
        <v>6780</v>
      </c>
      <c r="C4724" s="1" t="s">
        <v>6781</v>
      </c>
      <c r="D4724" s="1" t="s">
        <v>6652</v>
      </c>
      <c r="E4724" s="1" t="s">
        <v>6652</v>
      </c>
      <c r="G4724" s="1" t="s">
        <v>6782</v>
      </c>
      <c r="H4724" s="2" t="str">
        <f>Tabella1[[#This Row],[Denominazione]]&amp;" - "&amp;Tabella1[[#This Row],[Città]]</f>
        <v>L'AMORINO - CUPRAMONTANA</v>
      </c>
    </row>
    <row r="4725" spans="1:8" x14ac:dyDescent="0.25">
      <c r="A4725" s="1" t="s">
        <v>82</v>
      </c>
      <c r="B4725" s="1" t="s">
        <v>11422</v>
      </c>
      <c r="C4725" s="1" t="s">
        <v>11423</v>
      </c>
      <c r="D4725" s="1" t="s">
        <v>11244</v>
      </c>
      <c r="E4725" s="1" t="s">
        <v>11244</v>
      </c>
      <c r="G4725" s="1" t="s">
        <v>11424</v>
      </c>
      <c r="H4725" s="2" t="str">
        <f>Tabella1[[#This Row],[Denominazione]]&amp;" - "&amp;Tabella1[[#This Row],[Città]]</f>
        <v>LAMPARA CIVITANOVA S.N.C. di BROCCOLO UGO - CIVITANOVA MARCHE</v>
      </c>
    </row>
    <row r="4726" spans="1:8" x14ac:dyDescent="0.25">
      <c r="A4726" s="1" t="s">
        <v>679</v>
      </c>
      <c r="B4726" s="1" t="s">
        <v>11638</v>
      </c>
      <c r="C4726" s="1" t="s">
        <v>11639</v>
      </c>
      <c r="D4726" s="1" t="s">
        <v>11244</v>
      </c>
      <c r="E4726" s="1" t="s">
        <v>11244</v>
      </c>
      <c r="G4726" s="1" t="s">
        <v>11424</v>
      </c>
      <c r="H4726" s="2" t="str">
        <f>Tabella1[[#This Row],[Denominazione]]&amp;" - "&amp;Tabella1[[#This Row],[Città]]</f>
        <v>LAMPARA CIVITANOVA S.N.C. di BROCCOLO UGO &amp; C. - CIVITANOVA MARCHE</v>
      </c>
    </row>
    <row r="4727" spans="1:8" x14ac:dyDescent="0.25">
      <c r="A4727" s="1" t="s">
        <v>82</v>
      </c>
      <c r="B4727" s="1" t="s">
        <v>12754</v>
      </c>
      <c r="C4727" s="1" t="s">
        <v>12755</v>
      </c>
      <c r="D4727" s="1" t="s">
        <v>12749</v>
      </c>
      <c r="E4727" s="1" t="s">
        <v>12756</v>
      </c>
      <c r="F4727" s="1" t="s">
        <v>12757</v>
      </c>
      <c r="G4727" s="1" t="s">
        <v>12758</v>
      </c>
      <c r="H4727" s="2" t="str">
        <f>Tabella1[[#This Row],[Denominazione]]&amp;" - "&amp;Tabella1[[#This Row],[Città]]</f>
        <v>LANCIANELLO - case appartamenti vacanze - PIORACO</v>
      </c>
    </row>
    <row r="4728" spans="1:8" x14ac:dyDescent="0.25">
      <c r="A4728" s="1" t="s">
        <v>679</v>
      </c>
      <c r="B4728" s="1" t="s">
        <v>13288</v>
      </c>
      <c r="D4728" s="1" t="s">
        <v>13026</v>
      </c>
      <c r="E4728" s="1" t="s">
        <v>13105</v>
      </c>
      <c r="F4728" s="1" t="s">
        <v>13289</v>
      </c>
      <c r="H4728" s="2" t="str">
        <f>Tabella1[[#This Row],[Denominazione]]&amp;" - "&amp;Tabella1[[#This Row],[Città]]</f>
        <v>L'ANCORA - POTENZA PICENA</v>
      </c>
    </row>
    <row r="4729" spans="1:8" x14ac:dyDescent="0.25">
      <c r="A4729" s="1" t="s">
        <v>679</v>
      </c>
      <c r="B4729" s="1" t="s">
        <v>13288</v>
      </c>
      <c r="C4729" s="1" t="s">
        <v>15856</v>
      </c>
      <c r="D4729" s="1" t="s">
        <v>15585</v>
      </c>
      <c r="F4729" s="1" t="s">
        <v>15857</v>
      </c>
      <c r="H4729" s="2" t="str">
        <f>Tabella1[[#This Row],[Denominazione]]&amp;" - "&amp;Tabella1[[#This Row],[Città]]</f>
        <v>L'ANCORA - GROTTAMMARE</v>
      </c>
    </row>
    <row r="4730" spans="1:8" x14ac:dyDescent="0.25">
      <c r="A4730" s="1" t="s">
        <v>12</v>
      </c>
      <c r="B4730" s="1" t="s">
        <v>4354</v>
      </c>
      <c r="C4730" s="1" t="s">
        <v>4355</v>
      </c>
      <c r="D4730" s="1" t="s">
        <v>4341</v>
      </c>
      <c r="G4730" s="1" t="s">
        <v>4356</v>
      </c>
      <c r="H4730" s="2" t="str">
        <f>Tabella1[[#This Row],[Denominazione]]&amp;" - "&amp;Tabella1[[#This Row],[Città]]</f>
        <v>L'ANNESSO - SAN GIORGIO DI PESARO</v>
      </c>
    </row>
    <row r="4731" spans="1:8" x14ac:dyDescent="0.25">
      <c r="A4731" s="1" t="s">
        <v>82</v>
      </c>
      <c r="B4731" s="1" t="s">
        <v>8993</v>
      </c>
      <c r="C4731" s="1" t="s">
        <v>8994</v>
      </c>
      <c r="D4731" s="1" t="s">
        <v>8949</v>
      </c>
      <c r="F4731" s="1" t="s">
        <v>8995</v>
      </c>
      <c r="G4731" s="1" t="s">
        <v>8996</v>
      </c>
      <c r="H4731" s="2" t="str">
        <f>Tabella1[[#This Row],[Denominazione]]&amp;" - "&amp;Tabella1[[#This Row],[Città]]</f>
        <v>LANTERNA BLU - SENIGALLIA</v>
      </c>
    </row>
    <row r="4732" spans="1:8" x14ac:dyDescent="0.25">
      <c r="A4732" s="1" t="s">
        <v>29</v>
      </c>
      <c r="B4732" s="1" t="s">
        <v>17679</v>
      </c>
      <c r="C4732" s="1" t="s">
        <v>17680</v>
      </c>
      <c r="D4732" s="1" t="s">
        <v>17659</v>
      </c>
      <c r="E4732" s="1" t="s">
        <v>17681</v>
      </c>
      <c r="G4732" s="1" t="s">
        <v>17682</v>
      </c>
      <c r="H4732" s="2" t="str">
        <f>Tabella1[[#This Row],[Denominazione]]&amp;" - "&amp;Tabella1[[#This Row],[Città]]</f>
        <v>L'ANTICA FONTE - SPINETOLI</v>
      </c>
    </row>
    <row r="4733" spans="1:8" x14ac:dyDescent="0.25">
      <c r="A4733" s="1" t="s">
        <v>35</v>
      </c>
      <c r="B4733" s="1" t="s">
        <v>13719</v>
      </c>
      <c r="C4733" s="1" t="s">
        <v>13720</v>
      </c>
      <c r="D4733" s="1" t="s">
        <v>13548</v>
      </c>
      <c r="E4733" s="1" t="s">
        <v>13548</v>
      </c>
      <c r="F4733" s="1" t="s">
        <v>13721</v>
      </c>
      <c r="G4733" s="1" t="s">
        <v>13722</v>
      </c>
      <c r="H4733" s="2" t="str">
        <f>Tabella1[[#This Row],[Denominazione]]&amp;" - "&amp;Tabella1[[#This Row],[Città]]</f>
        <v>L'ANTICO  OLIVETO - SAN SEVERINO MARCHE</v>
      </c>
    </row>
    <row r="4734" spans="1:8" x14ac:dyDescent="0.25">
      <c r="A4734" s="1" t="s">
        <v>35</v>
      </c>
      <c r="B4734" s="1" t="s">
        <v>12645</v>
      </c>
      <c r="C4734" s="1" t="s">
        <v>12646</v>
      </c>
      <c r="D4734" s="1" t="s">
        <v>12635</v>
      </c>
      <c r="E4734" s="1" t="s">
        <v>12635</v>
      </c>
      <c r="G4734" s="1" t="s">
        <v>12647</v>
      </c>
      <c r="H4734" s="2" t="str">
        <f>Tabella1[[#This Row],[Denominazione]]&amp;" - "&amp;Tabella1[[#This Row],[Città]]</f>
        <v>L'ANTICO GUSTO - PENNA SAN GIOVANNI</v>
      </c>
    </row>
    <row r="4735" spans="1:8" x14ac:dyDescent="0.25">
      <c r="A4735" s="1" t="s">
        <v>6</v>
      </c>
      <c r="B4735" s="1" t="s">
        <v>10418</v>
      </c>
      <c r="C4735" s="1" t="s">
        <v>10419</v>
      </c>
      <c r="D4735" s="1" t="s">
        <v>10206</v>
      </c>
      <c r="F4735" s="1" t="s">
        <v>10420</v>
      </c>
      <c r="G4735" s="1" t="s">
        <v>10421</v>
      </c>
      <c r="H4735" s="2" t="str">
        <f>Tabella1[[#This Row],[Denominazione]]&amp;" - "&amp;Tabella1[[#This Row],[Città]]</f>
        <v>L'ANTICO MULINO - SIROLO</v>
      </c>
    </row>
    <row r="4736" spans="1:8" x14ac:dyDescent="0.25">
      <c r="A4736" s="1" t="s">
        <v>6</v>
      </c>
      <c r="B4736" s="1" t="s">
        <v>18476</v>
      </c>
      <c r="C4736" s="1" t="s">
        <v>18477</v>
      </c>
      <c r="D4736" s="1" t="s">
        <v>18478</v>
      </c>
      <c r="G4736" s="1" t="s">
        <v>18479</v>
      </c>
      <c r="H4736" s="2" t="str">
        <f>Tabella1[[#This Row],[Denominazione]]&amp;" - "&amp;Tabella1[[#This Row],[Città]]</f>
        <v>L'ANTICO POZZO - MONSAMPIETRO MORICO</v>
      </c>
    </row>
    <row r="4737" spans="1:8" x14ac:dyDescent="0.25">
      <c r="A4737" s="1" t="s">
        <v>35</v>
      </c>
      <c r="B4737" s="1" t="s">
        <v>13206</v>
      </c>
      <c r="C4737" s="1" t="s">
        <v>13207</v>
      </c>
      <c r="D4737" s="1" t="s">
        <v>13026</v>
      </c>
      <c r="E4737" s="1" t="s">
        <v>13026</v>
      </c>
      <c r="F4737" s="1" t="s">
        <v>13208</v>
      </c>
      <c r="G4737" s="1" t="s">
        <v>13209</v>
      </c>
      <c r="H4737" s="2" t="str">
        <f>Tabella1[[#This Row],[Denominazione]]&amp;" - "&amp;Tabella1[[#This Row],[Città]]</f>
        <v>L'ANTICO ULIVETO - POTENZA PICENA</v>
      </c>
    </row>
    <row r="4738" spans="1:8" x14ac:dyDescent="0.25">
      <c r="A4738" s="1" t="s">
        <v>82</v>
      </c>
      <c r="B4738" s="1" t="s">
        <v>5918</v>
      </c>
      <c r="C4738" s="1" t="s">
        <v>5457</v>
      </c>
      <c r="D4738" s="1" t="s">
        <v>1864</v>
      </c>
      <c r="E4738" s="1" t="s">
        <v>5864</v>
      </c>
      <c r="F4738" s="1" t="s">
        <v>5459</v>
      </c>
      <c r="G4738" s="1" t="s">
        <v>5460</v>
      </c>
      <c r="H4738" s="2" t="str">
        <f>Tabella1[[#This Row],[Denominazione]]&amp;" - "&amp;Tabella1[[#This Row],[Città]]</f>
        <v>L'ANTIGO GRANARO - ANCONA</v>
      </c>
    </row>
    <row r="4739" spans="1:8" x14ac:dyDescent="0.25">
      <c r="A4739" s="1" t="s">
        <v>35</v>
      </c>
      <c r="B4739" s="1" t="s">
        <v>5456</v>
      </c>
      <c r="C4739" s="1" t="s">
        <v>5457</v>
      </c>
      <c r="D4739" s="1" t="s">
        <v>1864</v>
      </c>
      <c r="E4739" s="1" t="s">
        <v>5458</v>
      </c>
      <c r="F4739" s="1" t="s">
        <v>5459</v>
      </c>
      <c r="G4739" s="1" t="s">
        <v>5460</v>
      </c>
      <c r="H4739" s="2" t="str">
        <f>Tabella1[[#This Row],[Denominazione]]&amp;" - "&amp;Tabella1[[#This Row],[Città]]</f>
        <v>L'ANTIGO GRANARO di CHEREQUEFOSSE BARSACQ HELENE - ANCONA</v>
      </c>
    </row>
    <row r="4740" spans="1:8" x14ac:dyDescent="0.25">
      <c r="A4740" s="1" t="s">
        <v>679</v>
      </c>
      <c r="B4740" s="1" t="s">
        <v>8228</v>
      </c>
      <c r="C4740" s="1" t="s">
        <v>8229</v>
      </c>
      <c r="D4740" s="1" t="s">
        <v>7889</v>
      </c>
      <c r="E4740" s="1" t="s">
        <v>7895</v>
      </c>
      <c r="H4740" s="2" t="str">
        <f>Tabella1[[#This Row],[Denominazione]]&amp;" - "&amp;Tabella1[[#This Row],[Città]]</f>
        <v>L'APPRODO - NUMANA</v>
      </c>
    </row>
    <row r="4741" spans="1:8" x14ac:dyDescent="0.25">
      <c r="A4741" s="1" t="s">
        <v>679</v>
      </c>
      <c r="B4741" s="1" t="s">
        <v>8228</v>
      </c>
      <c r="D4741" s="1" t="s">
        <v>13026</v>
      </c>
      <c r="E4741" s="1" t="s">
        <v>13105</v>
      </c>
      <c r="F4741" s="1" t="s">
        <v>13286</v>
      </c>
      <c r="G4741" s="1" t="s">
        <v>13287</v>
      </c>
      <c r="H4741" s="2" t="str">
        <f>Tabella1[[#This Row],[Denominazione]]&amp;" - "&amp;Tabella1[[#This Row],[Città]]</f>
        <v>L'APPRODO - POTENZA PICENA</v>
      </c>
    </row>
    <row r="4742" spans="1:8" x14ac:dyDescent="0.25">
      <c r="A4742" s="1" t="s">
        <v>82</v>
      </c>
      <c r="B4742" s="1" t="s">
        <v>13436</v>
      </c>
      <c r="C4742" s="1" t="s">
        <v>13437</v>
      </c>
      <c r="D4742" s="1" t="s">
        <v>13428</v>
      </c>
      <c r="E4742" s="1" t="s">
        <v>13428</v>
      </c>
      <c r="G4742" s="1" t="s">
        <v>13438</v>
      </c>
      <c r="H4742" s="2" t="str">
        <f>Tabella1[[#This Row],[Denominazione]]&amp;" - "&amp;Tabella1[[#This Row],[Città]]</f>
        <v>L'APPRODO SRL - RIPE SAN GINESIO</v>
      </c>
    </row>
    <row r="4743" spans="1:8" x14ac:dyDescent="0.25">
      <c r="A4743" s="1" t="s">
        <v>6</v>
      </c>
      <c r="B4743" s="1" t="s">
        <v>8956</v>
      </c>
      <c r="C4743" s="1" t="s">
        <v>8957</v>
      </c>
      <c r="D4743" s="1" t="s">
        <v>8949</v>
      </c>
      <c r="E4743" s="1" t="s">
        <v>8958</v>
      </c>
      <c r="G4743" s="1" t="s">
        <v>8959</v>
      </c>
      <c r="H4743" s="2" t="str">
        <f>Tabella1[[#This Row],[Denominazione]]&amp;" - "&amp;Tabella1[[#This Row],[Città]]</f>
        <v>L'ARCA DI SABRINA - SENIGALLIA</v>
      </c>
    </row>
    <row r="4744" spans="1:8" x14ac:dyDescent="0.25">
      <c r="A4744" s="1" t="s">
        <v>35</v>
      </c>
      <c r="B4744" s="1" t="s">
        <v>8420</v>
      </c>
      <c r="C4744" s="1" t="s">
        <v>8421</v>
      </c>
      <c r="D4744" s="1" t="s">
        <v>8411</v>
      </c>
      <c r="E4744" s="1" t="s">
        <v>8411</v>
      </c>
      <c r="F4744" s="1" t="s">
        <v>8422</v>
      </c>
      <c r="G4744" s="1" t="s">
        <v>8423</v>
      </c>
      <c r="H4744" s="2" t="str">
        <f>Tabella1[[#This Row],[Denominazione]]&amp;" - "&amp;Tabella1[[#This Row],[Città]]</f>
        <v>L'ARCOBALENO - OFFAGNA</v>
      </c>
    </row>
    <row r="4745" spans="1:8" x14ac:dyDescent="0.25">
      <c r="A4745" s="1" t="s">
        <v>29</v>
      </c>
      <c r="B4745" s="1" t="s">
        <v>16865</v>
      </c>
      <c r="C4745" s="1" t="s">
        <v>16866</v>
      </c>
      <c r="D4745" s="1" t="s">
        <v>15819</v>
      </c>
      <c r="E4745" s="1" t="s">
        <v>15819</v>
      </c>
      <c r="G4745" s="1" t="s">
        <v>16867</v>
      </c>
      <c r="H4745" s="2" t="str">
        <f>Tabella1[[#This Row],[Denominazione]]&amp;" - "&amp;Tabella1[[#This Row],[Città]]</f>
        <v>LARGO FILENI 7 - SAN BENEDETTO DEL TRONTO</v>
      </c>
    </row>
    <row r="4746" spans="1:8" x14ac:dyDescent="0.25">
      <c r="A4746" s="1" t="s">
        <v>29</v>
      </c>
      <c r="B4746" s="1" t="s">
        <v>6416</v>
      </c>
      <c r="C4746" s="1" t="s">
        <v>6417</v>
      </c>
      <c r="D4746" s="1" t="s">
        <v>6371</v>
      </c>
      <c r="G4746" s="1" t="s">
        <v>6418</v>
      </c>
      <c r="H4746" s="2" t="str">
        <f>Tabella1[[#This Row],[Denominazione]]&amp;" - "&amp;Tabella1[[#This Row],[Città]]</f>
        <v>LATTE E CAFFE' - CASTELFIDARDO</v>
      </c>
    </row>
    <row r="4747" spans="1:8" x14ac:dyDescent="0.25">
      <c r="A4747" s="1" t="s">
        <v>20</v>
      </c>
      <c r="B4747" s="1" t="s">
        <v>2323</v>
      </c>
      <c r="C4747" s="1" t="s">
        <v>2324</v>
      </c>
      <c r="D4747" s="1" t="s">
        <v>1907</v>
      </c>
      <c r="E4747" s="1" t="s">
        <v>1907</v>
      </c>
      <c r="F4747" s="1" t="s">
        <v>2325</v>
      </c>
      <c r="G4747" s="1" t="s">
        <v>2326</v>
      </c>
      <c r="H4747" s="2" t="str">
        <f>Tabella1[[#This Row],[Denominazione]]&amp;" - "&amp;Tabella1[[#This Row],[Città]]</f>
        <v>LAURA - GABICCE MARE</v>
      </c>
    </row>
    <row r="4748" spans="1:8" x14ac:dyDescent="0.25">
      <c r="A4748" s="1" t="s">
        <v>12</v>
      </c>
      <c r="B4748" s="1" t="s">
        <v>612</v>
      </c>
      <c r="C4748" s="1" t="s">
        <v>589</v>
      </c>
      <c r="D4748" s="1" t="s">
        <v>579</v>
      </c>
      <c r="E4748" s="1" t="s">
        <v>579</v>
      </c>
      <c r="G4748" s="1" t="s">
        <v>591</v>
      </c>
      <c r="H4748" s="2" t="str">
        <f>Tabella1[[#This Row],[Denominazione]]&amp;" - "&amp;Tabella1[[#This Row],[Città]]</f>
        <v>LAURA GIOVAGNOLI - CARPEGNA</v>
      </c>
    </row>
    <row r="4749" spans="1:8" x14ac:dyDescent="0.25">
      <c r="A4749" s="1" t="s">
        <v>35</v>
      </c>
      <c r="B4749" s="1" t="s">
        <v>15101</v>
      </c>
      <c r="C4749" s="1" t="s">
        <v>15102</v>
      </c>
      <c r="D4749" s="1" t="s">
        <v>15096</v>
      </c>
      <c r="E4749" s="1" t="s">
        <v>15096</v>
      </c>
      <c r="F4749" s="1" t="s">
        <v>15103</v>
      </c>
      <c r="G4749" s="1" t="s">
        <v>15104</v>
      </c>
      <c r="H4749" s="2" t="str">
        <f>Tabella1[[#This Row],[Denominazione]]&amp;" - "&amp;Tabella1[[#This Row],[Città]]</f>
        <v>LAVANDA BLU AGRITURISMO - CARASSAI</v>
      </c>
    </row>
    <row r="4750" spans="1:8" x14ac:dyDescent="0.25">
      <c r="A4750" s="1" t="s">
        <v>679</v>
      </c>
      <c r="B4750" s="1" t="s">
        <v>16955</v>
      </c>
      <c r="C4750" s="1" t="s">
        <v>3853</v>
      </c>
      <c r="D4750" s="1" t="s">
        <v>15819</v>
      </c>
      <c r="H4750" s="2" t="str">
        <f>Tabella1[[#This Row],[Denominazione]]&amp;" - "&amp;Tabella1[[#This Row],[Città]]</f>
        <v>LE 3 CARAVELLE - SAN BENEDETTO DEL TRONTO</v>
      </c>
    </row>
    <row r="4751" spans="1:8" x14ac:dyDescent="0.25">
      <c r="A4751" s="1" t="s">
        <v>679</v>
      </c>
      <c r="B4751" s="1" t="s">
        <v>17131</v>
      </c>
      <c r="C4751" s="1" t="s">
        <v>17132</v>
      </c>
      <c r="D4751" s="1" t="s">
        <v>15819</v>
      </c>
      <c r="F4751" s="1" t="s">
        <v>17133</v>
      </c>
      <c r="G4751" s="1" t="s">
        <v>17134</v>
      </c>
      <c r="H4751" s="2" t="str">
        <f>Tabella1[[#This Row],[Denominazione]]&amp;" - "&amp;Tabella1[[#This Row],[Città]]</f>
        <v>LE ANFORE - SAN BENEDETTO DEL TRONTO</v>
      </c>
    </row>
    <row r="4752" spans="1:8" x14ac:dyDescent="0.25">
      <c r="A4752" s="1" t="s">
        <v>6092</v>
      </c>
      <c r="B4752" s="1" t="s">
        <v>6093</v>
      </c>
      <c r="C4752" s="1" t="s">
        <v>6094</v>
      </c>
      <c r="D4752" s="1" t="s">
        <v>6049</v>
      </c>
      <c r="E4752" s="1" t="s">
        <v>6095</v>
      </c>
      <c r="F4752" s="1" t="s">
        <v>6096</v>
      </c>
      <c r="G4752" s="1" t="s">
        <v>6097</v>
      </c>
      <c r="H4752" s="2" t="str">
        <f>Tabella1[[#This Row],[Denominazione]]&amp;" - "&amp;Tabella1[[#This Row],[Città]]</f>
        <v>LE BETULLE - ARCEVIA</v>
      </c>
    </row>
    <row r="4753" spans="1:8" x14ac:dyDescent="0.25">
      <c r="A4753" s="1" t="s">
        <v>35</v>
      </c>
      <c r="B4753" s="1" t="s">
        <v>6093</v>
      </c>
      <c r="C4753" s="1" t="s">
        <v>6094</v>
      </c>
      <c r="D4753" s="1" t="s">
        <v>6049</v>
      </c>
      <c r="E4753" s="1" t="s">
        <v>6095</v>
      </c>
      <c r="F4753" s="1" t="s">
        <v>6096</v>
      </c>
      <c r="G4753" s="1" t="s">
        <v>6097</v>
      </c>
      <c r="H4753" s="2" t="str">
        <f>Tabella1[[#This Row],[Denominazione]]&amp;" - "&amp;Tabella1[[#This Row],[Città]]</f>
        <v>LE BETULLE - ARCEVIA</v>
      </c>
    </row>
    <row r="4754" spans="1:8" x14ac:dyDescent="0.25">
      <c r="A4754" s="1" t="s">
        <v>35</v>
      </c>
      <c r="B4754" s="1" t="s">
        <v>2577</v>
      </c>
      <c r="C4754" s="1" t="s">
        <v>2578</v>
      </c>
      <c r="D4754" s="1" t="s">
        <v>2557</v>
      </c>
      <c r="F4754" s="1" t="s">
        <v>2579</v>
      </c>
      <c r="G4754" s="1" t="s">
        <v>2580</v>
      </c>
      <c r="H4754" s="2" t="str">
        <f>Tabella1[[#This Row],[Denominazione]]&amp;" - "&amp;Tabella1[[#This Row],[Città]]</f>
        <v>LE BLANC MATOU - MACERATA FELTRIA</v>
      </c>
    </row>
    <row r="4755" spans="1:8" x14ac:dyDescent="0.25">
      <c r="A4755" s="1" t="s">
        <v>35</v>
      </c>
      <c r="B4755" s="1" t="s">
        <v>13729</v>
      </c>
      <c r="C4755" s="1" t="s">
        <v>13730</v>
      </c>
      <c r="D4755" s="1" t="s">
        <v>13548</v>
      </c>
      <c r="E4755" s="1" t="s">
        <v>13548</v>
      </c>
      <c r="F4755" s="1" t="s">
        <v>13731</v>
      </c>
      <c r="G4755" s="1" t="s">
        <v>13732</v>
      </c>
      <c r="H4755" s="2" t="str">
        <f>Tabella1[[#This Row],[Denominazione]]&amp;" - "&amp;Tabella1[[#This Row],[Città]]</f>
        <v>LE BORGIANELLE - SAN SEVERINO MARCHE</v>
      </c>
    </row>
    <row r="4756" spans="1:8" x14ac:dyDescent="0.25">
      <c r="A4756" s="1" t="s">
        <v>35</v>
      </c>
      <c r="B4756" s="1" t="s">
        <v>13823</v>
      </c>
      <c r="C4756" s="1" t="s">
        <v>13824</v>
      </c>
      <c r="D4756" s="1" t="s">
        <v>13756</v>
      </c>
      <c r="E4756" s="1" t="s">
        <v>13756</v>
      </c>
      <c r="G4756" s="1" t="s">
        <v>13825</v>
      </c>
      <c r="H4756" s="2" t="str">
        <f>Tabella1[[#This Row],[Denominazione]]&amp;" - "&amp;Tabella1[[#This Row],[Città]]</f>
        <v>LE BRUGNOLETE - SARNANO</v>
      </c>
    </row>
    <row r="4757" spans="1:8" x14ac:dyDescent="0.25">
      <c r="A4757" s="1" t="s">
        <v>35</v>
      </c>
      <c r="B4757" s="1" t="s">
        <v>8537</v>
      </c>
      <c r="D4757" s="1" t="s">
        <v>8454</v>
      </c>
      <c r="E4757" s="1" t="s">
        <v>8538</v>
      </c>
      <c r="F4757" s="1" t="s">
        <v>8539</v>
      </c>
      <c r="G4757" s="1" t="s">
        <v>8540</v>
      </c>
      <c r="H4757" s="2" t="str">
        <f>Tabella1[[#This Row],[Denominazione]]&amp;" - "&amp;Tabella1[[#This Row],[Città]]</f>
        <v>LE BUCOLICHE - OSIMO</v>
      </c>
    </row>
    <row r="4758" spans="1:8" x14ac:dyDescent="0.25">
      <c r="A4758" s="1" t="s">
        <v>29</v>
      </c>
      <c r="B4758" s="1" t="s">
        <v>6654</v>
      </c>
      <c r="C4758" s="1" t="s">
        <v>6655</v>
      </c>
      <c r="D4758" s="1" t="s">
        <v>6652</v>
      </c>
      <c r="E4758" s="1" t="s">
        <v>6652</v>
      </c>
      <c r="F4758" s="1" t="s">
        <v>6656</v>
      </c>
      <c r="G4758" s="1" t="s">
        <v>6657</v>
      </c>
      <c r="H4758" s="2" t="str">
        <f>Tabella1[[#This Row],[Denominazione]]&amp;" - "&amp;Tabella1[[#This Row],[Città]]</f>
        <v>LE CASCE - CUPRAMONTANA</v>
      </c>
    </row>
    <row r="4759" spans="1:8" x14ac:dyDescent="0.25">
      <c r="A4759" s="1" t="s">
        <v>6</v>
      </c>
      <c r="B4759" s="1" t="s">
        <v>12194</v>
      </c>
      <c r="C4759" s="1" t="s">
        <v>12195</v>
      </c>
      <c r="D4759" s="1" t="s">
        <v>12050</v>
      </c>
      <c r="E4759" s="1" t="s">
        <v>12050</v>
      </c>
      <c r="F4759" s="1" t="s">
        <v>12196</v>
      </c>
      <c r="G4759" s="1" t="s">
        <v>12197</v>
      </c>
      <c r="H4759" s="2" t="str">
        <f>Tabella1[[#This Row],[Denominazione]]&amp;" - "&amp;Tabella1[[#This Row],[Città]]</f>
        <v>LE CASE - MACERATA</v>
      </c>
    </row>
    <row r="4760" spans="1:8" x14ac:dyDescent="0.25">
      <c r="A4760" s="1" t="s">
        <v>82</v>
      </c>
      <c r="B4760" s="1" t="s">
        <v>12937</v>
      </c>
      <c r="C4760" s="1" t="s">
        <v>12938</v>
      </c>
      <c r="D4760" s="1" t="s">
        <v>12801</v>
      </c>
      <c r="E4760" s="1" t="s">
        <v>12801</v>
      </c>
      <c r="H4760" s="2" t="str">
        <f>Tabella1[[#This Row],[Denominazione]]&amp;" - "&amp;Tabella1[[#This Row],[Città]]</f>
        <v>LE CASE SUL MARE - PORTO RECANATI</v>
      </c>
    </row>
    <row r="4761" spans="1:8" x14ac:dyDescent="0.25">
      <c r="A4761" s="1" t="s">
        <v>35</v>
      </c>
      <c r="B4761" s="1" t="s">
        <v>2612</v>
      </c>
      <c r="C4761" s="1" t="s">
        <v>2613</v>
      </c>
      <c r="D4761" s="1" t="s">
        <v>2594</v>
      </c>
      <c r="E4761" s="1" t="s">
        <v>2614</v>
      </c>
      <c r="G4761" s="1" t="s">
        <v>2615</v>
      </c>
      <c r="H4761" s="2" t="str">
        <f>Tabella1[[#This Row],[Denominazione]]&amp;" - "&amp;Tabella1[[#This Row],[Città]]</f>
        <v>LE CASELLE - MERCATELLO SUL METAURO</v>
      </c>
    </row>
    <row r="4762" spans="1:8" x14ac:dyDescent="0.25">
      <c r="A4762" s="1" t="s">
        <v>82</v>
      </c>
      <c r="B4762" s="1" t="s">
        <v>7340</v>
      </c>
      <c r="C4762" s="1" t="s">
        <v>7341</v>
      </c>
      <c r="D4762" s="1" t="s">
        <v>7254</v>
      </c>
      <c r="G4762" s="1" t="s">
        <v>7342</v>
      </c>
      <c r="H4762" s="2" t="str">
        <f>Tabella1[[#This Row],[Denominazione]]&amp;" - "&amp;Tabella1[[#This Row],[Città]]</f>
        <v>LE CASETTE - JESI</v>
      </c>
    </row>
    <row r="4763" spans="1:8" x14ac:dyDescent="0.25">
      <c r="A4763" s="1" t="s">
        <v>35</v>
      </c>
      <c r="B4763" s="1" t="s">
        <v>7340</v>
      </c>
      <c r="C4763" s="1" t="s">
        <v>11831</v>
      </c>
      <c r="D4763" s="1" t="s">
        <v>11792</v>
      </c>
      <c r="E4763" s="1" t="s">
        <v>11792</v>
      </c>
      <c r="H4763" s="2" t="str">
        <f>Tabella1[[#This Row],[Denominazione]]&amp;" - "&amp;Tabella1[[#This Row],[Città]]</f>
        <v>LE CASETTE - FIASTRA</v>
      </c>
    </row>
    <row r="4764" spans="1:8" x14ac:dyDescent="0.25">
      <c r="A4764" s="1" t="s">
        <v>35</v>
      </c>
      <c r="B4764" s="1" t="s">
        <v>13266</v>
      </c>
      <c r="C4764" s="1" t="s">
        <v>13267</v>
      </c>
      <c r="D4764" s="1" t="s">
        <v>13026</v>
      </c>
      <c r="E4764" s="1" t="s">
        <v>13026</v>
      </c>
      <c r="F4764" s="1" t="s">
        <v>13268</v>
      </c>
      <c r="G4764" s="1" t="s">
        <v>13269</v>
      </c>
      <c r="H4764" s="2" t="str">
        <f>Tabella1[[#This Row],[Denominazione]]&amp;" - "&amp;Tabella1[[#This Row],[Città]]</f>
        <v>LE CASTELLA - POTENZA PICENA</v>
      </c>
    </row>
    <row r="4765" spans="1:8" x14ac:dyDescent="0.25">
      <c r="A4765" s="1" t="s">
        <v>35</v>
      </c>
      <c r="B4765" s="1" t="s">
        <v>16382</v>
      </c>
      <c r="C4765" s="1" t="s">
        <v>16383</v>
      </c>
      <c r="D4765" s="1" t="s">
        <v>16312</v>
      </c>
      <c r="E4765" s="1" t="s">
        <v>16312</v>
      </c>
      <c r="F4765" s="1" t="s">
        <v>16384</v>
      </c>
      <c r="G4765" s="1" t="s">
        <v>16385</v>
      </c>
      <c r="H4765" s="2" t="str">
        <f>Tabella1[[#This Row],[Denominazione]]&amp;" - "&amp;Tabella1[[#This Row],[Città]]</f>
        <v>LE CASTELLARE - MONTEMONACO</v>
      </c>
    </row>
    <row r="4766" spans="1:8" x14ac:dyDescent="0.25">
      <c r="A4766" s="1" t="s">
        <v>29</v>
      </c>
      <c r="B4766" s="1" t="s">
        <v>5301</v>
      </c>
      <c r="C4766" s="1" t="s">
        <v>5302</v>
      </c>
      <c r="D4766" s="1" t="s">
        <v>9</v>
      </c>
      <c r="E4766" s="1" t="s">
        <v>9</v>
      </c>
      <c r="F4766" s="1" t="s">
        <v>5303</v>
      </c>
      <c r="G4766" s="1" t="s">
        <v>5304</v>
      </c>
      <c r="H4766" s="2" t="str">
        <f>Tabella1[[#This Row],[Denominazione]]&amp;" - "&amp;Tabella1[[#This Row],[Città]]</f>
        <v>LE CERQUELLE - URBINO</v>
      </c>
    </row>
    <row r="4767" spans="1:8" x14ac:dyDescent="0.25">
      <c r="A4767" s="1" t="s">
        <v>35</v>
      </c>
      <c r="B4767" s="1" t="s">
        <v>5256</v>
      </c>
      <c r="C4767" s="1" t="s">
        <v>5257</v>
      </c>
      <c r="D4767" s="1" t="s">
        <v>9</v>
      </c>
      <c r="E4767" s="1" t="s">
        <v>9</v>
      </c>
      <c r="F4767" s="1" t="s">
        <v>5258</v>
      </c>
      <c r="G4767" s="1" t="s">
        <v>5259</v>
      </c>
      <c r="H4767" s="2" t="str">
        <f>Tabella1[[#This Row],[Denominazione]]&amp;" - "&amp;Tabella1[[#This Row],[Città]]</f>
        <v>LE CESANE - URBINO</v>
      </c>
    </row>
    <row r="4768" spans="1:8" x14ac:dyDescent="0.25">
      <c r="A4768" s="1" t="s">
        <v>6</v>
      </c>
      <c r="B4768" s="1" t="s">
        <v>121</v>
      </c>
      <c r="D4768" s="1" t="s">
        <v>102</v>
      </c>
      <c r="E4768" s="1" t="s">
        <v>102</v>
      </c>
      <c r="G4768" s="1" t="s">
        <v>122</v>
      </c>
      <c r="H4768" s="2" t="str">
        <f>Tabella1[[#This Row],[Denominazione]]&amp;" - "&amp;Tabella1[[#This Row],[Città]]</f>
        <v>LE CIOCCHE - APECCHIO</v>
      </c>
    </row>
    <row r="4769" spans="1:8" x14ac:dyDescent="0.25">
      <c r="A4769" s="1" t="s">
        <v>82</v>
      </c>
      <c r="B4769" s="1" t="s">
        <v>7883</v>
      </c>
      <c r="C4769" s="1" t="s">
        <v>7884</v>
      </c>
      <c r="D4769" s="1" t="s">
        <v>7849</v>
      </c>
      <c r="F4769" s="1" t="s">
        <v>7885</v>
      </c>
      <c r="G4769" s="1" t="s">
        <v>7886</v>
      </c>
      <c r="H4769" s="2" t="str">
        <f>Tabella1[[#This Row],[Denominazione]]&amp;" - "&amp;Tabella1[[#This Row],[Città]]</f>
        <v>LE CIVETTE - MORRO D'ALBA</v>
      </c>
    </row>
    <row r="4770" spans="1:8" x14ac:dyDescent="0.25">
      <c r="A4770" s="1" t="s">
        <v>35</v>
      </c>
      <c r="B4770" s="1" t="s">
        <v>8773</v>
      </c>
      <c r="C4770" s="1" t="s">
        <v>8774</v>
      </c>
      <c r="D4770" s="1" t="s">
        <v>8763</v>
      </c>
      <c r="E4770" s="1" t="s">
        <v>8763</v>
      </c>
      <c r="F4770" s="1" t="s">
        <v>8775</v>
      </c>
      <c r="G4770" s="1" t="s">
        <v>8776</v>
      </c>
      <c r="H4770" s="2" t="str">
        <f>Tabella1[[#This Row],[Denominazione]]&amp;" - "&amp;Tabella1[[#This Row],[Città]]</f>
        <v>LE COLLINE - ROSORA</v>
      </c>
    </row>
    <row r="4771" spans="1:8" x14ac:dyDescent="0.25">
      <c r="A4771" s="1" t="s">
        <v>35</v>
      </c>
      <c r="B4771" s="1" t="s">
        <v>6154</v>
      </c>
      <c r="C4771" s="1" t="s">
        <v>6155</v>
      </c>
      <c r="D4771" s="1" t="s">
        <v>6049</v>
      </c>
      <c r="E4771" s="1" t="s">
        <v>6072</v>
      </c>
      <c r="F4771" s="1" t="s">
        <v>6156</v>
      </c>
      <c r="G4771" s="1" t="s">
        <v>6157</v>
      </c>
      <c r="H4771" s="2" t="str">
        <f>Tabella1[[#This Row],[Denominazione]]&amp;" - "&amp;Tabella1[[#This Row],[Città]]</f>
        <v>LE CONELLE - ARCEVIA</v>
      </c>
    </row>
    <row r="4772" spans="1:8" x14ac:dyDescent="0.25">
      <c r="A4772" s="1" t="s">
        <v>82</v>
      </c>
      <c r="B4772" s="1" t="s">
        <v>10160</v>
      </c>
      <c r="C4772" s="1" t="s">
        <v>10161</v>
      </c>
      <c r="D4772" s="1" t="s">
        <v>10117</v>
      </c>
      <c r="F4772" s="1" t="s">
        <v>10162</v>
      </c>
      <c r="G4772" s="1" t="s">
        <v>10163</v>
      </c>
      <c r="H4772" s="2" t="str">
        <f>Tabella1[[#This Row],[Denominazione]]&amp;" - "&amp;Tabella1[[#This Row],[Città]]</f>
        <v>LE COPERTELLE - SERRA SAN QUIRICO</v>
      </c>
    </row>
    <row r="4773" spans="1:8" x14ac:dyDescent="0.25">
      <c r="A4773" s="1" t="s">
        <v>35</v>
      </c>
      <c r="B4773" s="1" t="s">
        <v>18700</v>
      </c>
      <c r="C4773" s="1" t="s">
        <v>18701</v>
      </c>
      <c r="D4773" s="1" t="s">
        <v>18702</v>
      </c>
      <c r="E4773" s="1" t="s">
        <v>18702</v>
      </c>
      <c r="H4773" s="2" t="str">
        <f>Tabella1[[#This Row],[Denominazione]]&amp;" - "&amp;Tabella1[[#This Row],[Città]]</f>
        <v>LE COSTE - MONTELPARO</v>
      </c>
    </row>
    <row r="4774" spans="1:8" x14ac:dyDescent="0.25">
      <c r="A4774" s="1" t="s">
        <v>20</v>
      </c>
      <c r="B4774" s="1" t="s">
        <v>13663</v>
      </c>
      <c r="C4774" s="1" t="s">
        <v>13664</v>
      </c>
      <c r="D4774" s="1" t="s">
        <v>13548</v>
      </c>
      <c r="E4774" s="1" t="s">
        <v>13548</v>
      </c>
      <c r="G4774" s="1" t="s">
        <v>13665</v>
      </c>
      <c r="H4774" s="2" t="str">
        <f>Tabella1[[#This Row],[Denominazione]]&amp;" - "&amp;Tabella1[[#This Row],[Città]]</f>
        <v>LE DUE ROSE - SAN SEVERINO MARCHE</v>
      </c>
    </row>
    <row r="4775" spans="1:8" x14ac:dyDescent="0.25">
      <c r="A4775" s="1" t="s">
        <v>35</v>
      </c>
      <c r="B4775" s="1" t="s">
        <v>16379</v>
      </c>
      <c r="C4775" s="1" t="s">
        <v>16380</v>
      </c>
      <c r="D4775" s="1" t="s">
        <v>16312</v>
      </c>
      <c r="E4775" s="1" t="s">
        <v>16312</v>
      </c>
      <c r="H4775" s="2" t="str">
        <f>Tabella1[[#This Row],[Denominazione]]&amp;" - "&amp;Tabella1[[#This Row],[Città]]</f>
        <v>LE FATE DI SESTINI ELISA - MONTEMONACO</v>
      </c>
    </row>
    <row r="4776" spans="1:8" x14ac:dyDescent="0.25">
      <c r="A4776" s="1" t="s">
        <v>6</v>
      </c>
      <c r="B4776" s="1" t="s">
        <v>8079</v>
      </c>
      <c r="C4776" s="1" t="s">
        <v>8080</v>
      </c>
      <c r="D4776" s="1" t="s">
        <v>7889</v>
      </c>
      <c r="E4776" s="1" t="s">
        <v>7889</v>
      </c>
      <c r="F4776" s="1" t="s">
        <v>8081</v>
      </c>
      <c r="G4776" s="1" t="s">
        <v>8082</v>
      </c>
      <c r="H4776" s="2" t="str">
        <f>Tabella1[[#This Row],[Denominazione]]&amp;" - "&amp;Tabella1[[#This Row],[Città]]</f>
        <v>LE FIABE - NUMANA</v>
      </c>
    </row>
    <row r="4777" spans="1:8" x14ac:dyDescent="0.25">
      <c r="A4777" s="1" t="s">
        <v>29</v>
      </c>
      <c r="B4777" s="1" t="s">
        <v>7252</v>
      </c>
      <c r="C4777" s="1" t="s">
        <v>7253</v>
      </c>
      <c r="D4777" s="1" t="s">
        <v>7254</v>
      </c>
      <c r="F4777" s="1" t="s">
        <v>7255</v>
      </c>
      <c r="G4777" s="1" t="s">
        <v>7256</v>
      </c>
      <c r="H4777" s="2" t="str">
        <f>Tabella1[[#This Row],[Denominazione]]&amp;" - "&amp;Tabella1[[#This Row],[Città]]</f>
        <v>LE FINESTRE SUL CENTRO - JESI</v>
      </c>
    </row>
    <row r="4778" spans="1:8" x14ac:dyDescent="0.25">
      <c r="A4778" s="1" t="s">
        <v>6</v>
      </c>
      <c r="B4778" s="1" t="s">
        <v>4481</v>
      </c>
      <c r="C4778" s="1" t="s">
        <v>4482</v>
      </c>
      <c r="D4778" s="1" t="s">
        <v>4465</v>
      </c>
      <c r="E4778" s="1" t="s">
        <v>4469</v>
      </c>
      <c r="G4778" s="1" t="s">
        <v>4483</v>
      </c>
      <c r="H4778" s="2" t="str">
        <f>Tabella1[[#This Row],[Denominazione]]&amp;" - "&amp;Tabella1[[#This Row],[Città]]</f>
        <v>LE FONTANELLE - SANT'IPPOLITO</v>
      </c>
    </row>
    <row r="4779" spans="1:8" x14ac:dyDescent="0.25">
      <c r="A4779" s="1" t="s">
        <v>35</v>
      </c>
      <c r="B4779" s="1" t="s">
        <v>4481</v>
      </c>
      <c r="C4779" s="1" t="s">
        <v>5510</v>
      </c>
      <c r="D4779" s="1" t="s">
        <v>1864</v>
      </c>
      <c r="E4779" s="1" t="s">
        <v>1864</v>
      </c>
      <c r="G4779" s="1" t="s">
        <v>5511</v>
      </c>
      <c r="H4779" s="2" t="str">
        <f>Tabella1[[#This Row],[Denominazione]]&amp;" - "&amp;Tabella1[[#This Row],[Città]]</f>
        <v>LE FONTANELLE - ANCONA</v>
      </c>
    </row>
    <row r="4780" spans="1:8" x14ac:dyDescent="0.25">
      <c r="A4780" s="1" t="s">
        <v>82</v>
      </c>
      <c r="B4780" s="1" t="s">
        <v>4481</v>
      </c>
      <c r="C4780" s="1" t="s">
        <v>5930</v>
      </c>
      <c r="D4780" s="1" t="s">
        <v>1864</v>
      </c>
      <c r="F4780" s="1" t="s">
        <v>5931</v>
      </c>
      <c r="G4780" s="1" t="s">
        <v>5932</v>
      </c>
      <c r="H4780" s="2" t="str">
        <f>Tabella1[[#This Row],[Denominazione]]&amp;" - "&amp;Tabella1[[#This Row],[Città]]</f>
        <v>LE FONTANELLE - ANCONA</v>
      </c>
    </row>
    <row r="4781" spans="1:8" x14ac:dyDescent="0.25">
      <c r="A4781" s="1" t="s">
        <v>29</v>
      </c>
      <c r="B4781" s="1" t="s">
        <v>4481</v>
      </c>
      <c r="C4781" s="1" t="s">
        <v>6048</v>
      </c>
      <c r="D4781" s="1" t="s">
        <v>6049</v>
      </c>
      <c r="E4781" s="1" t="s">
        <v>6050</v>
      </c>
      <c r="F4781" s="1" t="s">
        <v>6051</v>
      </c>
      <c r="G4781" s="1" t="s">
        <v>6052</v>
      </c>
      <c r="H4781" s="2" t="str">
        <f>Tabella1[[#This Row],[Denominazione]]&amp;" - "&amp;Tabella1[[#This Row],[Città]]</f>
        <v>LE FONTANELLE - ARCEVIA</v>
      </c>
    </row>
    <row r="4782" spans="1:8" x14ac:dyDescent="0.25">
      <c r="A4782" s="1" t="s">
        <v>679</v>
      </c>
      <c r="B4782" s="1" t="s">
        <v>19064</v>
      </c>
      <c r="C4782" s="1" t="s">
        <v>19048</v>
      </c>
      <c r="D4782" s="1" t="s">
        <v>18082</v>
      </c>
      <c r="E4782" s="1" t="s">
        <v>18082</v>
      </c>
      <c r="H4782" s="2" t="str">
        <f>Tabella1[[#This Row],[Denominazione]]&amp;" - "&amp;Tabella1[[#This Row],[Città]]</f>
        <v>LE GALL - PORTO SAN GIORGIO</v>
      </c>
    </row>
    <row r="4783" spans="1:8" x14ac:dyDescent="0.25">
      <c r="A4783" s="1" t="s">
        <v>35</v>
      </c>
      <c r="B4783" s="1" t="s">
        <v>8268</v>
      </c>
      <c r="C4783" s="1" t="s">
        <v>8269</v>
      </c>
      <c r="D4783" s="1" t="s">
        <v>7889</v>
      </c>
      <c r="E4783" s="1" t="s">
        <v>7889</v>
      </c>
      <c r="G4783" s="1" t="s">
        <v>8270</v>
      </c>
      <c r="H4783" s="2" t="str">
        <f>Tabella1[[#This Row],[Denominazione]]&amp;" - "&amp;Tabella1[[#This Row],[Città]]</f>
        <v>LE GRANGE - NUMANA</v>
      </c>
    </row>
    <row r="4784" spans="1:8" x14ac:dyDescent="0.25">
      <c r="A4784" s="1" t="s">
        <v>20</v>
      </c>
      <c r="B4784" s="1" t="s">
        <v>11996</v>
      </c>
      <c r="C4784" s="1" t="s">
        <v>11997</v>
      </c>
      <c r="D4784" s="1" t="s">
        <v>11981</v>
      </c>
      <c r="E4784" s="1" t="s">
        <v>11981</v>
      </c>
      <c r="H4784" s="2" t="str">
        <f>Tabella1[[#This Row],[Denominazione]]&amp;" - "&amp;Tabella1[[#This Row],[Città]]</f>
        <v>LE GRAZIE - LORO PICENO</v>
      </c>
    </row>
    <row r="4785" spans="1:8" x14ac:dyDescent="0.25">
      <c r="A4785" s="1" t="s">
        <v>82</v>
      </c>
      <c r="B4785" s="1" t="s">
        <v>10944</v>
      </c>
      <c r="C4785" s="1" t="s">
        <v>10945</v>
      </c>
      <c r="D4785" s="1" t="s">
        <v>10932</v>
      </c>
      <c r="F4785" s="1" t="s">
        <v>10946</v>
      </c>
      <c r="H4785" s="2" t="str">
        <f>Tabella1[[#This Row],[Denominazione]]&amp;" - "&amp;Tabella1[[#This Row],[Città]]</f>
        <v>LE MAGNOLIE - CASTELRAIMONDO</v>
      </c>
    </row>
    <row r="4786" spans="1:8" x14ac:dyDescent="0.25">
      <c r="A4786" s="1" t="s">
        <v>35</v>
      </c>
      <c r="B4786" s="1" t="s">
        <v>6681</v>
      </c>
      <c r="C4786" s="1" t="s">
        <v>6682</v>
      </c>
      <c r="D4786" s="1" t="s">
        <v>6652</v>
      </c>
      <c r="E4786" s="1" t="s">
        <v>6652</v>
      </c>
      <c r="F4786" s="1" t="s">
        <v>6683</v>
      </c>
      <c r="G4786" s="1" t="s">
        <v>6684</v>
      </c>
      <c r="H4786" s="2" t="str">
        <f>Tabella1[[#This Row],[Denominazione]]&amp;" - "&amp;Tabella1[[#This Row],[Città]]</f>
        <v>LE MANDRIOLE - CUPRAMONTANA</v>
      </c>
    </row>
    <row r="4787" spans="1:8" x14ac:dyDescent="0.25">
      <c r="A4787" s="1" t="s">
        <v>6</v>
      </c>
      <c r="B4787" s="1" t="s">
        <v>7360</v>
      </c>
      <c r="C4787" s="1" t="s">
        <v>7361</v>
      </c>
      <c r="D4787" s="1" t="s">
        <v>7254</v>
      </c>
      <c r="E4787" s="1" t="s">
        <v>7362</v>
      </c>
      <c r="F4787" s="1" t="s">
        <v>7363</v>
      </c>
      <c r="G4787" s="1" t="s">
        <v>7364</v>
      </c>
      <c r="H4787" s="2" t="str">
        <f>Tabella1[[#This Row],[Denominazione]]&amp;" - "&amp;Tabella1[[#This Row],[Città]]</f>
        <v>Le MaRaClà - JESI</v>
      </c>
    </row>
    <row r="4788" spans="1:8" x14ac:dyDescent="0.25">
      <c r="A4788" s="1" t="s">
        <v>35</v>
      </c>
      <c r="B4788" s="1" t="s">
        <v>3319</v>
      </c>
      <c r="C4788" s="1" t="s">
        <v>3320</v>
      </c>
      <c r="D4788" s="1" t="s">
        <v>3305</v>
      </c>
      <c r="E4788" s="1" t="s">
        <v>3321</v>
      </c>
      <c r="G4788" s="1" t="s">
        <v>3322</v>
      </c>
      <c r="H4788" s="2" t="str">
        <f>Tabella1[[#This Row],[Denominazione]]&amp;" - "&amp;Tabella1[[#This Row],[Città]]</f>
        <v>LE MARASCHE - PERGOLA</v>
      </c>
    </row>
    <row r="4789" spans="1:8" x14ac:dyDescent="0.25">
      <c r="A4789" s="1" t="s">
        <v>6</v>
      </c>
      <c r="B4789" s="1" t="s">
        <v>13305</v>
      </c>
      <c r="C4789" s="1" t="s">
        <v>13306</v>
      </c>
      <c r="D4789" s="1" t="s">
        <v>13298</v>
      </c>
      <c r="E4789" s="1" t="s">
        <v>13298</v>
      </c>
      <c r="F4789" s="1" t="s">
        <v>13307</v>
      </c>
      <c r="G4789" s="1" t="s">
        <v>13308</v>
      </c>
      <c r="H4789" s="2" t="str">
        <f>Tabella1[[#This Row],[Denominazione]]&amp;" - "&amp;Tabella1[[#This Row],[Città]]</f>
        <v>LE MERAVIGLIE COUNTRY-HOUSES - RECANATI</v>
      </c>
    </row>
    <row r="4790" spans="1:8" x14ac:dyDescent="0.25">
      <c r="A4790" s="1" t="s">
        <v>679</v>
      </c>
      <c r="B4790" s="1" t="s">
        <v>19385</v>
      </c>
      <c r="C4790" s="1" t="s">
        <v>19386</v>
      </c>
      <c r="D4790" s="1" t="s">
        <v>19283</v>
      </c>
      <c r="E4790" s="1" t="s">
        <v>19363</v>
      </c>
      <c r="F4790" s="1" t="s">
        <v>19387</v>
      </c>
      <c r="G4790" s="1" t="s">
        <v>19388</v>
      </c>
      <c r="H4790" s="2" t="str">
        <f>Tabella1[[#This Row],[Denominazione]]&amp;" - "&amp;Tabella1[[#This Row],[Città]]</f>
        <v>LE MIMOSE - PORTO SANT'ELPIDIO</v>
      </c>
    </row>
    <row r="4791" spans="1:8" x14ac:dyDescent="0.25">
      <c r="A4791" s="1" t="s">
        <v>6092</v>
      </c>
      <c r="B4791" s="1" t="s">
        <v>19385</v>
      </c>
      <c r="C4791" s="1" t="s">
        <v>19429</v>
      </c>
      <c r="D4791" s="1" t="s">
        <v>19283</v>
      </c>
      <c r="E4791" s="1" t="s">
        <v>19363</v>
      </c>
      <c r="F4791" s="1" t="s">
        <v>19388</v>
      </c>
      <c r="G4791" s="1" t="s">
        <v>19387</v>
      </c>
      <c r="H4791" s="2" t="str">
        <f>Tabella1[[#This Row],[Denominazione]]&amp;" - "&amp;Tabella1[[#This Row],[Città]]</f>
        <v>LE MIMOSE - PORTO SANT'ELPIDIO</v>
      </c>
    </row>
    <row r="4792" spans="1:8" x14ac:dyDescent="0.25">
      <c r="A4792" s="1" t="s">
        <v>35</v>
      </c>
      <c r="B4792" s="1" t="s">
        <v>8706</v>
      </c>
      <c r="C4792" s="1" t="s">
        <v>8707</v>
      </c>
      <c r="D4792" s="1" t="s">
        <v>8683</v>
      </c>
      <c r="E4792" s="1" t="s">
        <v>8683</v>
      </c>
      <c r="F4792" s="1" t="s">
        <v>8708</v>
      </c>
      <c r="G4792" s="1" t="s">
        <v>8709</v>
      </c>
      <c r="H4792" s="2" t="str">
        <f>Tabella1[[#This Row],[Denominazione]]&amp;" - "&amp;Tabella1[[#This Row],[Città]]</f>
        <v>LE MURACCE - OSTRA VETERE</v>
      </c>
    </row>
    <row r="4793" spans="1:8" x14ac:dyDescent="0.25">
      <c r="A4793" s="1" t="s">
        <v>29</v>
      </c>
      <c r="B4793" s="1" t="s">
        <v>7663</v>
      </c>
      <c r="C4793" s="1" t="s">
        <v>7664</v>
      </c>
      <c r="D4793" s="1" t="s">
        <v>7660</v>
      </c>
      <c r="G4793" s="1" t="s">
        <v>7665</v>
      </c>
      <c r="H4793" s="2" t="str">
        <f>Tabella1[[#This Row],[Denominazione]]&amp;" - "&amp;Tabella1[[#This Row],[Città]]</f>
        <v>LE MUSE DI PARASECOLI CRISTIANO - MONSANO</v>
      </c>
    </row>
    <row r="4794" spans="1:8" x14ac:dyDescent="0.25">
      <c r="A4794" s="1" t="s">
        <v>82</v>
      </c>
      <c r="B4794" s="1" t="s">
        <v>15602</v>
      </c>
      <c r="C4794" s="1" t="s">
        <v>15603</v>
      </c>
      <c r="D4794" s="1" t="s">
        <v>15585</v>
      </c>
      <c r="F4794" s="1" t="s">
        <v>15604</v>
      </c>
      <c r="G4794" s="1" t="s">
        <v>12828</v>
      </c>
      <c r="H4794" s="2" t="str">
        <f>Tabella1[[#This Row],[Denominazione]]&amp;" - "&amp;Tabella1[[#This Row],[Città]]</f>
        <v>LE NEREIDI APPARTAMENTI - GROTTAMMARE</v>
      </c>
    </row>
    <row r="4795" spans="1:8" x14ac:dyDescent="0.25">
      <c r="A4795" s="1" t="s">
        <v>82</v>
      </c>
      <c r="B4795" s="1" t="s">
        <v>10406</v>
      </c>
      <c r="C4795" s="1" t="s">
        <v>10407</v>
      </c>
      <c r="D4795" s="1" t="s">
        <v>10206</v>
      </c>
      <c r="G4795" s="1" t="s">
        <v>10408</v>
      </c>
      <c r="H4795" s="2" t="str">
        <f>Tabella1[[#This Row],[Denominazione]]&amp;" - "&amp;Tabella1[[#This Row],[Città]]</f>
        <v>LE NOTE DEL CONERO - SIROLO</v>
      </c>
    </row>
    <row r="4796" spans="1:8" x14ac:dyDescent="0.25">
      <c r="A4796" s="1" t="s">
        <v>35</v>
      </c>
      <c r="B4796" s="1" t="s">
        <v>16328</v>
      </c>
      <c r="C4796" s="1" t="s">
        <v>16329</v>
      </c>
      <c r="D4796" s="1" t="s">
        <v>16312</v>
      </c>
      <c r="E4796" s="1" t="s">
        <v>16312</v>
      </c>
      <c r="F4796" s="1" t="s">
        <v>16330</v>
      </c>
      <c r="G4796" s="1" t="s">
        <v>16331</v>
      </c>
      <c r="H4796" s="2" t="str">
        <f>Tabella1[[#This Row],[Denominazione]]&amp;" - "&amp;Tabella1[[#This Row],[Città]]</f>
        <v>LE OREADI - MONTEMONACO</v>
      </c>
    </row>
    <row r="4797" spans="1:8" x14ac:dyDescent="0.25">
      <c r="A4797" s="1" t="s">
        <v>679</v>
      </c>
      <c r="B4797" s="1" t="s">
        <v>7094</v>
      </c>
      <c r="D4797" s="1" t="s">
        <v>5735</v>
      </c>
      <c r="E4797" s="1" t="s">
        <v>5735</v>
      </c>
      <c r="F4797" s="1" t="s">
        <v>7095</v>
      </c>
      <c r="H4797" s="2" t="str">
        <f>Tabella1[[#This Row],[Denominazione]]&amp;" - "&amp;Tabella1[[#This Row],[Città]]</f>
        <v>LE PALME - FALCONARA MARITTIMA</v>
      </c>
    </row>
    <row r="4798" spans="1:8" x14ac:dyDescent="0.25">
      <c r="A4798" s="1" t="s">
        <v>20</v>
      </c>
      <c r="B4798" s="1" t="s">
        <v>7094</v>
      </c>
      <c r="C4798" s="1" t="s">
        <v>16004</v>
      </c>
      <c r="D4798" s="1" t="s">
        <v>5692</v>
      </c>
      <c r="E4798" s="1" t="s">
        <v>5692</v>
      </c>
      <c r="G4798" s="1" t="s">
        <v>16005</v>
      </c>
      <c r="H4798" s="2" t="str">
        <f>Tabella1[[#This Row],[Denominazione]]&amp;" - "&amp;Tabella1[[#This Row],[Città]]</f>
        <v>LE PALME - MASSIGNANO</v>
      </c>
    </row>
    <row r="4799" spans="1:8" x14ac:dyDescent="0.25">
      <c r="A4799" s="1" t="s">
        <v>35</v>
      </c>
      <c r="B4799" s="1" t="s">
        <v>16117</v>
      </c>
      <c r="C4799" s="1" t="s">
        <v>16118</v>
      </c>
      <c r="D4799" s="1" t="s">
        <v>16083</v>
      </c>
      <c r="E4799" s="1" t="s">
        <v>16119</v>
      </c>
      <c r="F4799" s="1" t="s">
        <v>16120</v>
      </c>
      <c r="G4799" s="1" t="s">
        <v>16121</v>
      </c>
      <c r="H4799" s="2" t="str">
        <f>Tabella1[[#This Row],[Denominazione]]&amp;" - "&amp;Tabella1[[#This Row],[Città]]</f>
        <v>LE PRATOLE - MONTALTO DELLE MARCHE</v>
      </c>
    </row>
    <row r="4800" spans="1:8" x14ac:dyDescent="0.25">
      <c r="A4800" s="1" t="s">
        <v>6</v>
      </c>
      <c r="B4800" s="1" t="s">
        <v>6805</v>
      </c>
      <c r="C4800" s="1" t="s">
        <v>6806</v>
      </c>
      <c r="D4800" s="1" t="s">
        <v>6790</v>
      </c>
      <c r="E4800" s="1" t="s">
        <v>6807</v>
      </c>
      <c r="F4800" s="1" t="s">
        <v>6808</v>
      </c>
      <c r="G4800" s="1" t="s">
        <v>6809</v>
      </c>
      <c r="H4800" s="2" t="str">
        <f>Tabella1[[#This Row],[Denominazione]]&amp;" - "&amp;Tabella1[[#This Row],[Città]]</f>
        <v>LE QUADRELLE - FABRIANO</v>
      </c>
    </row>
    <row r="4801" spans="1:8" x14ac:dyDescent="0.25">
      <c r="A4801" s="1" t="s">
        <v>6</v>
      </c>
      <c r="B4801" s="1" t="s">
        <v>1837</v>
      </c>
      <c r="C4801" s="1" t="s">
        <v>1838</v>
      </c>
      <c r="D4801" s="1" t="s">
        <v>1810</v>
      </c>
      <c r="E4801" s="1" t="s">
        <v>1839</v>
      </c>
      <c r="F4801" s="1" t="s">
        <v>1840</v>
      </c>
      <c r="G4801" s="1" t="s">
        <v>1841</v>
      </c>
      <c r="H4801" s="2" t="str">
        <f>Tabella1[[#This Row],[Denominazione]]&amp;" - "&amp;Tabella1[[#This Row],[Città]]</f>
        <v>LE QUERCE - FRONTINO</v>
      </c>
    </row>
    <row r="4802" spans="1:8" x14ac:dyDescent="0.25">
      <c r="A4802" s="1" t="s">
        <v>20</v>
      </c>
      <c r="B4802" s="1" t="s">
        <v>1837</v>
      </c>
      <c r="C4802" s="1" t="s">
        <v>9684</v>
      </c>
      <c r="D4802" s="1" t="s">
        <v>8949</v>
      </c>
      <c r="E4802" s="1" t="s">
        <v>8949</v>
      </c>
      <c r="F4802" s="1" t="s">
        <v>9685</v>
      </c>
      <c r="G4802" s="1" t="s">
        <v>9686</v>
      </c>
      <c r="H4802" s="2" t="str">
        <f>Tabella1[[#This Row],[Denominazione]]&amp;" - "&amp;Tabella1[[#This Row],[Città]]</f>
        <v>LE QUERCE - SENIGALLIA</v>
      </c>
    </row>
    <row r="4803" spans="1:8" x14ac:dyDescent="0.25">
      <c r="A4803" s="1" t="s">
        <v>35</v>
      </c>
      <c r="B4803" s="1" t="s">
        <v>1837</v>
      </c>
      <c r="C4803" s="1" t="s">
        <v>10187</v>
      </c>
      <c r="D4803" s="1" t="s">
        <v>10117</v>
      </c>
      <c r="E4803" s="1" t="s">
        <v>10117</v>
      </c>
      <c r="F4803" s="1" t="s">
        <v>10188</v>
      </c>
      <c r="G4803" s="1" t="s">
        <v>10189</v>
      </c>
      <c r="H4803" s="2" t="str">
        <f>Tabella1[[#This Row],[Denominazione]]&amp;" - "&amp;Tabella1[[#This Row],[Città]]</f>
        <v>LE QUERCE - SERRA SAN QUIRICO</v>
      </c>
    </row>
    <row r="4804" spans="1:8" x14ac:dyDescent="0.25">
      <c r="A4804" s="1" t="s">
        <v>12</v>
      </c>
      <c r="B4804" s="1" t="s">
        <v>1837</v>
      </c>
      <c r="C4804" s="1" t="s">
        <v>15307</v>
      </c>
      <c r="D4804" s="1" t="s">
        <v>15282</v>
      </c>
      <c r="G4804" s="1" t="s">
        <v>15308</v>
      </c>
      <c r="H4804" s="2" t="str">
        <f>Tabella1[[#This Row],[Denominazione]]&amp;" - "&amp;Tabella1[[#This Row],[Città]]</f>
        <v>LE QUERCE - COSSIGNANO</v>
      </c>
    </row>
    <row r="4805" spans="1:8" x14ac:dyDescent="0.25">
      <c r="A4805" s="1" t="s">
        <v>6</v>
      </c>
      <c r="B4805" s="1" t="s">
        <v>2630</v>
      </c>
      <c r="C4805" s="1" t="s">
        <v>2631</v>
      </c>
      <c r="D4805" s="1" t="s">
        <v>2594</v>
      </c>
      <c r="E4805" s="1" t="s">
        <v>2632</v>
      </c>
      <c r="F4805" s="1" t="s">
        <v>2633</v>
      </c>
      <c r="G4805" s="1" t="s">
        <v>2634</v>
      </c>
      <c r="H4805" s="2" t="str">
        <f>Tabella1[[#This Row],[Denominazione]]&amp;" - "&amp;Tabella1[[#This Row],[Città]]</f>
        <v>LE QUERCE DEL METAURO - MERCATELLO SUL METAURO</v>
      </c>
    </row>
    <row r="4806" spans="1:8" x14ac:dyDescent="0.25">
      <c r="A4806" s="1" t="s">
        <v>35</v>
      </c>
      <c r="B4806" s="1" t="s">
        <v>3487</v>
      </c>
      <c r="C4806" s="1" t="s">
        <v>3488</v>
      </c>
      <c r="D4806" s="1" t="s">
        <v>2386</v>
      </c>
      <c r="E4806" s="1" t="s">
        <v>3489</v>
      </c>
      <c r="F4806" s="1" t="s">
        <v>3490</v>
      </c>
      <c r="G4806" s="1" t="s">
        <v>3491</v>
      </c>
      <c r="H4806" s="2" t="str">
        <f>Tabella1[[#This Row],[Denominazione]]&amp;" - "&amp;Tabella1[[#This Row],[Città]]</f>
        <v>LE QUIETE DIMORE - PESARO</v>
      </c>
    </row>
    <row r="4807" spans="1:8" x14ac:dyDescent="0.25">
      <c r="A4807" s="1" t="s">
        <v>679</v>
      </c>
      <c r="B4807" s="1" t="s">
        <v>7102</v>
      </c>
      <c r="C4807" s="1" t="s">
        <v>7103</v>
      </c>
      <c r="D4807" s="1" t="s">
        <v>5735</v>
      </c>
      <c r="E4807" s="1" t="s">
        <v>5735</v>
      </c>
      <c r="F4807" s="1" t="s">
        <v>7104</v>
      </c>
      <c r="H4807" s="2" t="str">
        <f>Tabella1[[#This Row],[Denominazione]]&amp;" - "&amp;Tabella1[[#This Row],[Città]]</f>
        <v>LE RAGAZZE - FALCONARA MARITTIMA</v>
      </c>
    </row>
    <row r="4808" spans="1:8" x14ac:dyDescent="0.25">
      <c r="A4808" s="1" t="s">
        <v>6</v>
      </c>
      <c r="B4808" s="1" t="s">
        <v>420</v>
      </c>
      <c r="D4808" s="1" t="s">
        <v>316</v>
      </c>
      <c r="E4808" s="1" t="s">
        <v>421</v>
      </c>
      <c r="H4808" s="2" t="str">
        <f>Tabella1[[#This Row],[Denominazione]]&amp;" - "&amp;Tabella1[[#This Row],[Città]]</f>
        <v>LE RIPE DI BELIGNI IVO - CAGLI</v>
      </c>
    </row>
    <row r="4809" spans="1:8" x14ac:dyDescent="0.25">
      <c r="A4809" s="1" t="s">
        <v>29</v>
      </c>
      <c r="B4809" s="1" t="s">
        <v>13485</v>
      </c>
      <c r="C4809" s="1" t="s">
        <v>13486</v>
      </c>
      <c r="D4809" s="1" t="s">
        <v>6072</v>
      </c>
      <c r="E4809" s="1" t="s">
        <v>6072</v>
      </c>
      <c r="F4809" s="1" t="s">
        <v>13487</v>
      </c>
      <c r="G4809" s="1" t="s">
        <v>13488</v>
      </c>
      <c r="H4809" s="2" t="str">
        <f>Tabella1[[#This Row],[Denominazione]]&amp;" - "&amp;Tabella1[[#This Row],[Città]]</f>
        <v>LE RONDINI - SAN GINESIO</v>
      </c>
    </row>
    <row r="4810" spans="1:8" x14ac:dyDescent="0.25">
      <c r="A4810" s="1" t="s">
        <v>29</v>
      </c>
      <c r="B4810" s="1" t="s">
        <v>10444</v>
      </c>
      <c r="C4810" s="1" t="s">
        <v>10445</v>
      </c>
      <c r="D4810" s="1" t="s">
        <v>10206</v>
      </c>
      <c r="E4810" s="1" t="s">
        <v>10206</v>
      </c>
      <c r="F4810" s="1" t="s">
        <v>10446</v>
      </c>
      <c r="G4810" s="1" t="s">
        <v>10447</v>
      </c>
      <c r="H4810" s="2" t="str">
        <f>Tabella1[[#This Row],[Denominazione]]&amp;" - "&amp;Tabella1[[#This Row],[Città]]</f>
        <v>LE ROSE B&amp;B - SIROLO</v>
      </c>
    </row>
    <row r="4811" spans="1:8" x14ac:dyDescent="0.25">
      <c r="A4811" s="1" t="s">
        <v>35</v>
      </c>
      <c r="B4811" s="1" t="s">
        <v>13183</v>
      </c>
      <c r="C4811" s="1" t="s">
        <v>13184</v>
      </c>
      <c r="D4811" s="1" t="s">
        <v>13026</v>
      </c>
      <c r="E4811" s="1" t="s">
        <v>13026</v>
      </c>
      <c r="F4811" s="1" t="s">
        <v>13185</v>
      </c>
      <c r="G4811" s="1" t="s">
        <v>13186</v>
      </c>
      <c r="H4811" s="2" t="str">
        <f>Tabella1[[#This Row],[Denominazione]]&amp;" - "&amp;Tabella1[[#This Row],[Città]]</f>
        <v>LE ROSE E I BAMBU - POTENZA PICENA</v>
      </c>
    </row>
    <row r="4812" spans="1:8" x14ac:dyDescent="0.25">
      <c r="A4812" s="1" t="s">
        <v>35</v>
      </c>
      <c r="B4812" s="1" t="s">
        <v>11876</v>
      </c>
      <c r="C4812" s="1" t="s">
        <v>11877</v>
      </c>
      <c r="D4812" s="1" t="s">
        <v>11869</v>
      </c>
      <c r="E4812" s="1" t="s">
        <v>11869</v>
      </c>
      <c r="H4812" s="2" t="str">
        <f>Tabella1[[#This Row],[Denominazione]]&amp;" - "&amp;Tabella1[[#This Row],[Città]]</f>
        <v>LE ROVERELLE - GAGLIOLE</v>
      </c>
    </row>
    <row r="4813" spans="1:8" x14ac:dyDescent="0.25">
      <c r="A4813" s="1" t="s">
        <v>679</v>
      </c>
      <c r="B4813" s="1" t="s">
        <v>15918</v>
      </c>
      <c r="C4813" s="1" t="s">
        <v>15818</v>
      </c>
      <c r="D4813" s="1" t="s">
        <v>15585</v>
      </c>
      <c r="F4813" s="1" t="s">
        <v>15919</v>
      </c>
      <c r="H4813" s="2" t="str">
        <f>Tabella1[[#This Row],[Denominazione]]&amp;" - "&amp;Tabella1[[#This Row],[Città]]</f>
        <v>LE SIRENETTE - GROTTAMMARE</v>
      </c>
    </row>
    <row r="4814" spans="1:8" x14ac:dyDescent="0.25">
      <c r="A4814" s="1" t="s">
        <v>35</v>
      </c>
      <c r="B4814" s="1" t="s">
        <v>1348</v>
      </c>
      <c r="C4814" s="1" t="s">
        <v>1349</v>
      </c>
      <c r="D4814" s="1" t="s">
        <v>682</v>
      </c>
      <c r="E4814" s="1" t="s">
        <v>682</v>
      </c>
      <c r="F4814" s="1" t="s">
        <v>1350</v>
      </c>
      <c r="G4814" s="1" t="s">
        <v>1351</v>
      </c>
      <c r="H4814" s="2" t="str">
        <f>Tabella1[[#This Row],[Denominazione]]&amp;" - "&amp;Tabella1[[#This Row],[Città]]</f>
        <v>LE SOFORE - FANO</v>
      </c>
    </row>
    <row r="4815" spans="1:8" x14ac:dyDescent="0.25">
      <c r="A4815" s="1" t="s">
        <v>35</v>
      </c>
      <c r="B4815" s="1" t="s">
        <v>14610</v>
      </c>
      <c r="C4815" s="1" t="s">
        <v>14611</v>
      </c>
      <c r="D4815" s="1" t="s">
        <v>14576</v>
      </c>
      <c r="E4815" s="1" t="s">
        <v>14576</v>
      </c>
      <c r="F4815" s="1" t="s">
        <v>14612</v>
      </c>
      <c r="G4815" s="1" t="s">
        <v>14613</v>
      </c>
      <c r="H4815" s="2" t="str">
        <f>Tabella1[[#This Row],[Denominazione]]&amp;" - "&amp;Tabella1[[#This Row],[Città]]</f>
        <v>LE SORGENTI - ASCOLI PICENO</v>
      </c>
    </row>
    <row r="4816" spans="1:8" x14ac:dyDescent="0.25">
      <c r="A4816" s="1" t="s">
        <v>82</v>
      </c>
      <c r="B4816" s="1" t="s">
        <v>8310</v>
      </c>
      <c r="C4816" s="1" t="s">
        <v>8311</v>
      </c>
      <c r="D4816" s="1" t="s">
        <v>7889</v>
      </c>
      <c r="E4816" s="1" t="s">
        <v>7889</v>
      </c>
      <c r="F4816" s="1" t="s">
        <v>8312</v>
      </c>
      <c r="G4816" s="1" t="s">
        <v>8313</v>
      </c>
      <c r="H4816" s="2" t="str">
        <f>Tabella1[[#This Row],[Denominazione]]&amp;" - "&amp;Tabella1[[#This Row],[Città]]</f>
        <v>LE STAGIONI DEL CONERO (STURBA CRISTIANA) - NUMANA</v>
      </c>
    </row>
    <row r="4817" spans="1:8" x14ac:dyDescent="0.25">
      <c r="A4817" s="1" t="s">
        <v>82</v>
      </c>
      <c r="B4817" s="1" t="s">
        <v>465</v>
      </c>
      <c r="C4817" s="1" t="s">
        <v>466</v>
      </c>
      <c r="D4817" s="1" t="s">
        <v>316</v>
      </c>
      <c r="E4817" s="1" t="s">
        <v>316</v>
      </c>
      <c r="G4817" s="1" t="s">
        <v>433</v>
      </c>
      <c r="H4817" s="2" t="str">
        <f>Tabella1[[#This Row],[Denominazione]]&amp;" - "&amp;Tabella1[[#This Row],[Città]]</f>
        <v>LE STANZE DI CLOTILDE - CAGLI</v>
      </c>
    </row>
    <row r="4818" spans="1:8" x14ac:dyDescent="0.25">
      <c r="A4818" s="1" t="s">
        <v>82</v>
      </c>
      <c r="B4818" s="1" t="s">
        <v>7673</v>
      </c>
      <c r="C4818" s="1" t="s">
        <v>7674</v>
      </c>
      <c r="D4818" s="1" t="s">
        <v>7660</v>
      </c>
      <c r="G4818" s="1" t="s">
        <v>7675</v>
      </c>
      <c r="H4818" s="2" t="str">
        <f>Tabella1[[#This Row],[Denominazione]]&amp;" - "&amp;Tabella1[[#This Row],[Città]]</f>
        <v>LE STANZE DI ROSA - MONSANO</v>
      </c>
    </row>
    <row r="4819" spans="1:8" x14ac:dyDescent="0.25">
      <c r="A4819" s="1" t="s">
        <v>35</v>
      </c>
      <c r="B4819" s="1" t="s">
        <v>14148</v>
      </c>
      <c r="C4819" s="1" t="s">
        <v>14149</v>
      </c>
      <c r="D4819" s="1" t="s">
        <v>14065</v>
      </c>
      <c r="G4819" s="1" t="s">
        <v>14150</v>
      </c>
      <c r="H4819" s="2" t="str">
        <f>Tabella1[[#This Row],[Denominazione]]&amp;" - "&amp;Tabella1[[#This Row],[Città]]</f>
        <v>LE TAMERICI - TREIA</v>
      </c>
    </row>
    <row r="4820" spans="1:8" x14ac:dyDescent="0.25">
      <c r="A4820" s="1" t="s">
        <v>679</v>
      </c>
      <c r="B4820" s="1" t="s">
        <v>15847</v>
      </c>
      <c r="C4820" s="1" t="s">
        <v>15848</v>
      </c>
      <c r="D4820" s="1" t="s">
        <v>15585</v>
      </c>
      <c r="F4820" s="1" t="s">
        <v>15849</v>
      </c>
      <c r="G4820" s="1" t="s">
        <v>15850</v>
      </c>
      <c r="H4820" s="2" t="str">
        <f>Tabella1[[#This Row],[Denominazione]]&amp;" - "&amp;Tabella1[[#This Row],[Città]]</f>
        <v>LE TERRAZZE - GROTTAMMARE</v>
      </c>
    </row>
    <row r="4821" spans="1:8" x14ac:dyDescent="0.25">
      <c r="A4821" s="1" t="s">
        <v>35</v>
      </c>
      <c r="B4821" s="1" t="s">
        <v>7822</v>
      </c>
      <c r="C4821" s="1" t="s">
        <v>7823</v>
      </c>
      <c r="D4821" s="1" t="s">
        <v>7824</v>
      </c>
      <c r="E4821" s="1" t="s">
        <v>7825</v>
      </c>
      <c r="F4821" s="1" t="s">
        <v>7826</v>
      </c>
      <c r="G4821" s="1" t="s">
        <v>7827</v>
      </c>
      <c r="H4821" s="2" t="str">
        <f>Tabella1[[#This Row],[Denominazione]]&amp;" - "&amp;Tabella1[[#This Row],[Città]]</f>
        <v>LE TERRE DI MALUK - MONTE SAN VITO</v>
      </c>
    </row>
    <row r="4822" spans="1:8" x14ac:dyDescent="0.25">
      <c r="A4822" s="1" t="s">
        <v>35</v>
      </c>
      <c r="B4822" s="1" t="s">
        <v>16310</v>
      </c>
      <c r="C4822" s="1" t="s">
        <v>16311</v>
      </c>
      <c r="D4822" s="1" t="s">
        <v>16312</v>
      </c>
      <c r="E4822" s="1" t="s">
        <v>16312</v>
      </c>
      <c r="H4822" s="2" t="str">
        <f>Tabella1[[#This Row],[Denominazione]]&amp;" - "&amp;Tabella1[[#This Row],[Città]]</f>
        <v>LE TOFE - MONTEMONACO</v>
      </c>
    </row>
    <row r="4823" spans="1:8" x14ac:dyDescent="0.25">
      <c r="A4823" s="1" t="s">
        <v>82</v>
      </c>
      <c r="B4823" s="1" t="s">
        <v>5968</v>
      </c>
      <c r="C4823" s="1" t="s">
        <v>5969</v>
      </c>
      <c r="D4823" s="1" t="s">
        <v>1864</v>
      </c>
      <c r="E4823" s="1" t="s">
        <v>5712</v>
      </c>
      <c r="G4823" s="1" t="s">
        <v>5970</v>
      </c>
      <c r="H4823" s="2" t="str">
        <f>Tabella1[[#This Row],[Denominazione]]&amp;" - "&amp;Tabella1[[#This Row],[Città]]</f>
        <v>LE TORRI - ANCONA</v>
      </c>
    </row>
    <row r="4824" spans="1:8" x14ac:dyDescent="0.25">
      <c r="A4824" s="1" t="s">
        <v>35</v>
      </c>
      <c r="B4824" s="1" t="s">
        <v>4147</v>
      </c>
      <c r="C4824" s="1" t="s">
        <v>4148</v>
      </c>
      <c r="D4824" s="1" t="s">
        <v>4130</v>
      </c>
      <c r="E4824" s="1" t="s">
        <v>4130</v>
      </c>
      <c r="H4824" s="2" t="str">
        <f>Tabella1[[#This Row],[Denominazione]]&amp;" - "&amp;Tabella1[[#This Row],[Città]]</f>
        <v>LE TORRICELLE - PIANDIMELETO</v>
      </c>
    </row>
    <row r="4825" spans="1:8" x14ac:dyDescent="0.25">
      <c r="A4825" s="1" t="s">
        <v>82</v>
      </c>
      <c r="B4825" s="1" t="s">
        <v>10947</v>
      </c>
      <c r="C4825" s="1" t="s">
        <v>10948</v>
      </c>
      <c r="D4825" s="1" t="s">
        <v>10932</v>
      </c>
      <c r="F4825" s="1" t="s">
        <v>10949</v>
      </c>
      <c r="G4825" s="1" t="s">
        <v>10950</v>
      </c>
      <c r="H4825" s="2" t="str">
        <f>Tabella1[[#This Row],[Denominazione]]&amp;" - "&amp;Tabella1[[#This Row],[Città]]</f>
        <v>LE TRE QUERCE - CASTELRAIMONDO</v>
      </c>
    </row>
    <row r="4826" spans="1:8" x14ac:dyDescent="0.25">
      <c r="A4826" s="1" t="s">
        <v>29</v>
      </c>
      <c r="B4826" s="1" t="s">
        <v>13737</v>
      </c>
      <c r="C4826" s="1" t="s">
        <v>13738</v>
      </c>
      <c r="D4826" s="1" t="s">
        <v>13739</v>
      </c>
      <c r="E4826" s="1" t="s">
        <v>13740</v>
      </c>
      <c r="F4826" s="1" t="s">
        <v>13741</v>
      </c>
      <c r="G4826" s="1" t="s">
        <v>13742</v>
      </c>
      <c r="H4826" s="2" t="str">
        <f>Tabella1[[#This Row],[Denominazione]]&amp;" - "&amp;Tabella1[[#This Row],[Città]]</f>
        <v>LE VALLICELLE - SANT'ANGELO IN PONTANO</v>
      </c>
    </row>
    <row r="4827" spans="1:8" x14ac:dyDescent="0.25">
      <c r="A4827" s="1" t="s">
        <v>82</v>
      </c>
      <c r="B4827" s="1" t="s">
        <v>6256</v>
      </c>
      <c r="C4827" s="1" t="s">
        <v>6257</v>
      </c>
      <c r="D4827" s="1" t="s">
        <v>6049</v>
      </c>
      <c r="E4827" s="1" t="s">
        <v>6144</v>
      </c>
      <c r="F4827" s="1" t="s">
        <v>6258</v>
      </c>
      <c r="G4827" s="1" t="s">
        <v>6259</v>
      </c>
      <c r="H4827" s="2" t="str">
        <f>Tabella1[[#This Row],[Denominazione]]&amp;" - "&amp;Tabella1[[#This Row],[Città]]</f>
        <v>LE VARANGOLE - ARCEVIA</v>
      </c>
    </row>
    <row r="4828" spans="1:8" x14ac:dyDescent="0.25">
      <c r="A4828" s="1" t="s">
        <v>35</v>
      </c>
      <c r="B4828" s="1" t="s">
        <v>8431</v>
      </c>
      <c r="C4828" s="1" t="s">
        <v>8432</v>
      </c>
      <c r="D4828" s="1" t="s">
        <v>8411</v>
      </c>
      <c r="E4828" s="1" t="s">
        <v>8411</v>
      </c>
      <c r="F4828" s="1" t="s">
        <v>8433</v>
      </c>
      <c r="G4828" s="1" t="s">
        <v>8434</v>
      </c>
      <c r="H4828" s="2" t="str">
        <f>Tabella1[[#This Row],[Denominazione]]&amp;" - "&amp;Tabella1[[#This Row],[Città]]</f>
        <v>LE VERGARE - OFFAGNA</v>
      </c>
    </row>
    <row r="4829" spans="1:8" x14ac:dyDescent="0.25">
      <c r="A4829" s="1" t="s">
        <v>35</v>
      </c>
      <c r="B4829" s="1" t="s">
        <v>2609</v>
      </c>
      <c r="D4829" s="1" t="s">
        <v>2594</v>
      </c>
      <c r="E4829" s="1" t="s">
        <v>2610</v>
      </c>
      <c r="G4829" s="1" t="s">
        <v>2611</v>
      </c>
      <c r="H4829" s="2" t="str">
        <f>Tabella1[[#This Row],[Denominazione]]&amp;" - "&amp;Tabella1[[#This Row],[Città]]</f>
        <v>LE VOCI DEL SILENZIO - MERCATELLO SUL METAURO</v>
      </c>
    </row>
    <row r="4830" spans="1:8" x14ac:dyDescent="0.25">
      <c r="A4830" s="1" t="s">
        <v>12</v>
      </c>
      <c r="B4830" s="1" t="s">
        <v>3954</v>
      </c>
      <c r="C4830" s="1" t="s">
        <v>3955</v>
      </c>
      <c r="D4830" s="1" t="s">
        <v>2386</v>
      </c>
      <c r="G4830" s="1" t="s">
        <v>3956</v>
      </c>
      <c r="H4830" s="2" t="str">
        <f>Tabella1[[#This Row],[Denominazione]]&amp;" - "&amp;Tabella1[[#This Row],[Città]]</f>
        <v>LEA CORALLONI - PESARO</v>
      </c>
    </row>
    <row r="4831" spans="1:8" x14ac:dyDescent="0.25">
      <c r="A4831" s="1" t="s">
        <v>571</v>
      </c>
      <c r="B4831" s="1" t="s">
        <v>15437</v>
      </c>
      <c r="C4831" s="1" t="s">
        <v>15438</v>
      </c>
      <c r="D4831" s="1" t="s">
        <v>15349</v>
      </c>
      <c r="E4831" s="1" t="s">
        <v>15349</v>
      </c>
      <c r="F4831" s="1" t="s">
        <v>15439</v>
      </c>
      <c r="G4831" s="1" t="s">
        <v>15440</v>
      </c>
      <c r="H4831" s="2" t="str">
        <f>Tabella1[[#This Row],[Denominazione]]&amp;" - "&amp;Tabella1[[#This Row],[Città]]</f>
        <v>LED ZEPPELIN - CUPRA MARITTIMA</v>
      </c>
    </row>
    <row r="4832" spans="1:8" x14ac:dyDescent="0.25">
      <c r="A4832" s="1" t="s">
        <v>571</v>
      </c>
      <c r="B4832" s="1" t="s">
        <v>15478</v>
      </c>
      <c r="C4832" s="1" t="s">
        <v>15438</v>
      </c>
      <c r="D4832" s="1" t="s">
        <v>15349</v>
      </c>
      <c r="E4832" s="1" t="s">
        <v>15349</v>
      </c>
      <c r="F4832" s="1" t="s">
        <v>15439</v>
      </c>
      <c r="G4832" s="1" t="s">
        <v>15440</v>
      </c>
      <c r="H4832" s="2" t="str">
        <f>Tabella1[[#This Row],[Denominazione]]&amp;" - "&amp;Tabella1[[#This Row],[Città]]</f>
        <v>LED ZEPPELIN (BIS) - CUPRA MARITTIMA</v>
      </c>
    </row>
    <row r="4833" spans="1:8" x14ac:dyDescent="0.25">
      <c r="A4833" s="1" t="s">
        <v>29</v>
      </c>
      <c r="B4833" s="1" t="s">
        <v>19425</v>
      </c>
      <c r="C4833" s="1" t="s">
        <v>19426</v>
      </c>
      <c r="D4833" s="1" t="s">
        <v>19283</v>
      </c>
      <c r="E4833" s="1" t="s">
        <v>19363</v>
      </c>
      <c r="F4833" s="1" t="s">
        <v>19427</v>
      </c>
      <c r="G4833" s="1" t="s">
        <v>19428</v>
      </c>
      <c r="H4833" s="2" t="str">
        <f>Tabella1[[#This Row],[Denominazione]]&amp;" - "&amp;Tabella1[[#This Row],[Città]]</f>
        <v>L'EDERA - PORTO SANT'ELPIDIO</v>
      </c>
    </row>
    <row r="4834" spans="1:8" x14ac:dyDescent="0.25">
      <c r="A4834" s="1" t="s">
        <v>82</v>
      </c>
      <c r="B4834" s="1" t="s">
        <v>11822</v>
      </c>
      <c r="C4834" s="1" t="s">
        <v>11823</v>
      </c>
      <c r="D4834" s="1" t="s">
        <v>11792</v>
      </c>
      <c r="E4834" s="1" t="s">
        <v>11792</v>
      </c>
      <c r="G4834" s="1" t="s">
        <v>11824</v>
      </c>
      <c r="H4834" s="2" t="str">
        <f>Tabella1[[#This Row],[Denominazione]]&amp;" - "&amp;Tabella1[[#This Row],[Città]]</f>
        <v>LELI FIORENZO - FIASTRA</v>
      </c>
    </row>
    <row r="4835" spans="1:8" x14ac:dyDescent="0.25">
      <c r="A4835" s="1" t="s">
        <v>29</v>
      </c>
      <c r="B4835" s="1" t="s">
        <v>16047</v>
      </c>
      <c r="C4835" s="1" t="s">
        <v>16048</v>
      </c>
      <c r="D4835" s="1" t="s">
        <v>16040</v>
      </c>
      <c r="E4835" s="1" t="s">
        <v>16040</v>
      </c>
      <c r="F4835" s="1" t="s">
        <v>16049</v>
      </c>
      <c r="H4835" s="2" t="str">
        <f>Tabella1[[#This Row],[Denominazione]]&amp;" - "&amp;Tabella1[[#This Row],[Città]]</f>
        <v>LEMON B&amp;B - MONSAMPOLO DEL TRONTO</v>
      </c>
    </row>
    <row r="4836" spans="1:8" x14ac:dyDescent="0.25">
      <c r="A4836" s="1" t="s">
        <v>12</v>
      </c>
      <c r="B4836" s="1" t="s">
        <v>6558</v>
      </c>
      <c r="C4836" s="1" t="s">
        <v>6559</v>
      </c>
      <c r="D4836" s="1" t="s">
        <v>6536</v>
      </c>
      <c r="G4836" s="1" t="s">
        <v>6560</v>
      </c>
      <c r="H4836" s="2" t="str">
        <f>Tabella1[[#This Row],[Denominazione]]&amp;" - "&amp;Tabella1[[#This Row],[Città]]</f>
        <v>LENCI LORENZA - CORINALDO</v>
      </c>
    </row>
    <row r="4837" spans="1:8" x14ac:dyDescent="0.25">
      <c r="A4837" s="1" t="s">
        <v>20</v>
      </c>
      <c r="B4837" s="1" t="s">
        <v>21</v>
      </c>
      <c r="C4837" s="1" t="s">
        <v>22</v>
      </c>
      <c r="D4837" s="1" t="s">
        <v>15</v>
      </c>
      <c r="E4837" s="1" t="s">
        <v>15</v>
      </c>
      <c r="H4837" s="2" t="str">
        <f>Tabella1[[#This Row],[Denominazione]]&amp;" - "&amp;Tabella1[[#This Row],[Città]]</f>
        <v>LEON D'ORO - ACQUALAGNA</v>
      </c>
    </row>
    <row r="4838" spans="1:8" x14ac:dyDescent="0.25">
      <c r="A4838" s="1" t="s">
        <v>12</v>
      </c>
      <c r="B4838" s="1" t="s">
        <v>1929</v>
      </c>
      <c r="C4838" s="1" t="s">
        <v>1930</v>
      </c>
      <c r="D4838" s="1" t="s">
        <v>1907</v>
      </c>
      <c r="H4838" s="2" t="str">
        <f>Tabella1[[#This Row],[Denominazione]]&amp;" - "&amp;Tabella1[[#This Row],[Città]]</f>
        <v>LEONARDI CLAUDIO - GABICCE MARE</v>
      </c>
    </row>
    <row r="4839" spans="1:8" x14ac:dyDescent="0.25">
      <c r="A4839" s="1" t="s">
        <v>12</v>
      </c>
      <c r="B4839" s="1" t="s">
        <v>2013</v>
      </c>
      <c r="C4839" s="1" t="s">
        <v>2014</v>
      </c>
      <c r="D4839" s="1" t="s">
        <v>1907</v>
      </c>
      <c r="H4839" s="2" t="str">
        <f>Tabella1[[#This Row],[Denominazione]]&amp;" - "&amp;Tabella1[[#This Row],[Città]]</f>
        <v>LEONARDI FABIO - GABICCE MARE</v>
      </c>
    </row>
    <row r="4840" spans="1:8" x14ac:dyDescent="0.25">
      <c r="A4840" s="1" t="s">
        <v>29</v>
      </c>
      <c r="B4840" s="1" t="s">
        <v>4153</v>
      </c>
      <c r="C4840" s="1" t="s">
        <v>4154</v>
      </c>
      <c r="D4840" s="1" t="s">
        <v>4151</v>
      </c>
      <c r="E4840" s="1" t="s">
        <v>4151</v>
      </c>
      <c r="H4840" s="2" t="str">
        <f>Tabella1[[#This Row],[Denominazione]]&amp;" - "&amp;Tabella1[[#This Row],[Città]]</f>
        <v>LEONARDI GUIDO - PIETRARUBBIA</v>
      </c>
    </row>
    <row r="4841" spans="1:8" x14ac:dyDescent="0.25">
      <c r="A4841" s="1" t="s">
        <v>12</v>
      </c>
      <c r="B4841" s="1" t="s">
        <v>2011</v>
      </c>
      <c r="C4841" s="1" t="s">
        <v>2012</v>
      </c>
      <c r="D4841" s="1" t="s">
        <v>1907</v>
      </c>
      <c r="H4841" s="2" t="str">
        <f>Tabella1[[#This Row],[Denominazione]]&amp;" - "&amp;Tabella1[[#This Row],[Città]]</f>
        <v>LEONARDI VENERINO - GABICCE MARE</v>
      </c>
    </row>
    <row r="4842" spans="1:8" x14ac:dyDescent="0.25">
      <c r="A4842" s="1" t="s">
        <v>20</v>
      </c>
      <c r="B4842" s="1" t="s">
        <v>3513</v>
      </c>
      <c r="D4842" s="1" t="s">
        <v>2386</v>
      </c>
      <c r="H4842" s="2" t="str">
        <f>Tabella1[[#This Row],[Denominazione]]&amp;" - "&amp;Tabella1[[#This Row],[Città]]</f>
        <v>LEONARDO DA VINCI - PESARO</v>
      </c>
    </row>
    <row r="4843" spans="1:8" x14ac:dyDescent="0.25">
      <c r="A4843" s="1" t="s">
        <v>82</v>
      </c>
      <c r="B4843" s="1" t="s">
        <v>740</v>
      </c>
      <c r="C4843" s="1" t="s">
        <v>741</v>
      </c>
      <c r="D4843" s="1" t="s">
        <v>682</v>
      </c>
      <c r="E4843" s="1" t="s">
        <v>682</v>
      </c>
      <c r="G4843" s="1" t="s">
        <v>742</v>
      </c>
      <c r="H4843" s="2" t="str">
        <f>Tabella1[[#This Row],[Denominazione]]&amp;" - "&amp;Tabella1[[#This Row],[Città]]</f>
        <v>L'EREMO AFFITTACAMERE - FANO</v>
      </c>
    </row>
    <row r="4844" spans="1:8" x14ac:dyDescent="0.25">
      <c r="A4844" s="1" t="s">
        <v>679</v>
      </c>
      <c r="B4844" s="1" t="s">
        <v>8004</v>
      </c>
      <c r="C4844" s="1" t="s">
        <v>8005</v>
      </c>
      <c r="D4844" s="1" t="s">
        <v>7889</v>
      </c>
      <c r="E4844" s="1" t="s">
        <v>7895</v>
      </c>
      <c r="F4844" s="1" t="s">
        <v>8006</v>
      </c>
      <c r="H4844" s="2" t="str">
        <f>Tabella1[[#This Row],[Denominazione]]&amp;" - "&amp;Tabella1[[#This Row],[Città]]</f>
        <v>LES PARASOLS - NUMANA</v>
      </c>
    </row>
    <row r="4845" spans="1:8" x14ac:dyDescent="0.25">
      <c r="A4845" s="1" t="s">
        <v>679</v>
      </c>
      <c r="B4845" s="1" t="s">
        <v>17219</v>
      </c>
      <c r="C4845" s="1" t="s">
        <v>17220</v>
      </c>
      <c r="D4845" s="1" t="s">
        <v>15819</v>
      </c>
      <c r="H4845" s="2" t="str">
        <f>Tabella1[[#This Row],[Denominazione]]&amp;" - "&amp;Tabella1[[#This Row],[Città]]</f>
        <v>L'ETOILE - SAN BENEDETTO DEL TRONTO</v>
      </c>
    </row>
    <row r="4846" spans="1:8" x14ac:dyDescent="0.25">
      <c r="A4846" s="1" t="s">
        <v>12</v>
      </c>
      <c r="B4846" s="1" t="s">
        <v>13097</v>
      </c>
      <c r="C4846" s="1" t="s">
        <v>13098</v>
      </c>
      <c r="D4846" s="1" t="s">
        <v>13026</v>
      </c>
      <c r="G4846" s="1" t="s">
        <v>13099</v>
      </c>
      <c r="H4846" s="2" t="str">
        <f>Tabella1[[#This Row],[Denominazione]]&amp;" - "&amp;Tabella1[[#This Row],[Città]]</f>
        <v>LETTINA PAMELA - POTENZA PICENA</v>
      </c>
    </row>
    <row r="4847" spans="1:8" x14ac:dyDescent="0.25">
      <c r="A4847" s="1" t="s">
        <v>82</v>
      </c>
      <c r="B4847" s="1" t="s">
        <v>12340</v>
      </c>
      <c r="C4847" s="1" t="s">
        <v>12341</v>
      </c>
      <c r="D4847" s="1" t="s">
        <v>12342</v>
      </c>
      <c r="E4847" s="1" t="s">
        <v>12342</v>
      </c>
      <c r="F4847" s="1" t="s">
        <v>12343</v>
      </c>
      <c r="G4847" s="1" t="s">
        <v>12344</v>
      </c>
      <c r="H4847" s="2" t="str">
        <f>Tabella1[[#This Row],[Denominazione]]&amp;" - "&amp;Tabella1[[#This Row],[Città]]</f>
        <v>LETTO E RILETTO - MONTECASSIANO</v>
      </c>
    </row>
    <row r="4848" spans="1:8" x14ac:dyDescent="0.25">
      <c r="A4848" s="1" t="s">
        <v>35</v>
      </c>
      <c r="B4848" s="1" t="s">
        <v>18167</v>
      </c>
      <c r="C4848" s="1" t="s">
        <v>18168</v>
      </c>
      <c r="D4848" s="1" t="s">
        <v>17932</v>
      </c>
      <c r="E4848" s="1" t="s">
        <v>17990</v>
      </c>
      <c r="F4848" s="1" t="s">
        <v>18169</v>
      </c>
      <c r="H4848" s="2" t="str">
        <f>Tabella1[[#This Row],[Denominazione]]&amp;" - "&amp;Tabella1[[#This Row],[Città]]</f>
        <v>LEVANDARA - FERMO</v>
      </c>
    </row>
    <row r="4849" spans="1:8" x14ac:dyDescent="0.25">
      <c r="A4849" s="1" t="s">
        <v>82</v>
      </c>
      <c r="B4849" s="1" t="s">
        <v>4047</v>
      </c>
      <c r="C4849" s="1" t="s">
        <v>4048</v>
      </c>
      <c r="D4849" s="1" t="s">
        <v>2386</v>
      </c>
      <c r="G4849" s="1" t="s">
        <v>3548</v>
      </c>
      <c r="H4849" s="2" t="str">
        <f>Tabella1[[#This Row],[Denominazione]]&amp;" - "&amp;Tabella1[[#This Row],[Città]]</f>
        <v>LIANA - PESARO</v>
      </c>
    </row>
    <row r="4850" spans="1:8" x14ac:dyDescent="0.25">
      <c r="A4850" s="1" t="s">
        <v>571</v>
      </c>
      <c r="B4850" s="1" t="s">
        <v>4047</v>
      </c>
      <c r="C4850" s="1" t="s">
        <v>9652</v>
      </c>
      <c r="D4850" s="1" t="s">
        <v>8949</v>
      </c>
      <c r="E4850" s="1" t="s">
        <v>8949</v>
      </c>
      <c r="F4850" s="1" t="s">
        <v>9653</v>
      </c>
      <c r="G4850" s="1" t="s">
        <v>9654</v>
      </c>
      <c r="H4850" s="2" t="str">
        <f>Tabella1[[#This Row],[Denominazione]]&amp;" - "&amp;Tabella1[[#This Row],[Città]]</f>
        <v>LIANA - SENIGALLIA</v>
      </c>
    </row>
    <row r="4851" spans="1:8" x14ac:dyDescent="0.25">
      <c r="A4851" s="1" t="s">
        <v>29</v>
      </c>
      <c r="B4851" s="1" t="s">
        <v>18034</v>
      </c>
      <c r="C4851" s="1" t="s">
        <v>18035</v>
      </c>
      <c r="D4851" s="1" t="s">
        <v>17932</v>
      </c>
      <c r="E4851" s="1" t="s">
        <v>17932</v>
      </c>
      <c r="G4851" s="1" t="s">
        <v>18036</v>
      </c>
      <c r="H4851" s="2" t="str">
        <f>Tabella1[[#This Row],[Denominazione]]&amp;" - "&amp;Tabella1[[#This Row],[Città]]</f>
        <v>LIBERATI PAOLA - FERMO</v>
      </c>
    </row>
    <row r="4852" spans="1:8" x14ac:dyDescent="0.25">
      <c r="A4852" s="1" t="s">
        <v>20</v>
      </c>
      <c r="B4852" s="1" t="s">
        <v>7609</v>
      </c>
      <c r="C4852" s="1" t="s">
        <v>7610</v>
      </c>
      <c r="D4852" s="1" t="s">
        <v>7611</v>
      </c>
      <c r="E4852" s="1" t="s">
        <v>7611</v>
      </c>
      <c r="F4852" s="1" t="s">
        <v>7612</v>
      </c>
      <c r="G4852" s="1" t="s">
        <v>7613</v>
      </c>
      <c r="H4852" s="2" t="str">
        <f>Tabella1[[#This Row],[Denominazione]]&amp;" - "&amp;Tabella1[[#This Row],[Città]]</f>
        <v>LIDIA - MERGO</v>
      </c>
    </row>
    <row r="4853" spans="1:8" x14ac:dyDescent="0.25">
      <c r="A4853" s="1" t="s">
        <v>20</v>
      </c>
      <c r="B4853" s="1" t="s">
        <v>2182</v>
      </c>
      <c r="C4853" s="1" t="s">
        <v>2183</v>
      </c>
      <c r="D4853" s="1" t="s">
        <v>1907</v>
      </c>
      <c r="E4853" s="1" t="s">
        <v>1907</v>
      </c>
      <c r="F4853" s="1" t="s">
        <v>2184</v>
      </c>
      <c r="G4853" s="1" t="s">
        <v>2185</v>
      </c>
      <c r="H4853" s="2" t="str">
        <f>Tabella1[[#This Row],[Denominazione]]&amp;" - "&amp;Tabella1[[#This Row],[Città]]</f>
        <v>LIDO - GABICCE MARE</v>
      </c>
    </row>
    <row r="4854" spans="1:8" x14ac:dyDescent="0.25">
      <c r="A4854" s="1" t="s">
        <v>20</v>
      </c>
      <c r="B4854" s="1" t="s">
        <v>2182</v>
      </c>
      <c r="C4854" s="1" t="s">
        <v>13257</v>
      </c>
      <c r="D4854" s="1" t="s">
        <v>13026</v>
      </c>
      <c r="E4854" s="1" t="s">
        <v>13026</v>
      </c>
      <c r="G4854" s="1" t="s">
        <v>13258</v>
      </c>
      <c r="H4854" s="2" t="str">
        <f>Tabella1[[#This Row],[Denominazione]]&amp;" - "&amp;Tabella1[[#This Row],[Città]]</f>
        <v>LIDO - POTENZA PICENA</v>
      </c>
    </row>
    <row r="4855" spans="1:8" x14ac:dyDescent="0.25">
      <c r="A4855" s="1" t="s">
        <v>679</v>
      </c>
      <c r="B4855" s="1" t="s">
        <v>1043</v>
      </c>
      <c r="C4855" s="1" t="s">
        <v>1044</v>
      </c>
      <c r="D4855" s="1" t="s">
        <v>682</v>
      </c>
      <c r="E4855" s="1" t="s">
        <v>682</v>
      </c>
      <c r="F4855" s="1" t="s">
        <v>1045</v>
      </c>
      <c r="H4855" s="2" t="str">
        <f>Tabella1[[#This Row],[Denominazione]]&amp;" - "&amp;Tabella1[[#This Row],[Città]]</f>
        <v>LIDO 3 DI GAMBINI GIANFRANCA &amp; C. S.A.S. - FANO</v>
      </c>
    </row>
    <row r="4856" spans="1:8" x14ac:dyDescent="0.25">
      <c r="A4856" s="1" t="s">
        <v>571</v>
      </c>
      <c r="B4856" s="1" t="s">
        <v>13226</v>
      </c>
      <c r="C4856" s="1" t="s">
        <v>13227</v>
      </c>
      <c r="D4856" s="1" t="s">
        <v>13026</v>
      </c>
      <c r="E4856" s="1" t="s">
        <v>13026</v>
      </c>
      <c r="F4856" s="1" t="s">
        <v>13228</v>
      </c>
      <c r="G4856" s="1" t="s">
        <v>13229</v>
      </c>
      <c r="H4856" s="2" t="str">
        <f>Tabella1[[#This Row],[Denominazione]]&amp;" - "&amp;Tabella1[[#This Row],[Città]]</f>
        <v>LIDO ASOLA - POTENZA PICENA</v>
      </c>
    </row>
    <row r="4857" spans="1:8" x14ac:dyDescent="0.25">
      <c r="A4857" s="1" t="s">
        <v>679</v>
      </c>
      <c r="B4857" s="1" t="s">
        <v>7111</v>
      </c>
      <c r="C4857" s="1" t="s">
        <v>2346</v>
      </c>
      <c r="D4857" s="1" t="s">
        <v>5735</v>
      </c>
      <c r="E4857" s="1" t="s">
        <v>5735</v>
      </c>
      <c r="F4857" s="1" t="s">
        <v>7112</v>
      </c>
      <c r="H4857" s="2" t="str">
        <f>Tabella1[[#This Row],[Denominazione]]&amp;" - "&amp;Tabella1[[#This Row],[Città]]</f>
        <v>LIDO AZZURRO - FALCONARA MARITTIMA</v>
      </c>
    </row>
    <row r="4858" spans="1:8" x14ac:dyDescent="0.25">
      <c r="A4858" s="1" t="s">
        <v>679</v>
      </c>
      <c r="B4858" s="1" t="s">
        <v>7111</v>
      </c>
      <c r="C4858" s="1" t="s">
        <v>7750</v>
      </c>
      <c r="D4858" s="1" t="s">
        <v>7718</v>
      </c>
      <c r="E4858" s="1" t="s">
        <v>7748</v>
      </c>
      <c r="H4858" s="2" t="str">
        <f>Tabella1[[#This Row],[Denominazione]]&amp;" - "&amp;Tabella1[[#This Row],[Città]]</f>
        <v>LIDO AZZURRO - MONTEMARCIANO</v>
      </c>
    </row>
    <row r="4859" spans="1:8" x14ac:dyDescent="0.25">
      <c r="A4859" s="1" t="s">
        <v>679</v>
      </c>
      <c r="B4859" s="1" t="s">
        <v>7111</v>
      </c>
      <c r="C4859" s="1" t="s">
        <v>17128</v>
      </c>
      <c r="D4859" s="1" t="s">
        <v>15819</v>
      </c>
      <c r="F4859" s="1" t="s">
        <v>17129</v>
      </c>
      <c r="H4859" s="2" t="str">
        <f>Tabella1[[#This Row],[Denominazione]]&amp;" - "&amp;Tabella1[[#This Row],[Città]]</f>
        <v>LIDO AZZURRO - SAN BENEDETTO DEL TRONTO</v>
      </c>
    </row>
    <row r="4860" spans="1:8" x14ac:dyDescent="0.25">
      <c r="A4860" s="1" t="s">
        <v>679</v>
      </c>
      <c r="B4860" s="1" t="s">
        <v>8208</v>
      </c>
      <c r="C4860" s="1" t="s">
        <v>8209</v>
      </c>
      <c r="D4860" s="1" t="s">
        <v>7889</v>
      </c>
      <c r="E4860" s="1" t="s">
        <v>7889</v>
      </c>
      <c r="H4860" s="2" t="str">
        <f>Tabella1[[#This Row],[Denominazione]]&amp;" - "&amp;Tabella1[[#This Row],[Città]]</f>
        <v>LIDO AZZURRO N 11 - NUMANA</v>
      </c>
    </row>
    <row r="4861" spans="1:8" x14ac:dyDescent="0.25">
      <c r="A4861" s="1" t="s">
        <v>679</v>
      </c>
      <c r="B4861" s="1" t="s">
        <v>9972</v>
      </c>
      <c r="C4861" s="1" t="s">
        <v>9973</v>
      </c>
      <c r="D4861" s="1" t="s">
        <v>8949</v>
      </c>
      <c r="E4861" s="1" t="s">
        <v>8949</v>
      </c>
      <c r="G4861" s="1" t="s">
        <v>9974</v>
      </c>
      <c r="H4861" s="2" t="str">
        <f>Tabella1[[#This Row],[Denominazione]]&amp;" - "&amp;Tabella1[[#This Row],[Città]]</f>
        <v>LIDO BAGNI N° 82 - SENIGALLIA</v>
      </c>
    </row>
    <row r="4862" spans="1:8" x14ac:dyDescent="0.25">
      <c r="A4862" s="1" t="s">
        <v>679</v>
      </c>
      <c r="B4862" s="1" t="s">
        <v>11605</v>
      </c>
      <c r="C4862" s="1" t="s">
        <v>11606</v>
      </c>
      <c r="D4862" s="1" t="s">
        <v>11244</v>
      </c>
      <c r="E4862" s="1" t="s">
        <v>11244</v>
      </c>
      <c r="H4862" s="2" t="str">
        <f>Tabella1[[#This Row],[Denominazione]]&amp;" - "&amp;Tabella1[[#This Row],[Città]]</f>
        <v>LIDO CRISTALLO - CIVITANOVA MARCHE</v>
      </c>
    </row>
    <row r="4863" spans="1:8" x14ac:dyDescent="0.25">
      <c r="A4863" s="1" t="s">
        <v>679</v>
      </c>
      <c r="B4863" s="1" t="s">
        <v>11710</v>
      </c>
      <c r="C4863" s="1" t="s">
        <v>11614</v>
      </c>
      <c r="D4863" s="1" t="s">
        <v>11244</v>
      </c>
      <c r="E4863" s="1" t="s">
        <v>11244</v>
      </c>
      <c r="H4863" s="2" t="str">
        <f>Tabella1[[#This Row],[Denominazione]]&amp;" - "&amp;Tabella1[[#This Row],[Città]]</f>
        <v>LIDO DELLA POLIZIA - N. 36 - CIVITANOVA MARCHE</v>
      </c>
    </row>
    <row r="4864" spans="1:8" x14ac:dyDescent="0.25">
      <c r="A4864" s="1" t="s">
        <v>679</v>
      </c>
      <c r="B4864" s="1" t="s">
        <v>7100</v>
      </c>
      <c r="C4864" s="1" t="s">
        <v>7101</v>
      </c>
      <c r="D4864" s="1" t="s">
        <v>5735</v>
      </c>
      <c r="E4864" s="1" t="s">
        <v>5735</v>
      </c>
      <c r="H4864" s="2" t="str">
        <f>Tabella1[[#This Row],[Denominazione]]&amp;" - "&amp;Tabella1[[#This Row],[Città]]</f>
        <v>LIDO LA BUSSOLA - FALCONARA MARITTIMA</v>
      </c>
    </row>
    <row r="4865" spans="1:8" x14ac:dyDescent="0.25">
      <c r="A4865" s="1" t="s">
        <v>679</v>
      </c>
      <c r="B4865" s="1" t="s">
        <v>12995</v>
      </c>
      <c r="D4865" s="1" t="s">
        <v>12801</v>
      </c>
      <c r="H4865" s="2" t="str">
        <f>Tabella1[[#This Row],[Denominazione]]&amp;" - "&amp;Tabella1[[#This Row],[Città]]</f>
        <v>LIDO SABBIA D'OR - PORTO RECANATI</v>
      </c>
    </row>
    <row r="4866" spans="1:8" x14ac:dyDescent="0.25">
      <c r="A4866" s="1" t="s">
        <v>679</v>
      </c>
      <c r="B4866" s="1" t="s">
        <v>17221</v>
      </c>
      <c r="C4866" s="1" t="s">
        <v>17222</v>
      </c>
      <c r="D4866" s="1" t="s">
        <v>15819</v>
      </c>
      <c r="H4866" s="2" t="str">
        <f>Tabella1[[#This Row],[Denominazione]]&amp;" - "&amp;Tabella1[[#This Row],[Città]]</f>
        <v>LIDO SABBIADORO - SAN BENEDETTO DEL TRONTO</v>
      </c>
    </row>
    <row r="4867" spans="1:8" x14ac:dyDescent="0.25">
      <c r="A4867" s="1" t="s">
        <v>12</v>
      </c>
      <c r="B4867" s="1" t="s">
        <v>5356</v>
      </c>
      <c r="C4867" s="1" t="s">
        <v>5357</v>
      </c>
      <c r="D4867" s="1" t="s">
        <v>5358</v>
      </c>
      <c r="E4867" s="1" t="s">
        <v>5358</v>
      </c>
      <c r="G4867" s="1" t="s">
        <v>5359</v>
      </c>
      <c r="H4867" s="2" t="str">
        <f>Tabella1[[#This Row],[Denominazione]]&amp;" - "&amp;Tabella1[[#This Row],[Città]]</f>
        <v>LIERA LAURA - VALLEFOGLIA</v>
      </c>
    </row>
    <row r="4868" spans="1:8" x14ac:dyDescent="0.25">
      <c r="A4868" s="1" t="s">
        <v>29</v>
      </c>
      <c r="B4868" s="1" t="s">
        <v>12947</v>
      </c>
      <c r="C4868" s="1" t="s">
        <v>12948</v>
      </c>
      <c r="D4868" s="1" t="s">
        <v>12801</v>
      </c>
      <c r="E4868" s="1" t="s">
        <v>12801</v>
      </c>
      <c r="F4868" s="1" t="s">
        <v>12949</v>
      </c>
      <c r="G4868" s="1" t="s">
        <v>12950</v>
      </c>
      <c r="H4868" s="2" t="str">
        <f>Tabella1[[#This Row],[Denominazione]]&amp;" - "&amp;Tabella1[[#This Row],[Città]]</f>
        <v>LIETI COLLI BED&amp;BREAKFAST - PORTO RECANATI</v>
      </c>
    </row>
    <row r="4869" spans="1:8" x14ac:dyDescent="0.25">
      <c r="A4869" s="1" t="s">
        <v>20</v>
      </c>
      <c r="B4869" s="1" t="s">
        <v>12899</v>
      </c>
      <c r="C4869" s="1" t="s">
        <v>12900</v>
      </c>
      <c r="D4869" s="1" t="s">
        <v>12801</v>
      </c>
      <c r="E4869" s="1" t="s">
        <v>12901</v>
      </c>
      <c r="F4869" s="1" t="s">
        <v>12902</v>
      </c>
      <c r="G4869" s="1" t="s">
        <v>12903</v>
      </c>
      <c r="H4869" s="2" t="str">
        <f>Tabella1[[#This Row],[Denominazione]]&amp;" - "&amp;Tabella1[[#This Row],[Città]]</f>
        <v>LIFE HOTEL - PORTO RECANATI</v>
      </c>
    </row>
    <row r="4870" spans="1:8" x14ac:dyDescent="0.25">
      <c r="A4870" s="1" t="s">
        <v>29</v>
      </c>
      <c r="B4870" s="1" t="s">
        <v>19356</v>
      </c>
      <c r="C4870" s="1" t="s">
        <v>19357</v>
      </c>
      <c r="D4870" s="1" t="s">
        <v>19283</v>
      </c>
      <c r="E4870" s="1" t="s">
        <v>19358</v>
      </c>
      <c r="F4870" s="1" t="s">
        <v>19359</v>
      </c>
      <c r="G4870" s="1" t="s">
        <v>19360</v>
      </c>
      <c r="H4870" s="2" t="str">
        <f>Tabella1[[#This Row],[Denominazione]]&amp;" - "&amp;Tabella1[[#This Row],[Città]]</f>
        <v>LILLANANNA BED AND BREAKFAST - PORTO SANT'ELPIDIO</v>
      </c>
    </row>
    <row r="4871" spans="1:8" x14ac:dyDescent="0.25">
      <c r="A4871" s="1" t="s">
        <v>82</v>
      </c>
      <c r="B4871" s="1" t="s">
        <v>8867</v>
      </c>
      <c r="C4871" s="1" t="s">
        <v>8868</v>
      </c>
      <c r="D4871" s="1" t="s">
        <v>8849</v>
      </c>
      <c r="G4871" s="1" t="s">
        <v>8869</v>
      </c>
      <c r="H4871" s="2" t="str">
        <f>Tabella1[[#This Row],[Denominazione]]&amp;" - "&amp;Tabella1[[#This Row],[Città]]</f>
        <v>LILLIPUT - SASSOFERRATO</v>
      </c>
    </row>
    <row r="4872" spans="1:8" x14ac:dyDescent="0.25">
      <c r="A4872" s="1" t="s">
        <v>20</v>
      </c>
      <c r="B4872" s="1" t="s">
        <v>2895</v>
      </c>
      <c r="C4872" s="1" t="s">
        <v>2896</v>
      </c>
      <c r="D4872" s="1" t="s">
        <v>1605</v>
      </c>
      <c r="E4872" s="1" t="s">
        <v>1605</v>
      </c>
      <c r="H4872" s="2" t="str">
        <f>Tabella1[[#This Row],[Denominazione]]&amp;" - "&amp;Tabella1[[#This Row],[Città]]</f>
        <v>LILLY - MONDOLFO</v>
      </c>
    </row>
    <row r="4873" spans="1:8" x14ac:dyDescent="0.25">
      <c r="A4873" s="1" t="s">
        <v>679</v>
      </c>
      <c r="B4873" s="1" t="s">
        <v>10065</v>
      </c>
      <c r="C4873" s="1" t="s">
        <v>9845</v>
      </c>
      <c r="D4873" s="1" t="s">
        <v>8949</v>
      </c>
      <c r="E4873" s="1" t="s">
        <v>8949</v>
      </c>
      <c r="H4873" s="2" t="str">
        <f>Tabella1[[#This Row],[Denominazione]]&amp;" - "&amp;Tabella1[[#This Row],[Città]]</f>
        <v>L'ILY BEACH - BAGNI N° 36 - SENIGALLIA</v>
      </c>
    </row>
    <row r="4874" spans="1:8" x14ac:dyDescent="0.25">
      <c r="A4874" s="1" t="s">
        <v>35</v>
      </c>
      <c r="B4874" s="1" t="s">
        <v>11025</v>
      </c>
      <c r="D4874" s="1" t="s">
        <v>11022</v>
      </c>
      <c r="F4874" s="1" t="s">
        <v>11026</v>
      </c>
      <c r="H4874" s="2" t="str">
        <f>Tabella1[[#This Row],[Denominazione]]&amp;" - "&amp;Tabella1[[#This Row],[Città]]</f>
        <v>L'INCANTO DEI SIBILLINI - CESSAPALOMBO</v>
      </c>
    </row>
    <row r="4875" spans="1:8" x14ac:dyDescent="0.25">
      <c r="A4875" s="1" t="s">
        <v>35</v>
      </c>
      <c r="B4875" s="1" t="s">
        <v>18502</v>
      </c>
      <c r="C4875" s="1" t="s">
        <v>18503</v>
      </c>
      <c r="D4875" s="1" t="s">
        <v>18499</v>
      </c>
      <c r="E4875" s="1" t="s">
        <v>18499</v>
      </c>
      <c r="H4875" s="2" t="str">
        <f>Tabella1[[#This Row],[Denominazione]]&amp;" - "&amp;Tabella1[[#This Row],[Città]]</f>
        <v>L'INCONTRO - MONTEFALCONE APPENNINO</v>
      </c>
    </row>
    <row r="4876" spans="1:8" x14ac:dyDescent="0.25">
      <c r="A4876" s="1" t="s">
        <v>29</v>
      </c>
      <c r="B4876" s="1" t="s">
        <v>2708</v>
      </c>
      <c r="C4876" s="1" t="s">
        <v>2709</v>
      </c>
      <c r="D4876" s="1" t="s">
        <v>2678</v>
      </c>
      <c r="E4876" s="1" t="s">
        <v>2678</v>
      </c>
      <c r="F4876" s="1" t="s">
        <v>2710</v>
      </c>
      <c r="G4876" s="1" t="s">
        <v>2711</v>
      </c>
      <c r="H4876" s="2" t="str">
        <f>Tabella1[[#This Row],[Denominazione]]&amp;" - "&amp;Tabella1[[#This Row],[Città]]</f>
        <v>L'INFINITO - MOMBAROCCIO</v>
      </c>
    </row>
    <row r="4877" spans="1:8" x14ac:dyDescent="0.25">
      <c r="A4877" s="1" t="s">
        <v>6</v>
      </c>
      <c r="B4877" s="1" t="s">
        <v>2708</v>
      </c>
      <c r="C4877" s="1" t="s">
        <v>10077</v>
      </c>
      <c r="D4877" s="1" t="s">
        <v>10074</v>
      </c>
      <c r="E4877" s="1" t="s">
        <v>10074</v>
      </c>
      <c r="G4877" s="1" t="s">
        <v>10078</v>
      </c>
      <c r="H4877" s="2" t="str">
        <f>Tabella1[[#This Row],[Denominazione]]&amp;" - "&amp;Tabella1[[#This Row],[Città]]</f>
        <v>L'INFINITO - SERRA DE' CONTI</v>
      </c>
    </row>
    <row r="4878" spans="1:8" x14ac:dyDescent="0.25">
      <c r="A4878" s="1" t="s">
        <v>6</v>
      </c>
      <c r="B4878" s="1" t="s">
        <v>12345</v>
      </c>
      <c r="C4878" s="1" t="s">
        <v>12346</v>
      </c>
      <c r="D4878" s="1" t="s">
        <v>12342</v>
      </c>
      <c r="E4878" s="1" t="s">
        <v>12342</v>
      </c>
      <c r="G4878" s="1" t="s">
        <v>12347</v>
      </c>
      <c r="H4878" s="2" t="str">
        <f>Tabella1[[#This Row],[Denominazione]]&amp;" - "&amp;Tabella1[[#This Row],[Città]]</f>
        <v>LIOLA' - MONTECASSIANO</v>
      </c>
    </row>
    <row r="4879" spans="1:8" x14ac:dyDescent="0.25">
      <c r="A4879" s="1" t="s">
        <v>12</v>
      </c>
      <c r="B4879" s="1" t="s">
        <v>3560</v>
      </c>
      <c r="C4879" s="1" t="s">
        <v>3561</v>
      </c>
      <c r="D4879" s="1" t="s">
        <v>2386</v>
      </c>
      <c r="E4879" s="1" t="s">
        <v>2386</v>
      </c>
      <c r="H4879" s="2" t="str">
        <f>Tabella1[[#This Row],[Denominazione]]&amp;" - "&amp;Tabella1[[#This Row],[Città]]</f>
        <v>LIPPOLIS LAURA - PESARO</v>
      </c>
    </row>
    <row r="4880" spans="1:8" x14ac:dyDescent="0.25">
      <c r="A4880" s="1" t="s">
        <v>679</v>
      </c>
      <c r="B4880" s="1" t="s">
        <v>12855</v>
      </c>
      <c r="D4880" s="1" t="s">
        <v>12801</v>
      </c>
      <c r="H4880" s="2" t="str">
        <f>Tabella1[[#This Row],[Denominazione]]&amp;" - "&amp;Tabella1[[#This Row],[Città]]</f>
        <v>LISETTA - PORTO RECANATI</v>
      </c>
    </row>
    <row r="4881" spans="1:8" x14ac:dyDescent="0.25">
      <c r="A4881" s="1" t="s">
        <v>6</v>
      </c>
      <c r="B4881" s="1" t="s">
        <v>5796</v>
      </c>
      <c r="C4881" s="1" t="s">
        <v>5797</v>
      </c>
      <c r="D4881" s="1" t="s">
        <v>1864</v>
      </c>
      <c r="E4881" s="1" t="s">
        <v>1864</v>
      </c>
      <c r="F4881" s="1" t="s">
        <v>5798</v>
      </c>
      <c r="G4881" s="1" t="s">
        <v>5799</v>
      </c>
      <c r="H4881" s="2" t="str">
        <f>Tabella1[[#This Row],[Denominazione]]&amp;" - "&amp;Tabella1[[#This Row],[Città]]</f>
        <v>L'ISOLA CHE NON C'E' - ANCONA</v>
      </c>
    </row>
    <row r="4882" spans="1:8" x14ac:dyDescent="0.25">
      <c r="A4882" s="1" t="s">
        <v>35</v>
      </c>
      <c r="B4882" s="1" t="s">
        <v>5796</v>
      </c>
      <c r="C4882" s="1" t="s">
        <v>18832</v>
      </c>
      <c r="D4882" s="1" t="s">
        <v>18829</v>
      </c>
      <c r="F4882" s="1" t="s">
        <v>18833</v>
      </c>
      <c r="G4882" s="1" t="s">
        <v>18834</v>
      </c>
      <c r="H4882" s="2" t="str">
        <f>Tabella1[[#This Row],[Denominazione]]&amp;" - "&amp;Tabella1[[#This Row],[Città]]</f>
        <v>L'ISOLA CHE NON C'E' - MONTE SAN PIETRANGELI</v>
      </c>
    </row>
    <row r="4883" spans="1:8" x14ac:dyDescent="0.25">
      <c r="A4883" s="1" t="s">
        <v>35</v>
      </c>
      <c r="B4883" s="1" t="s">
        <v>13637</v>
      </c>
      <c r="C4883" s="1" t="s">
        <v>13638</v>
      </c>
      <c r="D4883" s="1" t="s">
        <v>13548</v>
      </c>
      <c r="F4883" s="1" t="s">
        <v>13639</v>
      </c>
      <c r="G4883" s="1" t="s">
        <v>13640</v>
      </c>
      <c r="H4883" s="2" t="str">
        <f>Tabella1[[#This Row],[Denominazione]]&amp;" - "&amp;Tabella1[[#This Row],[Città]]</f>
        <v>L'ISOLA CHE NON C'ERA - SAN SEVERINO MARCHE</v>
      </c>
    </row>
    <row r="4884" spans="1:8" x14ac:dyDescent="0.25">
      <c r="A4884" s="1" t="s">
        <v>679</v>
      </c>
      <c r="B4884" s="1" t="s">
        <v>13293</v>
      </c>
      <c r="D4884" s="1" t="s">
        <v>13026</v>
      </c>
      <c r="E4884" s="1" t="s">
        <v>13026</v>
      </c>
      <c r="H4884" s="2" t="str">
        <f>Tabella1[[#This Row],[Denominazione]]&amp;" - "&amp;Tabella1[[#This Row],[Città]]</f>
        <v>LO SCOGLIO - POTENZA PICENA</v>
      </c>
    </row>
    <row r="4885" spans="1:8" x14ac:dyDescent="0.25">
      <c r="A4885" s="1" t="s">
        <v>679</v>
      </c>
      <c r="B4885" s="1" t="s">
        <v>13293</v>
      </c>
      <c r="C4885" s="1" t="s">
        <v>15842</v>
      </c>
      <c r="D4885" s="1" t="s">
        <v>15585</v>
      </c>
      <c r="F4885" s="1" t="s">
        <v>15885</v>
      </c>
      <c r="H4885" s="2" t="str">
        <f>Tabella1[[#This Row],[Denominazione]]&amp;" - "&amp;Tabella1[[#This Row],[Città]]</f>
        <v>LO SCOGLIO - GROTTAMMARE</v>
      </c>
    </row>
    <row r="4886" spans="1:8" x14ac:dyDescent="0.25">
      <c r="A4886" s="1" t="s">
        <v>35</v>
      </c>
      <c r="B4886" s="1" t="s">
        <v>18981</v>
      </c>
      <c r="C4886" s="1" t="s">
        <v>18982</v>
      </c>
      <c r="D4886" s="1" t="s">
        <v>18971</v>
      </c>
      <c r="E4886" s="1" t="s">
        <v>18971</v>
      </c>
      <c r="F4886" s="1" t="s">
        <v>18983</v>
      </c>
      <c r="G4886" s="1" t="s">
        <v>18984</v>
      </c>
      <c r="H4886" s="2" t="str">
        <f>Tabella1[[#This Row],[Denominazione]]&amp;" - "&amp;Tabella1[[#This Row],[Città]]</f>
        <v>LO SCOIATTOLO - PETRITOLI</v>
      </c>
    </row>
    <row r="4887" spans="1:8" x14ac:dyDescent="0.25">
      <c r="A4887" s="1" t="s">
        <v>35</v>
      </c>
      <c r="B4887" s="1" t="s">
        <v>3362</v>
      </c>
      <c r="C4887" s="1" t="s">
        <v>3363</v>
      </c>
      <c r="D4887" s="1" t="s">
        <v>3305</v>
      </c>
      <c r="E4887" s="1" t="s">
        <v>3305</v>
      </c>
      <c r="F4887" s="1" t="s">
        <v>3364</v>
      </c>
      <c r="G4887" s="1" t="s">
        <v>3365</v>
      </c>
      <c r="H4887" s="2" t="str">
        <f>Tabella1[[#This Row],[Denominazione]]&amp;" - "&amp;Tabella1[[#This Row],[Città]]</f>
        <v>LO SGORZOLO - PERGOLA</v>
      </c>
    </row>
    <row r="4888" spans="1:8" x14ac:dyDescent="0.25">
      <c r="A4888" s="1" t="s">
        <v>20</v>
      </c>
      <c r="B4888" s="1" t="s">
        <v>15747</v>
      </c>
      <c r="C4888" s="1" t="s">
        <v>15748</v>
      </c>
      <c r="D4888" s="1" t="s">
        <v>15585</v>
      </c>
      <c r="E4888" s="1" t="s">
        <v>15585</v>
      </c>
      <c r="F4888" s="1" t="s">
        <v>15749</v>
      </c>
      <c r="G4888" s="1" t="s">
        <v>15591</v>
      </c>
      <c r="H4888" s="2" t="str">
        <f>Tabella1[[#This Row],[Denominazione]]&amp;" - "&amp;Tabella1[[#This Row],[Città]]</f>
        <v>LO SQUALO - GROTTAMMARE</v>
      </c>
    </row>
    <row r="4889" spans="1:8" x14ac:dyDescent="0.25">
      <c r="A4889" s="1" t="s">
        <v>679</v>
      </c>
      <c r="B4889" s="1" t="s">
        <v>19086</v>
      </c>
      <c r="C4889" s="1" t="s">
        <v>19048</v>
      </c>
      <c r="D4889" s="1" t="s">
        <v>18082</v>
      </c>
      <c r="E4889" s="1" t="s">
        <v>18082</v>
      </c>
      <c r="H4889" s="2" t="str">
        <f>Tabella1[[#This Row],[Denominazione]]&amp;" - "&amp;Tabella1[[#This Row],[Città]]</f>
        <v>LO STORIONE - PORTO SAN GIORGIO</v>
      </c>
    </row>
    <row r="4890" spans="1:8" x14ac:dyDescent="0.25">
      <c r="A4890" s="1" t="s">
        <v>35</v>
      </c>
      <c r="B4890" s="1" t="s">
        <v>14328</v>
      </c>
      <c r="C4890" s="1" t="s">
        <v>14329</v>
      </c>
      <c r="D4890" s="1" t="s">
        <v>14276</v>
      </c>
      <c r="E4890" s="1" t="s">
        <v>14330</v>
      </c>
      <c r="H4890" s="2" t="str">
        <f>Tabella1[[#This Row],[Denominazione]]&amp;" - "&amp;Tabella1[[#This Row],[Città]]</f>
        <v>LO ZAFFERANO - VISSO</v>
      </c>
    </row>
    <row r="4891" spans="1:8" x14ac:dyDescent="0.25">
      <c r="A4891" s="1" t="s">
        <v>679</v>
      </c>
      <c r="B4891" s="1" t="s">
        <v>11701</v>
      </c>
      <c r="C4891" s="1" t="s">
        <v>11702</v>
      </c>
      <c r="D4891" s="1" t="s">
        <v>11244</v>
      </c>
      <c r="E4891" s="1" t="s">
        <v>11244</v>
      </c>
      <c r="F4891" s="1" t="s">
        <v>11703</v>
      </c>
      <c r="G4891" s="1" t="s">
        <v>11704</v>
      </c>
      <c r="H4891" s="2" t="str">
        <f>Tabella1[[#This Row],[Denominazione]]&amp;" - "&amp;Tabella1[[#This Row],[Città]]</f>
        <v>L'OASI - CIVITANOVA MARCHE</v>
      </c>
    </row>
    <row r="4892" spans="1:8" x14ac:dyDescent="0.25">
      <c r="A4892" s="1" t="s">
        <v>35</v>
      </c>
      <c r="B4892" s="1" t="s">
        <v>19033</v>
      </c>
      <c r="C4892" s="1" t="s">
        <v>19034</v>
      </c>
      <c r="D4892" s="1" t="s">
        <v>19027</v>
      </c>
      <c r="E4892" s="1" t="s">
        <v>19027</v>
      </c>
      <c r="G4892" s="1" t="s">
        <v>19035</v>
      </c>
      <c r="H4892" s="2" t="str">
        <f>Tabella1[[#This Row],[Denominazione]]&amp;" - "&amp;Tabella1[[#This Row],[Città]]</f>
        <v>L'OASI DI PIERINO - PONZANO DI FERMO</v>
      </c>
    </row>
    <row r="4893" spans="1:8" x14ac:dyDescent="0.25">
      <c r="A4893" s="1" t="s">
        <v>82</v>
      </c>
      <c r="B4893" s="1" t="s">
        <v>8661</v>
      </c>
      <c r="C4893" s="1" t="s">
        <v>8662</v>
      </c>
      <c r="D4893" s="1" t="s">
        <v>8608</v>
      </c>
      <c r="E4893" s="1" t="s">
        <v>8608</v>
      </c>
      <c r="G4893" s="1" t="s">
        <v>8663</v>
      </c>
      <c r="H4893" s="2" t="str">
        <f>Tabella1[[#This Row],[Denominazione]]&amp;" - "&amp;Tabella1[[#This Row],[Città]]</f>
        <v>LOCANDA AL CIRCOLO IPPICO - OSTRA</v>
      </c>
    </row>
    <row r="4894" spans="1:8" x14ac:dyDescent="0.25">
      <c r="A4894" s="1" t="s">
        <v>6</v>
      </c>
      <c r="B4894" s="1" t="s">
        <v>640</v>
      </c>
      <c r="C4894" s="1" t="s">
        <v>641</v>
      </c>
      <c r="D4894" s="1" t="s">
        <v>634</v>
      </c>
      <c r="F4894" s="1" t="s">
        <v>642</v>
      </c>
      <c r="G4894" s="1" t="s">
        <v>643</v>
      </c>
      <c r="H4894" s="2" t="str">
        <f>Tabella1[[#This Row],[Denominazione]]&amp;" - "&amp;Tabella1[[#This Row],[Città]]</f>
        <v>LOCANDA BORGOGNINA - CARTOCETO</v>
      </c>
    </row>
    <row r="4895" spans="1:8" x14ac:dyDescent="0.25">
      <c r="A4895" s="1" t="s">
        <v>82</v>
      </c>
      <c r="B4895" s="1" t="s">
        <v>14203</v>
      </c>
      <c r="C4895" s="1" t="s">
        <v>14204</v>
      </c>
      <c r="D4895" s="1" t="s">
        <v>14195</v>
      </c>
      <c r="E4895" s="1" t="s">
        <v>14195</v>
      </c>
      <c r="F4895" s="1" t="s">
        <v>14205</v>
      </c>
      <c r="G4895" s="1" t="s">
        <v>14206</v>
      </c>
      <c r="H4895" s="2" t="str">
        <f>Tabella1[[#This Row],[Denominazione]]&amp;" - "&amp;Tabella1[[#This Row],[Città]]</f>
        <v>LOCANDA CAFFE' LE LOGGE - URBISAGLIA</v>
      </c>
    </row>
    <row r="4896" spans="1:8" x14ac:dyDescent="0.25">
      <c r="A4896" s="1" t="s">
        <v>6</v>
      </c>
      <c r="B4896" s="1" t="s">
        <v>6239</v>
      </c>
      <c r="C4896" s="1" t="s">
        <v>6240</v>
      </c>
      <c r="D4896" s="1" t="s">
        <v>6049</v>
      </c>
      <c r="E4896" s="1" t="s">
        <v>6139</v>
      </c>
      <c r="F4896" s="1" t="s">
        <v>6241</v>
      </c>
      <c r="G4896" s="1" t="s">
        <v>6242</v>
      </c>
      <c r="H4896" s="2" t="str">
        <f>Tabella1[[#This Row],[Denominazione]]&amp;" - "&amp;Tabella1[[#This Row],[Città]]</f>
        <v>LOCANDA CASA VALMA - ARCEVIA</v>
      </c>
    </row>
    <row r="4897" spans="1:8" x14ac:dyDescent="0.25">
      <c r="A4897" s="1" t="s">
        <v>20</v>
      </c>
      <c r="B4897" s="1" t="s">
        <v>4112</v>
      </c>
      <c r="C4897" s="1" t="s">
        <v>4113</v>
      </c>
      <c r="D4897" s="1" t="s">
        <v>4109</v>
      </c>
      <c r="E4897" s="1" t="s">
        <v>4109</v>
      </c>
      <c r="H4897" s="2" t="str">
        <f>Tabella1[[#This Row],[Denominazione]]&amp;" - "&amp;Tabella1[[#This Row],[Città]]</f>
        <v>LOCANDA DA CIACCI - PETRIANO</v>
      </c>
    </row>
    <row r="4898" spans="1:8" x14ac:dyDescent="0.25">
      <c r="A4898" s="1" t="s">
        <v>82</v>
      </c>
      <c r="B4898" s="1" t="s">
        <v>2666</v>
      </c>
      <c r="C4898" s="1" t="s">
        <v>2667</v>
      </c>
      <c r="D4898" s="1" t="s">
        <v>2594</v>
      </c>
      <c r="E4898" s="1" t="s">
        <v>2594</v>
      </c>
      <c r="F4898" s="1" t="s">
        <v>2668</v>
      </c>
      <c r="G4898" s="1" t="s">
        <v>2669</v>
      </c>
      <c r="H4898" s="2" t="str">
        <f>Tabella1[[#This Row],[Denominazione]]&amp;" - "&amp;Tabella1[[#This Row],[Città]]</f>
        <v>LOCANDA DEI SACCHI - MERCATELLO SUL METAURO</v>
      </c>
    </row>
    <row r="4899" spans="1:8" x14ac:dyDescent="0.25">
      <c r="A4899" s="1" t="s">
        <v>6</v>
      </c>
      <c r="B4899" s="1" t="s">
        <v>4267</v>
      </c>
      <c r="D4899" s="1" t="s">
        <v>4242</v>
      </c>
      <c r="F4899" s="1" t="s">
        <v>4268</v>
      </c>
      <c r="G4899" s="1" t="s">
        <v>4269</v>
      </c>
      <c r="H4899" s="2" t="str">
        <f>Tabella1[[#This Row],[Denominazione]]&amp;" - "&amp;Tabella1[[#This Row],[Città]]</f>
        <v>LOCANDA DEL BORGO - SALTARA</v>
      </c>
    </row>
    <row r="4900" spans="1:8" x14ac:dyDescent="0.25">
      <c r="A4900" s="1" t="s">
        <v>82</v>
      </c>
      <c r="B4900" s="1" t="s">
        <v>1865</v>
      </c>
      <c r="C4900" s="1" t="s">
        <v>1866</v>
      </c>
      <c r="D4900" s="1" t="s">
        <v>356</v>
      </c>
      <c r="E4900" s="1" t="s">
        <v>356</v>
      </c>
      <c r="F4900" s="1" t="s">
        <v>1867</v>
      </c>
      <c r="G4900" s="1" t="s">
        <v>1868</v>
      </c>
      <c r="H4900" s="2" t="str">
        <f>Tabella1[[#This Row],[Denominazione]]&amp;" - "&amp;Tabella1[[#This Row],[Città]]</f>
        <v>LOCANDA DEL CASTELLO - FRONTONE</v>
      </c>
    </row>
    <row r="4901" spans="1:8" x14ac:dyDescent="0.25">
      <c r="A4901" s="1" t="s">
        <v>82</v>
      </c>
      <c r="B4901" s="1" t="s">
        <v>6914</v>
      </c>
      <c r="C4901" s="1" t="s">
        <v>6915</v>
      </c>
      <c r="D4901" s="1" t="s">
        <v>6790</v>
      </c>
      <c r="E4901" s="1" t="s">
        <v>6790</v>
      </c>
      <c r="F4901" s="1" t="s">
        <v>6916</v>
      </c>
      <c r="G4901" s="1" t="s">
        <v>6917</v>
      </c>
      <c r="H4901" s="2" t="str">
        <f>Tabella1[[#This Row],[Denominazione]]&amp;" - "&amp;Tabella1[[#This Row],[Città]]</f>
        <v>LOCANDA DEL GRILLO - FABRIANO</v>
      </c>
    </row>
    <row r="4902" spans="1:8" x14ac:dyDescent="0.25">
      <c r="A4902" s="1" t="s">
        <v>29</v>
      </c>
      <c r="B4902" s="1" t="s">
        <v>6397</v>
      </c>
      <c r="C4902" s="1" t="s">
        <v>6398</v>
      </c>
      <c r="D4902" s="1" t="s">
        <v>6371</v>
      </c>
      <c r="E4902" s="1" t="s">
        <v>6371</v>
      </c>
      <c r="F4902" s="1" t="s">
        <v>6399</v>
      </c>
      <c r="G4902" s="1" t="s">
        <v>6400</v>
      </c>
      <c r="H4902" s="2" t="str">
        <f>Tabella1[[#This Row],[Denominazione]]&amp;" - "&amp;Tabella1[[#This Row],[Città]]</f>
        <v>LOCANDA DEL MUSONE - CASTELFIDARDO</v>
      </c>
    </row>
    <row r="4903" spans="1:8" x14ac:dyDescent="0.25">
      <c r="A4903" s="1" t="s">
        <v>82</v>
      </c>
      <c r="B4903" s="1" t="s">
        <v>13202</v>
      </c>
      <c r="C4903" s="1" t="s">
        <v>13203</v>
      </c>
      <c r="D4903" s="1" t="s">
        <v>13026</v>
      </c>
      <c r="E4903" s="1" t="s">
        <v>13026</v>
      </c>
      <c r="F4903" s="1" t="s">
        <v>13204</v>
      </c>
      <c r="G4903" s="1" t="s">
        <v>13205</v>
      </c>
      <c r="H4903" s="2" t="str">
        <f>Tabella1[[#This Row],[Denominazione]]&amp;" - "&amp;Tabella1[[#This Row],[Città]]</f>
        <v>LOCANDA DEL TAVOLO MATTO - POTENZA PICENA</v>
      </c>
    </row>
    <row r="4904" spans="1:8" x14ac:dyDescent="0.25">
      <c r="A4904" s="1" t="s">
        <v>35</v>
      </c>
      <c r="B4904" s="1" t="s">
        <v>18059</v>
      </c>
      <c r="C4904" s="1" t="s">
        <v>18060</v>
      </c>
      <c r="D4904" s="1" t="s">
        <v>17932</v>
      </c>
      <c r="E4904" s="1" t="s">
        <v>17932</v>
      </c>
      <c r="F4904" s="1" t="s">
        <v>18061</v>
      </c>
      <c r="G4904" s="1" t="s">
        <v>18062</v>
      </c>
      <c r="H4904" s="2" t="str">
        <f>Tabella1[[#This Row],[Denominazione]]&amp;" - "&amp;Tabella1[[#This Row],[Città]]</f>
        <v>LOCANDA DEL TORCHIETTO di NICOLINI PATRIZIA - FERMO</v>
      </c>
    </row>
    <row r="4905" spans="1:8" x14ac:dyDescent="0.25">
      <c r="A4905" s="1" t="s">
        <v>20</v>
      </c>
      <c r="B4905" s="1" t="s">
        <v>1801</v>
      </c>
      <c r="C4905" s="1" t="s">
        <v>1802</v>
      </c>
      <c r="D4905" s="1" t="s">
        <v>1796</v>
      </c>
      <c r="F4905" s="1" t="s">
        <v>1803</v>
      </c>
      <c r="G4905" s="1" t="s">
        <v>1804</v>
      </c>
      <c r="H4905" s="2" t="str">
        <f>Tabella1[[#This Row],[Denominazione]]&amp;" - "&amp;Tabella1[[#This Row],[Città]]</f>
        <v>LOCANDA DELLA RAVIGNANA - FRATTE ROSA</v>
      </c>
    </row>
    <row r="4906" spans="1:8" x14ac:dyDescent="0.25">
      <c r="A4906" s="1" t="s">
        <v>35</v>
      </c>
      <c r="B4906" s="1" t="s">
        <v>1699</v>
      </c>
      <c r="C4906" s="1" t="s">
        <v>1700</v>
      </c>
      <c r="D4906" s="1" t="s">
        <v>1653</v>
      </c>
      <c r="E4906" s="1" t="s">
        <v>1701</v>
      </c>
      <c r="F4906" s="1" t="s">
        <v>1702</v>
      </c>
      <c r="G4906" s="1" t="s">
        <v>1703</v>
      </c>
      <c r="H4906" s="2" t="str">
        <f>Tabella1[[#This Row],[Denominazione]]&amp;" - "&amp;Tabella1[[#This Row],[Città]]</f>
        <v>LOCANDA DELLA VALLE NUOVA - FERMIGNANO</v>
      </c>
    </row>
    <row r="4907" spans="1:8" x14ac:dyDescent="0.25">
      <c r="A4907" s="1" t="s">
        <v>35</v>
      </c>
      <c r="B4907" s="1" t="s">
        <v>6350</v>
      </c>
      <c r="C4907" s="1" t="s">
        <v>6351</v>
      </c>
      <c r="D4907" s="1" t="s">
        <v>6344</v>
      </c>
      <c r="E4907" s="1" t="s">
        <v>6344</v>
      </c>
      <c r="F4907" s="1" t="s">
        <v>6352</v>
      </c>
      <c r="G4907" s="1" t="s">
        <v>6353</v>
      </c>
      <c r="H4907" s="2" t="str">
        <f>Tabella1[[#This Row],[Denominazione]]&amp;" - "&amp;Tabella1[[#This Row],[Città]]</f>
        <v>LOCANDA DELLE SALINE - CAMERATA PICENA</v>
      </c>
    </row>
    <row r="4908" spans="1:8" x14ac:dyDescent="0.25">
      <c r="A4908" s="1" t="s">
        <v>82</v>
      </c>
      <c r="B4908" s="1" t="s">
        <v>18505</v>
      </c>
      <c r="D4908" s="1" t="s">
        <v>18499</v>
      </c>
      <c r="E4908" s="1" t="s">
        <v>18499</v>
      </c>
      <c r="H4908" s="2" t="str">
        <f>Tabella1[[#This Row],[Denominazione]]&amp;" - "&amp;Tabella1[[#This Row],[Città]]</f>
        <v>LOCANDA DELLO SCOIATTOLO - MONTEFALCONE APPENNINO</v>
      </c>
    </row>
    <row r="4909" spans="1:8" x14ac:dyDescent="0.25">
      <c r="A4909" s="1" t="s">
        <v>35</v>
      </c>
      <c r="B4909" s="1" t="s">
        <v>11363</v>
      </c>
      <c r="C4909" s="1" t="s">
        <v>11364</v>
      </c>
      <c r="D4909" s="1" t="s">
        <v>11244</v>
      </c>
      <c r="E4909" s="1" t="s">
        <v>11244</v>
      </c>
      <c r="F4909" s="1" t="s">
        <v>11365</v>
      </c>
      <c r="G4909" s="1" t="s">
        <v>11366</v>
      </c>
      <c r="H4909" s="2" t="str">
        <f>Tabella1[[#This Row],[Denominazione]]&amp;" - "&amp;Tabella1[[#This Row],[Città]]</f>
        <v>LOCANDA FONTEZOPPA - CIVITANOVA MARCHE</v>
      </c>
    </row>
    <row r="4910" spans="1:8" x14ac:dyDescent="0.25">
      <c r="A4910" s="1" t="s">
        <v>6</v>
      </c>
      <c r="B4910" s="1" t="s">
        <v>4316</v>
      </c>
      <c r="C4910" s="1" t="s">
        <v>4317</v>
      </c>
      <c r="D4910" s="1" t="s">
        <v>4272</v>
      </c>
      <c r="E4910" s="1" t="s">
        <v>4272</v>
      </c>
      <c r="F4910" s="1" t="s">
        <v>4318</v>
      </c>
      <c r="G4910" s="1" t="s">
        <v>4319</v>
      </c>
      <c r="H4910" s="2" t="str">
        <f>Tabella1[[#This Row],[Denominazione]]&amp;" - "&amp;Tabella1[[#This Row],[Città]]</f>
        <v>LOCANDA LA BRECCIA - SAN COSTANZO</v>
      </c>
    </row>
    <row r="4911" spans="1:8" x14ac:dyDescent="0.25">
      <c r="A4911" s="1" t="s">
        <v>35</v>
      </c>
      <c r="B4911" s="1" t="s">
        <v>5414</v>
      </c>
      <c r="C4911" s="1" t="s">
        <v>5415</v>
      </c>
      <c r="D4911" s="1" t="s">
        <v>5358</v>
      </c>
      <c r="E4911" s="1" t="s">
        <v>5416</v>
      </c>
      <c r="F4911" s="1" t="s">
        <v>5417</v>
      </c>
      <c r="G4911" s="1" t="s">
        <v>5416</v>
      </c>
      <c r="H4911" s="2" t="str">
        <f>Tabella1[[#This Row],[Denominazione]]&amp;" - "&amp;Tabella1[[#This Row],[Città]]</f>
        <v>LOCANDA MONTELIPPO - VALLEFOGLIA</v>
      </c>
    </row>
    <row r="4912" spans="1:8" x14ac:dyDescent="0.25">
      <c r="A4912" s="1" t="s">
        <v>6</v>
      </c>
      <c r="B4912" s="1" t="s">
        <v>7707</v>
      </c>
      <c r="D4912" s="1" t="s">
        <v>7678</v>
      </c>
      <c r="F4912" s="1" t="s">
        <v>7708</v>
      </c>
      <c r="G4912" s="1" t="s">
        <v>7709</v>
      </c>
      <c r="H4912" s="2" t="str">
        <f>Tabella1[[#This Row],[Denominazione]]&amp;" - "&amp;Tabella1[[#This Row],[Città]]</f>
        <v>LOCANDA NEMOROSA - MONTECAROTTO</v>
      </c>
    </row>
    <row r="4913" spans="1:8" x14ac:dyDescent="0.25">
      <c r="A4913" s="1" t="s">
        <v>6</v>
      </c>
      <c r="B4913" s="1" t="s">
        <v>7680</v>
      </c>
      <c r="C4913" s="1" t="s">
        <v>7681</v>
      </c>
      <c r="D4913" s="1" t="s">
        <v>7678</v>
      </c>
      <c r="E4913" s="1" t="s">
        <v>7678</v>
      </c>
      <c r="F4913" s="1" t="s">
        <v>7682</v>
      </c>
      <c r="G4913" s="1" t="s">
        <v>7683</v>
      </c>
      <c r="H4913" s="2" t="str">
        <f>Tabella1[[#This Row],[Denominazione]]&amp;" - "&amp;Tabella1[[#This Row],[Città]]</f>
        <v>LOCANDA SAN FRANCESCO COUNTRY HOUSE di ANNA BETTARELLI - MONTECAROTTO</v>
      </c>
    </row>
    <row r="4914" spans="1:8" x14ac:dyDescent="0.25">
      <c r="A4914" s="1" t="s">
        <v>35</v>
      </c>
      <c r="B4914" s="1" t="s">
        <v>11872</v>
      </c>
      <c r="C4914" s="1" t="s">
        <v>11873</v>
      </c>
      <c r="D4914" s="1" t="s">
        <v>11869</v>
      </c>
      <c r="E4914" s="1" t="s">
        <v>11874</v>
      </c>
      <c r="G4914" s="1" t="s">
        <v>11875</v>
      </c>
      <c r="H4914" s="2" t="str">
        <f>Tabella1[[#This Row],[Denominazione]]&amp;" - "&amp;Tabella1[[#This Row],[Città]]</f>
        <v>LOCANDA SAN ROCCO - GAGLIOLE</v>
      </c>
    </row>
    <row r="4915" spans="1:8" x14ac:dyDescent="0.25">
      <c r="A4915" s="1" t="s">
        <v>82</v>
      </c>
      <c r="B4915" s="1" t="s">
        <v>3285</v>
      </c>
      <c r="C4915" s="1" t="s">
        <v>3286</v>
      </c>
      <c r="D4915" s="1" t="s">
        <v>3282</v>
      </c>
      <c r="E4915" s="1" t="s">
        <v>3282</v>
      </c>
      <c r="H4915" s="2" t="str">
        <f>Tabella1[[#This Row],[Denominazione]]&amp;" - "&amp;Tabella1[[#This Row],[Città]]</f>
        <v>LOCANDA SANTA MUSTIOLA - PEGLIO</v>
      </c>
    </row>
    <row r="4916" spans="1:8" x14ac:dyDescent="0.25">
      <c r="A4916" s="1" t="s">
        <v>82</v>
      </c>
      <c r="B4916" s="1" t="s">
        <v>3757</v>
      </c>
      <c r="C4916" s="1" t="s">
        <v>3758</v>
      </c>
      <c r="D4916" s="1" t="s">
        <v>2386</v>
      </c>
      <c r="E4916" s="1" t="s">
        <v>2386</v>
      </c>
      <c r="H4916" s="2" t="str">
        <f>Tabella1[[#This Row],[Denominazione]]&amp;" - "&amp;Tabella1[[#This Row],[Città]]</f>
        <v>LOCANDA STOP - PESARO</v>
      </c>
    </row>
    <row r="4917" spans="1:8" x14ac:dyDescent="0.25">
      <c r="A4917" s="1" t="s">
        <v>6</v>
      </c>
      <c r="B4917" s="1" t="s">
        <v>9783</v>
      </c>
      <c r="C4917" s="1" t="s">
        <v>9784</v>
      </c>
      <c r="D4917" s="1" t="s">
        <v>8949</v>
      </c>
      <c r="E4917" s="1" t="s">
        <v>8949</v>
      </c>
      <c r="G4917" s="1" t="s">
        <v>9785</v>
      </c>
      <c r="H4917" s="2" t="str">
        <f>Tabella1[[#This Row],[Denominazione]]&amp;" - "&amp;Tabella1[[#This Row],[Città]]</f>
        <v>LOCANDA STRADA DELLA MARINA - SENIGALLIA</v>
      </c>
    </row>
    <row r="4918" spans="1:8" x14ac:dyDescent="0.25">
      <c r="A4918" s="1" t="s">
        <v>82</v>
      </c>
      <c r="B4918" s="1" t="s">
        <v>6900</v>
      </c>
      <c r="C4918" s="1" t="s">
        <v>6901</v>
      </c>
      <c r="D4918" s="1" t="s">
        <v>6790</v>
      </c>
      <c r="E4918" s="1" t="s">
        <v>6790</v>
      </c>
      <c r="G4918" s="1" t="s">
        <v>6902</v>
      </c>
      <c r="H4918" s="2" t="str">
        <f>Tabella1[[#This Row],[Denominazione]]&amp;" - "&amp;Tabella1[[#This Row],[Città]]</f>
        <v>LOCANDA TAVERNA DA IVO - FABRIANO</v>
      </c>
    </row>
    <row r="4919" spans="1:8" x14ac:dyDescent="0.25">
      <c r="A4919" s="1" t="s">
        <v>82</v>
      </c>
      <c r="B4919" s="1" t="s">
        <v>3984</v>
      </c>
      <c r="C4919" s="1" t="s">
        <v>3985</v>
      </c>
      <c r="D4919" s="1" t="s">
        <v>2386</v>
      </c>
      <c r="F4919" s="1" t="s">
        <v>3986</v>
      </c>
      <c r="G4919" s="1" t="s">
        <v>3987</v>
      </c>
      <c r="H4919" s="2" t="str">
        <f>Tabella1[[#This Row],[Denominazione]]&amp;" - "&amp;Tabella1[[#This Row],[Città]]</f>
        <v>LOCANDA TYPO - PESARO</v>
      </c>
    </row>
    <row r="4920" spans="1:8" x14ac:dyDescent="0.25">
      <c r="A4920" s="1" t="s">
        <v>29</v>
      </c>
      <c r="B4920" s="1" t="s">
        <v>6321</v>
      </c>
      <c r="D4920" s="1" t="s">
        <v>6290</v>
      </c>
      <c r="H4920" s="2" t="str">
        <f>Tabella1[[#This Row],[Denominazione]]&amp;" - "&amp;Tabella1[[#This Row],[Città]]</f>
        <v>L'OLIVO - CAMERANO</v>
      </c>
    </row>
    <row r="4921" spans="1:8" x14ac:dyDescent="0.25">
      <c r="A4921" s="1" t="s">
        <v>35</v>
      </c>
      <c r="B4921" s="1" t="s">
        <v>11049</v>
      </c>
      <c r="D4921" s="1" t="s">
        <v>11022</v>
      </c>
      <c r="E4921" s="1" t="s">
        <v>11050</v>
      </c>
      <c r="G4921" s="1" t="s">
        <v>11051</v>
      </c>
      <c r="H4921" s="2" t="str">
        <f>Tabella1[[#This Row],[Denominazione]]&amp;" - "&amp;Tabella1[[#This Row],[Città]]</f>
        <v>L'OMBRA DELLE QUERCE di BORRONI AURELIO - CESSAPALOMBO</v>
      </c>
    </row>
    <row r="4922" spans="1:8" x14ac:dyDescent="0.25">
      <c r="A4922" s="1" t="s">
        <v>35</v>
      </c>
      <c r="B4922" s="1" t="s">
        <v>335</v>
      </c>
      <c r="D4922" s="1" t="s">
        <v>316</v>
      </c>
      <c r="E4922" s="1" t="s">
        <v>336</v>
      </c>
      <c r="G4922" s="1" t="s">
        <v>337</v>
      </c>
      <c r="H4922" s="2" t="str">
        <f>Tabella1[[#This Row],[Denominazione]]&amp;" - "&amp;Tabella1[[#This Row],[Città]]</f>
        <v>L'ONCIA - CAGLI</v>
      </c>
    </row>
    <row r="4923" spans="1:8" x14ac:dyDescent="0.25">
      <c r="A4923" s="1" t="s">
        <v>82</v>
      </c>
      <c r="B4923" s="1" t="s">
        <v>1094</v>
      </c>
      <c r="C4923" s="1" t="s">
        <v>1095</v>
      </c>
      <c r="D4923" s="1" t="s">
        <v>682</v>
      </c>
      <c r="E4923" s="1" t="s">
        <v>682</v>
      </c>
      <c r="G4923" s="1" t="s">
        <v>1096</v>
      </c>
      <c r="H4923" s="2" t="str">
        <f>Tabella1[[#This Row],[Denominazione]]&amp;" - "&amp;Tabella1[[#This Row],[Città]]</f>
        <v>LOR.CYN. di RENZONI SILVIO &amp; C. S.A.S - FANO</v>
      </c>
    </row>
    <row r="4924" spans="1:8" x14ac:dyDescent="0.25">
      <c r="A4924" s="1" t="s">
        <v>12</v>
      </c>
      <c r="B4924" s="1" t="s">
        <v>6216</v>
      </c>
      <c r="C4924" s="1" t="s">
        <v>6217</v>
      </c>
      <c r="D4924" s="1" t="s">
        <v>6049</v>
      </c>
      <c r="E4924" s="1" t="s">
        <v>6049</v>
      </c>
      <c r="H4924" s="2" t="str">
        <f>Tabella1[[#This Row],[Denominazione]]&amp;" - "&amp;Tabella1[[#This Row],[Città]]</f>
        <v>LORENZETTI ANTONELLA - ARCEVIA</v>
      </c>
    </row>
    <row r="4925" spans="1:8" x14ac:dyDescent="0.25">
      <c r="A4925" s="1" t="s">
        <v>679</v>
      </c>
      <c r="B4925" s="1" t="s">
        <v>12859</v>
      </c>
      <c r="D4925" s="1" t="s">
        <v>12801</v>
      </c>
      <c r="F4925" s="1" t="s">
        <v>12860</v>
      </c>
      <c r="H4925" s="2" t="str">
        <f>Tabella1[[#This Row],[Denominazione]]&amp;" - "&amp;Tabella1[[#This Row],[Città]]</f>
        <v>LORENZO - PORTO RECANATI</v>
      </c>
    </row>
    <row r="4926" spans="1:8" x14ac:dyDescent="0.25">
      <c r="A4926" s="1" t="s">
        <v>20</v>
      </c>
      <c r="B4926" s="1" t="s">
        <v>7385</v>
      </c>
      <c r="C4926" s="1" t="s">
        <v>7425</v>
      </c>
      <c r="D4926" s="1" t="s">
        <v>7385</v>
      </c>
      <c r="E4926" s="1" t="s">
        <v>7385</v>
      </c>
      <c r="F4926" s="1" t="s">
        <v>7426</v>
      </c>
      <c r="G4926" s="1" t="s">
        <v>7427</v>
      </c>
      <c r="H4926" s="2" t="str">
        <f>Tabella1[[#This Row],[Denominazione]]&amp;" - "&amp;Tabella1[[#This Row],[Città]]</f>
        <v>LORETO - LORETO</v>
      </c>
    </row>
    <row r="4927" spans="1:8" x14ac:dyDescent="0.25">
      <c r="A4927" s="1" t="s">
        <v>82</v>
      </c>
      <c r="B4927" s="1" t="s">
        <v>3287</v>
      </c>
      <c r="C4927" s="1" t="s">
        <v>3288</v>
      </c>
      <c r="D4927" s="1" t="s">
        <v>3282</v>
      </c>
      <c r="E4927" s="1" t="s">
        <v>3282</v>
      </c>
      <c r="F4927" s="1" t="s">
        <v>3289</v>
      </c>
      <c r="G4927" s="1" t="s">
        <v>3290</v>
      </c>
      <c r="H4927" s="2" t="str">
        <f>Tabella1[[#This Row],[Denominazione]]&amp;" - "&amp;Tabella1[[#This Row],[Città]]</f>
        <v>L'ORIZZONTE - PEGLIO</v>
      </c>
    </row>
    <row r="4928" spans="1:8" x14ac:dyDescent="0.25">
      <c r="A4928" s="1" t="s">
        <v>679</v>
      </c>
      <c r="B4928" s="1" t="s">
        <v>15996</v>
      </c>
      <c r="D4928" s="1" t="s">
        <v>5692</v>
      </c>
      <c r="E4928" s="1" t="s">
        <v>15997</v>
      </c>
      <c r="H4928" s="2" t="str">
        <f>Tabella1[[#This Row],[Denominazione]]&amp;" - "&amp;Tabella1[[#This Row],[Città]]</f>
        <v>LOTTO N.2 - MASSIGNANO</v>
      </c>
    </row>
    <row r="4929" spans="1:8" x14ac:dyDescent="0.25">
      <c r="A4929" s="1" t="s">
        <v>679</v>
      </c>
      <c r="B4929" s="1" t="s">
        <v>15999</v>
      </c>
      <c r="D4929" s="1" t="s">
        <v>5692</v>
      </c>
      <c r="E4929" s="1" t="s">
        <v>15997</v>
      </c>
      <c r="H4929" s="2" t="str">
        <f>Tabella1[[#This Row],[Denominazione]]&amp;" - "&amp;Tabella1[[#This Row],[Città]]</f>
        <v>LOTTO N.3 - MASSIGNANO</v>
      </c>
    </row>
    <row r="4930" spans="1:8" x14ac:dyDescent="0.25">
      <c r="A4930" s="1" t="s">
        <v>679</v>
      </c>
      <c r="B4930" s="1" t="s">
        <v>15998</v>
      </c>
      <c r="D4930" s="1" t="s">
        <v>5692</v>
      </c>
      <c r="E4930" s="1" t="s">
        <v>15997</v>
      </c>
      <c r="H4930" s="2" t="str">
        <f>Tabella1[[#This Row],[Denominazione]]&amp;" - "&amp;Tabella1[[#This Row],[Città]]</f>
        <v>LOTTO N.4 - MASSIGNANO</v>
      </c>
    </row>
    <row r="4931" spans="1:8" x14ac:dyDescent="0.25">
      <c r="A4931" s="1" t="s">
        <v>12</v>
      </c>
      <c r="B4931" s="1" t="s">
        <v>6233</v>
      </c>
      <c r="C4931" s="1" t="s">
        <v>6234</v>
      </c>
      <c r="D4931" s="1" t="s">
        <v>6049</v>
      </c>
      <c r="E4931" s="1" t="s">
        <v>6100</v>
      </c>
      <c r="G4931" s="1" t="s">
        <v>6235</v>
      </c>
      <c r="H4931" s="2" t="str">
        <f>Tabella1[[#This Row],[Denominazione]]&amp;" - "&amp;Tabella1[[#This Row],[Città]]</f>
        <v>LOVANIO BELARDINELLI - ARCEVIA</v>
      </c>
    </row>
    <row r="4932" spans="1:8" x14ac:dyDescent="0.25">
      <c r="A4932" s="1" t="s">
        <v>29</v>
      </c>
      <c r="B4932" s="1" t="s">
        <v>16643</v>
      </c>
      <c r="C4932" s="1" t="s">
        <v>16644</v>
      </c>
      <c r="D4932" s="1" t="s">
        <v>16585</v>
      </c>
      <c r="G4932" s="1" t="s">
        <v>16645</v>
      </c>
      <c r="H4932" s="2" t="str">
        <f>Tabella1[[#This Row],[Denominazione]]&amp;" - "&amp;Tabella1[[#This Row],[Città]]</f>
        <v>LU CUCCELO' HOUSE - RIPATRANSONE</v>
      </c>
    </row>
    <row r="4933" spans="1:8" x14ac:dyDescent="0.25">
      <c r="A4933" s="1" t="s">
        <v>29</v>
      </c>
      <c r="B4933" s="1" t="s">
        <v>18468</v>
      </c>
      <c r="C4933" s="1" t="s">
        <v>18469</v>
      </c>
      <c r="D4933" s="1" t="s">
        <v>18463</v>
      </c>
      <c r="E4933" s="1" t="s">
        <v>18463</v>
      </c>
      <c r="F4933" s="1" t="s">
        <v>18470</v>
      </c>
      <c r="G4933" s="1" t="s">
        <v>18471</v>
      </c>
      <c r="H4933" s="2" t="str">
        <f>Tabella1[[#This Row],[Denominazione]]&amp;" - "&amp;Tabella1[[#This Row],[Città]]</f>
        <v>LU GRILLO HOLIDAY - MAGLIANO DI TENNA</v>
      </c>
    </row>
    <row r="4934" spans="1:8" x14ac:dyDescent="0.25">
      <c r="A4934" s="1" t="s">
        <v>12</v>
      </c>
      <c r="B4934" s="1" t="s">
        <v>15015</v>
      </c>
      <c r="C4934" s="1" t="s">
        <v>15016</v>
      </c>
      <c r="D4934" s="1" t="s">
        <v>14576</v>
      </c>
      <c r="G4934" s="1" t="s">
        <v>15017</v>
      </c>
      <c r="H4934" s="2" t="str">
        <f>Tabella1[[#This Row],[Denominazione]]&amp;" - "&amp;Tabella1[[#This Row],[Città]]</f>
        <v>LUCA GIUSEPPE GENTILE - ASCOLI PICENO</v>
      </c>
    </row>
    <row r="4935" spans="1:8" x14ac:dyDescent="0.25">
      <c r="A4935" s="1" t="s">
        <v>35</v>
      </c>
      <c r="B4935" s="1" t="s">
        <v>12167</v>
      </c>
      <c r="C4935" s="1" t="s">
        <v>12168</v>
      </c>
      <c r="D4935" s="1" t="s">
        <v>12050</v>
      </c>
      <c r="E4935" s="1" t="s">
        <v>12050</v>
      </c>
      <c r="G4935" s="1" t="s">
        <v>12169</v>
      </c>
      <c r="H4935" s="2" t="str">
        <f>Tabella1[[#This Row],[Denominazione]]&amp;" - "&amp;Tabella1[[#This Row],[Città]]</f>
        <v>LUCANGELI VIRGILIO - MACERATA</v>
      </c>
    </row>
    <row r="4936" spans="1:8" x14ac:dyDescent="0.25">
      <c r="A4936" s="1" t="s">
        <v>6</v>
      </c>
      <c r="B4936" s="1" t="s">
        <v>158</v>
      </c>
      <c r="C4936" s="1" t="s">
        <v>159</v>
      </c>
      <c r="D4936" s="1" t="s">
        <v>102</v>
      </c>
      <c r="E4936" s="1" t="s">
        <v>102</v>
      </c>
      <c r="G4936" s="1" t="s">
        <v>160</v>
      </c>
      <c r="H4936" s="2" t="str">
        <f>Tabella1[[#This Row],[Denominazione]]&amp;" - "&amp;Tabella1[[#This Row],[Città]]</f>
        <v>LUCARAIA - APECCHIO</v>
      </c>
    </row>
    <row r="4937" spans="1:8" x14ac:dyDescent="0.25">
      <c r="A4937" s="1" t="s">
        <v>12</v>
      </c>
      <c r="B4937" s="1" t="s">
        <v>8372</v>
      </c>
      <c r="C4937" s="1" t="s">
        <v>8373</v>
      </c>
      <c r="D4937" s="1" t="s">
        <v>7889</v>
      </c>
      <c r="E4937" s="1" t="s">
        <v>7895</v>
      </c>
      <c r="G4937" s="1" t="s">
        <v>8374</v>
      </c>
      <c r="H4937" s="2" t="str">
        <f>Tabella1[[#This Row],[Denominazione]]&amp;" - "&amp;Tabella1[[#This Row],[Città]]</f>
        <v>LUCESOLE MAILA - NUMANA</v>
      </c>
    </row>
    <row r="4938" spans="1:8" x14ac:dyDescent="0.25">
      <c r="A4938" s="1" t="s">
        <v>12</v>
      </c>
      <c r="B4938" s="1" t="s">
        <v>12295</v>
      </c>
      <c r="D4938" s="1" t="s">
        <v>12290</v>
      </c>
      <c r="H4938" s="2" t="str">
        <f>Tabella1[[#This Row],[Denominazione]]&amp;" - "&amp;Tabella1[[#This Row],[Città]]</f>
        <v>LUCHETTI EMILIO - MOGLIANO</v>
      </c>
    </row>
    <row r="4939" spans="1:8" x14ac:dyDescent="0.25">
      <c r="A4939" s="1" t="s">
        <v>20</v>
      </c>
      <c r="B4939" s="1" t="s">
        <v>9737</v>
      </c>
      <c r="C4939" s="1" t="s">
        <v>9738</v>
      </c>
      <c r="D4939" s="1" t="s">
        <v>8949</v>
      </c>
      <c r="E4939" s="1" t="s">
        <v>8949</v>
      </c>
      <c r="F4939" s="1" t="s">
        <v>9739</v>
      </c>
      <c r="G4939" s="1" t="s">
        <v>9740</v>
      </c>
      <c r="H4939" s="2" t="str">
        <f>Tabella1[[#This Row],[Denominazione]]&amp;" - "&amp;Tabella1[[#This Row],[Città]]</f>
        <v>LUCIA - SENIGALLIA</v>
      </c>
    </row>
    <row r="4940" spans="1:8" x14ac:dyDescent="0.25">
      <c r="A4940" s="1" t="s">
        <v>12</v>
      </c>
      <c r="B4940" s="1" t="s">
        <v>2954</v>
      </c>
      <c r="C4940" s="1" t="s">
        <v>2955</v>
      </c>
      <c r="D4940" s="1" t="s">
        <v>1605</v>
      </c>
      <c r="E4940" s="1" t="s">
        <v>2816</v>
      </c>
      <c r="G4940" s="1" t="s">
        <v>2956</v>
      </c>
      <c r="H4940" s="2" t="str">
        <f>Tabella1[[#This Row],[Denominazione]]&amp;" - "&amp;Tabella1[[#This Row],[Città]]</f>
        <v>LUCIA GATTI - MONDOLFO</v>
      </c>
    </row>
    <row r="4941" spans="1:8" x14ac:dyDescent="0.25">
      <c r="A4941" s="1" t="s">
        <v>12</v>
      </c>
      <c r="B4941" s="1" t="s">
        <v>16485</v>
      </c>
      <c r="C4941" s="1" t="s">
        <v>16486</v>
      </c>
      <c r="D4941" s="1" t="s">
        <v>16440</v>
      </c>
      <c r="G4941" s="1" t="s">
        <v>16487</v>
      </c>
      <c r="H4941" s="2" t="str">
        <f>Tabella1[[#This Row],[Denominazione]]&amp;" - "&amp;Tabella1[[#This Row],[Città]]</f>
        <v>LUCIA PELLEI - OFFIDA</v>
      </c>
    </row>
    <row r="4942" spans="1:8" x14ac:dyDescent="0.25">
      <c r="A4942" s="1" t="s">
        <v>29</v>
      </c>
      <c r="B4942" s="1" t="s">
        <v>13922</v>
      </c>
      <c r="C4942" s="1" t="s">
        <v>13923</v>
      </c>
      <c r="D4942" s="1" t="s">
        <v>13894</v>
      </c>
      <c r="E4942" s="1" t="s">
        <v>13894</v>
      </c>
      <c r="G4942" s="1" t="s">
        <v>13924</v>
      </c>
      <c r="H4942" s="2" t="str">
        <f>Tabella1[[#This Row],[Denominazione]]&amp;" - "&amp;Tabella1[[#This Row],[Città]]</f>
        <v>Lucrezia &amp; Cesare Borgia di Sandro Marchionni - SERRAPETRONA</v>
      </c>
    </row>
    <row r="4943" spans="1:8" x14ac:dyDescent="0.25">
      <c r="A4943" s="1" t="s">
        <v>679</v>
      </c>
      <c r="B4943" s="1" t="s">
        <v>11612</v>
      </c>
      <c r="C4943" s="1" t="s">
        <v>11613</v>
      </c>
      <c r="D4943" s="1" t="s">
        <v>11244</v>
      </c>
      <c r="E4943" s="1" t="s">
        <v>11244</v>
      </c>
      <c r="H4943" s="2" t="str">
        <f>Tabella1[[#This Row],[Denominazione]]&amp;" - "&amp;Tabella1[[#This Row],[Città]]</f>
        <v>LUIGI XIV - RE SOLE - CIVITANOVA MARCHE</v>
      </c>
    </row>
    <row r="4944" spans="1:8" x14ac:dyDescent="0.25">
      <c r="A4944" s="1" t="s">
        <v>29</v>
      </c>
      <c r="B4944" s="1" t="s">
        <v>9025</v>
      </c>
      <c r="C4944" s="1" t="s">
        <v>9026</v>
      </c>
      <c r="D4944" s="1" t="s">
        <v>8949</v>
      </c>
      <c r="E4944" s="1" t="s">
        <v>9027</v>
      </c>
      <c r="G4944" s="1" t="s">
        <v>9028</v>
      </c>
      <c r="H4944" s="2" t="str">
        <f>Tabella1[[#This Row],[Denominazione]]&amp;" - "&amp;Tabella1[[#This Row],[Città]]</f>
        <v>LULICANDA - SENIGALLIA</v>
      </c>
    </row>
    <row r="4945" spans="1:8" x14ac:dyDescent="0.25">
      <c r="A4945" s="1" t="s">
        <v>29</v>
      </c>
      <c r="B4945" s="1" t="s">
        <v>17977</v>
      </c>
      <c r="C4945" s="1" t="s">
        <v>17978</v>
      </c>
      <c r="D4945" s="1" t="s">
        <v>17932</v>
      </c>
      <c r="E4945" s="1" t="s">
        <v>17932</v>
      </c>
      <c r="H4945" s="2" t="str">
        <f>Tabella1[[#This Row],[Denominazione]]&amp;" - "&amp;Tabella1[[#This Row],[Città]]</f>
        <v>L'ULIVETO - FERMO</v>
      </c>
    </row>
    <row r="4946" spans="1:8" x14ac:dyDescent="0.25">
      <c r="A4946" s="1" t="s">
        <v>35</v>
      </c>
      <c r="B4946" s="1" t="s">
        <v>7585</v>
      </c>
      <c r="C4946" s="1" t="s">
        <v>7586</v>
      </c>
      <c r="D4946" s="1" t="s">
        <v>7571</v>
      </c>
      <c r="E4946" s="1" t="s">
        <v>7571</v>
      </c>
      <c r="F4946" s="1" t="s">
        <v>7587</v>
      </c>
      <c r="G4946" s="1" t="s">
        <v>7588</v>
      </c>
      <c r="H4946" s="2" t="str">
        <f>Tabella1[[#This Row],[Denominazione]]&amp;" - "&amp;Tabella1[[#This Row],[Città]]</f>
        <v>L'ULIVO - MAIOLATI SPONTINI</v>
      </c>
    </row>
    <row r="4947" spans="1:8" x14ac:dyDescent="0.25">
      <c r="A4947" s="1" t="s">
        <v>35</v>
      </c>
      <c r="B4947" s="1" t="s">
        <v>18448</v>
      </c>
      <c r="C4947" s="1" t="s">
        <v>18449</v>
      </c>
      <c r="D4947" s="1" t="s">
        <v>18389</v>
      </c>
      <c r="E4947" s="1" t="s">
        <v>18389</v>
      </c>
      <c r="G4947" s="1" t="s">
        <v>18450</v>
      </c>
      <c r="H4947" s="2" t="str">
        <f>Tabella1[[#This Row],[Denominazione]]&amp;" - "&amp;Tabella1[[#This Row],[Città]]</f>
        <v>L'ULIVO DI NONNO PIZZU' - LAPEDONA</v>
      </c>
    </row>
    <row r="4948" spans="1:8" x14ac:dyDescent="0.25">
      <c r="A4948" s="1" t="s">
        <v>20</v>
      </c>
      <c r="B4948" s="1" t="s">
        <v>6518</v>
      </c>
      <c r="C4948" s="1" t="s">
        <v>6519</v>
      </c>
      <c r="D4948" s="1" t="s">
        <v>6520</v>
      </c>
      <c r="E4948" s="1" t="s">
        <v>6520</v>
      </c>
      <c r="F4948" s="1" t="s">
        <v>6521</v>
      </c>
      <c r="G4948" s="1" t="s">
        <v>6522</v>
      </c>
      <c r="H4948" s="2" t="str">
        <f>Tabella1[[#This Row],[Denominazione]]&amp;" - "&amp;Tabella1[[#This Row],[Città]]</f>
        <v>LUMINARI - CHIARAVALLE</v>
      </c>
    </row>
    <row r="4949" spans="1:8" x14ac:dyDescent="0.25">
      <c r="A4949" s="1" t="s">
        <v>679</v>
      </c>
      <c r="B4949" s="1" t="s">
        <v>19466</v>
      </c>
      <c r="D4949" s="1" t="s">
        <v>19283</v>
      </c>
      <c r="H4949" s="2" t="str">
        <f>Tabella1[[#This Row],[Denominazione]]&amp;" - "&amp;Tabella1[[#This Row],[Città]]</f>
        <v>LUNA ROSSA SNC - PORTO SANT'ELPIDIO</v>
      </c>
    </row>
    <row r="4950" spans="1:8" x14ac:dyDescent="0.25">
      <c r="A4950" s="1" t="s">
        <v>29</v>
      </c>
      <c r="B4950" s="1" t="s">
        <v>9464</v>
      </c>
      <c r="C4950" s="1" t="s">
        <v>9465</v>
      </c>
      <c r="D4950" s="1" t="s">
        <v>8949</v>
      </c>
      <c r="E4950" s="1" t="s">
        <v>8949</v>
      </c>
      <c r="F4950" s="1" t="s">
        <v>9466</v>
      </c>
      <c r="G4950" s="1" t="s">
        <v>9467</v>
      </c>
      <c r="H4950" s="2" t="str">
        <f>Tabella1[[#This Row],[Denominazione]]&amp;" - "&amp;Tabella1[[#This Row],[Città]]</f>
        <v>LUNAZZURRA - SENIGALLIA</v>
      </c>
    </row>
    <row r="4951" spans="1:8" x14ac:dyDescent="0.25">
      <c r="A4951" s="1" t="s">
        <v>20</v>
      </c>
      <c r="B4951" s="1" t="s">
        <v>2306</v>
      </c>
      <c r="C4951" s="1" t="s">
        <v>2307</v>
      </c>
      <c r="D4951" s="1" t="s">
        <v>1907</v>
      </c>
      <c r="E4951" s="1" t="s">
        <v>1907</v>
      </c>
      <c r="F4951" s="1" t="s">
        <v>2176</v>
      </c>
      <c r="G4951" s="1" t="s">
        <v>2177</v>
      </c>
      <c r="H4951" s="2" t="str">
        <f>Tabella1[[#This Row],[Denominazione]]&amp;" - "&amp;Tabella1[[#This Row],[Città]]</f>
        <v>M GLAMOUR HOTEL - GABICCE MARE</v>
      </c>
    </row>
    <row r="4952" spans="1:8" x14ac:dyDescent="0.25">
      <c r="A4952" s="1" t="s">
        <v>35</v>
      </c>
      <c r="B4952" s="1" t="s">
        <v>18977</v>
      </c>
      <c r="C4952" s="1" t="s">
        <v>18978</v>
      </c>
      <c r="D4952" s="1" t="s">
        <v>18971</v>
      </c>
      <c r="E4952" s="1" t="s">
        <v>18971</v>
      </c>
      <c r="F4952" s="1" t="s">
        <v>18979</v>
      </c>
      <c r="G4952" s="1" t="s">
        <v>18980</v>
      </c>
      <c r="H4952" s="2" t="str">
        <f>Tabella1[[#This Row],[Denominazione]]&amp;" - "&amp;Tabella1[[#This Row],[Città]]</f>
        <v>M.E.S. - AZIENDA AGRICOLA DI CICCHESE PAOLA - PETRITOLI</v>
      </c>
    </row>
    <row r="4953" spans="1:8" x14ac:dyDescent="0.25">
      <c r="A4953" s="1" t="s">
        <v>12</v>
      </c>
      <c r="B4953" s="1" t="s">
        <v>854</v>
      </c>
      <c r="C4953" s="1" t="s">
        <v>855</v>
      </c>
      <c r="D4953" s="1" t="s">
        <v>682</v>
      </c>
      <c r="G4953" s="1" t="s">
        <v>856</v>
      </c>
      <c r="H4953" s="2" t="str">
        <f>Tabella1[[#This Row],[Denominazione]]&amp;" - "&amp;Tabella1[[#This Row],[Città]]</f>
        <v>MACCARI DANILO - FANO</v>
      </c>
    </row>
    <row r="4954" spans="1:8" x14ac:dyDescent="0.25">
      <c r="A4954" s="1" t="s">
        <v>679</v>
      </c>
      <c r="B4954" s="1" t="s">
        <v>7753</v>
      </c>
      <c r="C4954" s="1" t="s">
        <v>7754</v>
      </c>
      <c r="D4954" s="1" t="s">
        <v>7718</v>
      </c>
      <c r="E4954" s="1" t="s">
        <v>7748</v>
      </c>
      <c r="H4954" s="2" t="str">
        <f>Tabella1[[#This Row],[Denominazione]]&amp;" - "&amp;Tabella1[[#This Row],[Città]]</f>
        <v>MADAME - MONTEMARCIANO</v>
      </c>
    </row>
    <row r="4955" spans="1:8" x14ac:dyDescent="0.25">
      <c r="A4955" s="1" t="s">
        <v>20</v>
      </c>
      <c r="B4955" s="1" t="s">
        <v>2186</v>
      </c>
      <c r="C4955" s="1" t="s">
        <v>208</v>
      </c>
      <c r="D4955" s="1" t="s">
        <v>1907</v>
      </c>
      <c r="E4955" s="1" t="s">
        <v>1907</v>
      </c>
      <c r="F4955" s="1" t="s">
        <v>2187</v>
      </c>
      <c r="G4955" s="1" t="s">
        <v>2188</v>
      </c>
      <c r="H4955" s="2" t="str">
        <f>Tabella1[[#This Row],[Denominazione]]&amp;" - "&amp;Tabella1[[#This Row],[Città]]</f>
        <v>MADISON - GABICCE MARE</v>
      </c>
    </row>
    <row r="4956" spans="1:8" x14ac:dyDescent="0.25">
      <c r="A4956" s="1" t="s">
        <v>190</v>
      </c>
      <c r="B4956" s="1" t="s">
        <v>17380</v>
      </c>
      <c r="C4956" s="1" t="s">
        <v>17381</v>
      </c>
      <c r="D4956" s="1" t="s">
        <v>15819</v>
      </c>
      <c r="E4956" s="1" t="s">
        <v>15819</v>
      </c>
      <c r="F4956" s="1" t="s">
        <v>17382</v>
      </c>
      <c r="G4956" s="1" t="s">
        <v>17383</v>
      </c>
      <c r="H4956" s="2" t="str">
        <f>Tabella1[[#This Row],[Denominazione]]&amp;" - "&amp;Tabella1[[#This Row],[Città]]</f>
        <v>MADONNA DEL SS. SACRAMENTO - SAN BENEDETTO DEL TRONTO</v>
      </c>
    </row>
    <row r="4957" spans="1:8" x14ac:dyDescent="0.25">
      <c r="A4957" s="1" t="s">
        <v>35</v>
      </c>
      <c r="B4957" s="1" t="s">
        <v>6511</v>
      </c>
      <c r="C4957" s="1" t="s">
        <v>6512</v>
      </c>
      <c r="D4957" s="1" t="s">
        <v>6497</v>
      </c>
      <c r="E4957" s="1" t="s">
        <v>6508</v>
      </c>
      <c r="G4957" s="1" t="s">
        <v>6513</v>
      </c>
      <c r="H4957" s="2" t="str">
        <f>Tabella1[[#This Row],[Denominazione]]&amp;" - "&amp;Tabella1[[#This Row],[Città]]</f>
        <v>MADONNA DEL VECCHIO MORO - CERRETO D'ESI</v>
      </c>
    </row>
    <row r="4958" spans="1:8" x14ac:dyDescent="0.25">
      <c r="A4958" s="1" t="s">
        <v>12</v>
      </c>
      <c r="B4958" s="1" t="s">
        <v>1600</v>
      </c>
      <c r="C4958" s="1" t="s">
        <v>1601</v>
      </c>
      <c r="D4958" s="1" t="s">
        <v>682</v>
      </c>
      <c r="E4958" s="1" t="s">
        <v>1602</v>
      </c>
      <c r="H4958" s="2" t="str">
        <f>Tabella1[[#This Row],[Denominazione]]&amp;" - "&amp;Tabella1[[#This Row],[Città]]</f>
        <v>MAGGIOLI GIULIANA - FANO</v>
      </c>
    </row>
    <row r="4959" spans="1:8" x14ac:dyDescent="0.25">
      <c r="A4959" s="1" t="s">
        <v>12</v>
      </c>
      <c r="B4959" s="1" t="s">
        <v>525</v>
      </c>
      <c r="D4959" s="1" t="s">
        <v>316</v>
      </c>
      <c r="G4959" s="1" t="s">
        <v>526</v>
      </c>
      <c r="H4959" s="2" t="str">
        <f>Tabella1[[#This Row],[Denominazione]]&amp;" - "&amp;Tabella1[[#This Row],[Città]]</f>
        <v>MAGGIOLI GIUSEPPE E SERAFINI DORIANA - CAGLI</v>
      </c>
    </row>
    <row r="4960" spans="1:8" x14ac:dyDescent="0.25">
      <c r="A4960" s="1" t="s">
        <v>12</v>
      </c>
      <c r="B4960" s="1" t="s">
        <v>9014</v>
      </c>
      <c r="C4960" s="1" t="s">
        <v>9015</v>
      </c>
      <c r="D4960" s="1" t="s">
        <v>8949</v>
      </c>
      <c r="E4960" s="1" t="s">
        <v>8949</v>
      </c>
      <c r="G4960" s="1" t="s">
        <v>9016</v>
      </c>
      <c r="H4960" s="2" t="str">
        <f>Tabella1[[#This Row],[Denominazione]]&amp;" - "&amp;Tabella1[[#This Row],[Città]]</f>
        <v>MAGI MARIA APP.TO VIA ARIOSTO - SENIGALLIA</v>
      </c>
    </row>
    <row r="4961" spans="1:8" x14ac:dyDescent="0.25">
      <c r="A4961" s="1" t="s">
        <v>12</v>
      </c>
      <c r="B4961" s="1" t="s">
        <v>9017</v>
      </c>
      <c r="C4961" s="1" t="s">
        <v>9018</v>
      </c>
      <c r="D4961" s="1" t="s">
        <v>8949</v>
      </c>
      <c r="E4961" s="1" t="s">
        <v>8949</v>
      </c>
      <c r="G4961" s="1" t="s">
        <v>9016</v>
      </c>
      <c r="H4961" s="2" t="str">
        <f>Tabella1[[#This Row],[Denominazione]]&amp;" - "&amp;Tabella1[[#This Row],[Città]]</f>
        <v>MAGI MARIA APP.TO VIA FOGAZZARO - SENIGALLIA</v>
      </c>
    </row>
    <row r="4962" spans="1:8" x14ac:dyDescent="0.25">
      <c r="A4962" s="1" t="s">
        <v>12</v>
      </c>
      <c r="B4962" s="1" t="s">
        <v>3573</v>
      </c>
      <c r="C4962" s="1" t="s">
        <v>3574</v>
      </c>
      <c r="D4962" s="1" t="s">
        <v>2386</v>
      </c>
      <c r="E4962" s="1" t="s">
        <v>2386</v>
      </c>
      <c r="G4962" s="1" t="s">
        <v>3527</v>
      </c>
      <c r="H4962" s="2" t="str">
        <f>Tabella1[[#This Row],[Denominazione]]&amp;" - "&amp;Tabella1[[#This Row],[Città]]</f>
        <v>MAGI MARIA GRAZIA - PESARO</v>
      </c>
    </row>
    <row r="4963" spans="1:8" x14ac:dyDescent="0.25">
      <c r="A4963" s="1" t="s">
        <v>20</v>
      </c>
      <c r="B4963" s="1" t="s">
        <v>7209</v>
      </c>
      <c r="C4963" s="1" t="s">
        <v>7210</v>
      </c>
      <c r="D4963" s="1" t="s">
        <v>7200</v>
      </c>
      <c r="E4963" s="1" t="s">
        <v>7200</v>
      </c>
      <c r="F4963" s="1" t="s">
        <v>7211</v>
      </c>
      <c r="G4963" s="1" t="s">
        <v>7212</v>
      </c>
      <c r="H4963" s="2" t="str">
        <f>Tabella1[[#This Row],[Denominazione]]&amp;" - "&amp;Tabella1[[#This Row],[Città]]</f>
        <v>MAGRINI DELLA GENGA - GENGA</v>
      </c>
    </row>
    <row r="4964" spans="1:8" x14ac:dyDescent="0.25">
      <c r="A4964" s="1" t="s">
        <v>12</v>
      </c>
      <c r="B4964" s="1" t="s">
        <v>698</v>
      </c>
      <c r="C4964" s="1" t="s">
        <v>699</v>
      </c>
      <c r="D4964" s="1" t="s">
        <v>682</v>
      </c>
      <c r="E4964" s="1" t="s">
        <v>682</v>
      </c>
      <c r="G4964" s="1" t="s">
        <v>700</v>
      </c>
      <c r="H4964" s="2" t="str">
        <f>Tabella1[[#This Row],[Denominazione]]&amp;" - "&amp;Tabella1[[#This Row],[Città]]</f>
        <v>MAGRINI INES - FANO</v>
      </c>
    </row>
    <row r="4965" spans="1:8" x14ac:dyDescent="0.25">
      <c r="A4965" s="1" t="s">
        <v>12</v>
      </c>
      <c r="B4965" s="1" t="s">
        <v>9199</v>
      </c>
      <c r="C4965" s="1" t="s">
        <v>9200</v>
      </c>
      <c r="D4965" s="1" t="s">
        <v>8949</v>
      </c>
      <c r="E4965" s="1" t="s">
        <v>8949</v>
      </c>
      <c r="G4965" s="1" t="s">
        <v>9037</v>
      </c>
      <c r="H4965" s="2" t="str">
        <f>Tabella1[[#This Row],[Denominazione]]&amp;" - "&amp;Tabella1[[#This Row],[Città]]</f>
        <v>MAIOLATESI GIAMPAOLO - SENIGALLIA</v>
      </c>
    </row>
    <row r="4966" spans="1:8" x14ac:dyDescent="0.25">
      <c r="A4966" s="1" t="s">
        <v>82</v>
      </c>
      <c r="B4966" s="1" t="s">
        <v>7371</v>
      </c>
      <c r="C4966" s="1" t="s">
        <v>7372</v>
      </c>
      <c r="D4966" s="1" t="s">
        <v>7254</v>
      </c>
      <c r="E4966" s="1" t="s">
        <v>7254</v>
      </c>
      <c r="G4966" s="1" t="s">
        <v>7373</v>
      </c>
      <c r="H4966" s="2" t="str">
        <f>Tabella1[[#This Row],[Denominazione]]&amp;" - "&amp;Tabella1[[#This Row],[Città]]</f>
        <v>MAISON 022 - JESI</v>
      </c>
    </row>
    <row r="4967" spans="1:8" x14ac:dyDescent="0.25">
      <c r="A4967" s="1" t="s">
        <v>29</v>
      </c>
      <c r="B4967" s="1" t="s">
        <v>15141</v>
      </c>
      <c r="C4967" s="1" t="s">
        <v>15142</v>
      </c>
      <c r="D4967" s="1" t="s">
        <v>15129</v>
      </c>
      <c r="E4967" s="1" t="s">
        <v>15129</v>
      </c>
      <c r="G4967" s="1" t="s">
        <v>15143</v>
      </c>
      <c r="H4967" s="2" t="str">
        <f>Tabella1[[#This Row],[Denominazione]]&amp;" - "&amp;Tabella1[[#This Row],[Città]]</f>
        <v>MAISON DIAMANTI - CASTEL DI LAMA</v>
      </c>
    </row>
    <row r="4968" spans="1:8" x14ac:dyDescent="0.25">
      <c r="A4968" s="1" t="s">
        <v>20</v>
      </c>
      <c r="B4968" s="1" t="s">
        <v>2189</v>
      </c>
      <c r="C4968" s="1" t="s">
        <v>2190</v>
      </c>
      <c r="D4968" s="1" t="s">
        <v>1907</v>
      </c>
      <c r="E4968" s="1" t="s">
        <v>1907</v>
      </c>
      <c r="F4968" s="1" t="s">
        <v>2191</v>
      </c>
      <c r="G4968" s="1" t="s">
        <v>2192</v>
      </c>
      <c r="H4968" s="2" t="str">
        <f>Tabella1[[#This Row],[Denominazione]]&amp;" - "&amp;Tabella1[[#This Row],[Città]]</f>
        <v>MAJESTIC - GABICCE MARE</v>
      </c>
    </row>
    <row r="4969" spans="1:8" x14ac:dyDescent="0.25">
      <c r="A4969" s="1" t="s">
        <v>20</v>
      </c>
      <c r="B4969" s="1" t="s">
        <v>2189</v>
      </c>
      <c r="C4969" s="1" t="s">
        <v>9602</v>
      </c>
      <c r="D4969" s="1" t="s">
        <v>8949</v>
      </c>
      <c r="E4969" s="1" t="s">
        <v>8949</v>
      </c>
      <c r="F4969" s="1" t="s">
        <v>9603</v>
      </c>
      <c r="G4969" s="1" t="s">
        <v>9604</v>
      </c>
      <c r="H4969" s="2" t="str">
        <f>Tabella1[[#This Row],[Denominazione]]&amp;" - "&amp;Tabella1[[#This Row],[Città]]</f>
        <v>MAJESTIC - SENIGALLIA</v>
      </c>
    </row>
    <row r="4970" spans="1:8" x14ac:dyDescent="0.25">
      <c r="A4970" s="1" t="s">
        <v>20</v>
      </c>
      <c r="B4970" s="1" t="s">
        <v>2193</v>
      </c>
      <c r="C4970" s="1" t="s">
        <v>2194</v>
      </c>
      <c r="D4970" s="1" t="s">
        <v>1907</v>
      </c>
      <c r="E4970" s="1" t="s">
        <v>1907</v>
      </c>
      <c r="F4970" s="1" t="s">
        <v>2191</v>
      </c>
      <c r="G4970" s="1" t="s">
        <v>2192</v>
      </c>
      <c r="H4970" s="2" t="str">
        <f>Tabella1[[#This Row],[Denominazione]]&amp;" - "&amp;Tabella1[[#This Row],[Città]]</f>
        <v>MAJESTIC DIPENDENZA - GABICCE MARE</v>
      </c>
    </row>
    <row r="4971" spans="1:8" x14ac:dyDescent="0.25">
      <c r="A4971" s="1" t="s">
        <v>20</v>
      </c>
      <c r="B4971" s="1" t="s">
        <v>2327</v>
      </c>
      <c r="C4971" s="1" t="s">
        <v>2328</v>
      </c>
      <c r="D4971" s="1" t="s">
        <v>1907</v>
      </c>
      <c r="E4971" s="1" t="s">
        <v>1907</v>
      </c>
      <c r="F4971" s="1" t="s">
        <v>2329</v>
      </c>
      <c r="G4971" s="1" t="s">
        <v>2330</v>
      </c>
      <c r="H4971" s="2" t="str">
        <f>Tabella1[[#This Row],[Denominazione]]&amp;" - "&amp;Tabella1[[#This Row],[Città]]</f>
        <v>MAJORCA - GABICCE MARE</v>
      </c>
    </row>
    <row r="4972" spans="1:8" x14ac:dyDescent="0.25">
      <c r="A4972" s="1" t="s">
        <v>6</v>
      </c>
      <c r="B4972" s="1" t="s">
        <v>3350</v>
      </c>
      <c r="C4972" s="1" t="s">
        <v>3351</v>
      </c>
      <c r="D4972" s="1" t="s">
        <v>3305</v>
      </c>
      <c r="G4972" s="1" t="s">
        <v>3352</v>
      </c>
      <c r="H4972" s="2" t="str">
        <f>Tabella1[[#This Row],[Denominazione]]&amp;" - "&amp;Tabella1[[#This Row],[Città]]</f>
        <v>MALATESTA MAISON - PERGOLA</v>
      </c>
    </row>
    <row r="4973" spans="1:8" x14ac:dyDescent="0.25">
      <c r="A4973" s="1" t="s">
        <v>6</v>
      </c>
      <c r="B4973" s="1" t="s">
        <v>13785</v>
      </c>
      <c r="C4973" s="1" t="s">
        <v>13786</v>
      </c>
      <c r="D4973" s="1" t="s">
        <v>13756</v>
      </c>
      <c r="E4973" s="1" t="s">
        <v>13756</v>
      </c>
      <c r="H4973" s="2" t="str">
        <f>Tabella1[[#This Row],[Denominazione]]&amp;" - "&amp;Tabella1[[#This Row],[Città]]</f>
        <v>MALAVOLPE - SARNANO</v>
      </c>
    </row>
    <row r="4974" spans="1:8" x14ac:dyDescent="0.25">
      <c r="A4974" s="1" t="s">
        <v>29</v>
      </c>
      <c r="B4974" s="1" t="s">
        <v>17837</v>
      </c>
      <c r="C4974" s="1" t="s">
        <v>17838</v>
      </c>
      <c r="D4974" s="1" t="s">
        <v>17839</v>
      </c>
      <c r="E4974" s="1" t="s">
        <v>17839</v>
      </c>
      <c r="G4974" s="1" t="s">
        <v>17840</v>
      </c>
      <c r="H4974" s="2" t="str">
        <f>Tabella1[[#This Row],[Denominazione]]&amp;" - "&amp;Tabella1[[#This Row],[Città]]</f>
        <v>MALAVOLTA MARTINA - CAMPOFILONE</v>
      </c>
    </row>
    <row r="4975" spans="1:8" x14ac:dyDescent="0.25">
      <c r="A4975" s="1" t="s">
        <v>679</v>
      </c>
      <c r="B4975" s="1" t="s">
        <v>17333</v>
      </c>
      <c r="D4975" s="1" t="s">
        <v>15819</v>
      </c>
      <c r="F4975" s="1" t="s">
        <v>17334</v>
      </c>
      <c r="H4975" s="2" t="str">
        <f>Tabella1[[#This Row],[Denominazione]]&amp;" - "&amp;Tabella1[[#This Row],[Città]]</f>
        <v>MALIBU - SAN BENEDETTO DEL TRONTO</v>
      </c>
    </row>
    <row r="4976" spans="1:8" x14ac:dyDescent="0.25">
      <c r="A4976" s="1" t="s">
        <v>6</v>
      </c>
      <c r="B4976" s="1" t="s">
        <v>7830</v>
      </c>
      <c r="C4976" s="1" t="s">
        <v>7831</v>
      </c>
      <c r="D4976" s="1" t="s">
        <v>7824</v>
      </c>
      <c r="E4976" s="1" t="s">
        <v>7824</v>
      </c>
      <c r="F4976" s="1" t="s">
        <v>7832</v>
      </c>
      <c r="G4976" s="1" t="s">
        <v>7833</v>
      </c>
      <c r="H4976" s="2" t="str">
        <f>Tabella1[[#This Row],[Denominazione]]&amp;" - "&amp;Tabella1[[#This Row],[Città]]</f>
        <v>MALVIANO RESORT - MONTE SAN VITO</v>
      </c>
    </row>
    <row r="4977" spans="1:8" x14ac:dyDescent="0.25">
      <c r="A4977" s="1" t="s">
        <v>679</v>
      </c>
      <c r="B4977" s="1" t="s">
        <v>15587</v>
      </c>
      <c r="C4977" s="1" t="s">
        <v>15588</v>
      </c>
      <c r="D4977" s="1" t="s">
        <v>15585</v>
      </c>
      <c r="H4977" s="2" t="str">
        <f>Tabella1[[#This Row],[Denominazione]]&amp;" - "&amp;Tabella1[[#This Row],[Città]]</f>
        <v>MAMA LULU' VILLAGE - GROTTAMMARE</v>
      </c>
    </row>
    <row r="4978" spans="1:8" x14ac:dyDescent="0.25">
      <c r="A4978" s="1" t="s">
        <v>20</v>
      </c>
      <c r="B4978" s="1" t="s">
        <v>1762</v>
      </c>
      <c r="C4978" s="1" t="s">
        <v>1763</v>
      </c>
      <c r="D4978" s="1" t="s">
        <v>1724</v>
      </c>
      <c r="E4978" s="1" t="s">
        <v>1724</v>
      </c>
      <c r="F4978" s="1" t="s">
        <v>1764</v>
      </c>
      <c r="G4978" s="1" t="s">
        <v>1765</v>
      </c>
      <c r="H4978" s="2" t="str">
        <f>Tabella1[[#This Row],[Denominazione]]&amp;" - "&amp;Tabella1[[#This Row],[Città]]</f>
        <v>MANCINELLI LUCIANO - FOSSOMBRONE</v>
      </c>
    </row>
    <row r="4979" spans="1:8" x14ac:dyDescent="0.25">
      <c r="A4979" s="1" t="s">
        <v>82</v>
      </c>
      <c r="B4979" s="1" t="s">
        <v>5850</v>
      </c>
      <c r="C4979" s="1" t="s">
        <v>5851</v>
      </c>
      <c r="D4979" s="1" t="s">
        <v>1864</v>
      </c>
      <c r="E4979" s="1" t="s">
        <v>1864</v>
      </c>
      <c r="G4979" s="1" t="s">
        <v>5852</v>
      </c>
      <c r="H4979" s="2" t="str">
        <f>Tabella1[[#This Row],[Denominazione]]&amp;" - "&amp;Tabella1[[#This Row],[Città]]</f>
        <v>MANCINELLI MAURO - ANCONA</v>
      </c>
    </row>
    <row r="4980" spans="1:8" x14ac:dyDescent="0.25">
      <c r="A4980" s="1" t="s">
        <v>12</v>
      </c>
      <c r="B4980" s="1" t="s">
        <v>729</v>
      </c>
      <c r="C4980" s="1" t="s">
        <v>730</v>
      </c>
      <c r="D4980" s="1" t="s">
        <v>682</v>
      </c>
      <c r="E4980" s="1" t="s">
        <v>682</v>
      </c>
      <c r="G4980" s="1" t="s">
        <v>731</v>
      </c>
      <c r="H4980" s="2" t="str">
        <f>Tabella1[[#This Row],[Denominazione]]&amp;" - "&amp;Tabella1[[#This Row],[Città]]</f>
        <v>MANCINELLI SERENELLA - FANO</v>
      </c>
    </row>
    <row r="4981" spans="1:8" x14ac:dyDescent="0.25">
      <c r="A4981" s="1" t="s">
        <v>12</v>
      </c>
      <c r="B4981" s="1" t="s">
        <v>13044</v>
      </c>
      <c r="D4981" s="1" t="s">
        <v>13026</v>
      </c>
      <c r="E4981" s="1" t="s">
        <v>13026</v>
      </c>
      <c r="H4981" s="2" t="str">
        <f>Tabella1[[#This Row],[Denominazione]]&amp;" - "&amp;Tabella1[[#This Row],[Città]]</f>
        <v>MANCINI MARIA GRAZIA - POTENZA PICENA</v>
      </c>
    </row>
    <row r="4982" spans="1:8" x14ac:dyDescent="0.25">
      <c r="A4982" s="1" t="s">
        <v>12</v>
      </c>
      <c r="B4982" s="1" t="s">
        <v>9252</v>
      </c>
      <c r="C4982" s="1" t="s">
        <v>9253</v>
      </c>
      <c r="D4982" s="1" t="s">
        <v>8949</v>
      </c>
      <c r="E4982" s="1" t="s">
        <v>8949</v>
      </c>
      <c r="G4982" s="1" t="s">
        <v>9037</v>
      </c>
      <c r="H4982" s="2" t="str">
        <f>Tabella1[[#This Row],[Denominazione]]&amp;" - "&amp;Tabella1[[#This Row],[Città]]</f>
        <v>MANCINI MAURO - SENIGALLIA</v>
      </c>
    </row>
    <row r="4983" spans="1:8" x14ac:dyDescent="0.25">
      <c r="A4983" s="1" t="s">
        <v>12</v>
      </c>
      <c r="B4983" s="1" t="s">
        <v>9108</v>
      </c>
      <c r="C4983" s="1" t="s">
        <v>9109</v>
      </c>
      <c r="D4983" s="1" t="s">
        <v>8949</v>
      </c>
      <c r="E4983" s="1" t="s">
        <v>8949</v>
      </c>
      <c r="H4983" s="2" t="str">
        <f>Tabella1[[#This Row],[Denominazione]]&amp;" - "&amp;Tabella1[[#This Row],[Città]]</f>
        <v>MANFREDI VIVIANA - SENIGALLIA</v>
      </c>
    </row>
    <row r="4984" spans="1:8" x14ac:dyDescent="0.25">
      <c r="A4984" s="1" t="s">
        <v>12</v>
      </c>
      <c r="B4984" s="1" t="s">
        <v>9222</v>
      </c>
      <c r="C4984" s="1" t="s">
        <v>9223</v>
      </c>
      <c r="D4984" s="1" t="s">
        <v>8949</v>
      </c>
      <c r="E4984" s="1" t="s">
        <v>8949</v>
      </c>
      <c r="G4984" s="1" t="s">
        <v>9224</v>
      </c>
      <c r="H4984" s="2" t="str">
        <f>Tabella1[[#This Row],[Denominazione]]&amp;" - "&amp;Tabella1[[#This Row],[Città]]</f>
        <v>MANIERI PRIMO - SENIGALLIA</v>
      </c>
    </row>
    <row r="4985" spans="1:8" x14ac:dyDescent="0.25">
      <c r="A4985" s="1" t="s">
        <v>12</v>
      </c>
      <c r="B4985" s="1" t="s">
        <v>9214</v>
      </c>
      <c r="C4985" s="1" t="s">
        <v>9215</v>
      </c>
      <c r="D4985" s="1" t="s">
        <v>8949</v>
      </c>
      <c r="E4985" s="1" t="s">
        <v>8949</v>
      </c>
      <c r="G4985" s="1" t="s">
        <v>9037</v>
      </c>
      <c r="H4985" s="2" t="str">
        <f>Tabella1[[#This Row],[Denominazione]]&amp;" - "&amp;Tabella1[[#This Row],[Città]]</f>
        <v>MANIZZA MARCO - SENIGALLIA</v>
      </c>
    </row>
    <row r="4986" spans="1:8" x14ac:dyDescent="0.25">
      <c r="A4986" s="1" t="s">
        <v>12</v>
      </c>
      <c r="B4986" s="1" t="s">
        <v>11956</v>
      </c>
      <c r="C4986" s="1" t="s">
        <v>11957</v>
      </c>
      <c r="D4986" s="1" t="s">
        <v>11883</v>
      </c>
      <c r="G4986" s="1" t="s">
        <v>11958</v>
      </c>
      <c r="H4986" s="2" t="str">
        <f>Tabella1[[#This Row],[Denominazione]]&amp;" - "&amp;Tabella1[[#This Row],[Città]]</f>
        <v>MANLIO TULLIANI AGOSTINI - GUALDO</v>
      </c>
    </row>
    <row r="4987" spans="1:8" x14ac:dyDescent="0.25">
      <c r="A4987" s="1" t="s">
        <v>12</v>
      </c>
      <c r="B4987" s="1" t="s">
        <v>13752</v>
      </c>
      <c r="C4987" s="1" t="s">
        <v>13753</v>
      </c>
      <c r="D4987" s="1" t="s">
        <v>13739</v>
      </c>
      <c r="G4987" s="1" t="s">
        <v>13754</v>
      </c>
      <c r="H4987" s="2" t="str">
        <f>Tabella1[[#This Row],[Denominazione]]&amp;" - "&amp;Tabella1[[#This Row],[Città]]</f>
        <v>MANNOZZI SERGIO - SANT'ANGELO IN PONTANO</v>
      </c>
    </row>
    <row r="4988" spans="1:8" x14ac:dyDescent="0.25">
      <c r="A4988" s="1" t="s">
        <v>12</v>
      </c>
      <c r="B4988" s="1" t="s">
        <v>13034</v>
      </c>
      <c r="C4988" s="1" t="s">
        <v>13035</v>
      </c>
      <c r="D4988" s="1" t="s">
        <v>13026</v>
      </c>
      <c r="E4988" s="1" t="s">
        <v>13026</v>
      </c>
      <c r="H4988" s="2" t="str">
        <f>Tabella1[[#This Row],[Denominazione]]&amp;" - "&amp;Tabella1[[#This Row],[Città]]</f>
        <v>MANZI CONCETTA - POTENZA PICENA</v>
      </c>
    </row>
    <row r="4989" spans="1:8" x14ac:dyDescent="0.25">
      <c r="A4989" s="1" t="s">
        <v>679</v>
      </c>
      <c r="B4989" s="1" t="s">
        <v>19051</v>
      </c>
      <c r="C4989" s="1" t="s">
        <v>19048</v>
      </c>
      <c r="D4989" s="1" t="s">
        <v>18082</v>
      </c>
      <c r="E4989" s="1" t="s">
        <v>18082</v>
      </c>
      <c r="F4989" s="1" t="s">
        <v>19052</v>
      </c>
      <c r="H4989" s="2" t="str">
        <f>Tabella1[[#This Row],[Denominazione]]&amp;" - "&amp;Tabella1[[#This Row],[Città]]</f>
        <v>MARAKAIBO - PORTO SAN GIORGIO</v>
      </c>
    </row>
    <row r="4990" spans="1:8" x14ac:dyDescent="0.25">
      <c r="A4990" s="1" t="s">
        <v>20</v>
      </c>
      <c r="B4990" s="1" t="s">
        <v>15455</v>
      </c>
      <c r="C4990" s="1" t="s">
        <v>15456</v>
      </c>
      <c r="D4990" s="1" t="s">
        <v>15349</v>
      </c>
      <c r="E4990" s="1" t="s">
        <v>15349</v>
      </c>
      <c r="F4990" s="1" t="s">
        <v>15436</v>
      </c>
      <c r="G4990" s="1" t="s">
        <v>15457</v>
      </c>
      <c r="H4990" s="2" t="str">
        <f>Tabella1[[#This Row],[Denominazione]]&amp;" - "&amp;Tabella1[[#This Row],[Città]]</f>
        <v>MARANO - CUPRA MARITTIMA</v>
      </c>
    </row>
    <row r="4991" spans="1:8" x14ac:dyDescent="0.25">
      <c r="A4991" s="1" t="s">
        <v>12</v>
      </c>
      <c r="B4991" s="1" t="s">
        <v>9142</v>
      </c>
      <c r="C4991" s="1" t="s">
        <v>9085</v>
      </c>
      <c r="D4991" s="1" t="s">
        <v>8949</v>
      </c>
      <c r="E4991" s="1" t="s">
        <v>8949</v>
      </c>
      <c r="G4991" s="1" t="s">
        <v>9037</v>
      </c>
      <c r="H4991" s="2" t="str">
        <f>Tabella1[[#This Row],[Denominazione]]&amp;" - "&amp;Tabella1[[#This Row],[Città]]</f>
        <v>MARCANTONI ALBERTO - SENIGALLIA</v>
      </c>
    </row>
    <row r="4992" spans="1:8" x14ac:dyDescent="0.25">
      <c r="A4992" s="1" t="s">
        <v>679</v>
      </c>
      <c r="B4992" s="1" t="s">
        <v>7895</v>
      </c>
      <c r="C4992" s="1" t="s">
        <v>8207</v>
      </c>
      <c r="D4992" s="1" t="s">
        <v>7889</v>
      </c>
      <c r="E4992" s="1" t="s">
        <v>7895</v>
      </c>
      <c r="H4992" s="2" t="str">
        <f>Tabella1[[#This Row],[Denominazione]]&amp;" - "&amp;Tabella1[[#This Row],[Città]]</f>
        <v>MARCELLI - NUMANA</v>
      </c>
    </row>
    <row r="4993" spans="1:8" x14ac:dyDescent="0.25">
      <c r="A4993" s="1" t="s">
        <v>82</v>
      </c>
      <c r="B4993" s="1" t="s">
        <v>8293</v>
      </c>
      <c r="C4993" s="1" t="s">
        <v>8294</v>
      </c>
      <c r="D4993" s="1" t="s">
        <v>7889</v>
      </c>
      <c r="E4993" s="1" t="s">
        <v>7889</v>
      </c>
      <c r="G4993" s="1" t="s">
        <v>8295</v>
      </c>
      <c r="H4993" s="2" t="str">
        <f>Tabella1[[#This Row],[Denominazione]]&amp;" - "&amp;Tabella1[[#This Row],[Città]]</f>
        <v>MARCELLI MIRANDA - NUMANA</v>
      </c>
    </row>
    <row r="4994" spans="1:8" x14ac:dyDescent="0.25">
      <c r="A4994" s="1" t="s">
        <v>679</v>
      </c>
      <c r="B4994" s="1" t="s">
        <v>7082</v>
      </c>
      <c r="C4994" s="1" t="s">
        <v>7083</v>
      </c>
      <c r="D4994" s="1" t="s">
        <v>5735</v>
      </c>
      <c r="E4994" s="1" t="s">
        <v>5735</v>
      </c>
      <c r="F4994" s="1" t="s">
        <v>7084</v>
      </c>
      <c r="G4994" s="1" t="s">
        <v>7085</v>
      </c>
      <c r="H4994" s="2" t="str">
        <f>Tabella1[[#This Row],[Denominazione]]&amp;" - "&amp;Tabella1[[#This Row],[Città]]</f>
        <v>MARCELLO &amp; WALTER S.N.C - FALCONARA MARITTIMA</v>
      </c>
    </row>
    <row r="4995" spans="1:8" x14ac:dyDescent="0.25">
      <c r="A4995" s="1" t="s">
        <v>29</v>
      </c>
      <c r="B4995" s="1" t="s">
        <v>6269</v>
      </c>
      <c r="C4995" s="1" t="s">
        <v>6270</v>
      </c>
      <c r="D4995" s="1" t="s">
        <v>6262</v>
      </c>
      <c r="F4995" s="1" t="s">
        <v>6271</v>
      </c>
      <c r="G4995" s="1" t="s">
        <v>6272</v>
      </c>
      <c r="H4995" s="2" t="str">
        <f>Tabella1[[#This Row],[Denominazione]]&amp;" - "&amp;Tabella1[[#This Row],[Città]]</f>
        <v>MARCHE B&amp;B - BELVEDERE OSTRENSE</v>
      </c>
    </row>
    <row r="4996" spans="1:8" x14ac:dyDescent="0.25">
      <c r="A4996" s="1" t="s">
        <v>12</v>
      </c>
      <c r="B4996" s="1" t="s">
        <v>9136</v>
      </c>
      <c r="C4996" s="1" t="s">
        <v>9137</v>
      </c>
      <c r="D4996" s="1" t="s">
        <v>8949</v>
      </c>
      <c r="E4996" s="1" t="s">
        <v>8949</v>
      </c>
      <c r="G4996" s="1" t="s">
        <v>9037</v>
      </c>
      <c r="H4996" s="2" t="str">
        <f>Tabella1[[#This Row],[Denominazione]]&amp;" - "&amp;Tabella1[[#This Row],[Città]]</f>
        <v>MARCHEGIANI PAOLO - SENIGALLIA</v>
      </c>
    </row>
    <row r="4997" spans="1:8" x14ac:dyDescent="0.25">
      <c r="A4997" s="1" t="s">
        <v>82</v>
      </c>
      <c r="B4997" s="1" t="s">
        <v>83</v>
      </c>
      <c r="C4997" s="1" t="s">
        <v>84</v>
      </c>
      <c r="D4997" s="1" t="s">
        <v>15</v>
      </c>
      <c r="E4997" s="1" t="s">
        <v>85</v>
      </c>
      <c r="F4997" s="1" t="s">
        <v>86</v>
      </c>
      <c r="G4997" s="1" t="s">
        <v>87</v>
      </c>
      <c r="H4997" s="2" t="str">
        <f>Tabella1[[#This Row],[Denominazione]]&amp;" - "&amp;Tabella1[[#This Row],[Città]]</f>
        <v>MARCHEHOLIDAY - CASALE DEGLI ULIVI - ACQUALAGNA</v>
      </c>
    </row>
    <row r="4998" spans="1:8" x14ac:dyDescent="0.25">
      <c r="A4998" s="1" t="s">
        <v>35</v>
      </c>
      <c r="B4998" s="1" t="s">
        <v>19222</v>
      </c>
      <c r="C4998" s="1" t="s">
        <v>19223</v>
      </c>
      <c r="D4998" s="1" t="s">
        <v>18082</v>
      </c>
      <c r="E4998" s="1" t="s">
        <v>18082</v>
      </c>
      <c r="F4998" s="1" t="s">
        <v>19224</v>
      </c>
      <c r="G4998" s="1" t="s">
        <v>19225</v>
      </c>
      <c r="H4998" s="2" t="str">
        <f>Tabella1[[#This Row],[Denominazione]]&amp;" - "&amp;Tabella1[[#This Row],[Città]]</f>
        <v>MARCHELIFE di MAZZONI PAOLO - PORTO SAN GIORGIO</v>
      </c>
    </row>
    <row r="4999" spans="1:8" x14ac:dyDescent="0.25">
      <c r="A4999" s="1" t="s">
        <v>12</v>
      </c>
      <c r="B4999" s="1" t="s">
        <v>9287</v>
      </c>
      <c r="C4999" s="1" t="s">
        <v>9288</v>
      </c>
      <c r="D4999" s="1" t="s">
        <v>8949</v>
      </c>
      <c r="E4999" s="1" t="s">
        <v>8949</v>
      </c>
      <c r="G4999" s="1" t="s">
        <v>9289</v>
      </c>
      <c r="H4999" s="2" t="str">
        <f>Tabella1[[#This Row],[Denominazione]]&amp;" - "&amp;Tabella1[[#This Row],[Città]]</f>
        <v>MARCHETTI ALESSANDRA - SENIGALLIA</v>
      </c>
    </row>
    <row r="5000" spans="1:8" x14ac:dyDescent="0.25">
      <c r="A5000" s="1" t="s">
        <v>12</v>
      </c>
      <c r="B5000" s="1" t="s">
        <v>8023</v>
      </c>
      <c r="C5000" s="1" t="s">
        <v>8024</v>
      </c>
      <c r="D5000" s="1" t="s">
        <v>7889</v>
      </c>
      <c r="H5000" s="2" t="str">
        <f>Tabella1[[#This Row],[Denominazione]]&amp;" - "&amp;Tabella1[[#This Row],[Città]]</f>
        <v>MARCHETTI GIULIA - NUMANA</v>
      </c>
    </row>
    <row r="5001" spans="1:8" x14ac:dyDescent="0.25">
      <c r="A5001" s="1" t="s">
        <v>12</v>
      </c>
      <c r="B5001" s="1" t="s">
        <v>97</v>
      </c>
      <c r="C5001" s="1" t="s">
        <v>98</v>
      </c>
      <c r="D5001" s="1" t="s">
        <v>15</v>
      </c>
      <c r="G5001" s="1" t="s">
        <v>99</v>
      </c>
      <c r="H5001" s="2" t="str">
        <f>Tabella1[[#This Row],[Denominazione]]&amp;" - "&amp;Tabella1[[#This Row],[Città]]</f>
        <v>MARCHETTI LORENZA - ACQUALAGNA</v>
      </c>
    </row>
    <row r="5002" spans="1:8" x14ac:dyDescent="0.25">
      <c r="A5002" s="1" t="s">
        <v>35</v>
      </c>
      <c r="B5002" s="1" t="s">
        <v>15466</v>
      </c>
      <c r="D5002" s="1" t="s">
        <v>15349</v>
      </c>
      <c r="E5002" s="1" t="s">
        <v>15467</v>
      </c>
      <c r="F5002" s="1" t="s">
        <v>15468</v>
      </c>
      <c r="G5002" s="1" t="s">
        <v>15469</v>
      </c>
      <c r="H5002" s="2" t="str">
        <f>Tabella1[[#This Row],[Denominazione]]&amp;" - "&amp;Tabella1[[#This Row],[Città]]</f>
        <v>MARCHETTI TOMMASO - CUPRA MARITTIMA</v>
      </c>
    </row>
    <row r="5003" spans="1:8" x14ac:dyDescent="0.25">
      <c r="A5003" s="1" t="s">
        <v>12</v>
      </c>
      <c r="B5003" s="1" t="s">
        <v>1461</v>
      </c>
      <c r="C5003" s="1" t="s">
        <v>1462</v>
      </c>
      <c r="D5003" s="1" t="s">
        <v>682</v>
      </c>
      <c r="H5003" s="2" t="str">
        <f>Tabella1[[#This Row],[Denominazione]]&amp;" - "&amp;Tabella1[[#This Row],[Città]]</f>
        <v>MARCHIONNI GIUSEPPINA - FANO</v>
      </c>
    </row>
    <row r="5004" spans="1:8" x14ac:dyDescent="0.25">
      <c r="A5004" s="1" t="s">
        <v>12</v>
      </c>
      <c r="B5004" s="1" t="s">
        <v>1607</v>
      </c>
      <c r="C5004" s="1" t="s">
        <v>1608</v>
      </c>
      <c r="D5004" s="1" t="s">
        <v>682</v>
      </c>
      <c r="E5004" s="1" t="s">
        <v>1609</v>
      </c>
      <c r="G5004" s="1" t="s">
        <v>1610</v>
      </c>
      <c r="H5004" s="2" t="str">
        <f>Tabella1[[#This Row],[Denominazione]]&amp;" - "&amp;Tabella1[[#This Row],[Città]]</f>
        <v>MARCO KINDT - FANO</v>
      </c>
    </row>
    <row r="5005" spans="1:8" x14ac:dyDescent="0.25">
      <c r="A5005" s="1" t="s">
        <v>20</v>
      </c>
      <c r="B5005" s="1" t="s">
        <v>15759</v>
      </c>
      <c r="C5005" s="1" t="s">
        <v>15760</v>
      </c>
      <c r="D5005" s="1" t="s">
        <v>15585</v>
      </c>
      <c r="E5005" s="1" t="s">
        <v>15585</v>
      </c>
      <c r="G5005" s="1" t="s">
        <v>15761</v>
      </c>
      <c r="H5005" s="2" t="str">
        <f>Tabella1[[#This Row],[Denominazione]]&amp;" - "&amp;Tabella1[[#This Row],[Città]]</f>
        <v>MARCONI - GROTTAMMARE</v>
      </c>
    </row>
    <row r="5006" spans="1:8" x14ac:dyDescent="0.25">
      <c r="A5006" s="1" t="s">
        <v>35</v>
      </c>
      <c r="B5006" s="1" t="s">
        <v>5977</v>
      </c>
      <c r="C5006" s="1" t="s">
        <v>5978</v>
      </c>
      <c r="D5006" s="1" t="s">
        <v>1864</v>
      </c>
      <c r="G5006" s="1" t="s">
        <v>5979</v>
      </c>
      <c r="H5006" s="2" t="str">
        <f>Tabella1[[#This Row],[Denominazione]]&amp;" - "&amp;Tabella1[[#This Row],[Città]]</f>
        <v>MARCONI KATIA - ANCONA</v>
      </c>
    </row>
    <row r="5007" spans="1:8" x14ac:dyDescent="0.25">
      <c r="A5007" s="1" t="s">
        <v>20</v>
      </c>
      <c r="B5007" s="1" t="s">
        <v>1255</v>
      </c>
      <c r="C5007" s="1" t="s">
        <v>1256</v>
      </c>
      <c r="D5007" s="1" t="s">
        <v>682</v>
      </c>
      <c r="E5007" s="1" t="s">
        <v>682</v>
      </c>
      <c r="H5007" s="2" t="str">
        <f>Tabella1[[#This Row],[Denominazione]]&amp;" - "&amp;Tabella1[[#This Row],[Città]]</f>
        <v>MARE - FANO</v>
      </c>
    </row>
    <row r="5008" spans="1:8" x14ac:dyDescent="0.25">
      <c r="A5008" s="1" t="s">
        <v>82</v>
      </c>
      <c r="B5008" s="1" t="s">
        <v>10350</v>
      </c>
      <c r="C5008" s="1" t="s">
        <v>10351</v>
      </c>
      <c r="D5008" s="1" t="s">
        <v>10206</v>
      </c>
      <c r="G5008" s="1" t="s">
        <v>10352</v>
      </c>
      <c r="H5008" s="2" t="str">
        <f>Tabella1[[#This Row],[Denominazione]]&amp;" - "&amp;Tabella1[[#This Row],[Città]]</f>
        <v>MARE' - SIROLO</v>
      </c>
    </row>
    <row r="5009" spans="1:8" x14ac:dyDescent="0.25">
      <c r="A5009" s="1" t="s">
        <v>679</v>
      </c>
      <c r="B5009" s="1" t="s">
        <v>15434</v>
      </c>
      <c r="C5009" s="1" t="s">
        <v>15433</v>
      </c>
      <c r="D5009" s="1" t="s">
        <v>15349</v>
      </c>
      <c r="E5009" s="1" t="s">
        <v>15349</v>
      </c>
      <c r="F5009" s="1" t="s">
        <v>15435</v>
      </c>
      <c r="G5009" s="1" t="s">
        <v>15436</v>
      </c>
      <c r="H5009" s="2" t="str">
        <f>Tabella1[[#This Row],[Denominazione]]&amp;" - "&amp;Tabella1[[#This Row],[Città]]</f>
        <v>MARE MARANO - CUPRA MARITTIMA</v>
      </c>
    </row>
    <row r="5010" spans="1:8" x14ac:dyDescent="0.25">
      <c r="A5010" s="1" t="s">
        <v>571</v>
      </c>
      <c r="B5010" s="1" t="s">
        <v>9650</v>
      </c>
      <c r="C5010" s="1" t="s">
        <v>9651</v>
      </c>
      <c r="D5010" s="1" t="s">
        <v>8949</v>
      </c>
      <c r="E5010" s="1" t="s">
        <v>8949</v>
      </c>
      <c r="H5010" s="2" t="str">
        <f>Tabella1[[#This Row],[Denominazione]]&amp;" - "&amp;Tabella1[[#This Row],[Città]]</f>
        <v>MARE VERDE - SENIGALLIA</v>
      </c>
    </row>
    <row r="5011" spans="1:8" x14ac:dyDescent="0.25">
      <c r="A5011" s="1" t="s">
        <v>679</v>
      </c>
      <c r="B5011" s="1" t="s">
        <v>11615</v>
      </c>
      <c r="C5011" s="1" t="s">
        <v>11616</v>
      </c>
      <c r="D5011" s="1" t="s">
        <v>11244</v>
      </c>
      <c r="E5011" s="1" t="s">
        <v>11244</v>
      </c>
      <c r="H5011" s="2" t="str">
        <f>Tabella1[[#This Row],[Denominazione]]&amp;" - "&amp;Tabella1[[#This Row],[Città]]</f>
        <v>MAREBELLO - CIVITANOVA MARCHE</v>
      </c>
    </row>
    <row r="5012" spans="1:8" x14ac:dyDescent="0.25">
      <c r="A5012" s="1" t="s">
        <v>571</v>
      </c>
      <c r="B5012" s="1" t="s">
        <v>1195</v>
      </c>
      <c r="C5012" s="1" t="s">
        <v>1196</v>
      </c>
      <c r="D5012" s="1" t="s">
        <v>682</v>
      </c>
      <c r="E5012" s="1" t="s">
        <v>682</v>
      </c>
      <c r="F5012" s="1" t="s">
        <v>1197</v>
      </c>
      <c r="G5012" s="1" t="s">
        <v>1067</v>
      </c>
      <c r="H5012" s="2" t="str">
        <f>Tabella1[[#This Row],[Denominazione]]&amp;" - "&amp;Tabella1[[#This Row],[Città]]</f>
        <v>MAREBLU' - FANO</v>
      </c>
    </row>
    <row r="5013" spans="1:8" x14ac:dyDescent="0.25">
      <c r="A5013" s="1" t="s">
        <v>20</v>
      </c>
      <c r="B5013" s="1" t="s">
        <v>1195</v>
      </c>
      <c r="C5013" s="1" t="s">
        <v>9720</v>
      </c>
      <c r="D5013" s="1" t="s">
        <v>8949</v>
      </c>
      <c r="E5013" s="1" t="s">
        <v>8949</v>
      </c>
      <c r="F5013" s="1" t="s">
        <v>9721</v>
      </c>
      <c r="G5013" s="1" t="s">
        <v>9722</v>
      </c>
      <c r="H5013" s="2" t="str">
        <f>Tabella1[[#This Row],[Denominazione]]&amp;" - "&amp;Tabella1[[#This Row],[Città]]</f>
        <v>MAREBLU' - SENIGALLIA</v>
      </c>
    </row>
    <row r="5014" spans="1:8" x14ac:dyDescent="0.25">
      <c r="A5014" s="1" t="s">
        <v>403</v>
      </c>
      <c r="B5014" s="1" t="s">
        <v>2195</v>
      </c>
      <c r="C5014" s="1" t="s">
        <v>2196</v>
      </c>
      <c r="D5014" s="1" t="s">
        <v>1907</v>
      </c>
      <c r="E5014" s="1" t="s">
        <v>1907</v>
      </c>
      <c r="F5014" s="1" t="s">
        <v>2176</v>
      </c>
      <c r="G5014" s="1" t="s">
        <v>2177</v>
      </c>
      <c r="H5014" s="2" t="str">
        <f>Tabella1[[#This Row],[Denominazione]]&amp;" - "&amp;Tabella1[[#This Row],[Città]]</f>
        <v>MAREMONTI - GABICCE MARE</v>
      </c>
    </row>
    <row r="5015" spans="1:8" x14ac:dyDescent="0.25">
      <c r="A5015" s="1" t="s">
        <v>29</v>
      </c>
      <c r="B5015" s="1" t="s">
        <v>19337</v>
      </c>
      <c r="C5015" s="1" t="s">
        <v>19338</v>
      </c>
      <c r="D5015" s="1" t="s">
        <v>19283</v>
      </c>
      <c r="E5015" s="1" t="s">
        <v>7245</v>
      </c>
      <c r="G5015" s="1" t="s">
        <v>19339</v>
      </c>
      <c r="H5015" s="2" t="str">
        <f>Tabella1[[#This Row],[Denominazione]]&amp;" - "&amp;Tabella1[[#This Row],[Città]]</f>
        <v>MARGARITA MARACCHINI - PORTO SANT'ELPIDIO</v>
      </c>
    </row>
    <row r="5016" spans="1:8" x14ac:dyDescent="0.25">
      <c r="A5016" s="1" t="s">
        <v>29</v>
      </c>
      <c r="B5016" s="1" t="s">
        <v>10836</v>
      </c>
      <c r="C5016" s="1" t="s">
        <v>10837</v>
      </c>
      <c r="D5016" s="1" t="s">
        <v>10737</v>
      </c>
      <c r="E5016" s="1" t="s">
        <v>10737</v>
      </c>
      <c r="F5016" s="1" t="s">
        <v>10838</v>
      </c>
      <c r="G5016" s="1" t="s">
        <v>10839</v>
      </c>
      <c r="H5016" s="2" t="str">
        <f>Tabella1[[#This Row],[Denominazione]]&amp;" - "&amp;Tabella1[[#This Row],[Città]]</f>
        <v>MARGGRAF MARY CECILIA - CAMERINO</v>
      </c>
    </row>
    <row r="5017" spans="1:8" x14ac:dyDescent="0.25">
      <c r="A5017" s="1" t="s">
        <v>20</v>
      </c>
      <c r="B5017" s="1" t="s">
        <v>1171</v>
      </c>
      <c r="C5017" s="1" t="s">
        <v>1172</v>
      </c>
      <c r="D5017" s="1" t="s">
        <v>682</v>
      </c>
      <c r="E5017" s="1" t="s">
        <v>1173</v>
      </c>
      <c r="F5017" s="1" t="s">
        <v>1174</v>
      </c>
      <c r="G5017" s="1" t="s">
        <v>1175</v>
      </c>
      <c r="H5017" s="2" t="str">
        <f>Tabella1[[#This Row],[Denominazione]]&amp;" - "&amp;Tabella1[[#This Row],[Città]]</f>
        <v>MARIA - FANO</v>
      </c>
    </row>
    <row r="5018" spans="1:8" x14ac:dyDescent="0.25">
      <c r="A5018" s="1" t="s">
        <v>190</v>
      </c>
      <c r="B5018" s="1" t="s">
        <v>14579</v>
      </c>
      <c r="C5018" s="1" t="s">
        <v>14580</v>
      </c>
      <c r="D5018" s="1" t="s">
        <v>14576</v>
      </c>
      <c r="E5018" s="1" t="s">
        <v>14576</v>
      </c>
      <c r="H5018" s="2" t="str">
        <f>Tabella1[[#This Row],[Denominazione]]&amp;" - "&amp;Tabella1[[#This Row],[Città]]</f>
        <v>MARIA IMMACOLATA - ASCOLI PICENO</v>
      </c>
    </row>
    <row r="5019" spans="1:8" x14ac:dyDescent="0.25">
      <c r="A5019" s="1" t="s">
        <v>190</v>
      </c>
      <c r="B5019" s="1" t="s">
        <v>14579</v>
      </c>
      <c r="C5019" s="1" t="s">
        <v>15511</v>
      </c>
      <c r="D5019" s="1" t="s">
        <v>15349</v>
      </c>
      <c r="E5019" s="1" t="s">
        <v>15349</v>
      </c>
      <c r="F5019" s="1" t="s">
        <v>15512</v>
      </c>
      <c r="G5019" s="1" t="s">
        <v>15513</v>
      </c>
      <c r="H5019" s="2" t="str">
        <f>Tabella1[[#This Row],[Denominazione]]&amp;" - "&amp;Tabella1[[#This Row],[Città]]</f>
        <v>MARIA IMMACOLATA - CUPRA MARITTIMA</v>
      </c>
    </row>
    <row r="5020" spans="1:8" x14ac:dyDescent="0.25">
      <c r="A5020" s="1" t="s">
        <v>190</v>
      </c>
      <c r="B5020" s="1" t="s">
        <v>14579</v>
      </c>
      <c r="C5020" s="1" t="s">
        <v>17065</v>
      </c>
      <c r="D5020" s="1" t="s">
        <v>15819</v>
      </c>
      <c r="E5020" s="1" t="s">
        <v>15819</v>
      </c>
      <c r="G5020" s="1" t="s">
        <v>17066</v>
      </c>
      <c r="H5020" s="2" t="str">
        <f>Tabella1[[#This Row],[Denominazione]]&amp;" - "&amp;Tabella1[[#This Row],[Città]]</f>
        <v>MARIA IMMACOLATA - SAN BENEDETTO DEL TRONTO</v>
      </c>
    </row>
    <row r="5021" spans="1:8" x14ac:dyDescent="0.25">
      <c r="A5021" s="1" t="s">
        <v>12</v>
      </c>
      <c r="B5021" s="1" t="s">
        <v>5442</v>
      </c>
      <c r="C5021" s="1" t="s">
        <v>5443</v>
      </c>
      <c r="D5021" s="1" t="s">
        <v>1864</v>
      </c>
      <c r="G5021" s="1" t="s">
        <v>5444</v>
      </c>
      <c r="H5021" s="2" t="str">
        <f>Tabella1[[#This Row],[Denominazione]]&amp;" - "&amp;Tabella1[[#This Row],[Città]]</f>
        <v>MARIA LUISA SGALLA - ANCONA</v>
      </c>
    </row>
    <row r="5022" spans="1:8" x14ac:dyDescent="0.25">
      <c r="A5022" s="1" t="s">
        <v>12</v>
      </c>
      <c r="B5022" s="1" t="s">
        <v>5442</v>
      </c>
      <c r="C5022" s="1" t="s">
        <v>5443</v>
      </c>
      <c r="D5022" s="1" t="s">
        <v>1864</v>
      </c>
      <c r="G5022" s="1" t="s">
        <v>5444</v>
      </c>
      <c r="H5022" s="2" t="str">
        <f>Tabella1[[#This Row],[Denominazione]]&amp;" - "&amp;Tabella1[[#This Row],[Città]]</f>
        <v>MARIA LUISA SGALLA - ANCONA</v>
      </c>
    </row>
    <row r="5023" spans="1:8" x14ac:dyDescent="0.25">
      <c r="A5023" s="1" t="s">
        <v>679</v>
      </c>
      <c r="B5023" s="1" t="s">
        <v>985</v>
      </c>
      <c r="C5023" s="1" t="s">
        <v>986</v>
      </c>
      <c r="D5023" s="1" t="s">
        <v>682</v>
      </c>
      <c r="F5023" s="1" t="s">
        <v>987</v>
      </c>
      <c r="G5023" s="1" t="s">
        <v>988</v>
      </c>
      <c r="H5023" s="2" t="str">
        <f>Tabella1[[#This Row],[Denominazione]]&amp;" - "&amp;Tabella1[[#This Row],[Città]]</f>
        <v>MARINA - FANO</v>
      </c>
    </row>
    <row r="5024" spans="1:8" x14ac:dyDescent="0.25">
      <c r="A5024" s="1" t="s">
        <v>679</v>
      </c>
      <c r="B5024" s="1" t="s">
        <v>17357</v>
      </c>
      <c r="C5024" s="1" t="s">
        <v>17358</v>
      </c>
      <c r="D5024" s="1" t="s">
        <v>15819</v>
      </c>
      <c r="H5024" s="2" t="str">
        <f>Tabella1[[#This Row],[Denominazione]]&amp;" - "&amp;Tabella1[[#This Row],[Città]]</f>
        <v>MARINA DI NICO' - SAN BENEDETTO DEL TRONTO</v>
      </c>
    </row>
    <row r="5025" spans="1:8" x14ac:dyDescent="0.25">
      <c r="A5025" s="1" t="s">
        <v>679</v>
      </c>
      <c r="B5025" s="1" t="s">
        <v>15423</v>
      </c>
      <c r="C5025" s="1" t="s">
        <v>15403</v>
      </c>
      <c r="D5025" s="1" t="s">
        <v>15349</v>
      </c>
      <c r="E5025" s="1" t="s">
        <v>15349</v>
      </c>
      <c r="F5025" s="1" t="s">
        <v>15424</v>
      </c>
      <c r="H5025" s="2" t="str">
        <f>Tabella1[[#This Row],[Denominazione]]&amp;" - "&amp;Tabella1[[#This Row],[Città]]</f>
        <v>MARINAI - CUPRA MARITTIMA</v>
      </c>
    </row>
    <row r="5026" spans="1:8" x14ac:dyDescent="0.25">
      <c r="A5026" s="1" t="s">
        <v>20</v>
      </c>
      <c r="B5026" s="1" t="s">
        <v>1148</v>
      </c>
      <c r="C5026" s="1" t="s">
        <v>1149</v>
      </c>
      <c r="D5026" s="1" t="s">
        <v>682</v>
      </c>
      <c r="E5026" s="1" t="s">
        <v>682</v>
      </c>
      <c r="F5026" s="1" t="s">
        <v>1150</v>
      </c>
      <c r="G5026" s="1" t="s">
        <v>1151</v>
      </c>
      <c r="H5026" s="2" t="str">
        <f>Tabella1[[#This Row],[Denominazione]]&amp;" - "&amp;Tabella1[[#This Row],[Città]]</f>
        <v>MARINELLA - FANO</v>
      </c>
    </row>
    <row r="5027" spans="1:8" x14ac:dyDescent="0.25">
      <c r="A5027" s="1" t="s">
        <v>20</v>
      </c>
      <c r="B5027" s="1" t="s">
        <v>1148</v>
      </c>
      <c r="C5027" s="1" t="s">
        <v>2197</v>
      </c>
      <c r="D5027" s="1" t="s">
        <v>1907</v>
      </c>
      <c r="E5027" s="1" t="s">
        <v>1907</v>
      </c>
      <c r="F5027" s="1" t="s">
        <v>2198</v>
      </c>
      <c r="G5027" s="1" t="s">
        <v>2199</v>
      </c>
      <c r="H5027" s="2" t="str">
        <f>Tabella1[[#This Row],[Denominazione]]&amp;" - "&amp;Tabella1[[#This Row],[Città]]</f>
        <v>MARINELLA - GABICCE MARE</v>
      </c>
    </row>
    <row r="5028" spans="1:8" x14ac:dyDescent="0.25">
      <c r="A5028" s="1" t="s">
        <v>571</v>
      </c>
      <c r="B5028" s="1" t="s">
        <v>1148</v>
      </c>
      <c r="C5028" s="1" t="s">
        <v>3759</v>
      </c>
      <c r="D5028" s="1" t="s">
        <v>2386</v>
      </c>
      <c r="E5028" s="1" t="s">
        <v>2386</v>
      </c>
      <c r="F5028" s="1" t="s">
        <v>3760</v>
      </c>
      <c r="G5028" s="1" t="s">
        <v>3591</v>
      </c>
      <c r="H5028" s="2" t="str">
        <f>Tabella1[[#This Row],[Denominazione]]&amp;" - "&amp;Tabella1[[#This Row],[Città]]</f>
        <v>MARINELLA - PESARO</v>
      </c>
    </row>
    <row r="5029" spans="1:8" x14ac:dyDescent="0.25">
      <c r="A5029" s="1" t="s">
        <v>12</v>
      </c>
      <c r="B5029" s="1" t="s">
        <v>13062</v>
      </c>
      <c r="D5029" s="1" t="s">
        <v>13026</v>
      </c>
      <c r="H5029" s="2" t="str">
        <f>Tabella1[[#This Row],[Denominazione]]&amp;" - "&amp;Tabella1[[#This Row],[Città]]</f>
        <v>MARINELLI MARCELLA APP.TO PIANO 1° - POTENZA PICENA</v>
      </c>
    </row>
    <row r="5030" spans="1:8" x14ac:dyDescent="0.25">
      <c r="A5030" s="1" t="s">
        <v>12</v>
      </c>
      <c r="B5030" s="1" t="s">
        <v>13060</v>
      </c>
      <c r="C5030" s="1" t="s">
        <v>13061</v>
      </c>
      <c r="D5030" s="1" t="s">
        <v>13026</v>
      </c>
      <c r="E5030" s="1" t="s">
        <v>13026</v>
      </c>
      <c r="H5030" s="2" t="str">
        <f>Tabella1[[#This Row],[Denominazione]]&amp;" - "&amp;Tabella1[[#This Row],[Città]]</f>
        <v>MARINELLI MARCELLA APP.TO PIANO 2° - POTENZA PICENA</v>
      </c>
    </row>
    <row r="5031" spans="1:8" x14ac:dyDescent="0.25">
      <c r="A5031" s="1" t="s">
        <v>679</v>
      </c>
      <c r="B5031" s="1" t="s">
        <v>12851</v>
      </c>
      <c r="D5031" s="1" t="s">
        <v>12801</v>
      </c>
      <c r="E5031" s="1" t="s">
        <v>12801</v>
      </c>
      <c r="H5031" s="2" t="str">
        <f>Tabella1[[#This Row],[Denominazione]]&amp;" - "&amp;Tabella1[[#This Row],[Città]]</f>
        <v>MARINELLO - PORTO RECANATI</v>
      </c>
    </row>
    <row r="5032" spans="1:8" x14ac:dyDescent="0.25">
      <c r="A5032" s="1" t="s">
        <v>12</v>
      </c>
      <c r="B5032" s="1" t="s">
        <v>1436</v>
      </c>
      <c r="C5032" s="1" t="s">
        <v>1437</v>
      </c>
      <c r="D5032" s="1" t="s">
        <v>682</v>
      </c>
      <c r="H5032" s="2" t="str">
        <f>Tabella1[[#This Row],[Denominazione]]&amp;" - "&amp;Tabella1[[#This Row],[Città]]</f>
        <v>MARINI MARIA GRAZIA - FANO</v>
      </c>
    </row>
    <row r="5033" spans="1:8" x14ac:dyDescent="0.25">
      <c r="A5033" s="1" t="s">
        <v>12</v>
      </c>
      <c r="B5033" s="1" t="s">
        <v>12919</v>
      </c>
      <c r="C5033" s="1" t="s">
        <v>12920</v>
      </c>
      <c r="D5033" s="1" t="s">
        <v>12801</v>
      </c>
      <c r="E5033" s="1" t="s">
        <v>12801</v>
      </c>
      <c r="F5033" s="1" t="s">
        <v>12921</v>
      </c>
      <c r="G5033" s="1" t="s">
        <v>12922</v>
      </c>
      <c r="H5033" s="2" t="str">
        <f>Tabella1[[#This Row],[Denominazione]]&amp;" - "&amp;Tabella1[[#This Row],[Città]]</f>
        <v>MARINO'S APARTHOTEL - PORTO RECANATI</v>
      </c>
    </row>
    <row r="5034" spans="1:8" x14ac:dyDescent="0.25">
      <c r="A5034" s="1" t="s">
        <v>20</v>
      </c>
      <c r="B5034" s="1" t="s">
        <v>17534</v>
      </c>
      <c r="C5034" s="1" t="s">
        <v>17535</v>
      </c>
      <c r="D5034" s="1" t="s">
        <v>15819</v>
      </c>
      <c r="E5034" s="1" t="s">
        <v>15819</v>
      </c>
      <c r="F5034" s="1" t="s">
        <v>17060</v>
      </c>
      <c r="G5034" s="1" t="s">
        <v>17061</v>
      </c>
      <c r="H5034" s="2" t="str">
        <f>Tabella1[[#This Row],[Denominazione]]&amp;" - "&amp;Tabella1[[#This Row],[Città]]</f>
        <v>MARIO - SAN BENEDETTO DEL TRONTO</v>
      </c>
    </row>
    <row r="5035" spans="1:8" x14ac:dyDescent="0.25">
      <c r="A5035" s="1" t="s">
        <v>82</v>
      </c>
      <c r="B5035" s="1" t="s">
        <v>16857</v>
      </c>
      <c r="C5035" s="1" t="s">
        <v>16858</v>
      </c>
      <c r="D5035" s="1" t="s">
        <v>15819</v>
      </c>
      <c r="F5035" s="1" t="s">
        <v>16859</v>
      </c>
      <c r="G5035" s="1" t="s">
        <v>16860</v>
      </c>
      <c r="H5035" s="2" t="str">
        <f>Tabella1[[#This Row],[Denominazione]]&amp;" - "&amp;Tabella1[[#This Row],[Città]]</f>
        <v>MARIO AL BORGO "LU MEDECHE PICCIONE" GUEST HOUSE - SAN BENEDETTO DEL TRONTO</v>
      </c>
    </row>
    <row r="5036" spans="1:8" x14ac:dyDescent="0.25">
      <c r="A5036" s="1" t="s">
        <v>12</v>
      </c>
      <c r="B5036" s="1" t="s">
        <v>1440</v>
      </c>
      <c r="C5036" s="1" t="s">
        <v>1441</v>
      </c>
      <c r="D5036" s="1" t="s">
        <v>682</v>
      </c>
      <c r="G5036" s="1" t="s">
        <v>1442</v>
      </c>
      <c r="H5036" s="2" t="str">
        <f>Tabella1[[#This Row],[Denominazione]]&amp;" - "&amp;Tabella1[[#This Row],[Città]]</f>
        <v>MARIO D'AGATA - FANO</v>
      </c>
    </row>
    <row r="5037" spans="1:8" x14ac:dyDescent="0.25">
      <c r="A5037" s="1" t="s">
        <v>82</v>
      </c>
      <c r="B5037" s="1" t="s">
        <v>2467</v>
      </c>
      <c r="C5037" s="1" t="s">
        <v>2468</v>
      </c>
      <c r="D5037" s="1" t="s">
        <v>2425</v>
      </c>
      <c r="E5037" s="1" t="s">
        <v>2425</v>
      </c>
      <c r="G5037" s="1" t="s">
        <v>2469</v>
      </c>
      <c r="H5037" s="2" t="str">
        <f>Tabella1[[#This Row],[Denominazione]]&amp;" - "&amp;Tabella1[[#This Row],[Città]]</f>
        <v>MARIPOSA - GRADARA</v>
      </c>
    </row>
    <row r="5038" spans="1:8" x14ac:dyDescent="0.25">
      <c r="A5038" s="1" t="s">
        <v>679</v>
      </c>
      <c r="B5038" s="1" t="s">
        <v>8227</v>
      </c>
      <c r="C5038" s="1" t="s">
        <v>8191</v>
      </c>
      <c r="D5038" s="1" t="s">
        <v>7889</v>
      </c>
      <c r="E5038" s="1" t="s">
        <v>7895</v>
      </c>
      <c r="H5038" s="2" t="str">
        <f>Tabella1[[#This Row],[Denominazione]]&amp;" - "&amp;Tabella1[[#This Row],[Città]]</f>
        <v>MARISOL - NUMANA</v>
      </c>
    </row>
    <row r="5039" spans="1:8" x14ac:dyDescent="0.25">
      <c r="A5039" s="1" t="s">
        <v>12</v>
      </c>
      <c r="B5039" s="1" t="s">
        <v>9102</v>
      </c>
      <c r="C5039" s="1" t="s">
        <v>9103</v>
      </c>
      <c r="D5039" s="1" t="s">
        <v>8949</v>
      </c>
      <c r="E5039" s="1" t="s">
        <v>8949</v>
      </c>
      <c r="G5039" s="1" t="s">
        <v>9040</v>
      </c>
      <c r="H5039" s="2" t="str">
        <f>Tabella1[[#This Row],[Denominazione]]&amp;" - "&amp;Tabella1[[#This Row],[Città]]</f>
        <v>MARMUGI MAURO - SENIGALLIA</v>
      </c>
    </row>
    <row r="5040" spans="1:8" x14ac:dyDescent="0.25">
      <c r="A5040" s="1" t="s">
        <v>571</v>
      </c>
      <c r="B5040" s="1" t="s">
        <v>1456</v>
      </c>
      <c r="C5040" s="1" t="s">
        <v>2839</v>
      </c>
      <c r="D5040" s="1" t="s">
        <v>1605</v>
      </c>
      <c r="E5040" s="1" t="s">
        <v>1605</v>
      </c>
      <c r="F5040" s="1" t="s">
        <v>2840</v>
      </c>
      <c r="G5040" s="1" t="s">
        <v>2841</v>
      </c>
      <c r="H5040" s="2" t="str">
        <f>Tabella1[[#This Row],[Denominazione]]&amp;" - "&amp;Tabella1[[#This Row],[Città]]</f>
        <v>MAROTTA - MONDOLFO</v>
      </c>
    </row>
    <row r="5041" spans="1:8" x14ac:dyDescent="0.25">
      <c r="A5041" s="1" t="s">
        <v>12</v>
      </c>
      <c r="B5041" s="1" t="s">
        <v>2962</v>
      </c>
      <c r="C5041" s="1" t="s">
        <v>2963</v>
      </c>
      <c r="D5041" s="1" t="s">
        <v>1605</v>
      </c>
      <c r="G5041" s="1" t="s">
        <v>2964</v>
      </c>
      <c r="H5041" s="2" t="str">
        <f>Tabella1[[#This Row],[Denominazione]]&amp;" - "&amp;Tabella1[[#This Row],[Città]]</f>
        <v>MARTA SORA - MONDOLFO</v>
      </c>
    </row>
    <row r="5042" spans="1:8" x14ac:dyDescent="0.25">
      <c r="A5042" s="1" t="s">
        <v>35</v>
      </c>
      <c r="B5042" s="1" t="s">
        <v>10131</v>
      </c>
      <c r="C5042" s="1" t="s">
        <v>10132</v>
      </c>
      <c r="D5042" s="1" t="s">
        <v>10117</v>
      </c>
      <c r="E5042" s="1" t="s">
        <v>10133</v>
      </c>
      <c r="F5042" s="1" t="s">
        <v>10134</v>
      </c>
      <c r="G5042" s="1" t="s">
        <v>10135</v>
      </c>
      <c r="H5042" s="2" t="str">
        <f>Tabella1[[#This Row],[Denominazione]]&amp;" - "&amp;Tabella1[[#This Row],[Città]]</f>
        <v>MARTELLETTO - SERRA SAN QUIRICO</v>
      </c>
    </row>
    <row r="5043" spans="1:8" x14ac:dyDescent="0.25">
      <c r="A5043" s="1" t="s">
        <v>12</v>
      </c>
      <c r="B5043" s="1" t="s">
        <v>3585</v>
      </c>
      <c r="C5043" s="1" t="s">
        <v>3586</v>
      </c>
      <c r="D5043" s="1" t="s">
        <v>2386</v>
      </c>
      <c r="G5043" s="1" t="s">
        <v>3527</v>
      </c>
      <c r="H5043" s="2" t="str">
        <f>Tabella1[[#This Row],[Denominazione]]&amp;" - "&amp;Tabella1[[#This Row],[Città]]</f>
        <v>MARTINELLI MIRCO - PESARO</v>
      </c>
    </row>
    <row r="5044" spans="1:8" x14ac:dyDescent="0.25">
      <c r="A5044" s="1" t="s">
        <v>82</v>
      </c>
      <c r="B5044" s="1" t="s">
        <v>4655</v>
      </c>
      <c r="C5044" s="1" t="s">
        <v>4656</v>
      </c>
      <c r="D5044" s="1" t="s">
        <v>4657</v>
      </c>
      <c r="E5044" s="1" t="s">
        <v>4658</v>
      </c>
      <c r="F5044" s="1" t="s">
        <v>4659</v>
      </c>
      <c r="G5044" s="1" t="s">
        <v>4660</v>
      </c>
      <c r="H5044" s="2" t="str">
        <f>Tabella1[[#This Row],[Denominazione]]&amp;" - "&amp;Tabella1[[#This Row],[Città]]</f>
        <v>MARY AL TRAMONTO ROSSO - TAVULLIA</v>
      </c>
    </row>
    <row r="5045" spans="1:8" x14ac:dyDescent="0.25">
      <c r="A5045" s="1" t="s">
        <v>35</v>
      </c>
      <c r="B5045" s="1" t="s">
        <v>8908</v>
      </c>
      <c r="C5045" s="1" t="s">
        <v>8909</v>
      </c>
      <c r="D5045" s="1" t="s">
        <v>8849</v>
      </c>
      <c r="E5045" s="1" t="s">
        <v>8910</v>
      </c>
      <c r="G5045" s="1" t="s">
        <v>8911</v>
      </c>
      <c r="H5045" s="2" t="str">
        <f>Tabella1[[#This Row],[Denominazione]]&amp;" - "&amp;Tabella1[[#This Row],[Città]]</f>
        <v>MASS-HANS VALDIFIORI di CIPRIANI - SASSOFERRATO</v>
      </c>
    </row>
    <row r="5046" spans="1:8" x14ac:dyDescent="0.25">
      <c r="A5046" s="1" t="s">
        <v>20</v>
      </c>
      <c r="B5046" s="1" t="s">
        <v>9730</v>
      </c>
      <c r="C5046" s="1" t="s">
        <v>9731</v>
      </c>
      <c r="D5046" s="1" t="s">
        <v>8949</v>
      </c>
      <c r="E5046" s="1" t="s">
        <v>8949</v>
      </c>
      <c r="F5046" s="1" t="s">
        <v>9732</v>
      </c>
      <c r="G5046" s="1" t="s">
        <v>9733</v>
      </c>
      <c r="H5046" s="2" t="str">
        <f>Tabella1[[#This Row],[Denominazione]]&amp;" - "&amp;Tabella1[[#This Row],[Città]]</f>
        <v>MASSI - SENIGALLIA</v>
      </c>
    </row>
    <row r="5047" spans="1:8" x14ac:dyDescent="0.25">
      <c r="A5047" s="1" t="s">
        <v>35</v>
      </c>
      <c r="B5047" s="1" t="s">
        <v>16572</v>
      </c>
      <c r="C5047" s="1" t="s">
        <v>16573</v>
      </c>
      <c r="D5047" s="1" t="s">
        <v>16440</v>
      </c>
      <c r="E5047" s="1" t="s">
        <v>16440</v>
      </c>
      <c r="G5047" s="1" t="s">
        <v>16574</v>
      </c>
      <c r="H5047" s="2" t="str">
        <f>Tabella1[[#This Row],[Denominazione]]&amp;" - "&amp;Tabella1[[#This Row],[Città]]</f>
        <v>MASSI PATRIZIO - OFFIDA</v>
      </c>
    </row>
    <row r="5048" spans="1:8" x14ac:dyDescent="0.25">
      <c r="A5048" s="1" t="s">
        <v>12</v>
      </c>
      <c r="B5048" s="1" t="s">
        <v>2015</v>
      </c>
      <c r="C5048" s="1" t="s">
        <v>1932</v>
      </c>
      <c r="D5048" s="1" t="s">
        <v>1907</v>
      </c>
      <c r="H5048" s="2" t="str">
        <f>Tabella1[[#This Row],[Denominazione]]&amp;" - "&amp;Tabella1[[#This Row],[Città]]</f>
        <v>MASTRANGELO DARIO - GABICCE MARE</v>
      </c>
    </row>
    <row r="5049" spans="1:8" x14ac:dyDescent="0.25">
      <c r="A5049" s="1" t="s">
        <v>20</v>
      </c>
      <c r="B5049" s="1" t="s">
        <v>6905</v>
      </c>
      <c r="C5049" s="1" t="s">
        <v>6906</v>
      </c>
      <c r="D5049" s="1" t="s">
        <v>6790</v>
      </c>
      <c r="E5049" s="1" t="s">
        <v>6790</v>
      </c>
      <c r="G5049" s="1" t="s">
        <v>6907</v>
      </c>
      <c r="H5049" s="2" t="str">
        <f>Tabella1[[#This Row],[Denominazione]]&amp;" - "&amp;Tabella1[[#This Row],[Città]]</f>
        <v>MASTRO MARINO - FABRIANO</v>
      </c>
    </row>
    <row r="5050" spans="1:8" x14ac:dyDescent="0.25">
      <c r="A5050" s="1" t="s">
        <v>679</v>
      </c>
      <c r="B5050" s="1" t="s">
        <v>19462</v>
      </c>
      <c r="C5050" s="1" t="s">
        <v>3805</v>
      </c>
      <c r="D5050" s="1" t="s">
        <v>19283</v>
      </c>
      <c r="E5050" s="1" t="s">
        <v>2386</v>
      </c>
      <c r="H5050" s="2" t="str">
        <f>Tabella1[[#This Row],[Denominazione]]&amp;" - "&amp;Tabella1[[#This Row],[Città]]</f>
        <v>MATADOR - PORTO SANT'ELPIDIO</v>
      </c>
    </row>
    <row r="5051" spans="1:8" x14ac:dyDescent="0.25">
      <c r="A5051" s="1" t="s">
        <v>679</v>
      </c>
      <c r="B5051" s="1" t="s">
        <v>18957</v>
      </c>
      <c r="D5051" s="1" t="s">
        <v>18944</v>
      </c>
      <c r="H5051" s="2" t="str">
        <f>Tabella1[[#This Row],[Denominazione]]&amp;" - "&amp;Tabella1[[#This Row],[Città]]</f>
        <v>MATEPAYA CLUB - PEDASO</v>
      </c>
    </row>
    <row r="5052" spans="1:8" x14ac:dyDescent="0.25">
      <c r="A5052" s="1" t="s">
        <v>679</v>
      </c>
      <c r="B5052" s="1" t="s">
        <v>19211</v>
      </c>
      <c r="C5052" s="1" t="s">
        <v>19212</v>
      </c>
      <c r="D5052" s="1" t="s">
        <v>18082</v>
      </c>
      <c r="F5052" s="1" t="s">
        <v>19213</v>
      </c>
      <c r="G5052" s="1" t="s">
        <v>19214</v>
      </c>
      <c r="H5052" s="2" t="str">
        <f>Tabella1[[#This Row],[Denominazione]]&amp;" - "&amp;Tabella1[[#This Row],[Città]]</f>
        <v>MATILDA - PORTO SAN GIORGIO</v>
      </c>
    </row>
    <row r="5053" spans="1:8" x14ac:dyDescent="0.25">
      <c r="A5053" s="1" t="s">
        <v>12</v>
      </c>
      <c r="B5053" s="1" t="s">
        <v>3615</v>
      </c>
      <c r="C5053" s="1" t="s">
        <v>3616</v>
      </c>
      <c r="D5053" s="1" t="s">
        <v>2386</v>
      </c>
      <c r="E5053" s="1" t="s">
        <v>2386</v>
      </c>
      <c r="G5053" s="1" t="s">
        <v>3527</v>
      </c>
      <c r="H5053" s="2" t="str">
        <f>Tabella1[[#This Row],[Denominazione]]&amp;" - "&amp;Tabella1[[#This Row],[Città]]</f>
        <v>MATTIOLI MAURO APP.TO VIALE TRENTO - PESARO</v>
      </c>
    </row>
    <row r="5054" spans="1:8" x14ac:dyDescent="0.25">
      <c r="A5054" s="1" t="s">
        <v>12</v>
      </c>
      <c r="B5054" s="1" t="s">
        <v>3592</v>
      </c>
      <c r="C5054" s="1" t="s">
        <v>3593</v>
      </c>
      <c r="D5054" s="1" t="s">
        <v>2386</v>
      </c>
      <c r="E5054" s="1" t="s">
        <v>2386</v>
      </c>
      <c r="G5054" s="1" t="s">
        <v>3527</v>
      </c>
      <c r="H5054" s="2" t="str">
        <f>Tabella1[[#This Row],[Denominazione]]&amp;" - "&amp;Tabella1[[#This Row],[Città]]</f>
        <v>MATTIOLI MAURO APP.TO VIALE VITTORIA - PESARO</v>
      </c>
    </row>
    <row r="5055" spans="1:8" x14ac:dyDescent="0.25">
      <c r="A5055" s="1" t="s">
        <v>12</v>
      </c>
      <c r="B5055" s="1" t="s">
        <v>9086</v>
      </c>
      <c r="C5055" s="1" t="s">
        <v>9087</v>
      </c>
      <c r="D5055" s="1" t="s">
        <v>8949</v>
      </c>
      <c r="E5055" s="1" t="s">
        <v>8949</v>
      </c>
      <c r="G5055" s="1" t="s">
        <v>9037</v>
      </c>
      <c r="H5055" s="2" t="str">
        <f>Tabella1[[#This Row],[Denominazione]]&amp;" - "&amp;Tabella1[[#This Row],[Città]]</f>
        <v>MATTOLI MARIA - SENIGALLIA</v>
      </c>
    </row>
    <row r="5056" spans="1:8" x14ac:dyDescent="0.25">
      <c r="A5056" s="1" t="s">
        <v>679</v>
      </c>
      <c r="B5056" s="1" t="s">
        <v>18095</v>
      </c>
      <c r="C5056" s="1" t="s">
        <v>18081</v>
      </c>
      <c r="D5056" s="1" t="s">
        <v>17932</v>
      </c>
      <c r="E5056" s="1" t="s">
        <v>18082</v>
      </c>
      <c r="H5056" s="2" t="str">
        <f>Tabella1[[#This Row],[Denominazione]]&amp;" - "&amp;Tabella1[[#This Row],[Città]]</f>
        <v>MAUNA LOA - FERMO</v>
      </c>
    </row>
    <row r="5057" spans="1:8" x14ac:dyDescent="0.25">
      <c r="A5057" s="1" t="s">
        <v>82</v>
      </c>
      <c r="B5057" s="1" t="s">
        <v>11246</v>
      </c>
      <c r="C5057" s="1" t="s">
        <v>11247</v>
      </c>
      <c r="D5057" s="1" t="s">
        <v>11244</v>
      </c>
      <c r="G5057" s="1" t="s">
        <v>11248</v>
      </c>
      <c r="H5057" s="2" t="str">
        <f>Tabella1[[#This Row],[Denominazione]]&amp;" - "&amp;Tabella1[[#This Row],[Città]]</f>
        <v>MAURIZIO MACELLARI - CIVITANOVA MARCHE</v>
      </c>
    </row>
    <row r="5058" spans="1:8" x14ac:dyDescent="0.25">
      <c r="A5058" s="1" t="s">
        <v>82</v>
      </c>
      <c r="B5058" s="1" t="s">
        <v>4723</v>
      </c>
      <c r="C5058" s="1" t="s">
        <v>4724</v>
      </c>
      <c r="D5058" s="1" t="s">
        <v>4657</v>
      </c>
      <c r="G5058" s="1" t="s">
        <v>4725</v>
      </c>
      <c r="H5058" s="2" t="str">
        <f>Tabella1[[#This Row],[Denominazione]]&amp;" - "&amp;Tabella1[[#This Row],[Città]]</f>
        <v>MAURIZIO RADI - TAVULLIA</v>
      </c>
    </row>
    <row r="5059" spans="1:8" x14ac:dyDescent="0.25">
      <c r="A5059" s="1" t="s">
        <v>12</v>
      </c>
      <c r="B5059" s="1" t="s">
        <v>9044</v>
      </c>
      <c r="C5059" s="1" t="s">
        <v>9045</v>
      </c>
      <c r="D5059" s="1" t="s">
        <v>8949</v>
      </c>
      <c r="E5059" s="1" t="s">
        <v>8949</v>
      </c>
      <c r="G5059" s="1" t="s">
        <v>9046</v>
      </c>
      <c r="H5059" s="2" t="str">
        <f>Tabella1[[#This Row],[Denominazione]]&amp;" - "&amp;Tabella1[[#This Row],[Città]]</f>
        <v>MAURO MANCINI - SENIGALLIA</v>
      </c>
    </row>
    <row r="5060" spans="1:8" x14ac:dyDescent="0.25">
      <c r="A5060" s="1" t="s">
        <v>403</v>
      </c>
      <c r="B5060" s="1" t="s">
        <v>16976</v>
      </c>
      <c r="C5060" s="1" t="s">
        <v>16977</v>
      </c>
      <c r="D5060" s="1" t="s">
        <v>15819</v>
      </c>
      <c r="E5060" s="1" t="s">
        <v>16950</v>
      </c>
      <c r="F5060" s="1" t="s">
        <v>16978</v>
      </c>
      <c r="G5060" s="1" t="s">
        <v>16979</v>
      </c>
      <c r="H5060" s="2" t="str">
        <f>Tabella1[[#This Row],[Denominazione]]&amp;" - "&amp;Tabella1[[#This Row],[Città]]</f>
        <v>MAVIP RESIDENCE - SAN BENEDETTO DEL TRONTO</v>
      </c>
    </row>
    <row r="5061" spans="1:8" x14ac:dyDescent="0.25">
      <c r="A5061" s="1" t="s">
        <v>20</v>
      </c>
      <c r="B5061" s="1" t="s">
        <v>2200</v>
      </c>
      <c r="C5061" s="1" t="s">
        <v>2201</v>
      </c>
      <c r="D5061" s="1" t="s">
        <v>1907</v>
      </c>
      <c r="E5061" s="1" t="s">
        <v>1907</v>
      </c>
      <c r="F5061" s="1" t="s">
        <v>2202</v>
      </c>
      <c r="G5061" s="1" t="s">
        <v>2203</v>
      </c>
      <c r="H5061" s="2" t="str">
        <f>Tabella1[[#This Row],[Denominazione]]&amp;" - "&amp;Tabella1[[#This Row],[Città]]</f>
        <v>MAXIM - GABICCE MARE</v>
      </c>
    </row>
    <row r="5062" spans="1:8" x14ac:dyDescent="0.25">
      <c r="A5062" s="1" t="s">
        <v>12</v>
      </c>
      <c r="B5062" s="1" t="s">
        <v>11922</v>
      </c>
      <c r="C5062" s="1" t="s">
        <v>11923</v>
      </c>
      <c r="D5062" s="1" t="s">
        <v>11883</v>
      </c>
      <c r="E5062" s="1" t="s">
        <v>11924</v>
      </c>
      <c r="G5062" s="1" t="s">
        <v>11925</v>
      </c>
      <c r="H5062" s="2" t="str">
        <f>Tabella1[[#This Row],[Denominazione]]&amp;" - "&amp;Tabella1[[#This Row],[Città]]</f>
        <v>MAY PATRICIA HELEN ROXBURGH - GUALDO</v>
      </c>
    </row>
    <row r="5063" spans="1:8" x14ac:dyDescent="0.25">
      <c r="A5063" s="1" t="s">
        <v>29</v>
      </c>
      <c r="B5063" s="1" t="s">
        <v>10705</v>
      </c>
      <c r="C5063" s="1" t="s">
        <v>10706</v>
      </c>
      <c r="D5063" s="1" t="s">
        <v>10702</v>
      </c>
      <c r="E5063" s="1" t="s">
        <v>10707</v>
      </c>
      <c r="F5063" s="1" t="s">
        <v>10708</v>
      </c>
      <c r="G5063" s="1" t="s">
        <v>10709</v>
      </c>
      <c r="H5063" s="2" t="str">
        <f>Tabella1[[#This Row],[Denominazione]]&amp;" - "&amp;Tabella1[[#This Row],[Città]]</f>
        <v>MAZZAMURELLO - CALDAROLA</v>
      </c>
    </row>
    <row r="5064" spans="1:8" x14ac:dyDescent="0.25">
      <c r="A5064" s="1" t="s">
        <v>12</v>
      </c>
      <c r="B5064" s="1" t="s">
        <v>9125</v>
      </c>
      <c r="C5064" s="1" t="s">
        <v>9126</v>
      </c>
      <c r="D5064" s="1" t="s">
        <v>8949</v>
      </c>
      <c r="E5064" s="1" t="s">
        <v>8949</v>
      </c>
      <c r="G5064" s="1" t="s">
        <v>9037</v>
      </c>
      <c r="H5064" s="2" t="str">
        <f>Tabella1[[#This Row],[Denominazione]]&amp;" - "&amp;Tabella1[[#This Row],[Città]]</f>
        <v>MAZZANTI ELENA APP.TO VIA BASILICATA - SENIGALLIA</v>
      </c>
    </row>
    <row r="5065" spans="1:8" x14ac:dyDescent="0.25">
      <c r="A5065" s="1" t="s">
        <v>12</v>
      </c>
      <c r="B5065" s="1" t="s">
        <v>9129</v>
      </c>
      <c r="C5065" s="1" t="s">
        <v>9130</v>
      </c>
      <c r="D5065" s="1" t="s">
        <v>8949</v>
      </c>
      <c r="E5065" s="1" t="s">
        <v>8949</v>
      </c>
      <c r="G5065" s="1" t="s">
        <v>9037</v>
      </c>
      <c r="H5065" s="2" t="str">
        <f>Tabella1[[#This Row],[Denominazione]]&amp;" - "&amp;Tabella1[[#This Row],[Città]]</f>
        <v>MAZZANTI ELENA APP.TO VIA RIETI - SENIGALLIA</v>
      </c>
    </row>
    <row r="5066" spans="1:8" x14ac:dyDescent="0.25">
      <c r="A5066" s="1" t="s">
        <v>12</v>
      </c>
      <c r="B5066" s="1" t="s">
        <v>9112</v>
      </c>
      <c r="C5066" s="1" t="s">
        <v>9113</v>
      </c>
      <c r="D5066" s="1" t="s">
        <v>8949</v>
      </c>
      <c r="E5066" s="1" t="s">
        <v>8949</v>
      </c>
      <c r="G5066" s="1" t="s">
        <v>9037</v>
      </c>
      <c r="H5066" s="2" t="str">
        <f>Tabella1[[#This Row],[Denominazione]]&amp;" - "&amp;Tabella1[[#This Row],[Città]]</f>
        <v>MAZZANTI GIANFRANCO - SENIGALLIA</v>
      </c>
    </row>
    <row r="5067" spans="1:8" x14ac:dyDescent="0.25">
      <c r="A5067" s="1" t="s">
        <v>12</v>
      </c>
      <c r="B5067" s="1" t="s">
        <v>9283</v>
      </c>
      <c r="C5067" s="1" t="s">
        <v>9284</v>
      </c>
      <c r="D5067" s="1" t="s">
        <v>8949</v>
      </c>
      <c r="E5067" s="1" t="s">
        <v>8949</v>
      </c>
      <c r="G5067" s="1" t="s">
        <v>9037</v>
      </c>
      <c r="H5067" s="2" t="str">
        <f>Tabella1[[#This Row],[Denominazione]]&amp;" - "&amp;Tabella1[[#This Row],[Città]]</f>
        <v>MAZZAOLA ANGELO - SENIGALLIA</v>
      </c>
    </row>
    <row r="5068" spans="1:8" x14ac:dyDescent="0.25">
      <c r="A5068" s="1" t="s">
        <v>12</v>
      </c>
      <c r="B5068" s="1" t="s">
        <v>9022</v>
      </c>
      <c r="C5068" s="1" t="s">
        <v>9023</v>
      </c>
      <c r="D5068" s="1" t="s">
        <v>8949</v>
      </c>
      <c r="E5068" s="1" t="s">
        <v>8949</v>
      </c>
      <c r="G5068" s="1" t="s">
        <v>9024</v>
      </c>
      <c r="H5068" s="2" t="str">
        <f>Tabella1[[#This Row],[Denominazione]]&amp;" - "&amp;Tabella1[[#This Row],[Città]]</f>
        <v>MAZZARINI DANILO - SENIGALLIA</v>
      </c>
    </row>
    <row r="5069" spans="1:8" x14ac:dyDescent="0.25">
      <c r="A5069" s="1" t="s">
        <v>12</v>
      </c>
      <c r="B5069" s="1" t="s">
        <v>9114</v>
      </c>
      <c r="C5069" s="1" t="s">
        <v>9115</v>
      </c>
      <c r="D5069" s="1" t="s">
        <v>8949</v>
      </c>
      <c r="E5069" s="1" t="s">
        <v>8949</v>
      </c>
      <c r="G5069" s="1" t="s">
        <v>9040</v>
      </c>
      <c r="H5069" s="2" t="str">
        <f>Tabella1[[#This Row],[Denominazione]]&amp;" - "&amp;Tabella1[[#This Row],[Città]]</f>
        <v>MECOCCI ANDREA - SENIGALLIA</v>
      </c>
    </row>
    <row r="5070" spans="1:8" x14ac:dyDescent="0.25">
      <c r="A5070" s="1" t="s">
        <v>20</v>
      </c>
      <c r="B5070" s="1" t="s">
        <v>3656</v>
      </c>
      <c r="C5070" s="1" t="s">
        <v>3657</v>
      </c>
      <c r="D5070" s="1" t="s">
        <v>2386</v>
      </c>
      <c r="E5070" s="1" t="s">
        <v>2386</v>
      </c>
      <c r="F5070" s="1" t="s">
        <v>3658</v>
      </c>
      <c r="G5070" s="1" t="s">
        <v>3659</v>
      </c>
      <c r="H5070" s="2" t="str">
        <f>Tabella1[[#This Row],[Denominazione]]&amp;" - "&amp;Tabella1[[#This Row],[Città]]</f>
        <v>MEDITERRANEO - PESARO</v>
      </c>
    </row>
    <row r="5071" spans="1:8" x14ac:dyDescent="0.25">
      <c r="A5071" s="1" t="s">
        <v>403</v>
      </c>
      <c r="B5071" s="1" t="s">
        <v>3656</v>
      </c>
      <c r="C5071" s="1" t="s">
        <v>17428</v>
      </c>
      <c r="D5071" s="1" t="s">
        <v>15819</v>
      </c>
      <c r="E5071" s="1" t="s">
        <v>15819</v>
      </c>
      <c r="F5071" s="1" t="s">
        <v>17236</v>
      </c>
      <c r="G5071" s="1" t="s">
        <v>17179</v>
      </c>
      <c r="H5071" s="2" t="str">
        <f>Tabella1[[#This Row],[Denominazione]]&amp;" - "&amp;Tabella1[[#This Row],[Città]]</f>
        <v>MEDITERRANEO - SAN BENEDETTO DEL TRONTO</v>
      </c>
    </row>
    <row r="5072" spans="1:8" x14ac:dyDescent="0.25">
      <c r="A5072" s="1" t="s">
        <v>679</v>
      </c>
      <c r="B5072" s="1" t="s">
        <v>12996</v>
      </c>
      <c r="D5072" s="1" t="s">
        <v>12801</v>
      </c>
      <c r="H5072" s="2" t="str">
        <f>Tabella1[[#This Row],[Denominazione]]&amp;" - "&amp;Tabella1[[#This Row],[Città]]</f>
        <v>MEDUSA SABBIA D'OR - PORTO RECANATI</v>
      </c>
    </row>
    <row r="5073" spans="1:8" x14ac:dyDescent="0.25">
      <c r="A5073" s="1" t="s">
        <v>403</v>
      </c>
      <c r="B5073" s="1" t="s">
        <v>1950</v>
      </c>
      <c r="C5073" s="1" t="s">
        <v>1951</v>
      </c>
      <c r="D5073" s="1" t="s">
        <v>1907</v>
      </c>
      <c r="E5073" s="1" t="s">
        <v>1907</v>
      </c>
      <c r="F5073" s="1" t="s">
        <v>1952</v>
      </c>
      <c r="G5073" s="1" t="s">
        <v>1953</v>
      </c>
      <c r="H5073" s="2" t="str">
        <f>Tabella1[[#This Row],[Denominazione]]&amp;" - "&amp;Tabella1[[#This Row],[Città]]</f>
        <v>MEETING - GABICCE MARE</v>
      </c>
    </row>
    <row r="5074" spans="1:8" x14ac:dyDescent="0.25">
      <c r="A5074" s="1" t="s">
        <v>20</v>
      </c>
      <c r="B5074" s="1" t="s">
        <v>1950</v>
      </c>
      <c r="C5074" s="1" t="s">
        <v>4826</v>
      </c>
      <c r="D5074" s="1" t="s">
        <v>4735</v>
      </c>
      <c r="E5074" s="1" t="s">
        <v>4735</v>
      </c>
      <c r="H5074" s="2" t="str">
        <f>Tabella1[[#This Row],[Denominazione]]&amp;" - "&amp;Tabella1[[#This Row],[Città]]</f>
        <v>MEETING - URBANIA</v>
      </c>
    </row>
    <row r="5075" spans="1:8" x14ac:dyDescent="0.25">
      <c r="A5075" s="1" t="s">
        <v>12</v>
      </c>
      <c r="B5075" s="1" t="s">
        <v>811</v>
      </c>
      <c r="C5075" s="1" t="s">
        <v>812</v>
      </c>
      <c r="D5075" s="1" t="s">
        <v>682</v>
      </c>
      <c r="E5075" s="1" t="s">
        <v>682</v>
      </c>
      <c r="G5075" s="1" t="s">
        <v>806</v>
      </c>
      <c r="H5075" s="2" t="str">
        <f>Tabella1[[#This Row],[Denominazione]]&amp;" - "&amp;Tabella1[[#This Row],[Città]]</f>
        <v>MENACCINI DIEGO - FANO</v>
      </c>
    </row>
    <row r="5076" spans="1:8" x14ac:dyDescent="0.25">
      <c r="A5076" s="1" t="s">
        <v>12</v>
      </c>
      <c r="B5076" s="1" t="s">
        <v>1486</v>
      </c>
      <c r="C5076" s="1" t="s">
        <v>1487</v>
      </c>
      <c r="D5076" s="1" t="s">
        <v>682</v>
      </c>
      <c r="G5076" s="1" t="s">
        <v>806</v>
      </c>
      <c r="H5076" s="2" t="str">
        <f>Tabella1[[#This Row],[Denominazione]]&amp;" - "&amp;Tabella1[[#This Row],[Città]]</f>
        <v>MENCACCINI BRUNO - FANO</v>
      </c>
    </row>
    <row r="5077" spans="1:8" x14ac:dyDescent="0.25">
      <c r="A5077" s="1" t="s">
        <v>12</v>
      </c>
      <c r="B5077" s="1" t="s">
        <v>3601</v>
      </c>
      <c r="C5077" s="1" t="s">
        <v>3602</v>
      </c>
      <c r="D5077" s="1" t="s">
        <v>2386</v>
      </c>
      <c r="E5077" s="1" t="s">
        <v>2386</v>
      </c>
      <c r="H5077" s="2" t="str">
        <f>Tabella1[[#This Row],[Denominazione]]&amp;" - "&amp;Tabella1[[#This Row],[Città]]</f>
        <v>MENCHETTI ARTIDORO - PESARO</v>
      </c>
    </row>
    <row r="5078" spans="1:8" x14ac:dyDescent="0.25">
      <c r="A5078" s="1" t="s">
        <v>82</v>
      </c>
      <c r="B5078" s="1" t="s">
        <v>8977</v>
      </c>
      <c r="C5078" s="1" t="s">
        <v>8978</v>
      </c>
      <c r="D5078" s="1" t="s">
        <v>8949</v>
      </c>
      <c r="E5078" s="1" t="s">
        <v>8949</v>
      </c>
      <c r="G5078" s="1" t="s">
        <v>8979</v>
      </c>
      <c r="H5078" s="2" t="str">
        <f>Tabella1[[#This Row],[Denominazione]]&amp;" - "&amp;Tabella1[[#This Row],[Città]]</f>
        <v>MENCUCCI CARLO - SENIGALLIA</v>
      </c>
    </row>
    <row r="5079" spans="1:8" x14ac:dyDescent="0.25">
      <c r="A5079" s="1" t="s">
        <v>82</v>
      </c>
      <c r="B5079" s="1" t="s">
        <v>10221</v>
      </c>
      <c r="C5079" s="1" t="s">
        <v>10222</v>
      </c>
      <c r="D5079" s="1" t="s">
        <v>10206</v>
      </c>
      <c r="E5079" s="1" t="s">
        <v>10206</v>
      </c>
      <c r="H5079" s="2" t="str">
        <f>Tabella1[[#This Row],[Denominazione]]&amp;" - "&amp;Tabella1[[#This Row],[Città]]</f>
        <v>MENGANI GRAZIELLA - SIROLO</v>
      </c>
    </row>
    <row r="5080" spans="1:8" x14ac:dyDescent="0.25">
      <c r="A5080" s="1" t="s">
        <v>29</v>
      </c>
      <c r="B5080" s="1" t="s">
        <v>14949</v>
      </c>
      <c r="C5080" s="1" t="s">
        <v>14950</v>
      </c>
      <c r="D5080" s="1" t="s">
        <v>14576</v>
      </c>
      <c r="E5080" s="1" t="s">
        <v>14951</v>
      </c>
      <c r="G5080" s="1" t="s">
        <v>14952</v>
      </c>
      <c r="H5080" s="2" t="str">
        <f>Tabella1[[#This Row],[Denominazione]]&amp;" - "&amp;Tabella1[[#This Row],[Città]]</f>
        <v>MERAVILLA - ASCOLI PICENO</v>
      </c>
    </row>
    <row r="5081" spans="1:8" x14ac:dyDescent="0.25">
      <c r="A5081" s="1" t="s">
        <v>12</v>
      </c>
      <c r="B5081" s="1" t="s">
        <v>10129</v>
      </c>
      <c r="C5081" s="1" t="s">
        <v>10130</v>
      </c>
      <c r="D5081" s="1" t="s">
        <v>10117</v>
      </c>
      <c r="E5081" s="1" t="s">
        <v>10117</v>
      </c>
      <c r="G5081" s="1" t="s">
        <v>10126</v>
      </c>
      <c r="H5081" s="2" t="str">
        <f>Tabella1[[#This Row],[Denominazione]]&amp;" - "&amp;Tabella1[[#This Row],[Città]]</f>
        <v>MERCANTI ENRICA - SERRA SAN QUIRICO</v>
      </c>
    </row>
    <row r="5082" spans="1:8" x14ac:dyDescent="0.25">
      <c r="A5082" s="1" t="s">
        <v>12</v>
      </c>
      <c r="B5082" s="1" t="s">
        <v>13032</v>
      </c>
      <c r="C5082" s="1" t="s">
        <v>13033</v>
      </c>
      <c r="D5082" s="1" t="s">
        <v>13026</v>
      </c>
      <c r="E5082" s="1" t="s">
        <v>13026</v>
      </c>
      <c r="H5082" s="2" t="str">
        <f>Tabella1[[#This Row],[Denominazione]]&amp;" - "&amp;Tabella1[[#This Row],[Città]]</f>
        <v>MERCURI ROSANNA - POTENZA PICENA</v>
      </c>
    </row>
    <row r="5083" spans="1:8" x14ac:dyDescent="0.25">
      <c r="A5083" s="1" t="s">
        <v>82</v>
      </c>
      <c r="B5083" s="1" t="s">
        <v>19558</v>
      </c>
      <c r="C5083" s="1" t="s">
        <v>19559</v>
      </c>
      <c r="D5083" s="1" t="s">
        <v>19541</v>
      </c>
      <c r="E5083" s="1" t="s">
        <v>19560</v>
      </c>
      <c r="F5083" s="1" t="s">
        <v>19561</v>
      </c>
      <c r="G5083" s="1" t="s">
        <v>19562</v>
      </c>
      <c r="H5083" s="2" t="str">
        <f>Tabella1[[#This Row],[Denominazione]]&amp;" - "&amp;Tabella1[[#This Row],[Città]]</f>
        <v>MERENDERO - SANT'ELPIDIO A MARE</v>
      </c>
    </row>
    <row r="5084" spans="1:8" x14ac:dyDescent="0.25">
      <c r="A5084" s="1" t="s">
        <v>12</v>
      </c>
      <c r="B5084" s="1" t="s">
        <v>8020</v>
      </c>
      <c r="C5084" s="1" t="s">
        <v>8021</v>
      </c>
      <c r="D5084" s="1" t="s">
        <v>7889</v>
      </c>
      <c r="G5084" s="1" t="s">
        <v>8022</v>
      </c>
      <c r="H5084" s="2" t="str">
        <f>Tabella1[[#This Row],[Denominazione]]&amp;" - "&amp;Tabella1[[#This Row],[Città]]</f>
        <v>MERI CANTORI - NUMANA</v>
      </c>
    </row>
    <row r="5085" spans="1:8" x14ac:dyDescent="0.25">
      <c r="A5085" s="1" t="s">
        <v>35</v>
      </c>
      <c r="B5085" s="1" t="s">
        <v>3393</v>
      </c>
      <c r="C5085" s="1" t="s">
        <v>3394</v>
      </c>
      <c r="D5085" s="1" t="s">
        <v>3305</v>
      </c>
      <c r="E5085" s="1" t="s">
        <v>3305</v>
      </c>
      <c r="F5085" s="1" t="s">
        <v>3395</v>
      </c>
      <c r="G5085" s="1" t="s">
        <v>3396</v>
      </c>
      <c r="H5085" s="2" t="str">
        <f>Tabella1[[#This Row],[Denominazione]]&amp;" - "&amp;Tabella1[[#This Row],[Città]]</f>
        <v>MERLINO - PERGOLA</v>
      </c>
    </row>
    <row r="5086" spans="1:8" x14ac:dyDescent="0.25">
      <c r="A5086" s="1" t="s">
        <v>20</v>
      </c>
      <c r="B5086" s="1" t="s">
        <v>4240</v>
      </c>
      <c r="C5086" s="1" t="s">
        <v>4241</v>
      </c>
      <c r="D5086" s="1" t="s">
        <v>4242</v>
      </c>
      <c r="E5086" s="1" t="s">
        <v>4243</v>
      </c>
      <c r="F5086" s="1" t="s">
        <v>4244</v>
      </c>
      <c r="G5086" s="1" t="s">
        <v>4245</v>
      </c>
      <c r="H5086" s="2" t="str">
        <f>Tabella1[[#This Row],[Denominazione]]&amp;" - "&amp;Tabella1[[#This Row],[Città]]</f>
        <v>METAURO - SALTARA</v>
      </c>
    </row>
    <row r="5087" spans="1:8" x14ac:dyDescent="0.25">
      <c r="A5087" s="1" t="s">
        <v>20</v>
      </c>
      <c r="B5087" s="1" t="s">
        <v>3660</v>
      </c>
      <c r="C5087" s="1" t="s">
        <v>3661</v>
      </c>
      <c r="D5087" s="1" t="s">
        <v>2386</v>
      </c>
      <c r="E5087" s="1" t="s">
        <v>2386</v>
      </c>
      <c r="F5087" s="1" t="s">
        <v>3662</v>
      </c>
      <c r="G5087" s="1" t="s">
        <v>3663</v>
      </c>
      <c r="H5087" s="2" t="str">
        <f>Tabella1[[#This Row],[Denominazione]]&amp;" - "&amp;Tabella1[[#This Row],[Città]]</f>
        <v>METROPOL - PESARO</v>
      </c>
    </row>
    <row r="5088" spans="1:8" x14ac:dyDescent="0.25">
      <c r="A5088" s="1" t="s">
        <v>20</v>
      </c>
      <c r="B5088" s="1" t="s">
        <v>3660</v>
      </c>
      <c r="C5088" s="1" t="s">
        <v>9760</v>
      </c>
      <c r="D5088" s="1" t="s">
        <v>8949</v>
      </c>
      <c r="E5088" s="1" t="s">
        <v>8949</v>
      </c>
      <c r="F5088" s="1" t="s">
        <v>9761</v>
      </c>
      <c r="G5088" s="1" t="s">
        <v>9762</v>
      </c>
      <c r="H5088" s="2" t="str">
        <f>Tabella1[[#This Row],[Denominazione]]&amp;" - "&amp;Tabella1[[#This Row],[Città]]</f>
        <v>METROPOL - SENIGALLIA</v>
      </c>
    </row>
    <row r="5089" spans="1:8" x14ac:dyDescent="0.25">
      <c r="A5089" s="1" t="s">
        <v>20</v>
      </c>
      <c r="B5089" s="1" t="s">
        <v>8261</v>
      </c>
      <c r="C5089" s="1" t="s">
        <v>8262</v>
      </c>
      <c r="D5089" s="1" t="s">
        <v>7889</v>
      </c>
      <c r="E5089" s="1" t="s">
        <v>7889</v>
      </c>
      <c r="F5089" s="1" t="s">
        <v>8263</v>
      </c>
      <c r="G5089" s="1" t="s">
        <v>8264</v>
      </c>
      <c r="H5089" s="2" t="str">
        <f>Tabella1[[#This Row],[Denominazione]]&amp;" - "&amp;Tabella1[[#This Row],[Città]]</f>
        <v>MEUBLE' LA SPIAGGIOLA - NUMANA</v>
      </c>
    </row>
    <row r="5090" spans="1:8" x14ac:dyDescent="0.25">
      <c r="A5090" s="1" t="s">
        <v>12</v>
      </c>
      <c r="B5090" s="1" t="s">
        <v>13095</v>
      </c>
      <c r="C5090" s="1" t="s">
        <v>13096</v>
      </c>
      <c r="D5090" s="1" t="s">
        <v>13026</v>
      </c>
      <c r="H5090" s="2" t="str">
        <f>Tabella1[[#This Row],[Denominazione]]&amp;" - "&amp;Tabella1[[#This Row],[Città]]</f>
        <v>MEZZASOMA RITA - POTENZA PICENA</v>
      </c>
    </row>
    <row r="5091" spans="1:8" x14ac:dyDescent="0.25">
      <c r="A5091" s="1" t="s">
        <v>12</v>
      </c>
      <c r="B5091" s="1" t="s">
        <v>13559</v>
      </c>
      <c r="C5091" s="1" t="s">
        <v>13560</v>
      </c>
      <c r="D5091" s="1" t="s">
        <v>13548</v>
      </c>
      <c r="G5091" s="1" t="s">
        <v>13561</v>
      </c>
      <c r="H5091" s="2" t="str">
        <f>Tabella1[[#This Row],[Denominazione]]&amp;" - "&amp;Tabella1[[#This Row],[Città]]</f>
        <v>MEZZOBAIOCCO APPARTAMENTO - SAN SEVERINO MARCHE</v>
      </c>
    </row>
    <row r="5092" spans="1:8" x14ac:dyDescent="0.25">
      <c r="A5092" s="1" t="s">
        <v>12</v>
      </c>
      <c r="B5092" s="1" t="s">
        <v>3530</v>
      </c>
      <c r="C5092" s="1" t="s">
        <v>3526</v>
      </c>
      <c r="D5092" s="1" t="s">
        <v>2386</v>
      </c>
      <c r="E5092" s="1" t="s">
        <v>2386</v>
      </c>
      <c r="G5092" s="1" t="s">
        <v>3527</v>
      </c>
      <c r="H5092" s="2" t="str">
        <f>Tabella1[[#This Row],[Denominazione]]&amp;" - "&amp;Tabella1[[#This Row],[Città]]</f>
        <v>MEZZOLANI FILIPPO - PESARO</v>
      </c>
    </row>
    <row r="5093" spans="1:8" x14ac:dyDescent="0.25">
      <c r="A5093" s="1" t="s">
        <v>12</v>
      </c>
      <c r="B5093" s="1" t="s">
        <v>9181</v>
      </c>
      <c r="C5093" s="1" t="s">
        <v>9182</v>
      </c>
      <c r="D5093" s="1" t="s">
        <v>8949</v>
      </c>
      <c r="E5093" s="1" t="s">
        <v>8949</v>
      </c>
      <c r="G5093" s="1" t="s">
        <v>9183</v>
      </c>
      <c r="H5093" s="2" t="str">
        <f>Tabella1[[#This Row],[Denominazione]]&amp;" - "&amp;Tabella1[[#This Row],[Città]]</f>
        <v>MICCI LAMBERTO - SENIGALLIA</v>
      </c>
    </row>
    <row r="5094" spans="1:8" x14ac:dyDescent="0.25">
      <c r="A5094" s="1" t="s">
        <v>12</v>
      </c>
      <c r="B5094" s="1" t="s">
        <v>13430</v>
      </c>
      <c r="C5094" s="1" t="s">
        <v>13431</v>
      </c>
      <c r="D5094" s="1" t="s">
        <v>13428</v>
      </c>
      <c r="G5094" s="1" t="s">
        <v>13432</v>
      </c>
      <c r="H5094" s="2" t="str">
        <f>Tabella1[[#This Row],[Denominazione]]&amp;" - "&amp;Tabella1[[#This Row],[Città]]</f>
        <v>MICHAEL JAMES ANDREWS - RIPE SAN GINESIO</v>
      </c>
    </row>
    <row r="5095" spans="1:8" x14ac:dyDescent="0.25">
      <c r="A5095" s="1" t="s">
        <v>12</v>
      </c>
      <c r="B5095" s="1" t="s">
        <v>2025</v>
      </c>
      <c r="C5095" s="1" t="s">
        <v>2026</v>
      </c>
      <c r="D5095" s="1" t="s">
        <v>1907</v>
      </c>
      <c r="H5095" s="2" t="str">
        <f>Tabella1[[#This Row],[Denominazione]]&amp;" - "&amp;Tabella1[[#This Row],[Città]]</f>
        <v>MICHELINI DINO - GABICCE MARE</v>
      </c>
    </row>
    <row r="5096" spans="1:8" x14ac:dyDescent="0.25">
      <c r="A5096" s="1" t="s">
        <v>20</v>
      </c>
      <c r="B5096" s="1" t="s">
        <v>5586</v>
      </c>
      <c r="C5096" s="1" t="s">
        <v>5587</v>
      </c>
      <c r="D5096" s="1" t="s">
        <v>1864</v>
      </c>
      <c r="E5096" s="1" t="s">
        <v>1864</v>
      </c>
      <c r="G5096" s="1" t="s">
        <v>5588</v>
      </c>
      <c r="H5096" s="2" t="str">
        <f>Tabella1[[#This Row],[Denominazione]]&amp;" - "&amp;Tabella1[[#This Row],[Città]]</f>
        <v>MILANO - ANCONA</v>
      </c>
    </row>
    <row r="5097" spans="1:8" x14ac:dyDescent="0.25">
      <c r="A5097" s="1" t="s">
        <v>679</v>
      </c>
      <c r="B5097" s="1" t="s">
        <v>12852</v>
      </c>
      <c r="C5097" s="1" t="s">
        <v>12853</v>
      </c>
      <c r="D5097" s="1" t="s">
        <v>12801</v>
      </c>
      <c r="F5097" s="1" t="s">
        <v>12854</v>
      </c>
      <c r="H5097" s="2" t="str">
        <f>Tabella1[[#This Row],[Denominazione]]&amp;" - "&amp;Tabella1[[#This Row],[Città]]</f>
        <v>MILLE LIRE - PORTO RECANATI</v>
      </c>
    </row>
    <row r="5098" spans="1:8" x14ac:dyDescent="0.25">
      <c r="A5098" s="1" t="s">
        <v>35</v>
      </c>
      <c r="B5098" s="1" t="s">
        <v>18591</v>
      </c>
      <c r="C5098" s="1" t="s">
        <v>18592</v>
      </c>
      <c r="D5098" s="1" t="s">
        <v>18589</v>
      </c>
      <c r="E5098" s="1" t="s">
        <v>18589</v>
      </c>
      <c r="F5098" s="1" t="s">
        <v>18593</v>
      </c>
      <c r="G5098" s="1" t="s">
        <v>18594</v>
      </c>
      <c r="H5098" s="2" t="str">
        <f>Tabella1[[#This Row],[Denominazione]]&amp;" - "&amp;Tabella1[[#This Row],[Città]]</f>
        <v>MILLE QUERCE SRL - MONTE GIBERTO</v>
      </c>
    </row>
    <row r="5099" spans="1:8" x14ac:dyDescent="0.25">
      <c r="A5099" s="1" t="s">
        <v>679</v>
      </c>
      <c r="B5099" s="1" t="s">
        <v>15886</v>
      </c>
      <c r="D5099" s="1" t="s">
        <v>15585</v>
      </c>
      <c r="H5099" s="2" t="str">
        <f>Tabella1[[#This Row],[Denominazione]]&amp;" - "&amp;Tabella1[[#This Row],[Città]]</f>
        <v>MIMOSA - GROTTAMMARE</v>
      </c>
    </row>
    <row r="5100" spans="1:8" x14ac:dyDescent="0.25">
      <c r="A5100" s="1" t="s">
        <v>679</v>
      </c>
      <c r="B5100" s="1" t="s">
        <v>19082</v>
      </c>
      <c r="C5100" s="1" t="s">
        <v>19078</v>
      </c>
      <c r="D5100" s="1" t="s">
        <v>18082</v>
      </c>
      <c r="E5100" s="1" t="s">
        <v>18082</v>
      </c>
      <c r="F5100" s="1" t="s">
        <v>19083</v>
      </c>
      <c r="H5100" s="2" t="str">
        <f>Tabella1[[#This Row],[Denominazione]]&amp;" - "&amp;Tabella1[[#This Row],[Città]]</f>
        <v>MINONDA - PORTO SAN GIORGIO</v>
      </c>
    </row>
    <row r="5101" spans="1:8" x14ac:dyDescent="0.25">
      <c r="A5101" s="1" t="s">
        <v>679</v>
      </c>
      <c r="B5101" s="1" t="s">
        <v>19361</v>
      </c>
      <c r="C5101" s="1" t="s">
        <v>19362</v>
      </c>
      <c r="D5101" s="1" t="s">
        <v>19283</v>
      </c>
      <c r="E5101" s="1" t="s">
        <v>19363</v>
      </c>
      <c r="H5101" s="2" t="str">
        <f>Tabella1[[#This Row],[Denominazione]]&amp;" - "&amp;Tabella1[[#This Row],[Città]]</f>
        <v>MINU' - PORTO SANT'ELPIDIO</v>
      </c>
    </row>
    <row r="5102" spans="1:8" x14ac:dyDescent="0.25">
      <c r="A5102" s="1" t="s">
        <v>571</v>
      </c>
      <c r="B5102" s="1" t="s">
        <v>17709</v>
      </c>
      <c r="C5102" s="1" t="s">
        <v>17710</v>
      </c>
      <c r="D5102" s="1" t="s">
        <v>17703</v>
      </c>
      <c r="E5102" s="1" t="s">
        <v>17703</v>
      </c>
      <c r="F5102" s="1" t="s">
        <v>17711</v>
      </c>
      <c r="G5102" s="1" t="s">
        <v>17712</v>
      </c>
      <c r="H5102" s="2" t="str">
        <f>Tabella1[[#This Row],[Denominazione]]&amp;" - "&amp;Tabella1[[#This Row],[Città]]</f>
        <v>MIRAGE - ALTIDONA</v>
      </c>
    </row>
    <row r="5103" spans="1:8" x14ac:dyDescent="0.25">
      <c r="A5103" s="1" t="s">
        <v>679</v>
      </c>
      <c r="B5103" s="1" t="s">
        <v>17709</v>
      </c>
      <c r="D5103" s="1" t="s">
        <v>17703</v>
      </c>
      <c r="F5103" s="1" t="s">
        <v>17712</v>
      </c>
      <c r="G5103" s="1" t="s">
        <v>17711</v>
      </c>
      <c r="H5103" s="2" t="str">
        <f>Tabella1[[#This Row],[Denominazione]]&amp;" - "&amp;Tabella1[[#This Row],[Città]]</f>
        <v>MIRAGE - ALTIDONA</v>
      </c>
    </row>
    <row r="5104" spans="1:8" x14ac:dyDescent="0.25">
      <c r="A5104" s="1" t="s">
        <v>20</v>
      </c>
      <c r="B5104" s="1" t="s">
        <v>2204</v>
      </c>
      <c r="C5104" s="1" t="s">
        <v>2205</v>
      </c>
      <c r="D5104" s="1" t="s">
        <v>1907</v>
      </c>
      <c r="E5104" s="1" t="s">
        <v>1907</v>
      </c>
      <c r="F5104" s="1" t="s">
        <v>2206</v>
      </c>
      <c r="G5104" s="1" t="s">
        <v>2207</v>
      </c>
      <c r="H5104" s="2" t="str">
        <f>Tabella1[[#This Row],[Denominazione]]&amp;" - "&amp;Tabella1[[#This Row],[Città]]</f>
        <v>MIRAMARE - GABICCE MARE</v>
      </c>
    </row>
    <row r="5105" spans="1:8" x14ac:dyDescent="0.25">
      <c r="A5105" s="1" t="s">
        <v>20</v>
      </c>
      <c r="B5105" s="1" t="s">
        <v>2204</v>
      </c>
      <c r="C5105" s="1" t="s">
        <v>2904</v>
      </c>
      <c r="D5105" s="1" t="s">
        <v>1605</v>
      </c>
      <c r="E5105" s="1" t="s">
        <v>1605</v>
      </c>
      <c r="F5105" s="1" t="s">
        <v>2905</v>
      </c>
      <c r="G5105" s="1" t="s">
        <v>2906</v>
      </c>
      <c r="H5105" s="2" t="str">
        <f>Tabella1[[#This Row],[Denominazione]]&amp;" - "&amp;Tabella1[[#This Row],[Città]]</f>
        <v>MIRAMARE - MONDOLFO</v>
      </c>
    </row>
    <row r="5106" spans="1:8" x14ac:dyDescent="0.25">
      <c r="A5106" s="1" t="s">
        <v>20</v>
      </c>
      <c r="B5106" s="1" t="s">
        <v>2204</v>
      </c>
      <c r="C5106" s="1" t="s">
        <v>3664</v>
      </c>
      <c r="D5106" s="1" t="s">
        <v>2386</v>
      </c>
      <c r="E5106" s="1" t="s">
        <v>2386</v>
      </c>
      <c r="G5106" s="1" t="s">
        <v>3665</v>
      </c>
      <c r="H5106" s="2" t="str">
        <f>Tabella1[[#This Row],[Denominazione]]&amp;" - "&amp;Tabella1[[#This Row],[Città]]</f>
        <v>MIRAMARE - PESARO</v>
      </c>
    </row>
    <row r="5107" spans="1:8" x14ac:dyDescent="0.25">
      <c r="A5107" s="1" t="s">
        <v>679</v>
      </c>
      <c r="B5107" s="1" t="s">
        <v>2204</v>
      </c>
      <c r="C5107" s="1" t="s">
        <v>7961</v>
      </c>
      <c r="D5107" s="1" t="s">
        <v>7889</v>
      </c>
      <c r="E5107" s="1" t="s">
        <v>7890</v>
      </c>
      <c r="F5107" s="1" t="s">
        <v>7962</v>
      </c>
      <c r="H5107" s="2" t="str">
        <f>Tabella1[[#This Row],[Denominazione]]&amp;" - "&amp;Tabella1[[#This Row],[Città]]</f>
        <v>MIRAMARE - NUMANA</v>
      </c>
    </row>
    <row r="5108" spans="1:8" x14ac:dyDescent="0.25">
      <c r="A5108" s="1" t="s">
        <v>20</v>
      </c>
      <c r="B5108" s="1" t="s">
        <v>2204</v>
      </c>
      <c r="C5108" s="1" t="s">
        <v>11553</v>
      </c>
      <c r="D5108" s="1" t="s">
        <v>11244</v>
      </c>
      <c r="E5108" s="1" t="s">
        <v>11244</v>
      </c>
      <c r="F5108" s="1" t="s">
        <v>11554</v>
      </c>
      <c r="G5108" s="1" t="s">
        <v>11555</v>
      </c>
      <c r="H5108" s="2" t="str">
        <f>Tabella1[[#This Row],[Denominazione]]&amp;" - "&amp;Tabella1[[#This Row],[Città]]</f>
        <v>MIRAMARE - CIVITANOVA MARCHE</v>
      </c>
    </row>
    <row r="5109" spans="1:8" x14ac:dyDescent="0.25">
      <c r="A5109" s="1" t="s">
        <v>679</v>
      </c>
      <c r="B5109" s="1" t="s">
        <v>17327</v>
      </c>
      <c r="C5109" s="1" t="s">
        <v>3805</v>
      </c>
      <c r="D5109" s="1" t="s">
        <v>15819</v>
      </c>
      <c r="H5109" s="2" t="str">
        <f>Tabella1[[#This Row],[Denominazione]]&amp;" - "&amp;Tabella1[[#This Row],[Città]]</f>
        <v>MIRAMARE BEACH - SAN BENEDETTO DEL TRONTO</v>
      </c>
    </row>
    <row r="5110" spans="1:8" x14ac:dyDescent="0.25">
      <c r="A5110" s="1" t="s">
        <v>20</v>
      </c>
      <c r="B5110" s="1" t="s">
        <v>2933</v>
      </c>
      <c r="C5110" s="1" t="s">
        <v>2934</v>
      </c>
      <c r="D5110" s="1" t="s">
        <v>1605</v>
      </c>
      <c r="E5110" s="1" t="s">
        <v>1605</v>
      </c>
      <c r="F5110" s="1" t="s">
        <v>2905</v>
      </c>
      <c r="G5110" s="1" t="s">
        <v>2906</v>
      </c>
      <c r="H5110" s="2" t="str">
        <f>Tabella1[[#This Row],[Denominazione]]&amp;" - "&amp;Tabella1[[#This Row],[Città]]</f>
        <v>MIRAMARE INN - MONDOLFO</v>
      </c>
    </row>
    <row r="5111" spans="1:8" x14ac:dyDescent="0.25">
      <c r="A5111" s="1" t="s">
        <v>679</v>
      </c>
      <c r="B5111" s="1" t="s">
        <v>7098</v>
      </c>
      <c r="C5111" s="1" t="s">
        <v>7099</v>
      </c>
      <c r="D5111" s="1" t="s">
        <v>5735</v>
      </c>
      <c r="E5111" s="1" t="s">
        <v>5735</v>
      </c>
      <c r="H5111" s="2" t="str">
        <f>Tabella1[[#This Row],[Denominazione]]&amp;" - "&amp;Tabella1[[#This Row],[Città]]</f>
        <v>MIRCO ED ALE - FALCONARA MARITTIMA</v>
      </c>
    </row>
    <row r="5112" spans="1:8" x14ac:dyDescent="0.25">
      <c r="A5112" s="1" t="s">
        <v>12</v>
      </c>
      <c r="B5112" s="1" t="s">
        <v>5504</v>
      </c>
      <c r="C5112" s="1" t="s">
        <v>5505</v>
      </c>
      <c r="D5112" s="1" t="s">
        <v>1864</v>
      </c>
      <c r="G5112" s="1" t="s">
        <v>5506</v>
      </c>
      <c r="H5112" s="2" t="str">
        <f>Tabella1[[#This Row],[Denominazione]]&amp;" - "&amp;Tabella1[[#This Row],[Città]]</f>
        <v>MIRCO MANCINELLI - ANCONA</v>
      </c>
    </row>
    <row r="5113" spans="1:8" x14ac:dyDescent="0.25">
      <c r="A5113" s="1" t="s">
        <v>679</v>
      </c>
      <c r="B5113" s="1" t="s">
        <v>11603</v>
      </c>
      <c r="C5113" s="1" t="s">
        <v>11604</v>
      </c>
      <c r="D5113" s="1" t="s">
        <v>11244</v>
      </c>
      <c r="E5113" s="1" t="s">
        <v>11244</v>
      </c>
      <c r="H5113" s="2" t="str">
        <f>Tabella1[[#This Row],[Denominazione]]&amp;" - "&amp;Tabella1[[#This Row],[Città]]</f>
        <v>MIRRO' - CIVITANOVA MARCHE</v>
      </c>
    </row>
    <row r="5114" spans="1:8" x14ac:dyDescent="0.25">
      <c r="A5114" s="1" t="s">
        <v>35</v>
      </c>
      <c r="B5114" s="1" t="s">
        <v>13453</v>
      </c>
      <c r="D5114" s="1" t="s">
        <v>6072</v>
      </c>
      <c r="H5114" s="2" t="str">
        <f>Tabella1[[#This Row],[Denominazione]]&amp;" - "&amp;Tabella1[[#This Row],[Città]]</f>
        <v>MIRYAM - SAN GINESIO</v>
      </c>
    </row>
    <row r="5115" spans="1:8" x14ac:dyDescent="0.25">
      <c r="A5115" s="1" t="s">
        <v>12</v>
      </c>
      <c r="B5115" s="1" t="s">
        <v>13069</v>
      </c>
      <c r="C5115" s="1" t="s">
        <v>13070</v>
      </c>
      <c r="D5115" s="1" t="s">
        <v>13026</v>
      </c>
      <c r="E5115" s="1" t="s">
        <v>13026</v>
      </c>
      <c r="H5115" s="2" t="str">
        <f>Tabella1[[#This Row],[Denominazione]]&amp;" - "&amp;Tabella1[[#This Row],[Città]]</f>
        <v>MOBILI ALICE - POTENZA PICENA</v>
      </c>
    </row>
    <row r="5116" spans="1:8" x14ac:dyDescent="0.25">
      <c r="A5116" s="1" t="s">
        <v>679</v>
      </c>
      <c r="B5116" s="1" t="s">
        <v>19458</v>
      </c>
      <c r="C5116" s="1" t="s">
        <v>3805</v>
      </c>
      <c r="D5116" s="1" t="s">
        <v>19283</v>
      </c>
      <c r="H5116" s="2" t="str">
        <f>Tabella1[[#This Row],[Denominazione]]&amp;" - "&amp;Tabella1[[#This Row],[Città]]</f>
        <v>MOBY DYCK - PORTO SANT'ELPIDIO</v>
      </c>
    </row>
    <row r="5117" spans="1:8" x14ac:dyDescent="0.25">
      <c r="A5117" s="1" t="s">
        <v>20</v>
      </c>
      <c r="B5117" s="1" t="s">
        <v>17273</v>
      </c>
      <c r="C5117" s="1" t="s">
        <v>17274</v>
      </c>
      <c r="D5117" s="1" t="s">
        <v>15819</v>
      </c>
      <c r="E5117" s="1" t="s">
        <v>15819</v>
      </c>
      <c r="F5117" s="1" t="s">
        <v>17275</v>
      </c>
      <c r="G5117" s="1" t="s">
        <v>17276</v>
      </c>
      <c r="H5117" s="2" t="str">
        <f>Tabella1[[#This Row],[Denominazione]]&amp;" - "&amp;Tabella1[[#This Row],[Città]]</f>
        <v>MOCAMBO - SAN BENEDETTO DEL TRONTO</v>
      </c>
    </row>
    <row r="5118" spans="1:8" x14ac:dyDescent="0.25">
      <c r="A5118" s="1" t="s">
        <v>12</v>
      </c>
      <c r="B5118" s="1" t="s">
        <v>4335</v>
      </c>
      <c r="C5118" s="1" t="s">
        <v>4336</v>
      </c>
      <c r="D5118" s="1" t="s">
        <v>4272</v>
      </c>
      <c r="E5118" s="1" t="s">
        <v>4337</v>
      </c>
      <c r="G5118" s="1" t="s">
        <v>4338</v>
      </c>
      <c r="H5118" s="2" t="str">
        <f>Tabella1[[#This Row],[Denominazione]]&amp;" - "&amp;Tabella1[[#This Row],[Città]]</f>
        <v>MOCK HARRY - SAN COSTANZO</v>
      </c>
    </row>
    <row r="5119" spans="1:8" x14ac:dyDescent="0.25">
      <c r="A5119" s="1" t="s">
        <v>6</v>
      </c>
      <c r="B5119" s="1" t="s">
        <v>5272</v>
      </c>
      <c r="C5119" s="1" t="s">
        <v>5273</v>
      </c>
      <c r="D5119" s="1" t="s">
        <v>9</v>
      </c>
      <c r="E5119" s="1" t="s">
        <v>9</v>
      </c>
      <c r="G5119" s="1" t="s">
        <v>5274</v>
      </c>
      <c r="H5119" s="2" t="str">
        <f>Tabella1[[#This Row],[Denominazione]]&amp;" - "&amp;Tabella1[[#This Row],[Città]]</f>
        <v>MOLINO ALBANI - URBINO</v>
      </c>
    </row>
    <row r="5120" spans="1:8" x14ac:dyDescent="0.25">
      <c r="A5120" s="1" t="s">
        <v>35</v>
      </c>
      <c r="B5120" s="1" t="s">
        <v>5180</v>
      </c>
      <c r="C5120" s="1" t="s">
        <v>5181</v>
      </c>
      <c r="D5120" s="1" t="s">
        <v>9</v>
      </c>
      <c r="E5120" s="1" t="s">
        <v>9</v>
      </c>
      <c r="H5120" s="2" t="str">
        <f>Tabella1[[#This Row],[Denominazione]]&amp;" - "&amp;Tabella1[[#This Row],[Città]]</f>
        <v>MOLINO DEL TRIFOGLIO - URBINO</v>
      </c>
    </row>
    <row r="5121" spans="1:8" x14ac:dyDescent="0.25">
      <c r="A5121" s="1" t="s">
        <v>6</v>
      </c>
      <c r="B5121" s="1" t="s">
        <v>813</v>
      </c>
      <c r="C5121" s="1" t="s">
        <v>814</v>
      </c>
      <c r="D5121" s="1" t="s">
        <v>682</v>
      </c>
      <c r="E5121" s="1" t="s">
        <v>815</v>
      </c>
      <c r="F5121" s="1" t="s">
        <v>816</v>
      </c>
      <c r="G5121" s="1" t="s">
        <v>817</v>
      </c>
      <c r="H5121" s="2" t="str">
        <f>Tabella1[[#This Row],[Denominazione]]&amp;" - "&amp;Tabella1[[#This Row],[Città]]</f>
        <v>MOLINO MONACELLI COUNTRY HOUSE - FANO</v>
      </c>
    </row>
    <row r="5122" spans="1:8" x14ac:dyDescent="0.25">
      <c r="A5122" s="1" t="s">
        <v>29</v>
      </c>
      <c r="B5122" s="1" t="s">
        <v>6170</v>
      </c>
      <c r="C5122" s="1" t="s">
        <v>6171</v>
      </c>
      <c r="D5122" s="1" t="s">
        <v>6049</v>
      </c>
      <c r="E5122" s="1" t="s">
        <v>6050</v>
      </c>
      <c r="F5122" s="1" t="s">
        <v>6172</v>
      </c>
      <c r="G5122" s="1" t="s">
        <v>6173</v>
      </c>
      <c r="H5122" s="2" t="str">
        <f>Tabella1[[#This Row],[Denominazione]]&amp;" - "&amp;Tabella1[[#This Row],[Città]]</f>
        <v>MOLINO VECCHIO - ARCEVIA</v>
      </c>
    </row>
    <row r="5123" spans="1:8" x14ac:dyDescent="0.25">
      <c r="A5123" s="1" t="s">
        <v>190</v>
      </c>
      <c r="B5123" s="1" t="s">
        <v>11000</v>
      </c>
      <c r="C5123" s="1" t="s">
        <v>11001</v>
      </c>
      <c r="D5123" s="1" t="s">
        <v>10990</v>
      </c>
      <c r="G5123" s="1" t="s">
        <v>11002</v>
      </c>
      <c r="H5123" s="2" t="str">
        <f>Tabella1[[#This Row],[Denominazione]]&amp;" - "&amp;Tabella1[[#This Row],[Città]]</f>
        <v>MONASTERO DELLE BENEDETTINE DI S. LIBERATORE - CASTELSANTANGELO SUL NERA</v>
      </c>
    </row>
    <row r="5124" spans="1:8" x14ac:dyDescent="0.25">
      <c r="A5124" s="1" t="s">
        <v>20</v>
      </c>
      <c r="B5124" s="1" t="s">
        <v>12814</v>
      </c>
      <c r="C5124" s="1" t="s">
        <v>12815</v>
      </c>
      <c r="D5124" s="1" t="s">
        <v>12801</v>
      </c>
      <c r="E5124" s="1" t="s">
        <v>12801</v>
      </c>
      <c r="F5124" s="1" t="s">
        <v>12816</v>
      </c>
      <c r="G5124" s="1" t="s">
        <v>12817</v>
      </c>
      <c r="H5124" s="2" t="str">
        <f>Tabella1[[#This Row],[Denominazione]]&amp;" - "&amp;Tabella1[[#This Row],[Città]]</f>
        <v>MONDIAL - PORTO RECANATI</v>
      </c>
    </row>
    <row r="5125" spans="1:8" x14ac:dyDescent="0.25">
      <c r="A5125" s="1" t="s">
        <v>679</v>
      </c>
      <c r="B5125" s="1" t="s">
        <v>17356</v>
      </c>
      <c r="D5125" s="1" t="s">
        <v>15819</v>
      </c>
      <c r="H5125" s="2" t="str">
        <f>Tabella1[[#This Row],[Denominazione]]&amp;" - "&amp;Tabella1[[#This Row],[Città]]</f>
        <v>MONELLO - SAN BENEDETTO DEL TRONTO</v>
      </c>
    </row>
    <row r="5126" spans="1:8" x14ac:dyDescent="0.25">
      <c r="A5126" s="1" t="s">
        <v>82</v>
      </c>
      <c r="B5126" s="1" t="s">
        <v>3180</v>
      </c>
      <c r="C5126" s="1" t="s">
        <v>3181</v>
      </c>
      <c r="D5126" s="1" t="s">
        <v>3182</v>
      </c>
      <c r="E5126" s="1" t="s">
        <v>3183</v>
      </c>
      <c r="F5126" s="1" t="s">
        <v>3184</v>
      </c>
      <c r="G5126" s="1" t="s">
        <v>3185</v>
      </c>
      <c r="H5126" s="2" t="str">
        <f>Tabella1[[#This Row],[Denominazione]]&amp;" - "&amp;Tabella1[[#This Row],[Città]]</f>
        <v>MONS MAJOR RELAIS - MONTEMAGGIORE AL METAURO</v>
      </c>
    </row>
    <row r="5127" spans="1:8" x14ac:dyDescent="0.25">
      <c r="A5127" s="1" t="s">
        <v>190</v>
      </c>
      <c r="B5127" s="1" t="s">
        <v>7218</v>
      </c>
      <c r="C5127" s="1" t="s">
        <v>7219</v>
      </c>
      <c r="D5127" s="1" t="s">
        <v>7200</v>
      </c>
      <c r="E5127" s="1" t="s">
        <v>7200</v>
      </c>
      <c r="H5127" s="2" t="str">
        <f>Tabella1[[#This Row],[Denominazione]]&amp;" - "&amp;Tabella1[[#This Row],[Città]]</f>
        <v>MONS. GIORGIO TERRUZZI - GENGA</v>
      </c>
    </row>
    <row r="5128" spans="1:8" x14ac:dyDescent="0.25">
      <c r="A5128" s="1" t="s">
        <v>12</v>
      </c>
      <c r="B5128" s="1" t="s">
        <v>2893</v>
      </c>
      <c r="C5128" s="1" t="s">
        <v>2894</v>
      </c>
      <c r="D5128" s="1" t="s">
        <v>1605</v>
      </c>
      <c r="E5128" s="1" t="s">
        <v>1605</v>
      </c>
      <c r="H5128" s="2" t="str">
        <f>Tabella1[[#This Row],[Denominazione]]&amp;" - "&amp;Tabella1[[#This Row],[Città]]</f>
        <v>MONTANARI FRANCO - MONDOLFO</v>
      </c>
    </row>
    <row r="5129" spans="1:8" x14ac:dyDescent="0.25">
      <c r="A5129" s="1" t="s">
        <v>12</v>
      </c>
      <c r="B5129" s="1" t="s">
        <v>874</v>
      </c>
      <c r="C5129" s="1" t="s">
        <v>875</v>
      </c>
      <c r="D5129" s="1" t="s">
        <v>682</v>
      </c>
      <c r="E5129" s="1" t="s">
        <v>682</v>
      </c>
      <c r="H5129" s="2" t="str">
        <f>Tabella1[[#This Row],[Denominazione]]&amp;" - "&amp;Tabella1[[#This Row],[Città]]</f>
        <v>MONTANARI LEONELLO - FANO</v>
      </c>
    </row>
    <row r="5130" spans="1:8" x14ac:dyDescent="0.25">
      <c r="A5130" s="1" t="s">
        <v>12</v>
      </c>
      <c r="B5130" s="1" t="s">
        <v>1433</v>
      </c>
      <c r="C5130" s="1" t="s">
        <v>1434</v>
      </c>
      <c r="D5130" s="1" t="s">
        <v>682</v>
      </c>
      <c r="E5130" s="1" t="s">
        <v>682</v>
      </c>
      <c r="G5130" s="1" t="s">
        <v>1435</v>
      </c>
      <c r="H5130" s="2" t="str">
        <f>Tabella1[[#This Row],[Denominazione]]&amp;" - "&amp;Tabella1[[#This Row],[Città]]</f>
        <v>MONTANARI MARZIO - FANO</v>
      </c>
    </row>
    <row r="5131" spans="1:8" x14ac:dyDescent="0.25">
      <c r="A5131" s="1" t="s">
        <v>35</v>
      </c>
      <c r="B5131" s="1" t="s">
        <v>15171</v>
      </c>
      <c r="C5131" s="1" t="s">
        <v>15172</v>
      </c>
      <c r="D5131" s="1" t="s">
        <v>15151</v>
      </c>
      <c r="H5131" s="2" t="str">
        <f>Tabella1[[#This Row],[Denominazione]]&amp;" - "&amp;Tabella1[[#This Row],[Città]]</f>
        <v>MONTE ANDREA - CASTIGNANO</v>
      </c>
    </row>
    <row r="5132" spans="1:8" x14ac:dyDescent="0.25">
      <c r="A5132" s="1" t="s">
        <v>20</v>
      </c>
      <c r="B5132" s="1" t="s">
        <v>14236</v>
      </c>
      <c r="D5132" s="1" t="s">
        <v>14213</v>
      </c>
      <c r="E5132" s="1" t="s">
        <v>14213</v>
      </c>
      <c r="G5132" s="1" t="s">
        <v>14237</v>
      </c>
      <c r="H5132" s="2" t="str">
        <f>Tabella1[[#This Row],[Denominazione]]&amp;" - "&amp;Tabella1[[#This Row],[Città]]</f>
        <v>MONTE BOVE - USSITA</v>
      </c>
    </row>
    <row r="5133" spans="1:8" x14ac:dyDescent="0.25">
      <c r="A5133" s="1" t="s">
        <v>35</v>
      </c>
      <c r="B5133" s="1" t="s">
        <v>6474</v>
      </c>
      <c r="C5133" s="1" t="s">
        <v>6475</v>
      </c>
      <c r="D5133" s="1" t="s">
        <v>6467</v>
      </c>
      <c r="E5133" s="1" t="s">
        <v>6467</v>
      </c>
      <c r="F5133" s="1" t="s">
        <v>6476</v>
      </c>
      <c r="G5133" s="1" t="s">
        <v>6477</v>
      </c>
      <c r="H5133" s="2" t="str">
        <f>Tabella1[[#This Row],[Denominazione]]&amp;" - "&amp;Tabella1[[#This Row],[Città]]</f>
        <v>MONTE DESERTO - CASTELPLANIO</v>
      </c>
    </row>
    <row r="5134" spans="1:8" x14ac:dyDescent="0.25">
      <c r="A5134" s="1" t="s">
        <v>571</v>
      </c>
      <c r="B5134" s="1" t="s">
        <v>10996</v>
      </c>
      <c r="D5134" s="1" t="s">
        <v>10990</v>
      </c>
      <c r="E5134" s="1" t="s">
        <v>10997</v>
      </c>
      <c r="F5134" s="1" t="s">
        <v>10998</v>
      </c>
      <c r="G5134" s="1" t="s">
        <v>10999</v>
      </c>
      <c r="H5134" s="2" t="str">
        <f>Tabella1[[#This Row],[Denominazione]]&amp;" - "&amp;Tabella1[[#This Row],[Città]]</f>
        <v>MONTE PRATA - CASTELSANTANGELO SUL NERA</v>
      </c>
    </row>
    <row r="5135" spans="1:8" x14ac:dyDescent="0.25">
      <c r="A5135" s="1" t="s">
        <v>29</v>
      </c>
      <c r="B5135" s="1" t="s">
        <v>8838</v>
      </c>
      <c r="C5135" s="1" t="s">
        <v>8839</v>
      </c>
      <c r="D5135" s="1" t="s">
        <v>8834</v>
      </c>
      <c r="E5135" s="1" t="s">
        <v>8834</v>
      </c>
      <c r="G5135" s="1" t="s">
        <v>8837</v>
      </c>
      <c r="H5135" s="2" t="str">
        <f>Tabella1[[#This Row],[Denominazione]]&amp;" - "&amp;Tabella1[[#This Row],[Città]]</f>
        <v>MONTECCHIESI LUCIANO VIA GRAMSCI 10/B - SANTA MARIA NUOVA</v>
      </c>
    </row>
    <row r="5136" spans="1:8" x14ac:dyDescent="0.25">
      <c r="A5136" s="1" t="s">
        <v>29</v>
      </c>
      <c r="B5136" s="1" t="s">
        <v>8835</v>
      </c>
      <c r="C5136" s="1" t="s">
        <v>8836</v>
      </c>
      <c r="D5136" s="1" t="s">
        <v>8834</v>
      </c>
      <c r="E5136" s="1" t="s">
        <v>8834</v>
      </c>
      <c r="G5136" s="1" t="s">
        <v>8837</v>
      </c>
      <c r="H5136" s="2" t="str">
        <f>Tabella1[[#This Row],[Denominazione]]&amp;" - "&amp;Tabella1[[#This Row],[Città]]</f>
        <v>MONTECCHIESI LUCIANO VIA GRAMSCI 12 - SANTA MARIA NUOVA</v>
      </c>
    </row>
    <row r="5137" spans="1:8" x14ac:dyDescent="0.25">
      <c r="A5137" s="1" t="s">
        <v>29</v>
      </c>
      <c r="B5137" s="1" t="s">
        <v>5197</v>
      </c>
      <c r="C5137" s="1" t="s">
        <v>5198</v>
      </c>
      <c r="D5137" s="1" t="s">
        <v>9</v>
      </c>
      <c r="E5137" s="1" t="s">
        <v>9</v>
      </c>
      <c r="F5137" s="1" t="s">
        <v>5199</v>
      </c>
      <c r="G5137" s="1" t="s">
        <v>5200</v>
      </c>
      <c r="H5137" s="2" t="str">
        <f>Tabella1[[#This Row],[Denominazione]]&amp;" - "&amp;Tabella1[[#This Row],[Città]]</f>
        <v>MONTEFELTRO - URBINO</v>
      </c>
    </row>
    <row r="5138" spans="1:8" x14ac:dyDescent="0.25">
      <c r="A5138" s="1" t="s">
        <v>35</v>
      </c>
      <c r="B5138" s="1" t="s">
        <v>6115</v>
      </c>
      <c r="C5138" s="1" t="s">
        <v>6116</v>
      </c>
      <c r="D5138" s="1" t="s">
        <v>6049</v>
      </c>
      <c r="E5138" s="1" t="s">
        <v>6082</v>
      </c>
      <c r="F5138" s="1" t="s">
        <v>6117</v>
      </c>
      <c r="G5138" s="1" t="s">
        <v>6118</v>
      </c>
      <c r="H5138" s="2" t="str">
        <f>Tabella1[[#This Row],[Denominazione]]&amp;" - "&amp;Tabella1[[#This Row],[Città]]</f>
        <v>MONTEFIORE - ARCEVIA</v>
      </c>
    </row>
    <row r="5139" spans="1:8" x14ac:dyDescent="0.25">
      <c r="A5139" s="1" t="s">
        <v>20</v>
      </c>
      <c r="B5139" s="1" t="s">
        <v>161</v>
      </c>
      <c r="C5139" s="1" t="s">
        <v>162</v>
      </c>
      <c r="D5139" s="1" t="s">
        <v>102</v>
      </c>
      <c r="E5139" s="1" t="s">
        <v>102</v>
      </c>
      <c r="F5139" s="1" t="s">
        <v>163</v>
      </c>
      <c r="G5139" s="1" t="s">
        <v>164</v>
      </c>
      <c r="H5139" s="2" t="str">
        <f>Tabella1[[#This Row],[Denominazione]]&amp;" - "&amp;Tabella1[[#This Row],[Città]]</f>
        <v>MONTENERONE - APECCHIO</v>
      </c>
    </row>
    <row r="5140" spans="1:8" x14ac:dyDescent="0.25">
      <c r="A5140" s="1" t="s">
        <v>20</v>
      </c>
      <c r="B5140" s="1" t="s">
        <v>161</v>
      </c>
      <c r="C5140" s="1" t="s">
        <v>4203</v>
      </c>
      <c r="D5140" s="1" t="s">
        <v>4175</v>
      </c>
      <c r="E5140" s="1" t="s">
        <v>4175</v>
      </c>
      <c r="G5140" s="1" t="s">
        <v>4204</v>
      </c>
      <c r="H5140" s="2" t="str">
        <f>Tabella1[[#This Row],[Denominazione]]&amp;" - "&amp;Tabella1[[#This Row],[Città]]</f>
        <v>MONTENERONE - PIOBBICO</v>
      </c>
    </row>
    <row r="5141" spans="1:8" x14ac:dyDescent="0.25">
      <c r="A5141" s="1" t="s">
        <v>35</v>
      </c>
      <c r="B5141" s="1" t="s">
        <v>3410</v>
      </c>
      <c r="C5141" s="1" t="s">
        <v>3411</v>
      </c>
      <c r="D5141" s="1" t="s">
        <v>3305</v>
      </c>
      <c r="E5141" s="1" t="s">
        <v>3305</v>
      </c>
      <c r="H5141" s="2" t="str">
        <f>Tabella1[[#This Row],[Denominazione]]&amp;" - "&amp;Tabella1[[#This Row],[Città]]</f>
        <v>MONTEROLO - PERGOLA</v>
      </c>
    </row>
    <row r="5142" spans="1:8" x14ac:dyDescent="0.25">
      <c r="A5142" s="1" t="s">
        <v>12</v>
      </c>
      <c r="B5142" s="1" t="s">
        <v>1582</v>
      </c>
      <c r="C5142" s="1" t="s">
        <v>1583</v>
      </c>
      <c r="D5142" s="1" t="s">
        <v>682</v>
      </c>
      <c r="H5142" s="2" t="str">
        <f>Tabella1[[#This Row],[Denominazione]]&amp;" - "&amp;Tabella1[[#This Row],[Città]]</f>
        <v>MONTESARCHIO MARIO - FANO</v>
      </c>
    </row>
    <row r="5143" spans="1:8" x14ac:dyDescent="0.25">
      <c r="A5143" s="1" t="s">
        <v>12</v>
      </c>
      <c r="B5143" s="1" t="s">
        <v>13572</v>
      </c>
      <c r="C5143" s="1" t="s">
        <v>13573</v>
      </c>
      <c r="D5143" s="1" t="s">
        <v>13548</v>
      </c>
      <c r="E5143" s="1" t="s">
        <v>13548</v>
      </c>
      <c r="G5143" s="1" t="s">
        <v>13574</v>
      </c>
      <c r="H5143" s="2" t="str">
        <f>Tabella1[[#This Row],[Denominazione]]&amp;" - "&amp;Tabella1[[#This Row],[Città]]</f>
        <v>MONTESI FRANCESCA - SAN SEVERINO MARCHE</v>
      </c>
    </row>
    <row r="5144" spans="1:8" x14ac:dyDescent="0.25">
      <c r="A5144" s="1" t="s">
        <v>29</v>
      </c>
      <c r="B5144" s="1" t="s">
        <v>15059</v>
      </c>
      <c r="C5144" s="1" t="s">
        <v>15060</v>
      </c>
      <c r="D5144" s="1" t="s">
        <v>14576</v>
      </c>
      <c r="E5144" s="1" t="s">
        <v>14576</v>
      </c>
      <c r="H5144" s="2" t="str">
        <f>Tabella1[[#This Row],[Denominazione]]&amp;" - "&amp;Tabella1[[#This Row],[Città]]</f>
        <v>MONTI ROBERTO - ASCOLI PICENO</v>
      </c>
    </row>
    <row r="5145" spans="1:8" x14ac:dyDescent="0.25">
      <c r="A5145" s="1" t="s">
        <v>12</v>
      </c>
      <c r="B5145" s="1" t="s">
        <v>2976</v>
      </c>
      <c r="C5145" s="1" t="s">
        <v>2977</v>
      </c>
      <c r="D5145" s="1" t="s">
        <v>1605</v>
      </c>
      <c r="H5145" s="2" t="str">
        <f>Tabella1[[#This Row],[Denominazione]]&amp;" - "&amp;Tabella1[[#This Row],[Città]]</f>
        <v>MONTIRONI ELIO - MONDOLFO</v>
      </c>
    </row>
    <row r="5146" spans="1:8" x14ac:dyDescent="0.25">
      <c r="A5146" s="1" t="s">
        <v>12</v>
      </c>
      <c r="B5146" s="1" t="s">
        <v>1595</v>
      </c>
      <c r="C5146" s="1" t="s">
        <v>1596</v>
      </c>
      <c r="D5146" s="1" t="s">
        <v>682</v>
      </c>
      <c r="G5146" s="1" t="s">
        <v>853</v>
      </c>
      <c r="H5146" s="2" t="str">
        <f>Tabella1[[#This Row],[Denominazione]]&amp;" - "&amp;Tabella1[[#This Row],[Città]]</f>
        <v>MORELLI PEPPINO - FANO</v>
      </c>
    </row>
    <row r="5147" spans="1:8" x14ac:dyDescent="0.25">
      <c r="A5147" s="1" t="s">
        <v>82</v>
      </c>
      <c r="B5147" s="1" t="s">
        <v>18901</v>
      </c>
      <c r="C5147" s="1" t="s">
        <v>18902</v>
      </c>
      <c r="D5147" s="1" t="s">
        <v>18897</v>
      </c>
      <c r="E5147" s="1" t="s">
        <v>18897</v>
      </c>
      <c r="G5147" s="1" t="s">
        <v>18903</v>
      </c>
      <c r="H5147" s="2" t="str">
        <f>Tabella1[[#This Row],[Denominazione]]&amp;" - "&amp;Tabella1[[#This Row],[Città]]</f>
        <v>MORESCO COUNTRY HOUSE LA VALLE DELL'ARCOBALENO - MORESCO</v>
      </c>
    </row>
    <row r="5148" spans="1:8" x14ac:dyDescent="0.25">
      <c r="A5148" s="1" t="s">
        <v>20</v>
      </c>
      <c r="B5148" s="1" t="s">
        <v>9562</v>
      </c>
      <c r="C5148" s="1" t="s">
        <v>9563</v>
      </c>
      <c r="D5148" s="1" t="s">
        <v>8949</v>
      </c>
      <c r="E5148" s="1" t="s">
        <v>8949</v>
      </c>
      <c r="F5148" s="1" t="s">
        <v>9564</v>
      </c>
      <c r="G5148" s="1" t="s">
        <v>9565</v>
      </c>
      <c r="H5148" s="2" t="str">
        <f>Tabella1[[#This Row],[Denominazione]]&amp;" - "&amp;Tabella1[[#This Row],[Città]]</f>
        <v>MORETTI - SENIGALLIA</v>
      </c>
    </row>
    <row r="5149" spans="1:8" x14ac:dyDescent="0.25">
      <c r="A5149" s="1" t="s">
        <v>6</v>
      </c>
      <c r="B5149" s="1" t="s">
        <v>11287</v>
      </c>
      <c r="C5149" s="1" t="s">
        <v>11288</v>
      </c>
      <c r="D5149" s="1" t="s">
        <v>11244</v>
      </c>
      <c r="E5149" s="1" t="s">
        <v>11289</v>
      </c>
      <c r="F5149" s="1" t="s">
        <v>11290</v>
      </c>
      <c r="G5149" s="1" t="s">
        <v>11291</v>
      </c>
      <c r="H5149" s="2" t="str">
        <f>Tabella1[[#This Row],[Denominazione]]&amp;" - "&amp;Tabella1[[#This Row],[Città]]</f>
        <v>MORETTI COUNTRY HOUSE - CIVITANOVA MARCHE</v>
      </c>
    </row>
    <row r="5150" spans="1:8" x14ac:dyDescent="0.25">
      <c r="A5150" s="1" t="s">
        <v>12</v>
      </c>
      <c r="B5150" s="1" t="s">
        <v>9201</v>
      </c>
      <c r="C5150" s="1" t="s">
        <v>9202</v>
      </c>
      <c r="D5150" s="1" t="s">
        <v>8949</v>
      </c>
      <c r="E5150" s="1" t="s">
        <v>8949</v>
      </c>
      <c r="G5150" s="1" t="s">
        <v>9203</v>
      </c>
      <c r="H5150" s="2" t="str">
        <f>Tabella1[[#This Row],[Denominazione]]&amp;" - "&amp;Tabella1[[#This Row],[Città]]</f>
        <v>MORGANTI VALTER - SENIGALLIA</v>
      </c>
    </row>
    <row r="5151" spans="1:8" x14ac:dyDescent="0.25">
      <c r="A5151" s="1" t="s">
        <v>12</v>
      </c>
      <c r="B5151" s="1" t="s">
        <v>9032</v>
      </c>
      <c r="C5151" s="1" t="s">
        <v>9033</v>
      </c>
      <c r="D5151" s="1" t="s">
        <v>8949</v>
      </c>
      <c r="E5151" s="1" t="s">
        <v>8949</v>
      </c>
      <c r="G5151" s="1" t="s">
        <v>9031</v>
      </c>
      <c r="H5151" s="2" t="str">
        <f>Tabella1[[#This Row],[Denominazione]]&amp;" - "&amp;Tabella1[[#This Row],[Città]]</f>
        <v>MORI GIANCARLO APP.TO MAMELI 112 (1) - SENIGALLIA</v>
      </c>
    </row>
    <row r="5152" spans="1:8" x14ac:dyDescent="0.25">
      <c r="A5152" s="1" t="s">
        <v>12</v>
      </c>
      <c r="B5152" s="1" t="s">
        <v>9034</v>
      </c>
      <c r="C5152" s="1" t="s">
        <v>9033</v>
      </c>
      <c r="D5152" s="1" t="s">
        <v>8949</v>
      </c>
      <c r="E5152" s="1" t="s">
        <v>8949</v>
      </c>
      <c r="G5152" s="1" t="s">
        <v>9031</v>
      </c>
      <c r="H5152" s="2" t="str">
        <f>Tabella1[[#This Row],[Denominazione]]&amp;" - "&amp;Tabella1[[#This Row],[Città]]</f>
        <v>MORI GIANCARLO APP.TO MAMELI 112 (2) - SENIGALLIA</v>
      </c>
    </row>
    <row r="5153" spans="1:8" x14ac:dyDescent="0.25">
      <c r="A5153" s="1" t="s">
        <v>12</v>
      </c>
      <c r="B5153" s="1" t="s">
        <v>9029</v>
      </c>
      <c r="C5153" s="1" t="s">
        <v>9030</v>
      </c>
      <c r="D5153" s="1" t="s">
        <v>8949</v>
      </c>
      <c r="E5153" s="1" t="s">
        <v>8949</v>
      </c>
      <c r="G5153" s="1" t="s">
        <v>9031</v>
      </c>
      <c r="H5153" s="2" t="str">
        <f>Tabella1[[#This Row],[Denominazione]]&amp;" - "&amp;Tabella1[[#This Row],[Città]]</f>
        <v>MORI GIANCARLO APP.TO MAMELI 113 - SENIGALLIA</v>
      </c>
    </row>
    <row r="5154" spans="1:8" x14ac:dyDescent="0.25">
      <c r="A5154" s="1" t="s">
        <v>29</v>
      </c>
      <c r="B5154" s="1" t="s">
        <v>6650</v>
      </c>
      <c r="C5154" s="1" t="s">
        <v>6651</v>
      </c>
      <c r="D5154" s="1" t="s">
        <v>6652</v>
      </c>
      <c r="E5154" s="1" t="s">
        <v>6652</v>
      </c>
      <c r="G5154" s="1" t="s">
        <v>6653</v>
      </c>
      <c r="H5154" s="2" t="str">
        <f>Tabella1[[#This Row],[Denominazione]]&amp;" - "&amp;Tabella1[[#This Row],[Città]]</f>
        <v>MORNING GLORY - CUPRAMONTANA</v>
      </c>
    </row>
    <row r="5155" spans="1:8" x14ac:dyDescent="0.25">
      <c r="A5155" s="1" t="s">
        <v>20</v>
      </c>
      <c r="B5155" s="1" t="s">
        <v>8814</v>
      </c>
      <c r="C5155" s="1" t="s">
        <v>8815</v>
      </c>
      <c r="D5155" s="1" t="s">
        <v>8801</v>
      </c>
      <c r="E5155" s="1" t="s">
        <v>8801</v>
      </c>
      <c r="F5155" s="1" t="s">
        <v>8816</v>
      </c>
      <c r="G5155" s="1" t="s">
        <v>8817</v>
      </c>
      <c r="H5155" s="2" t="str">
        <f>Tabella1[[#This Row],[Denominazione]]&amp;" - "&amp;Tabella1[[#This Row],[Città]]</f>
        <v>MOROBELLO - SAN MARCELLO</v>
      </c>
    </row>
    <row r="5156" spans="1:8" x14ac:dyDescent="0.25">
      <c r="A5156" s="1" t="s">
        <v>12</v>
      </c>
      <c r="B5156" s="1" t="s">
        <v>9204</v>
      </c>
      <c r="C5156" s="1" t="s">
        <v>9205</v>
      </c>
      <c r="D5156" s="1" t="s">
        <v>8949</v>
      </c>
      <c r="E5156" s="1" t="s">
        <v>8949</v>
      </c>
      <c r="G5156" s="1" t="s">
        <v>9206</v>
      </c>
      <c r="H5156" s="2" t="str">
        <f>Tabella1[[#This Row],[Denominazione]]&amp;" - "&amp;Tabella1[[#This Row],[Città]]</f>
        <v>MORONI GIANCARLO - SENIGALLIA</v>
      </c>
    </row>
    <row r="5157" spans="1:8" x14ac:dyDescent="0.25">
      <c r="A5157" s="1" t="s">
        <v>12</v>
      </c>
      <c r="B5157" s="1" t="s">
        <v>9157</v>
      </c>
      <c r="C5157" s="1" t="s">
        <v>9158</v>
      </c>
      <c r="D5157" s="1" t="s">
        <v>8949</v>
      </c>
      <c r="E5157" s="1" t="s">
        <v>8949</v>
      </c>
      <c r="G5157" s="1" t="s">
        <v>9154</v>
      </c>
      <c r="H5157" s="2" t="str">
        <f>Tabella1[[#This Row],[Denominazione]]&amp;" - "&amp;Tabella1[[#This Row],[Città]]</f>
        <v>MORUZZI SARA (APP. N. 45) - SENIGALLIA</v>
      </c>
    </row>
    <row r="5158" spans="1:8" x14ac:dyDescent="0.25">
      <c r="A5158" s="1" t="s">
        <v>12</v>
      </c>
      <c r="B5158" s="1" t="s">
        <v>9155</v>
      </c>
      <c r="C5158" s="1" t="s">
        <v>9156</v>
      </c>
      <c r="D5158" s="1" t="s">
        <v>8949</v>
      </c>
      <c r="E5158" s="1" t="s">
        <v>8949</v>
      </c>
      <c r="G5158" s="1" t="s">
        <v>9154</v>
      </c>
      <c r="H5158" s="2" t="str">
        <f>Tabella1[[#This Row],[Denominazione]]&amp;" - "&amp;Tabella1[[#This Row],[Città]]</f>
        <v>MORUZZI SARA (APP. N. 51) - SENIGALLIA</v>
      </c>
    </row>
    <row r="5159" spans="1:8" x14ac:dyDescent="0.25">
      <c r="A5159" s="1" t="s">
        <v>12</v>
      </c>
      <c r="B5159" s="1" t="s">
        <v>9152</v>
      </c>
      <c r="C5159" s="1" t="s">
        <v>9153</v>
      </c>
      <c r="D5159" s="1" t="s">
        <v>8949</v>
      </c>
      <c r="E5159" s="1" t="s">
        <v>8949</v>
      </c>
      <c r="G5159" s="1" t="s">
        <v>9154</v>
      </c>
      <c r="H5159" s="2" t="str">
        <f>Tabella1[[#This Row],[Denominazione]]&amp;" - "&amp;Tabella1[[#This Row],[Città]]</f>
        <v>MORUZZI SARA (APP. N. 53) - SENIGALLIA</v>
      </c>
    </row>
    <row r="5160" spans="1:8" x14ac:dyDescent="0.25">
      <c r="A5160" s="1" t="s">
        <v>12</v>
      </c>
      <c r="B5160" s="1" t="s">
        <v>3927</v>
      </c>
      <c r="C5160" s="1" t="s">
        <v>3928</v>
      </c>
      <c r="D5160" s="1" t="s">
        <v>2386</v>
      </c>
      <c r="G5160" s="1" t="s">
        <v>3929</v>
      </c>
      <c r="H5160" s="2" t="str">
        <f>Tabella1[[#This Row],[Denominazione]]&amp;" - "&amp;Tabella1[[#This Row],[Città]]</f>
        <v>MOSCA GABRIELLA - PESARO</v>
      </c>
    </row>
    <row r="5161" spans="1:8" x14ac:dyDescent="0.25">
      <c r="A5161" s="1" t="s">
        <v>82</v>
      </c>
      <c r="B5161" s="1" t="s">
        <v>7051</v>
      </c>
      <c r="C5161" s="1" t="s">
        <v>7052</v>
      </c>
      <c r="D5161" s="1" t="s">
        <v>5735</v>
      </c>
      <c r="E5161" s="1" t="s">
        <v>5735</v>
      </c>
      <c r="H5161" s="2" t="str">
        <f>Tabella1[[#This Row],[Denominazione]]&amp;" - "&amp;Tabella1[[#This Row],[Città]]</f>
        <v>MOSCATELLI PAOLO - FALCONARA MARITTIMA</v>
      </c>
    </row>
    <row r="5162" spans="1:8" x14ac:dyDescent="0.25">
      <c r="A5162" s="1" t="s">
        <v>679</v>
      </c>
      <c r="B5162" s="1" t="s">
        <v>13281</v>
      </c>
      <c r="D5162" s="1" t="s">
        <v>13026</v>
      </c>
      <c r="E5162" s="1" t="s">
        <v>13026</v>
      </c>
      <c r="H5162" s="2" t="str">
        <f>Tabella1[[#This Row],[Denominazione]]&amp;" - "&amp;Tabella1[[#This Row],[Città]]</f>
        <v>MOSQUITO - POTENZA PICENA</v>
      </c>
    </row>
    <row r="5163" spans="1:8" x14ac:dyDescent="0.25">
      <c r="A5163" s="1" t="s">
        <v>82</v>
      </c>
      <c r="B5163" s="1" t="s">
        <v>6020</v>
      </c>
      <c r="C5163" s="1" t="s">
        <v>6021</v>
      </c>
      <c r="D5163" s="1" t="s">
        <v>1864</v>
      </c>
      <c r="E5163" s="1" t="s">
        <v>6022</v>
      </c>
      <c r="G5163" s="1" t="s">
        <v>6023</v>
      </c>
      <c r="H5163" s="2" t="str">
        <f>Tabella1[[#This Row],[Denominazione]]&amp;" - "&amp;Tabella1[[#This Row],[Città]]</f>
        <v>MOTOR MOTEL - ANCONA</v>
      </c>
    </row>
    <row r="5164" spans="1:8" x14ac:dyDescent="0.25">
      <c r="A5164" s="1" t="s">
        <v>12</v>
      </c>
      <c r="B5164" s="1" t="s">
        <v>2937</v>
      </c>
      <c r="C5164" s="1" t="s">
        <v>2938</v>
      </c>
      <c r="D5164" s="1" t="s">
        <v>1605</v>
      </c>
      <c r="E5164" s="1" t="s">
        <v>1605</v>
      </c>
      <c r="H5164" s="2" t="str">
        <f>Tabella1[[#This Row],[Denominazione]]&amp;" - "&amp;Tabella1[[#This Row],[Città]]</f>
        <v>MUGIANESI DAVID - MONDOLFO</v>
      </c>
    </row>
    <row r="5165" spans="1:8" x14ac:dyDescent="0.25">
      <c r="A5165" s="1" t="s">
        <v>82</v>
      </c>
      <c r="B5165" s="1" t="s">
        <v>2581</v>
      </c>
      <c r="C5165" s="1" t="s">
        <v>2582</v>
      </c>
      <c r="D5165" s="1" t="s">
        <v>2557</v>
      </c>
      <c r="G5165" s="1" t="s">
        <v>2583</v>
      </c>
      <c r="H5165" s="2" t="str">
        <f>Tabella1[[#This Row],[Denominazione]]&amp;" - "&amp;Tabella1[[#This Row],[Città]]</f>
        <v>MULINO DELLE MONACHE SRL - MACERATA FELTRIA</v>
      </c>
    </row>
    <row r="5166" spans="1:8" x14ac:dyDescent="0.25">
      <c r="A5166" s="1" t="s">
        <v>20</v>
      </c>
      <c r="B5166" s="1" t="s">
        <v>1982</v>
      </c>
      <c r="C5166" s="1" t="s">
        <v>1983</v>
      </c>
      <c r="D5166" s="1" t="s">
        <v>1907</v>
      </c>
      <c r="F5166" s="1" t="s">
        <v>1984</v>
      </c>
      <c r="G5166" s="1" t="s">
        <v>1985</v>
      </c>
      <c r="H5166" s="2" t="str">
        <f>Tabella1[[#This Row],[Denominazione]]&amp;" - "&amp;Tabella1[[#This Row],[Città]]</f>
        <v>MY HOTEL MEUBLE' GARNI' - GABICCE MARE</v>
      </c>
    </row>
    <row r="5167" spans="1:8" x14ac:dyDescent="0.25">
      <c r="A5167" s="1" t="s">
        <v>679</v>
      </c>
      <c r="B5167" s="1" t="s">
        <v>11695</v>
      </c>
      <c r="C5167" s="1" t="s">
        <v>11696</v>
      </c>
      <c r="D5167" s="1" t="s">
        <v>11244</v>
      </c>
      <c r="E5167" s="1" t="s">
        <v>11244</v>
      </c>
      <c r="G5167" s="1" t="s">
        <v>11697</v>
      </c>
      <c r="H5167" s="2" t="str">
        <f>Tabella1[[#This Row],[Denominazione]]&amp;" - "&amp;Tabella1[[#This Row],[Città]]</f>
        <v>MYM - CIVITANOVA MARCHE</v>
      </c>
    </row>
    <row r="5168" spans="1:8" x14ac:dyDescent="0.25">
      <c r="A5168" s="1" t="s">
        <v>12</v>
      </c>
      <c r="B5168" s="1" t="s">
        <v>6556</v>
      </c>
      <c r="C5168" s="1" t="s">
        <v>6557</v>
      </c>
      <c r="D5168" s="1" t="s">
        <v>6536</v>
      </c>
      <c r="H5168" s="2" t="str">
        <f>Tabella1[[#This Row],[Denominazione]]&amp;" - "&amp;Tabella1[[#This Row],[Città]]</f>
        <v>NADIA CHIAPPA - CORINALDO</v>
      </c>
    </row>
    <row r="5169" spans="1:8" x14ac:dyDescent="0.25">
      <c r="A5169" s="1" t="s">
        <v>12</v>
      </c>
      <c r="B5169" s="1" t="s">
        <v>1905</v>
      </c>
      <c r="C5169" s="1" t="s">
        <v>1906</v>
      </c>
      <c r="D5169" s="1" t="s">
        <v>1907</v>
      </c>
      <c r="G5169" s="1" t="s">
        <v>1908</v>
      </c>
      <c r="H5169" s="2" t="str">
        <f>Tabella1[[#This Row],[Denominazione]]&amp;" - "&amp;Tabella1[[#This Row],[Città]]</f>
        <v>NADIA ROSSI - GABICCE MARE</v>
      </c>
    </row>
    <row r="5170" spans="1:8" x14ac:dyDescent="0.25">
      <c r="A5170" s="1" t="s">
        <v>679</v>
      </c>
      <c r="B5170" s="1" t="s">
        <v>7768</v>
      </c>
      <c r="C5170" s="1" t="s">
        <v>7769</v>
      </c>
      <c r="D5170" s="1" t="s">
        <v>7718</v>
      </c>
      <c r="E5170" s="1" t="s">
        <v>7748</v>
      </c>
      <c r="H5170" s="2" t="str">
        <f>Tabella1[[#This Row],[Denominazione]]&amp;" - "&amp;Tabella1[[#This Row],[Città]]</f>
        <v>NAOMI - MONTEMARCIANO</v>
      </c>
    </row>
    <row r="5171" spans="1:8" x14ac:dyDescent="0.25">
      <c r="A5171" s="1" t="s">
        <v>20</v>
      </c>
      <c r="B5171" s="1" t="s">
        <v>2208</v>
      </c>
      <c r="C5171" s="1" t="s">
        <v>2209</v>
      </c>
      <c r="D5171" s="1" t="s">
        <v>1907</v>
      </c>
      <c r="E5171" s="1" t="s">
        <v>1907</v>
      </c>
      <c r="F5171" s="1" t="s">
        <v>2210</v>
      </c>
      <c r="G5171" s="1" t="s">
        <v>2211</v>
      </c>
      <c r="H5171" s="2" t="str">
        <f>Tabella1[[#This Row],[Denominazione]]&amp;" - "&amp;Tabella1[[#This Row],[Città]]</f>
        <v>NAPOLEON - GABICCE MARE</v>
      </c>
    </row>
    <row r="5172" spans="1:8" x14ac:dyDescent="0.25">
      <c r="A5172" s="1" t="s">
        <v>12</v>
      </c>
      <c r="B5172" s="1" t="s">
        <v>876</v>
      </c>
      <c r="C5172" s="1" t="s">
        <v>877</v>
      </c>
      <c r="D5172" s="1" t="s">
        <v>682</v>
      </c>
      <c r="H5172" s="2" t="str">
        <f>Tabella1[[#This Row],[Denominazione]]&amp;" - "&amp;Tabella1[[#This Row],[Città]]</f>
        <v>NARDINI BRUNO - FANO</v>
      </c>
    </row>
    <row r="5173" spans="1:8" x14ac:dyDescent="0.25">
      <c r="A5173" s="1" t="s">
        <v>12</v>
      </c>
      <c r="B5173" s="1" t="s">
        <v>13087</v>
      </c>
      <c r="C5173" s="1" t="s">
        <v>13088</v>
      </c>
      <c r="D5173" s="1" t="s">
        <v>13026</v>
      </c>
      <c r="E5173" s="1" t="s">
        <v>13026</v>
      </c>
      <c r="H5173" s="2" t="str">
        <f>Tabella1[[#This Row],[Denominazione]]&amp;" - "&amp;Tabella1[[#This Row],[Città]]</f>
        <v>NATALINI DINA - POTENZA PICENA</v>
      </c>
    </row>
    <row r="5174" spans="1:8" x14ac:dyDescent="0.25">
      <c r="A5174" s="1" t="s">
        <v>12</v>
      </c>
      <c r="B5174" s="1" t="s">
        <v>13071</v>
      </c>
      <c r="C5174" s="1" t="s">
        <v>13072</v>
      </c>
      <c r="D5174" s="1" t="s">
        <v>13026</v>
      </c>
      <c r="E5174" s="1" t="s">
        <v>13026</v>
      </c>
      <c r="H5174" s="2" t="str">
        <f>Tabella1[[#This Row],[Denominazione]]&amp;" - "&amp;Tabella1[[#This Row],[Città]]</f>
        <v>NATALINI ROBERTA - POTENZA PICENA</v>
      </c>
    </row>
    <row r="5175" spans="1:8" x14ac:dyDescent="0.25">
      <c r="A5175" s="1" t="s">
        <v>29</v>
      </c>
      <c r="B5175" s="1" t="s">
        <v>11093</v>
      </c>
      <c r="C5175" s="1" t="s">
        <v>11094</v>
      </c>
      <c r="D5175" s="1" t="s">
        <v>11058</v>
      </c>
      <c r="E5175" s="1" t="s">
        <v>11058</v>
      </c>
      <c r="H5175" s="2" t="str">
        <f>Tabella1[[#This Row],[Denominazione]]&amp;" - "&amp;Tabella1[[#This Row],[Città]]</f>
        <v>NATURA E PROFUMI ...ED ANCHE SAPORI - CINGOLI</v>
      </c>
    </row>
    <row r="5176" spans="1:8" x14ac:dyDescent="0.25">
      <c r="A5176" s="1" t="s">
        <v>20</v>
      </c>
      <c r="B5176" s="1" t="s">
        <v>3545</v>
      </c>
      <c r="C5176" s="1" t="s">
        <v>3546</v>
      </c>
      <c r="D5176" s="1" t="s">
        <v>2386</v>
      </c>
      <c r="E5176" s="1" t="s">
        <v>2386</v>
      </c>
      <c r="F5176" s="1" t="s">
        <v>3547</v>
      </c>
      <c r="G5176" s="1" t="s">
        <v>3548</v>
      </c>
      <c r="H5176" s="2" t="str">
        <f>Tabella1[[#This Row],[Denominazione]]&amp;" - "&amp;Tabella1[[#This Row],[Città]]</f>
        <v>NAUHOME DEPENDANCE HOTEL NAUTILUS - PESARO</v>
      </c>
    </row>
    <row r="5177" spans="1:8" x14ac:dyDescent="0.25">
      <c r="A5177" s="1" t="s">
        <v>20</v>
      </c>
      <c r="B5177" s="1" t="s">
        <v>3670</v>
      </c>
      <c r="C5177" s="1" t="s">
        <v>3671</v>
      </c>
      <c r="D5177" s="1" t="s">
        <v>2386</v>
      </c>
      <c r="E5177" s="1" t="s">
        <v>2386</v>
      </c>
      <c r="F5177" s="1" t="s">
        <v>3547</v>
      </c>
      <c r="G5177" s="1" t="s">
        <v>3672</v>
      </c>
      <c r="H5177" s="2" t="str">
        <f>Tabella1[[#This Row],[Denominazione]]&amp;" - "&amp;Tabella1[[#This Row],[Città]]</f>
        <v>NAUTILUS - PESARO</v>
      </c>
    </row>
    <row r="5178" spans="1:8" x14ac:dyDescent="0.25">
      <c r="A5178" s="1" t="s">
        <v>403</v>
      </c>
      <c r="B5178" s="1" t="s">
        <v>19417</v>
      </c>
      <c r="C5178" s="1" t="s">
        <v>19418</v>
      </c>
      <c r="D5178" s="1" t="s">
        <v>19283</v>
      </c>
      <c r="E5178" s="1" t="s">
        <v>19363</v>
      </c>
      <c r="F5178" s="1" t="s">
        <v>19419</v>
      </c>
      <c r="G5178" s="1" t="s">
        <v>19420</v>
      </c>
      <c r="H5178" s="2" t="str">
        <f>Tabella1[[#This Row],[Denominazione]]&amp;" - "&amp;Tabella1[[#This Row],[Città]]</f>
        <v>NAZIONALE RESIDENCE - PORTO SANT'ELPIDIO</v>
      </c>
    </row>
    <row r="5179" spans="1:8" x14ac:dyDescent="0.25">
      <c r="A5179" s="1" t="s">
        <v>679</v>
      </c>
      <c r="B5179" s="1" t="s">
        <v>17371</v>
      </c>
      <c r="C5179" s="1" t="s">
        <v>17372</v>
      </c>
      <c r="D5179" s="1" t="s">
        <v>15819</v>
      </c>
      <c r="H5179" s="2" t="str">
        <f>Tabella1[[#This Row],[Denominazione]]&amp;" - "&amp;Tabella1[[#This Row],[Città]]</f>
        <v>NEDIO - SAN BENEDETTO DEL TRONTO</v>
      </c>
    </row>
    <row r="5180" spans="1:8" x14ac:dyDescent="0.25">
      <c r="A5180" s="1" t="s">
        <v>20</v>
      </c>
      <c r="B5180" s="1" t="s">
        <v>5099</v>
      </c>
      <c r="C5180" s="1" t="s">
        <v>5100</v>
      </c>
      <c r="D5180" s="1" t="s">
        <v>9</v>
      </c>
      <c r="E5180" s="1" t="s">
        <v>9</v>
      </c>
      <c r="F5180" s="1" t="s">
        <v>5101</v>
      </c>
      <c r="G5180" s="1" t="s">
        <v>5102</v>
      </c>
      <c r="H5180" s="2" t="str">
        <f>Tabella1[[#This Row],[Denominazione]]&amp;" - "&amp;Tabella1[[#This Row],[Città]]</f>
        <v>NENE' - URBINO</v>
      </c>
    </row>
    <row r="5181" spans="1:8" x14ac:dyDescent="0.25">
      <c r="A5181" s="1" t="s">
        <v>679</v>
      </c>
      <c r="B5181" s="1" t="s">
        <v>12844</v>
      </c>
      <c r="D5181" s="1" t="s">
        <v>12801</v>
      </c>
      <c r="E5181" s="1" t="s">
        <v>12801</v>
      </c>
      <c r="H5181" s="2" t="str">
        <f>Tabella1[[#This Row],[Denominazione]]&amp;" - "&amp;Tabella1[[#This Row],[Città]]</f>
        <v>NENETTA - PORTO RECANATI</v>
      </c>
    </row>
    <row r="5182" spans="1:8" x14ac:dyDescent="0.25">
      <c r="A5182" s="1" t="s">
        <v>679</v>
      </c>
      <c r="B5182" s="1" t="s">
        <v>7090</v>
      </c>
      <c r="C5182" s="1" t="s">
        <v>2346</v>
      </c>
      <c r="D5182" s="1" t="s">
        <v>5735</v>
      </c>
      <c r="E5182" s="1" t="s">
        <v>5735</v>
      </c>
      <c r="F5182" s="1" t="s">
        <v>7091</v>
      </c>
      <c r="H5182" s="2" t="str">
        <f>Tabella1[[#This Row],[Denominazione]]&amp;" - "&amp;Tabella1[[#This Row],[Città]]</f>
        <v>NERO DI SEPPIA-ALMOSI SOC.COOP. - FALCONARA MARITTIMA</v>
      </c>
    </row>
    <row r="5183" spans="1:8" x14ac:dyDescent="0.25">
      <c r="A5183" s="1" t="s">
        <v>679</v>
      </c>
      <c r="B5183" s="1" t="s">
        <v>19463</v>
      </c>
      <c r="C5183" s="1" t="s">
        <v>9845</v>
      </c>
      <c r="D5183" s="1" t="s">
        <v>19283</v>
      </c>
      <c r="E5183" s="1" t="s">
        <v>8949</v>
      </c>
      <c r="H5183" s="2" t="str">
        <f>Tabella1[[#This Row],[Denominazione]]&amp;" - "&amp;Tabella1[[#This Row],[Città]]</f>
        <v>NERO DI SOLE - PORTO SANT'ELPIDIO</v>
      </c>
    </row>
    <row r="5184" spans="1:8" x14ac:dyDescent="0.25">
      <c r="A5184" s="1" t="s">
        <v>12</v>
      </c>
      <c r="B5184" s="1" t="s">
        <v>16554</v>
      </c>
      <c r="C5184" s="1" t="s">
        <v>16555</v>
      </c>
      <c r="D5184" s="1" t="s">
        <v>16440</v>
      </c>
      <c r="G5184" s="1" t="s">
        <v>16556</v>
      </c>
      <c r="H5184" s="2" t="str">
        <f>Tabella1[[#This Row],[Denominazione]]&amp;" - "&amp;Tabella1[[#This Row],[Città]]</f>
        <v>NESPECA SILVIO - OFFIDA</v>
      </c>
    </row>
    <row r="5185" spans="1:8" x14ac:dyDescent="0.25">
      <c r="A5185" s="1" t="s">
        <v>12</v>
      </c>
      <c r="B5185" s="1" t="s">
        <v>16554</v>
      </c>
      <c r="C5185" s="1" t="s">
        <v>16557</v>
      </c>
      <c r="D5185" s="1" t="s">
        <v>16440</v>
      </c>
      <c r="G5185" s="1" t="s">
        <v>16556</v>
      </c>
      <c r="H5185" s="2" t="str">
        <f>Tabella1[[#This Row],[Denominazione]]&amp;" - "&amp;Tabella1[[#This Row],[Città]]</f>
        <v>NESPECA SILVIO - OFFIDA</v>
      </c>
    </row>
    <row r="5186" spans="1:8" x14ac:dyDescent="0.25">
      <c r="A5186" s="1" t="s">
        <v>679</v>
      </c>
      <c r="B5186" s="1" t="s">
        <v>2842</v>
      </c>
      <c r="C5186" s="1" t="s">
        <v>2843</v>
      </c>
      <c r="D5186" s="1" t="s">
        <v>1605</v>
      </c>
      <c r="E5186" s="1" t="s">
        <v>1456</v>
      </c>
      <c r="F5186" s="1" t="s">
        <v>2844</v>
      </c>
      <c r="G5186" s="1" t="s">
        <v>2845</v>
      </c>
      <c r="H5186" s="2" t="str">
        <f>Tabella1[[#This Row],[Denominazione]]&amp;" - "&amp;Tabella1[[#This Row],[Città]]</f>
        <v>NETTUNO - MONDOLFO</v>
      </c>
    </row>
    <row r="5187" spans="1:8" x14ac:dyDescent="0.25">
      <c r="A5187" s="1" t="s">
        <v>20</v>
      </c>
      <c r="B5187" s="1" t="s">
        <v>2842</v>
      </c>
      <c r="C5187" s="1" t="s">
        <v>9734</v>
      </c>
      <c r="D5187" s="1" t="s">
        <v>8949</v>
      </c>
      <c r="E5187" s="1" t="s">
        <v>8949</v>
      </c>
      <c r="F5187" s="1" t="s">
        <v>9735</v>
      </c>
      <c r="G5187" s="1" t="s">
        <v>9736</v>
      </c>
      <c r="H5187" s="2" t="str">
        <f>Tabella1[[#This Row],[Denominazione]]&amp;" - "&amp;Tabella1[[#This Row],[Città]]</f>
        <v>NETTUNO - SENIGALLIA</v>
      </c>
    </row>
    <row r="5188" spans="1:8" x14ac:dyDescent="0.25">
      <c r="A5188" s="1" t="s">
        <v>679</v>
      </c>
      <c r="B5188" s="1" t="s">
        <v>2842</v>
      </c>
      <c r="D5188" s="1" t="s">
        <v>13026</v>
      </c>
      <c r="E5188" s="1" t="s">
        <v>13105</v>
      </c>
      <c r="H5188" s="2" t="str">
        <f>Tabella1[[#This Row],[Denominazione]]&amp;" - "&amp;Tabella1[[#This Row],[Città]]</f>
        <v>NETTUNO - POTENZA PICENA</v>
      </c>
    </row>
    <row r="5189" spans="1:8" x14ac:dyDescent="0.25">
      <c r="A5189" s="1" t="s">
        <v>679</v>
      </c>
      <c r="B5189" s="1" t="s">
        <v>2842</v>
      </c>
      <c r="C5189" s="1" t="s">
        <v>17364</v>
      </c>
      <c r="D5189" s="1" t="s">
        <v>15819</v>
      </c>
      <c r="F5189" s="1" t="s">
        <v>17365</v>
      </c>
      <c r="G5189" s="1" t="s">
        <v>17366</v>
      </c>
      <c r="H5189" s="2" t="str">
        <f>Tabella1[[#This Row],[Denominazione]]&amp;" - "&amp;Tabella1[[#This Row],[Città]]</f>
        <v>NETTUNO - SAN BENEDETTO DEL TRONTO</v>
      </c>
    </row>
    <row r="5190" spans="1:8" x14ac:dyDescent="0.25">
      <c r="A5190" s="1" t="s">
        <v>20</v>
      </c>
      <c r="B5190" s="1" t="s">
        <v>2842</v>
      </c>
      <c r="C5190" s="1" t="s">
        <v>17627</v>
      </c>
      <c r="D5190" s="1" t="s">
        <v>15819</v>
      </c>
      <c r="E5190" s="1" t="s">
        <v>15819</v>
      </c>
      <c r="F5190" s="1" t="s">
        <v>17366</v>
      </c>
      <c r="G5190" s="1" t="s">
        <v>17365</v>
      </c>
      <c r="H5190" s="2" t="str">
        <f>Tabella1[[#This Row],[Denominazione]]&amp;" - "&amp;Tabella1[[#This Row],[Città]]</f>
        <v>NETTUNO - SAN BENEDETTO DEL TRONTO</v>
      </c>
    </row>
    <row r="5191" spans="1:8" x14ac:dyDescent="0.25">
      <c r="A5191" s="1" t="s">
        <v>679</v>
      </c>
      <c r="B5191" s="1" t="s">
        <v>7078</v>
      </c>
      <c r="C5191" s="1" t="s">
        <v>5741</v>
      </c>
      <c r="D5191" s="1" t="s">
        <v>5735</v>
      </c>
      <c r="E5191" s="1" t="s">
        <v>5735</v>
      </c>
      <c r="H5191" s="2" t="str">
        <f>Tabella1[[#This Row],[Denominazione]]&amp;" - "&amp;Tabella1[[#This Row],[Città]]</f>
        <v>NEW TROPICAL - FALCONARA MARITTIMA</v>
      </c>
    </row>
    <row r="5192" spans="1:8" x14ac:dyDescent="0.25">
      <c r="A5192" s="1" t="s">
        <v>20</v>
      </c>
      <c r="B5192" s="1" t="s">
        <v>5620</v>
      </c>
      <c r="C5192" s="1" t="s">
        <v>5621</v>
      </c>
      <c r="D5192" s="1" t="s">
        <v>1864</v>
      </c>
      <c r="E5192" s="1" t="s">
        <v>1864</v>
      </c>
      <c r="F5192" s="1" t="s">
        <v>5622</v>
      </c>
      <c r="G5192" s="1" t="s">
        <v>5623</v>
      </c>
      <c r="H5192" s="2" t="str">
        <f>Tabella1[[#This Row],[Denominazione]]&amp;" - "&amp;Tabella1[[#This Row],[Città]]</f>
        <v>NH ANCONA - ANCONA</v>
      </c>
    </row>
    <row r="5193" spans="1:8" x14ac:dyDescent="0.25">
      <c r="A5193" s="1" t="s">
        <v>20</v>
      </c>
      <c r="B5193" s="1" t="s">
        <v>2922</v>
      </c>
      <c r="C5193" s="1" t="s">
        <v>2923</v>
      </c>
      <c r="D5193" s="1" t="s">
        <v>1605</v>
      </c>
      <c r="E5193" s="1" t="s">
        <v>1605</v>
      </c>
      <c r="F5193" s="1" t="s">
        <v>2924</v>
      </c>
      <c r="G5193" s="1" t="s">
        <v>2925</v>
      </c>
      <c r="H5193" s="2" t="str">
        <f>Tabella1[[#This Row],[Denominazione]]&amp;" - "&amp;Tabella1[[#This Row],[Città]]</f>
        <v>NIAGARA - MONDOLFO</v>
      </c>
    </row>
    <row r="5194" spans="1:8" x14ac:dyDescent="0.25">
      <c r="A5194" s="1" t="s">
        <v>29</v>
      </c>
      <c r="B5194" s="1" t="s">
        <v>6082</v>
      </c>
      <c r="C5194" s="1" t="s">
        <v>6151</v>
      </c>
      <c r="D5194" s="1" t="s">
        <v>6049</v>
      </c>
      <c r="E5194" s="1" t="s">
        <v>6082</v>
      </c>
      <c r="F5194" s="1" t="s">
        <v>6152</v>
      </c>
      <c r="G5194" s="1" t="s">
        <v>6153</v>
      </c>
      <c r="H5194" s="2" t="str">
        <f>Tabella1[[#This Row],[Denominazione]]&amp;" - "&amp;Tabella1[[#This Row],[Città]]</f>
        <v>NIDASTORE - ARCEVIA</v>
      </c>
    </row>
    <row r="5195" spans="1:8" x14ac:dyDescent="0.25">
      <c r="A5195" s="1" t="s">
        <v>679</v>
      </c>
      <c r="B5195" s="1" t="s">
        <v>17852</v>
      </c>
      <c r="C5195" s="1" t="s">
        <v>17853</v>
      </c>
      <c r="D5195" s="1" t="s">
        <v>17839</v>
      </c>
      <c r="E5195" s="1" t="s">
        <v>17854</v>
      </c>
      <c r="H5195" s="2" t="str">
        <f>Tabella1[[#This Row],[Denominazione]]&amp;" - "&amp;Tabella1[[#This Row],[Città]]</f>
        <v>NINA - CAMPOFILONE</v>
      </c>
    </row>
    <row r="5196" spans="1:8" x14ac:dyDescent="0.25">
      <c r="A5196" s="1" t="s">
        <v>679</v>
      </c>
      <c r="B5196" s="1" t="s">
        <v>15830</v>
      </c>
      <c r="C5196" s="1" t="s">
        <v>15818</v>
      </c>
      <c r="D5196" s="1" t="s">
        <v>15585</v>
      </c>
      <c r="H5196" s="2" t="str">
        <f>Tabella1[[#This Row],[Denominazione]]&amp;" - "&amp;Tabella1[[#This Row],[Città]]</f>
        <v>NOA' - GROTTAMMARE</v>
      </c>
    </row>
    <row r="5197" spans="1:8" x14ac:dyDescent="0.25">
      <c r="A5197" s="1" t="s">
        <v>20</v>
      </c>
      <c r="B5197" s="1" t="s">
        <v>2212</v>
      </c>
      <c r="C5197" s="1" t="s">
        <v>2213</v>
      </c>
      <c r="D5197" s="1" t="s">
        <v>1907</v>
      </c>
      <c r="E5197" s="1" t="s">
        <v>1907</v>
      </c>
      <c r="F5197" s="1" t="s">
        <v>2214</v>
      </c>
      <c r="G5197" s="1" t="s">
        <v>2215</v>
      </c>
      <c r="H5197" s="2" t="str">
        <f>Tabella1[[#This Row],[Denominazione]]&amp;" - "&amp;Tabella1[[#This Row],[Città]]</f>
        <v>NOBEL - GABICCE MARE</v>
      </c>
    </row>
    <row r="5198" spans="1:8" x14ac:dyDescent="0.25">
      <c r="A5198" s="1" t="s">
        <v>12</v>
      </c>
      <c r="B5198" s="1" t="s">
        <v>11034</v>
      </c>
      <c r="D5198" s="1" t="s">
        <v>11022</v>
      </c>
      <c r="H5198" s="2" t="str">
        <f>Tabella1[[#This Row],[Denominazione]]&amp;" - "&amp;Tabella1[[#This Row],[Città]]</f>
        <v>NODEN ROSEMARY DIANA MARSHALL - CESSAPALOMBO</v>
      </c>
    </row>
    <row r="5199" spans="1:8" x14ac:dyDescent="0.25">
      <c r="A5199" s="1" t="s">
        <v>35</v>
      </c>
      <c r="B5199" s="1" t="s">
        <v>11399</v>
      </c>
      <c r="C5199" s="1" t="s">
        <v>11400</v>
      </c>
      <c r="D5199" s="1" t="s">
        <v>11244</v>
      </c>
      <c r="G5199" s="1" t="s">
        <v>11401</v>
      </c>
      <c r="H5199" s="2" t="str">
        <f>Tabella1[[#This Row],[Denominazione]]&amp;" - "&amp;Tabella1[[#This Row],[Città]]</f>
        <v>NON TI SCORDAR DI ME - CIVITANOVA MARCHE</v>
      </c>
    </row>
    <row r="5200" spans="1:8" x14ac:dyDescent="0.25">
      <c r="A5200" s="1" t="s">
        <v>679</v>
      </c>
      <c r="B5200" s="1" t="s">
        <v>12999</v>
      </c>
      <c r="D5200" s="1" t="s">
        <v>12801</v>
      </c>
      <c r="H5200" s="2" t="str">
        <f>Tabella1[[#This Row],[Denominazione]]&amp;" - "&amp;Tabella1[[#This Row],[Città]]</f>
        <v>NONNO FERRUCCIO - PORTO RECANATI</v>
      </c>
    </row>
    <row r="5201" spans="1:8" x14ac:dyDescent="0.25">
      <c r="A5201" s="1" t="s">
        <v>679</v>
      </c>
      <c r="B5201" s="1" t="s">
        <v>15841</v>
      </c>
      <c r="C5201" s="1" t="s">
        <v>15842</v>
      </c>
      <c r="D5201" s="1" t="s">
        <v>15585</v>
      </c>
      <c r="F5201" s="1" t="s">
        <v>15843</v>
      </c>
      <c r="H5201" s="2" t="str">
        <f>Tabella1[[#This Row],[Denominazione]]&amp;" - "&amp;Tabella1[[#This Row],[Città]]</f>
        <v>NORD EST - GROTTAMMARE</v>
      </c>
    </row>
    <row r="5202" spans="1:8" x14ac:dyDescent="0.25">
      <c r="A5202" s="1" t="s">
        <v>679</v>
      </c>
      <c r="B5202" s="1" t="s">
        <v>9951</v>
      </c>
      <c r="C5202" s="1" t="s">
        <v>9845</v>
      </c>
      <c r="D5202" s="1" t="s">
        <v>8949</v>
      </c>
      <c r="E5202" s="1" t="s">
        <v>8949</v>
      </c>
      <c r="H5202" s="2" t="str">
        <f>Tabella1[[#This Row],[Denominazione]]&amp;" - "&amp;Tabella1[[#This Row],[Città]]</f>
        <v>NORD MARINE BAGNI N° 16 - SENIGALLIA</v>
      </c>
    </row>
    <row r="5203" spans="1:8" x14ac:dyDescent="0.25">
      <c r="A5203" s="1" t="s">
        <v>20</v>
      </c>
      <c r="B5203" s="1" t="s">
        <v>3154</v>
      </c>
      <c r="C5203" s="1" t="s">
        <v>3155</v>
      </c>
      <c r="D5203" s="1" t="s">
        <v>3131</v>
      </c>
      <c r="E5203" s="1" t="s">
        <v>3131</v>
      </c>
      <c r="F5203" s="1" t="s">
        <v>3156</v>
      </c>
      <c r="G5203" s="1" t="s">
        <v>3157</v>
      </c>
      <c r="H5203" s="2" t="str">
        <f>Tabella1[[#This Row],[Denominazione]]&amp;" - "&amp;Tabella1[[#This Row],[Città]]</f>
        <v>NORD OVEST - MONTE GRIMANO TERME</v>
      </c>
    </row>
    <row r="5204" spans="1:8" x14ac:dyDescent="0.25">
      <c r="A5204" s="1" t="s">
        <v>20</v>
      </c>
      <c r="B5204" s="1" t="s">
        <v>6961</v>
      </c>
      <c r="C5204" s="1" t="s">
        <v>6962</v>
      </c>
      <c r="D5204" s="1" t="s">
        <v>6790</v>
      </c>
      <c r="E5204" s="1" t="s">
        <v>6790</v>
      </c>
      <c r="F5204" s="1" t="s">
        <v>6963</v>
      </c>
      <c r="G5204" s="1" t="s">
        <v>6964</v>
      </c>
      <c r="H5204" s="2" t="str">
        <f>Tabella1[[#This Row],[Denominazione]]&amp;" - "&amp;Tabella1[[#This Row],[Città]]</f>
        <v>NORMA - FABRIANO</v>
      </c>
    </row>
    <row r="5205" spans="1:8" x14ac:dyDescent="0.25">
      <c r="A5205" s="1" t="s">
        <v>29</v>
      </c>
      <c r="B5205" s="1" t="s">
        <v>7357</v>
      </c>
      <c r="C5205" s="1" t="s">
        <v>7358</v>
      </c>
      <c r="D5205" s="1" t="s">
        <v>7254</v>
      </c>
      <c r="E5205" s="1" t="s">
        <v>7254</v>
      </c>
      <c r="G5205" s="1" t="s">
        <v>7359</v>
      </c>
      <c r="H5205" s="2" t="str">
        <f>Tabella1[[#This Row],[Denominazione]]&amp;" - "&amp;Tabella1[[#This Row],[Città]]</f>
        <v>NOTE DI JESI - JESI</v>
      </c>
    </row>
    <row r="5206" spans="1:8" x14ac:dyDescent="0.25">
      <c r="A5206" s="1" t="s">
        <v>29</v>
      </c>
      <c r="B5206" s="1" t="s">
        <v>7321</v>
      </c>
      <c r="C5206" s="1" t="s">
        <v>7322</v>
      </c>
      <c r="D5206" s="1" t="s">
        <v>7254</v>
      </c>
      <c r="E5206" s="1" t="s">
        <v>7254</v>
      </c>
      <c r="F5206" s="1" t="s">
        <v>7323</v>
      </c>
      <c r="G5206" s="1" t="s">
        <v>7324</v>
      </c>
      <c r="H5206" s="2" t="str">
        <f>Tabella1[[#This Row],[Denominazione]]&amp;" - "&amp;Tabella1[[#This Row],[Città]]</f>
        <v>NOTTI SULLE MURA - JESI</v>
      </c>
    </row>
    <row r="5207" spans="1:8" x14ac:dyDescent="0.25">
      <c r="A5207" s="1" t="s">
        <v>679</v>
      </c>
      <c r="B5207" s="1" t="s">
        <v>18080</v>
      </c>
      <c r="C5207" s="1" t="s">
        <v>18081</v>
      </c>
      <c r="D5207" s="1" t="s">
        <v>17932</v>
      </c>
      <c r="E5207" s="1" t="s">
        <v>18082</v>
      </c>
      <c r="H5207" s="2" t="str">
        <f>Tabella1[[#This Row],[Denominazione]]&amp;" - "&amp;Tabella1[[#This Row],[Città]]</f>
        <v>NOVE NOVE - FERMO</v>
      </c>
    </row>
    <row r="5208" spans="1:8" x14ac:dyDescent="0.25">
      <c r="A5208" s="1" t="s">
        <v>12</v>
      </c>
      <c r="B5208" s="1" t="s">
        <v>7804</v>
      </c>
      <c r="C5208" s="1" t="s">
        <v>7805</v>
      </c>
      <c r="D5208" s="1" t="s">
        <v>7718</v>
      </c>
      <c r="H5208" s="2" t="str">
        <f>Tabella1[[#This Row],[Denominazione]]&amp;" - "&amp;Tabella1[[#This Row],[Città]]</f>
        <v>NOVELLO GUIDO - MONTEMARCIANO</v>
      </c>
    </row>
    <row r="5209" spans="1:8" x14ac:dyDescent="0.25">
      <c r="A5209" s="1" t="s">
        <v>679</v>
      </c>
      <c r="B5209" s="1" t="s">
        <v>8213</v>
      </c>
      <c r="C5209" s="1" t="s">
        <v>8214</v>
      </c>
      <c r="D5209" s="1" t="s">
        <v>7889</v>
      </c>
      <c r="E5209" s="1" t="s">
        <v>7895</v>
      </c>
      <c r="F5209" s="1" t="s">
        <v>8215</v>
      </c>
      <c r="G5209" s="1" t="s">
        <v>8216</v>
      </c>
      <c r="H5209" s="2" t="str">
        <f>Tabella1[[#This Row],[Denominazione]]&amp;" - "&amp;Tabella1[[#This Row],[Città]]</f>
        <v>NUMANA BLU - NUMANA</v>
      </c>
    </row>
    <row r="5210" spans="1:8" x14ac:dyDescent="0.25">
      <c r="A5210" s="1" t="s">
        <v>6</v>
      </c>
      <c r="B5210" s="1" t="s">
        <v>11226</v>
      </c>
      <c r="C5210" s="1" t="s">
        <v>11227</v>
      </c>
      <c r="D5210" s="1" t="s">
        <v>11058</v>
      </c>
      <c r="E5210" s="1" t="s">
        <v>11058</v>
      </c>
      <c r="F5210" s="1" t="s">
        <v>11228</v>
      </c>
      <c r="G5210" s="1" t="s">
        <v>11229</v>
      </c>
      <c r="H5210" s="2" t="str">
        <f>Tabella1[[#This Row],[Denominazione]]&amp;" - "&amp;Tabella1[[#This Row],[Città]]</f>
        <v>NUMERO7 - CINGOLI</v>
      </c>
    </row>
    <row r="5211" spans="1:8" x14ac:dyDescent="0.25">
      <c r="A5211" s="1" t="s">
        <v>20</v>
      </c>
      <c r="B5211" s="1" t="s">
        <v>2216</v>
      </c>
      <c r="C5211" s="1" t="s">
        <v>2217</v>
      </c>
      <c r="D5211" s="1" t="s">
        <v>1907</v>
      </c>
      <c r="E5211" s="1" t="s">
        <v>1907</v>
      </c>
      <c r="F5211" s="1" t="s">
        <v>2218</v>
      </c>
      <c r="G5211" s="1" t="s">
        <v>2219</v>
      </c>
      <c r="H5211" s="2" t="str">
        <f>Tabella1[[#This Row],[Denominazione]]&amp;" - "&amp;Tabella1[[#This Row],[Città]]</f>
        <v>NUOVO FIORE - GABICCE MARE</v>
      </c>
    </row>
    <row r="5212" spans="1:8" x14ac:dyDescent="0.25">
      <c r="A5212" s="1" t="s">
        <v>20</v>
      </c>
      <c r="B5212" s="1" t="s">
        <v>2220</v>
      </c>
      <c r="C5212" s="1" t="s">
        <v>2221</v>
      </c>
      <c r="D5212" s="1" t="s">
        <v>1907</v>
      </c>
      <c r="E5212" s="1" t="s">
        <v>1907</v>
      </c>
      <c r="F5212" s="1" t="s">
        <v>2218</v>
      </c>
      <c r="G5212" s="1" t="s">
        <v>2219</v>
      </c>
      <c r="H5212" s="2" t="str">
        <f>Tabella1[[#This Row],[Denominazione]]&amp;" - "&amp;Tabella1[[#This Row],[Città]]</f>
        <v>NUOVO FIORE DIPENDENZA - GABICCE MARE</v>
      </c>
    </row>
    <row r="5213" spans="1:8" x14ac:dyDescent="0.25">
      <c r="A5213" s="1" t="s">
        <v>571</v>
      </c>
      <c r="B5213" s="1" t="s">
        <v>13243</v>
      </c>
      <c r="D5213" s="1" t="s">
        <v>13026</v>
      </c>
      <c r="E5213" s="1" t="s">
        <v>13244</v>
      </c>
      <c r="F5213" s="1" t="s">
        <v>13245</v>
      </c>
      <c r="G5213" s="1" t="s">
        <v>13246</v>
      </c>
      <c r="H5213" s="2" t="str">
        <f>Tabella1[[#This Row],[Denominazione]]&amp;" - "&amp;Tabella1[[#This Row],[Città]]</f>
        <v>NUOVO NATURAL VILLAGE - POTENZA PICENA</v>
      </c>
    </row>
    <row r="5214" spans="1:8" x14ac:dyDescent="0.25">
      <c r="A5214" s="1" t="s">
        <v>12</v>
      </c>
      <c r="B5214" s="1" t="s">
        <v>3581</v>
      </c>
      <c r="C5214" s="1" t="s">
        <v>3582</v>
      </c>
      <c r="D5214" s="1" t="s">
        <v>2386</v>
      </c>
      <c r="E5214" s="1" t="s">
        <v>2386</v>
      </c>
      <c r="G5214" s="1" t="s">
        <v>3527</v>
      </c>
      <c r="H5214" s="2" t="str">
        <f>Tabella1[[#This Row],[Denominazione]]&amp;" - "&amp;Tabella1[[#This Row],[Città]]</f>
        <v>O' DONNELL LAURA - PESARO</v>
      </c>
    </row>
    <row r="5215" spans="1:8" x14ac:dyDescent="0.25">
      <c r="A5215" s="1" t="s">
        <v>20</v>
      </c>
      <c r="B5215" s="1" t="s">
        <v>1176</v>
      </c>
      <c r="C5215" s="1" t="s">
        <v>1177</v>
      </c>
      <c r="D5215" s="1" t="s">
        <v>682</v>
      </c>
      <c r="E5215" s="1" t="s">
        <v>682</v>
      </c>
      <c r="F5215" s="1" t="s">
        <v>1178</v>
      </c>
      <c r="G5215" s="1" t="s">
        <v>1179</v>
      </c>
      <c r="H5215" s="2" t="str">
        <f>Tabella1[[#This Row],[Denominazione]]&amp;" - "&amp;Tabella1[[#This Row],[Città]]</f>
        <v>OASI - FANO</v>
      </c>
    </row>
    <row r="5216" spans="1:8" x14ac:dyDescent="0.25">
      <c r="A5216" s="1" t="s">
        <v>679</v>
      </c>
      <c r="B5216" s="1" t="s">
        <v>1176</v>
      </c>
      <c r="C5216" s="1" t="s">
        <v>5874</v>
      </c>
      <c r="D5216" s="1" t="s">
        <v>1864</v>
      </c>
      <c r="E5216" s="1" t="s">
        <v>5704</v>
      </c>
      <c r="F5216" s="1" t="s">
        <v>5875</v>
      </c>
      <c r="G5216" s="1" t="s">
        <v>5876</v>
      </c>
      <c r="H5216" s="2" t="str">
        <f>Tabella1[[#This Row],[Denominazione]]&amp;" - "&amp;Tabella1[[#This Row],[Città]]</f>
        <v>OASI - ANCONA</v>
      </c>
    </row>
    <row r="5217" spans="1:8" x14ac:dyDescent="0.25">
      <c r="A5217" s="1" t="s">
        <v>679</v>
      </c>
      <c r="B5217" s="1" t="s">
        <v>1176</v>
      </c>
      <c r="D5217" s="1" t="s">
        <v>12801</v>
      </c>
      <c r="H5217" s="2" t="str">
        <f>Tabella1[[#This Row],[Denominazione]]&amp;" - "&amp;Tabella1[[#This Row],[Città]]</f>
        <v>OASI - PORTO RECANATI</v>
      </c>
    </row>
    <row r="5218" spans="1:8" x14ac:dyDescent="0.25">
      <c r="A5218" s="1" t="s">
        <v>35</v>
      </c>
      <c r="B5218" s="1" t="s">
        <v>16163</v>
      </c>
      <c r="C5218" s="1" t="s">
        <v>16164</v>
      </c>
      <c r="D5218" s="1" t="s">
        <v>16165</v>
      </c>
      <c r="E5218" s="1" t="s">
        <v>16165</v>
      </c>
      <c r="F5218" s="1" t="s">
        <v>16166</v>
      </c>
      <c r="G5218" s="1" t="s">
        <v>16167</v>
      </c>
      <c r="H5218" s="2" t="str">
        <f>Tabella1[[#This Row],[Denominazione]]&amp;" - "&amp;Tabella1[[#This Row],[Città]]</f>
        <v>OASI BIOLOGICA - MONTEDINOVE</v>
      </c>
    </row>
    <row r="5219" spans="1:8" x14ac:dyDescent="0.25">
      <c r="A5219" s="1" t="s">
        <v>35</v>
      </c>
      <c r="B5219" s="1" t="s">
        <v>15464</v>
      </c>
      <c r="C5219" s="1" t="s">
        <v>15465</v>
      </c>
      <c r="D5219" s="1" t="s">
        <v>15349</v>
      </c>
      <c r="E5219" s="1" t="s">
        <v>15349</v>
      </c>
      <c r="H5219" s="2" t="str">
        <f>Tabella1[[#This Row],[Denominazione]]&amp;" - "&amp;Tabella1[[#This Row],[Città]]</f>
        <v>OASI DEGLI ANGELI - CUPRA MARITTIMA</v>
      </c>
    </row>
    <row r="5220" spans="1:8" x14ac:dyDescent="0.25">
      <c r="A5220" s="1" t="s">
        <v>29</v>
      </c>
      <c r="B5220" s="1" t="s">
        <v>1708</v>
      </c>
      <c r="C5220" s="1" t="s">
        <v>1709</v>
      </c>
      <c r="D5220" s="1" t="s">
        <v>1653</v>
      </c>
      <c r="E5220" s="1" t="s">
        <v>1710</v>
      </c>
      <c r="H5220" s="2" t="str">
        <f>Tabella1[[#This Row],[Denominazione]]&amp;" - "&amp;Tabella1[[#This Row],[Città]]</f>
        <v>OASI DELLA PACE - FERMIGNANO</v>
      </c>
    </row>
    <row r="5221" spans="1:8" x14ac:dyDescent="0.25">
      <c r="A5221" s="1" t="s">
        <v>679</v>
      </c>
      <c r="B5221" s="1" t="s">
        <v>15380</v>
      </c>
      <c r="C5221" s="1" t="s">
        <v>15381</v>
      </c>
      <c r="D5221" s="1" t="s">
        <v>15349</v>
      </c>
      <c r="E5221" s="1" t="s">
        <v>6652</v>
      </c>
      <c r="H5221" s="2" t="str">
        <f>Tabella1[[#This Row],[Denominazione]]&amp;" - "&amp;Tabella1[[#This Row],[Città]]</f>
        <v>OASI DI CUPRA - CUPRA MARITTIMA</v>
      </c>
    </row>
    <row r="5222" spans="1:8" x14ac:dyDescent="0.25">
      <c r="A5222" s="1" t="s">
        <v>20</v>
      </c>
      <c r="B5222" s="1" t="s">
        <v>15380</v>
      </c>
      <c r="C5222" s="1" t="s">
        <v>15447</v>
      </c>
      <c r="D5222" s="1" t="s">
        <v>15349</v>
      </c>
      <c r="E5222" s="1" t="s">
        <v>15349</v>
      </c>
      <c r="H5222" s="2" t="str">
        <f>Tabella1[[#This Row],[Denominazione]]&amp;" - "&amp;Tabella1[[#This Row],[Città]]</f>
        <v>OASI DI CUPRA - CUPRA MARITTIMA</v>
      </c>
    </row>
    <row r="5223" spans="1:8" x14ac:dyDescent="0.25">
      <c r="A5223" s="1" t="s">
        <v>82</v>
      </c>
      <c r="B5223" s="1" t="s">
        <v>8127</v>
      </c>
      <c r="C5223" s="1" t="s">
        <v>8128</v>
      </c>
      <c r="D5223" s="1" t="s">
        <v>7889</v>
      </c>
      <c r="E5223" s="1" t="s">
        <v>7889</v>
      </c>
      <c r="F5223" s="1" t="s">
        <v>8129</v>
      </c>
      <c r="G5223" s="1" t="s">
        <v>8130</v>
      </c>
      <c r="H5223" s="2" t="str">
        <f>Tabella1[[#This Row],[Denominazione]]&amp;" - "&amp;Tabella1[[#This Row],[Città]]</f>
        <v>OASI MARE - NUMANA</v>
      </c>
    </row>
    <row r="5224" spans="1:8" x14ac:dyDescent="0.25">
      <c r="A5224" s="1" t="s">
        <v>300</v>
      </c>
      <c r="B5224" s="1" t="s">
        <v>301</v>
      </c>
      <c r="C5224" s="1" t="s">
        <v>302</v>
      </c>
      <c r="D5224" s="1" t="s">
        <v>266</v>
      </c>
      <c r="E5224" s="1" t="s">
        <v>266</v>
      </c>
      <c r="G5224" s="1" t="s">
        <v>303</v>
      </c>
      <c r="H5224" s="2" t="str">
        <f>Tabella1[[#This Row],[Denominazione]]&amp;" - "&amp;Tabella1[[#This Row],[Città]]</f>
        <v>OASI SAN BENEDETTO - BORGO PACE</v>
      </c>
    </row>
    <row r="5225" spans="1:8" x14ac:dyDescent="0.25">
      <c r="A5225" s="1" t="s">
        <v>29</v>
      </c>
      <c r="B5225" s="1" t="s">
        <v>3549</v>
      </c>
      <c r="C5225" s="1" t="s">
        <v>3550</v>
      </c>
      <c r="D5225" s="1" t="s">
        <v>2386</v>
      </c>
      <c r="E5225" s="1" t="s">
        <v>2386</v>
      </c>
      <c r="G5225" s="1" t="s">
        <v>3551</v>
      </c>
      <c r="H5225" s="2" t="str">
        <f>Tabella1[[#This Row],[Denominazione]]&amp;" - "&amp;Tabella1[[#This Row],[Città]]</f>
        <v>OASI VERDE - PESARO</v>
      </c>
    </row>
    <row r="5226" spans="1:8" x14ac:dyDescent="0.25">
      <c r="A5226" s="1" t="s">
        <v>82</v>
      </c>
      <c r="B5226" s="1" t="s">
        <v>17407</v>
      </c>
      <c r="C5226" s="1" t="s">
        <v>17408</v>
      </c>
      <c r="D5226" s="1" t="s">
        <v>15819</v>
      </c>
      <c r="E5226" s="1" t="s">
        <v>15819</v>
      </c>
      <c r="G5226" s="1" t="s">
        <v>17409</v>
      </c>
      <c r="H5226" s="2" t="str">
        <f>Tabella1[[#This Row],[Denominazione]]&amp;" - "&amp;Tabella1[[#This Row],[Città]]</f>
        <v>OCEANO RESIDENCE - SAN BENEDETTO DEL TRONTO</v>
      </c>
    </row>
    <row r="5227" spans="1:8" x14ac:dyDescent="0.25">
      <c r="A5227" s="1" t="s">
        <v>679</v>
      </c>
      <c r="B5227" s="1" t="s">
        <v>5746</v>
      </c>
      <c r="D5227" s="1" t="s">
        <v>1864</v>
      </c>
      <c r="H5227" s="2" t="str">
        <f>Tabella1[[#This Row],[Denominazione]]&amp;" - "&amp;Tabella1[[#This Row],[Città]]</f>
        <v>OHANA BEACH SNC di MESSICO M. &amp; PETRACCINI S. - ANCONA</v>
      </c>
    </row>
    <row r="5228" spans="1:8" x14ac:dyDescent="0.25">
      <c r="A5228" s="1" t="s">
        <v>6</v>
      </c>
      <c r="B5228" s="1" t="s">
        <v>12661</v>
      </c>
      <c r="C5228" s="1" t="s">
        <v>12662</v>
      </c>
      <c r="D5228" s="1" t="s">
        <v>12635</v>
      </c>
      <c r="E5228" s="1" t="s">
        <v>12635</v>
      </c>
      <c r="F5228" s="1" t="s">
        <v>12663</v>
      </c>
      <c r="G5228" s="1" t="s">
        <v>12664</v>
      </c>
      <c r="H5228" s="2" t="str">
        <f>Tabella1[[#This Row],[Denominazione]]&amp;" - "&amp;Tabella1[[#This Row],[Città]]</f>
        <v>OLD HOUSE - PENNA SAN GIOVANNI</v>
      </c>
    </row>
    <row r="5229" spans="1:8" x14ac:dyDescent="0.25">
      <c r="A5229" s="1" t="s">
        <v>20</v>
      </c>
      <c r="B5229" s="1" t="s">
        <v>17540</v>
      </c>
      <c r="C5229" s="1" t="s">
        <v>17541</v>
      </c>
      <c r="D5229" s="1" t="s">
        <v>15819</v>
      </c>
      <c r="E5229" s="1" t="s">
        <v>15819</v>
      </c>
      <c r="F5229" s="1" t="s">
        <v>17542</v>
      </c>
      <c r="G5229" s="1" t="s">
        <v>17543</v>
      </c>
      <c r="H5229" s="2" t="str">
        <f>Tabella1[[#This Row],[Denominazione]]&amp;" - "&amp;Tabella1[[#This Row],[Città]]</f>
        <v>OLIMPO - SAN BENEDETTO DEL TRONTO</v>
      </c>
    </row>
    <row r="5230" spans="1:8" x14ac:dyDescent="0.25">
      <c r="A5230" s="1" t="s">
        <v>12</v>
      </c>
      <c r="B5230" s="1" t="s">
        <v>882</v>
      </c>
      <c r="C5230" s="1" t="s">
        <v>883</v>
      </c>
      <c r="D5230" s="1" t="s">
        <v>682</v>
      </c>
      <c r="G5230" s="1" t="s">
        <v>884</v>
      </c>
      <c r="H5230" s="2" t="str">
        <f>Tabella1[[#This Row],[Denominazione]]&amp;" - "&amp;Tabella1[[#This Row],[Città]]</f>
        <v>OLIVA GIULIA - FANO</v>
      </c>
    </row>
    <row r="5231" spans="1:8" x14ac:dyDescent="0.25">
      <c r="A5231" s="1" t="s">
        <v>29</v>
      </c>
      <c r="B5231" s="1" t="s">
        <v>15077</v>
      </c>
      <c r="C5231" s="1" t="s">
        <v>15078</v>
      </c>
      <c r="D5231" s="1" t="s">
        <v>14576</v>
      </c>
      <c r="E5231" s="1" t="s">
        <v>14576</v>
      </c>
      <c r="G5231" s="1" t="s">
        <v>15079</v>
      </c>
      <c r="H5231" s="2" t="str">
        <f>Tabella1[[#This Row],[Denominazione]]&amp;" - "&amp;Tabella1[[#This Row],[Città]]</f>
        <v>OLIVIERI SAMANTHA - ASCOLI PICENO</v>
      </c>
    </row>
    <row r="5232" spans="1:8" x14ac:dyDescent="0.25">
      <c r="A5232" s="1" t="s">
        <v>679</v>
      </c>
      <c r="B5232" s="1" t="s">
        <v>10027</v>
      </c>
      <c r="C5232" s="1" t="s">
        <v>9910</v>
      </c>
      <c r="D5232" s="1" t="s">
        <v>8949</v>
      </c>
      <c r="E5232" s="1" t="s">
        <v>8949</v>
      </c>
      <c r="H5232" s="2" t="str">
        <f>Tabella1[[#This Row],[Denominazione]]&amp;" - "&amp;Tabella1[[#This Row],[Città]]</f>
        <v>OLLIE CLUB - BAGNI N° 120 - SENIGALLIA</v>
      </c>
    </row>
    <row r="5233" spans="1:8" x14ac:dyDescent="0.25">
      <c r="A5233" s="1" t="s">
        <v>35</v>
      </c>
      <c r="B5233" s="1" t="s">
        <v>13919</v>
      </c>
      <c r="C5233" s="1" t="s">
        <v>13920</v>
      </c>
      <c r="D5233" s="1" t="s">
        <v>13894</v>
      </c>
      <c r="E5233" s="1" t="s">
        <v>13894</v>
      </c>
      <c r="G5233" s="1" t="s">
        <v>13921</v>
      </c>
      <c r="H5233" s="2" t="str">
        <f>Tabella1[[#This Row],[Denominazione]]&amp;" - "&amp;Tabella1[[#This Row],[Città]]</f>
        <v>OLTRE LA SIEPE - SERRAPETRONA</v>
      </c>
    </row>
    <row r="5234" spans="1:8" x14ac:dyDescent="0.25">
      <c r="A5234" s="1" t="s">
        <v>82</v>
      </c>
      <c r="B5234" s="1" t="s">
        <v>17176</v>
      </c>
      <c r="C5234" s="1" t="s">
        <v>17177</v>
      </c>
      <c r="D5234" s="1" t="s">
        <v>15819</v>
      </c>
      <c r="E5234" s="1" t="s">
        <v>15819</v>
      </c>
      <c r="F5234" s="1" t="s">
        <v>17178</v>
      </c>
      <c r="G5234" s="1" t="s">
        <v>17179</v>
      </c>
      <c r="H5234" s="2" t="str">
        <f>Tabella1[[#This Row],[Denominazione]]&amp;" - "&amp;Tabella1[[#This Row],[Città]]</f>
        <v>OLTREMARE CASA PER VACANZE - SAN BENEDETTO DEL TRONTO</v>
      </c>
    </row>
    <row r="5235" spans="1:8" x14ac:dyDescent="0.25">
      <c r="A5235" s="1" t="s">
        <v>20</v>
      </c>
      <c r="B5235" s="1" t="s">
        <v>2222</v>
      </c>
      <c r="C5235" s="1" t="s">
        <v>2223</v>
      </c>
      <c r="D5235" s="1" t="s">
        <v>1907</v>
      </c>
      <c r="E5235" s="1" t="s">
        <v>1907</v>
      </c>
      <c r="F5235" s="1" t="s">
        <v>2224</v>
      </c>
      <c r="G5235" s="1" t="s">
        <v>2225</v>
      </c>
      <c r="H5235" s="2" t="str">
        <f>Tabella1[[#This Row],[Denominazione]]&amp;" - "&amp;Tabella1[[#This Row],[Città]]</f>
        <v>OLYMPIA - GABICCE MARE</v>
      </c>
    </row>
    <row r="5236" spans="1:8" x14ac:dyDescent="0.25">
      <c r="A5236" s="1" t="s">
        <v>20</v>
      </c>
      <c r="B5236" s="1" t="s">
        <v>2222</v>
      </c>
      <c r="C5236" s="1" t="s">
        <v>9727</v>
      </c>
      <c r="D5236" s="1" t="s">
        <v>8949</v>
      </c>
      <c r="E5236" s="1" t="s">
        <v>8949</v>
      </c>
      <c r="F5236" s="1" t="s">
        <v>9728</v>
      </c>
      <c r="G5236" s="1" t="s">
        <v>9729</v>
      </c>
      <c r="H5236" s="2" t="str">
        <f>Tabella1[[#This Row],[Denominazione]]&amp;" - "&amp;Tabella1[[#This Row],[Città]]</f>
        <v>OLYMPIA - SENIGALLIA</v>
      </c>
    </row>
    <row r="5237" spans="1:8" x14ac:dyDescent="0.25">
      <c r="A5237" s="1" t="s">
        <v>12</v>
      </c>
      <c r="B5237" s="1" t="s">
        <v>913</v>
      </c>
      <c r="C5237" s="1" t="s">
        <v>914</v>
      </c>
      <c r="D5237" s="1" t="s">
        <v>682</v>
      </c>
      <c r="G5237" s="1" t="s">
        <v>915</v>
      </c>
      <c r="H5237" s="2" t="str">
        <f>Tabella1[[#This Row],[Denominazione]]&amp;" - "&amp;Tabella1[[#This Row],[Città]]</f>
        <v>OMICCIOLI ALESSANDRO - FANO</v>
      </c>
    </row>
    <row r="5238" spans="1:8" x14ac:dyDescent="0.25">
      <c r="A5238" s="1" t="s">
        <v>12</v>
      </c>
      <c r="B5238" s="1" t="s">
        <v>1551</v>
      </c>
      <c r="C5238" s="1" t="s">
        <v>1552</v>
      </c>
      <c r="D5238" s="1" t="s">
        <v>682</v>
      </c>
      <c r="G5238" s="1" t="s">
        <v>1550</v>
      </c>
      <c r="H5238" s="2" t="str">
        <f>Tabella1[[#This Row],[Denominazione]]&amp;" - "&amp;Tabella1[[#This Row],[Città]]</f>
        <v>OMICCIOLI FRANCESCO - FANO</v>
      </c>
    </row>
    <row r="5239" spans="1:8" x14ac:dyDescent="0.25">
      <c r="A5239" s="1" t="s">
        <v>12</v>
      </c>
      <c r="B5239" s="1" t="s">
        <v>1548</v>
      </c>
      <c r="C5239" s="1" t="s">
        <v>1549</v>
      </c>
      <c r="D5239" s="1" t="s">
        <v>682</v>
      </c>
      <c r="G5239" s="1" t="s">
        <v>1550</v>
      </c>
      <c r="H5239" s="2" t="str">
        <f>Tabella1[[#This Row],[Denominazione]]&amp;" - "&amp;Tabella1[[#This Row],[Città]]</f>
        <v>OMICCIOLI PIERINO - FANO</v>
      </c>
    </row>
    <row r="5240" spans="1:8" x14ac:dyDescent="0.25">
      <c r="A5240" s="1" t="s">
        <v>12</v>
      </c>
      <c r="B5240" s="1" t="s">
        <v>13024</v>
      </c>
      <c r="C5240" s="1" t="s">
        <v>13025</v>
      </c>
      <c r="D5240" s="1" t="s">
        <v>13026</v>
      </c>
      <c r="E5240" s="1" t="s">
        <v>13026</v>
      </c>
      <c r="G5240" s="1" t="s">
        <v>13027</v>
      </c>
      <c r="H5240" s="2" t="str">
        <f>Tabella1[[#This Row],[Denominazione]]&amp;" - "&amp;Tabella1[[#This Row],[Città]]</f>
        <v>OMINETTI ROBERTO - POTENZA PICENA</v>
      </c>
    </row>
    <row r="5241" spans="1:8" x14ac:dyDescent="0.25">
      <c r="A5241" s="1" t="s">
        <v>571</v>
      </c>
      <c r="B5241" s="1" t="s">
        <v>9617</v>
      </c>
      <c r="C5241" s="1" t="s">
        <v>9618</v>
      </c>
      <c r="D5241" s="1" t="s">
        <v>8949</v>
      </c>
      <c r="E5241" s="1" t="s">
        <v>8949</v>
      </c>
      <c r="G5241" s="1" t="s">
        <v>9619</v>
      </c>
      <c r="H5241" s="2" t="str">
        <f>Tabella1[[#This Row],[Denominazione]]&amp;" - "&amp;Tabella1[[#This Row],[Città]]</f>
        <v>ONDA BLU - SENIGALLIA</v>
      </c>
    </row>
    <row r="5242" spans="1:8" x14ac:dyDescent="0.25">
      <c r="A5242" s="1" t="s">
        <v>679</v>
      </c>
      <c r="B5242" s="1" t="s">
        <v>9617</v>
      </c>
      <c r="C5242" s="1" t="s">
        <v>11599</v>
      </c>
      <c r="D5242" s="1" t="s">
        <v>11244</v>
      </c>
      <c r="E5242" s="1" t="s">
        <v>11244</v>
      </c>
      <c r="H5242" s="2" t="str">
        <f>Tabella1[[#This Row],[Denominazione]]&amp;" - "&amp;Tabella1[[#This Row],[Città]]</f>
        <v>ONDA BLU - CIVITANOVA MARCHE</v>
      </c>
    </row>
    <row r="5243" spans="1:8" x14ac:dyDescent="0.25">
      <c r="A5243" s="1" t="s">
        <v>571</v>
      </c>
      <c r="B5243" s="1" t="s">
        <v>18046</v>
      </c>
      <c r="C5243" s="1" t="s">
        <v>18047</v>
      </c>
      <c r="D5243" s="1" t="s">
        <v>17932</v>
      </c>
      <c r="E5243" s="1" t="s">
        <v>18048</v>
      </c>
      <c r="F5243" s="1" t="s">
        <v>18049</v>
      </c>
      <c r="G5243" s="1" t="s">
        <v>18050</v>
      </c>
      <c r="H5243" s="2" t="str">
        <f>Tabella1[[#This Row],[Denominazione]]&amp;" - "&amp;Tabella1[[#This Row],[Città]]</f>
        <v>ONDA VERDE - FERMO</v>
      </c>
    </row>
    <row r="5244" spans="1:8" x14ac:dyDescent="0.25">
      <c r="A5244" s="1" t="s">
        <v>12</v>
      </c>
      <c r="B5244" s="1" t="s">
        <v>12961</v>
      </c>
      <c r="C5244" s="1" t="s">
        <v>12962</v>
      </c>
      <c r="D5244" s="1" t="s">
        <v>12801</v>
      </c>
      <c r="G5244" s="1" t="s">
        <v>8361</v>
      </c>
      <c r="H5244" s="2" t="str">
        <f>Tabella1[[#This Row],[Denominazione]]&amp;" - "&amp;Tabella1[[#This Row],[Città]]</f>
        <v>OPERA ARTE SRL - PORTO RECANATI</v>
      </c>
    </row>
    <row r="5245" spans="1:8" x14ac:dyDescent="0.25">
      <c r="A5245" s="1" t="s">
        <v>82</v>
      </c>
      <c r="B5245" s="1" t="s">
        <v>13005</v>
      </c>
      <c r="C5245" s="1" t="s">
        <v>13006</v>
      </c>
      <c r="D5245" s="1" t="s">
        <v>12801</v>
      </c>
      <c r="E5245" s="1" t="s">
        <v>12801</v>
      </c>
      <c r="G5245" s="1" t="s">
        <v>8361</v>
      </c>
      <c r="H5245" s="2" t="str">
        <f>Tabella1[[#This Row],[Denominazione]]&amp;" - "&amp;Tabella1[[#This Row],[Città]]</f>
        <v>OPERA ARTE SUITE APARTMENTS - PORTO RECANATI</v>
      </c>
    </row>
    <row r="5246" spans="1:8" x14ac:dyDescent="0.25">
      <c r="A5246" s="1" t="s">
        <v>12</v>
      </c>
      <c r="B5246" s="1" t="s">
        <v>2791</v>
      </c>
      <c r="C5246" s="1" t="s">
        <v>2792</v>
      </c>
      <c r="D5246" s="1" t="s">
        <v>1605</v>
      </c>
      <c r="G5246" s="1" t="s">
        <v>2793</v>
      </c>
      <c r="H5246" s="2" t="str">
        <f>Tabella1[[#This Row],[Denominazione]]&amp;" - "&amp;Tabella1[[#This Row],[Città]]</f>
        <v>ORAZI MILENA - MONDOLFO</v>
      </c>
    </row>
    <row r="5247" spans="1:8" x14ac:dyDescent="0.25">
      <c r="A5247" s="1" t="s">
        <v>679</v>
      </c>
      <c r="B5247" s="1" t="s">
        <v>17306</v>
      </c>
      <c r="C5247" s="1" t="s">
        <v>17307</v>
      </c>
      <c r="D5247" s="1" t="s">
        <v>15819</v>
      </c>
      <c r="F5247" s="1" t="s">
        <v>17308</v>
      </c>
      <c r="H5247" s="2" t="str">
        <f>Tabella1[[#This Row],[Denominazione]]&amp;" - "&amp;Tabella1[[#This Row],[Città]]</f>
        <v>ORCA DA MINGE' - SAN BENEDETTO DEL TRONTO</v>
      </c>
    </row>
    <row r="5248" spans="1:8" x14ac:dyDescent="0.25">
      <c r="A5248" s="1" t="s">
        <v>12</v>
      </c>
      <c r="B5248" s="1" t="s">
        <v>732</v>
      </c>
      <c r="C5248" s="1" t="s">
        <v>733</v>
      </c>
      <c r="D5248" s="1" t="s">
        <v>682</v>
      </c>
      <c r="E5248" s="1" t="s">
        <v>682</v>
      </c>
      <c r="H5248" s="2" t="str">
        <f>Tabella1[[#This Row],[Denominazione]]&amp;" - "&amp;Tabella1[[#This Row],[Città]]</f>
        <v>ORCIANI MARSINO - FANO</v>
      </c>
    </row>
    <row r="5249" spans="1:8" x14ac:dyDescent="0.25">
      <c r="A5249" s="1" t="s">
        <v>12</v>
      </c>
      <c r="B5249" s="1" t="s">
        <v>1532</v>
      </c>
      <c r="C5249" s="1" t="s">
        <v>1533</v>
      </c>
      <c r="D5249" s="1" t="s">
        <v>682</v>
      </c>
      <c r="G5249" s="1" t="s">
        <v>1534</v>
      </c>
      <c r="H5249" s="2" t="str">
        <f>Tabella1[[#This Row],[Denominazione]]&amp;" - "&amp;Tabella1[[#This Row],[Città]]</f>
        <v>ORDONSELLI SEVERINO - FANO</v>
      </c>
    </row>
    <row r="5250" spans="1:8" x14ac:dyDescent="0.25">
      <c r="A5250" s="1" t="s">
        <v>20</v>
      </c>
      <c r="B5250" s="1" t="s">
        <v>1132</v>
      </c>
      <c r="C5250" s="1" t="s">
        <v>1133</v>
      </c>
      <c r="D5250" s="1" t="s">
        <v>682</v>
      </c>
      <c r="E5250" s="1" t="s">
        <v>682</v>
      </c>
      <c r="F5250" s="1" t="s">
        <v>1134</v>
      </c>
      <c r="G5250" s="1" t="s">
        <v>1135</v>
      </c>
      <c r="H5250" s="2" t="str">
        <f>Tabella1[[#This Row],[Denominazione]]&amp;" - "&amp;Tabella1[[#This Row],[Città]]</f>
        <v>ORFEO - FANO</v>
      </c>
    </row>
    <row r="5251" spans="1:8" x14ac:dyDescent="0.25">
      <c r="A5251" s="1" t="s">
        <v>679</v>
      </c>
      <c r="B5251" s="1" t="s">
        <v>8159</v>
      </c>
      <c r="C5251" s="1" t="s">
        <v>8160</v>
      </c>
      <c r="D5251" s="1" t="s">
        <v>7889</v>
      </c>
      <c r="E5251" s="1" t="s">
        <v>7895</v>
      </c>
      <c r="F5251" s="1" t="s">
        <v>8161</v>
      </c>
      <c r="H5251" s="2" t="str">
        <f>Tabella1[[#This Row],[Denominazione]]&amp;" - "&amp;Tabella1[[#This Row],[Città]]</f>
        <v>ORLANDO - NUMANA</v>
      </c>
    </row>
    <row r="5252" spans="1:8" x14ac:dyDescent="0.25">
      <c r="A5252" s="1" t="s">
        <v>679</v>
      </c>
      <c r="B5252" s="1" t="s">
        <v>12998</v>
      </c>
      <c r="D5252" s="1" t="s">
        <v>12801</v>
      </c>
      <c r="H5252" s="2" t="str">
        <f>Tabella1[[#This Row],[Denominazione]]&amp;" - "&amp;Tabella1[[#This Row],[Città]]</f>
        <v>ORLANDO BARABANI - PORTO RECANATI</v>
      </c>
    </row>
    <row r="5253" spans="1:8" x14ac:dyDescent="0.25">
      <c r="A5253" s="1" t="s">
        <v>20</v>
      </c>
      <c r="B5253" s="1" t="s">
        <v>18647</v>
      </c>
      <c r="C5253" s="1" t="s">
        <v>18648</v>
      </c>
      <c r="D5253" s="1" t="s">
        <v>18618</v>
      </c>
      <c r="E5253" s="1" t="s">
        <v>18618</v>
      </c>
      <c r="F5253" s="1" t="s">
        <v>18649</v>
      </c>
      <c r="G5253" s="1" t="s">
        <v>18650</v>
      </c>
      <c r="H5253" s="2" t="str">
        <f>Tabella1[[#This Row],[Denominazione]]&amp;" - "&amp;Tabella1[[#This Row],[Città]]</f>
        <v>OSCAR &amp; AMORINA - MONTEGIORGIO</v>
      </c>
    </row>
    <row r="5254" spans="1:8" x14ac:dyDescent="0.25">
      <c r="A5254" s="1" t="s">
        <v>6</v>
      </c>
      <c r="B5254" s="1" t="s">
        <v>3379</v>
      </c>
      <c r="C5254" s="1" t="s">
        <v>3380</v>
      </c>
      <c r="D5254" s="1" t="s">
        <v>3305</v>
      </c>
      <c r="E5254" s="1" t="s">
        <v>3305</v>
      </c>
      <c r="G5254" s="1" t="s">
        <v>3381</v>
      </c>
      <c r="H5254" s="2" t="str">
        <f>Tabella1[[#This Row],[Denominazione]]&amp;" - "&amp;Tabella1[[#This Row],[Città]]</f>
        <v>OSTARIA LA PERGOLA - PERGOLA</v>
      </c>
    </row>
    <row r="5255" spans="1:8" x14ac:dyDescent="0.25">
      <c r="A5255" s="1" t="s">
        <v>186</v>
      </c>
      <c r="B5255" s="1" t="s">
        <v>12170</v>
      </c>
      <c r="C5255" s="1" t="s">
        <v>12171</v>
      </c>
      <c r="D5255" s="1" t="s">
        <v>12050</v>
      </c>
      <c r="E5255" s="1" t="s">
        <v>12050</v>
      </c>
      <c r="F5255" s="1" t="s">
        <v>12172</v>
      </c>
      <c r="G5255" s="1" t="s">
        <v>12173</v>
      </c>
      <c r="H5255" s="2" t="str">
        <f>Tabella1[[#This Row],[Denominazione]]&amp;" - "&amp;Tabella1[[#This Row],[Città]]</f>
        <v>OSTELLO ASILO RICCI - MACERATA</v>
      </c>
    </row>
    <row r="5256" spans="1:8" x14ac:dyDescent="0.25">
      <c r="A5256" s="1" t="s">
        <v>186</v>
      </c>
      <c r="B5256" s="1" t="s">
        <v>14574</v>
      </c>
      <c r="C5256" s="1" t="s">
        <v>14575</v>
      </c>
      <c r="D5256" s="1" t="s">
        <v>14576</v>
      </c>
      <c r="E5256" s="1" t="s">
        <v>14576</v>
      </c>
      <c r="F5256" s="1" t="s">
        <v>14577</v>
      </c>
      <c r="G5256" s="1" t="s">
        <v>14578</v>
      </c>
      <c r="H5256" s="2" t="str">
        <f>Tabella1[[#This Row],[Denominazione]]&amp;" - "&amp;Tabella1[[#This Row],[Città]]</f>
        <v>OSTELLO DEI LONGOBARDI - ASCOLI PICENO</v>
      </c>
    </row>
    <row r="5257" spans="1:8" x14ac:dyDescent="0.25">
      <c r="A5257" s="1" t="s">
        <v>186</v>
      </c>
      <c r="B5257" s="1" t="s">
        <v>621</v>
      </c>
      <c r="C5257" s="1" t="s">
        <v>622</v>
      </c>
      <c r="D5257" s="1" t="s">
        <v>579</v>
      </c>
      <c r="E5257" s="1" t="s">
        <v>579</v>
      </c>
      <c r="H5257" s="2" t="str">
        <f>Tabella1[[#This Row],[Denominazione]]&amp;" - "&amp;Tabella1[[#This Row],[Città]]</f>
        <v>OSTELLO DELLA GIOVENTU' - CARPEGNA</v>
      </c>
    </row>
    <row r="5258" spans="1:8" x14ac:dyDescent="0.25">
      <c r="A5258" s="1" t="s">
        <v>186</v>
      </c>
      <c r="B5258" s="1" t="s">
        <v>621</v>
      </c>
      <c r="C5258" s="1" t="s">
        <v>4476</v>
      </c>
      <c r="D5258" s="1" t="s">
        <v>4465</v>
      </c>
      <c r="E5258" s="1" t="s">
        <v>4469</v>
      </c>
      <c r="F5258" s="1" t="s">
        <v>558</v>
      </c>
      <c r="G5258" s="1" t="s">
        <v>559</v>
      </c>
      <c r="H5258" s="2" t="str">
        <f>Tabella1[[#This Row],[Denominazione]]&amp;" - "&amp;Tabella1[[#This Row],[Città]]</f>
        <v>OSTELLO DELLA GIOVENTU' - SANT'IPPOLITO</v>
      </c>
    </row>
    <row r="5259" spans="1:8" x14ac:dyDescent="0.25">
      <c r="A5259" s="1" t="s">
        <v>186</v>
      </c>
      <c r="B5259" s="1" t="s">
        <v>621</v>
      </c>
      <c r="C5259" s="1" t="s">
        <v>16830</v>
      </c>
      <c r="D5259" s="1" t="s">
        <v>15819</v>
      </c>
      <c r="E5259" s="1" t="s">
        <v>15819</v>
      </c>
      <c r="F5259" s="1" t="s">
        <v>16831</v>
      </c>
      <c r="G5259" s="1" t="s">
        <v>16832</v>
      </c>
      <c r="H5259" s="2" t="str">
        <f>Tabella1[[#This Row],[Denominazione]]&amp;" - "&amp;Tabella1[[#This Row],[Città]]</f>
        <v>OSTELLO DELLA GIOVENTU' - SAN BENEDETTO DEL TRONTO</v>
      </c>
    </row>
    <row r="5260" spans="1:8" x14ac:dyDescent="0.25">
      <c r="A5260" s="1" t="s">
        <v>186</v>
      </c>
      <c r="B5260" s="1" t="s">
        <v>187</v>
      </c>
      <c r="C5260" s="1" t="s">
        <v>188</v>
      </c>
      <c r="D5260" s="1" t="s">
        <v>102</v>
      </c>
      <c r="E5260" s="1" t="s">
        <v>102</v>
      </c>
      <c r="G5260" s="1" t="s">
        <v>189</v>
      </c>
      <c r="H5260" s="2" t="str">
        <f>Tabella1[[#This Row],[Denominazione]]&amp;" - "&amp;Tabella1[[#This Row],[Città]]</f>
        <v>OSTELLO DELLA GIOVENTU' LA CHIUSURA (CUCCHIARINI ALDO LORIS) - APECCHIO</v>
      </c>
    </row>
    <row r="5261" spans="1:8" x14ac:dyDescent="0.25">
      <c r="A5261" s="1" t="s">
        <v>186</v>
      </c>
      <c r="B5261" s="1" t="s">
        <v>6693</v>
      </c>
      <c r="C5261" s="1" t="s">
        <v>6694</v>
      </c>
      <c r="D5261" s="1" t="s">
        <v>6652</v>
      </c>
      <c r="E5261" s="1" t="s">
        <v>6652</v>
      </c>
      <c r="G5261" s="1" t="s">
        <v>6695</v>
      </c>
      <c r="H5261" s="2" t="str">
        <f>Tabella1[[#This Row],[Denominazione]]&amp;" - "&amp;Tabella1[[#This Row],[Città]]</f>
        <v>OSTELLO DELLA GIOVENTU' PARCO COLLE ELISA AMATORI - CUPRAMONTANA</v>
      </c>
    </row>
    <row r="5262" spans="1:8" x14ac:dyDescent="0.25">
      <c r="A5262" s="1" t="s">
        <v>186</v>
      </c>
      <c r="B5262" s="1" t="s">
        <v>14399</v>
      </c>
      <c r="C5262" s="1" t="s">
        <v>14400</v>
      </c>
      <c r="D5262" s="1" t="s">
        <v>14334</v>
      </c>
      <c r="E5262" s="1" t="s">
        <v>14334</v>
      </c>
      <c r="F5262" s="1" t="s">
        <v>14401</v>
      </c>
      <c r="G5262" s="1" t="s">
        <v>14402</v>
      </c>
      <c r="H5262" s="2" t="str">
        <f>Tabella1[[#This Row],[Denominazione]]&amp;" - "&amp;Tabella1[[#This Row],[Città]]</f>
        <v>OSTELLO DI CAGNANO - ACQUASANTA TERME</v>
      </c>
    </row>
    <row r="5263" spans="1:8" x14ac:dyDescent="0.25">
      <c r="A5263" s="1" t="s">
        <v>186</v>
      </c>
      <c r="B5263" s="1" t="s">
        <v>1293</v>
      </c>
      <c r="C5263" s="1" t="s">
        <v>1241</v>
      </c>
      <c r="D5263" s="1" t="s">
        <v>682</v>
      </c>
      <c r="F5263" s="1" t="s">
        <v>1294</v>
      </c>
      <c r="H5263" s="2" t="str">
        <f>Tabella1[[#This Row],[Denominazione]]&amp;" - "&amp;Tabella1[[#This Row],[Città]]</f>
        <v>OSTELLO DON ORIONE - FANO</v>
      </c>
    </row>
    <row r="5264" spans="1:8" x14ac:dyDescent="0.25">
      <c r="A5264" s="1" t="s">
        <v>186</v>
      </c>
      <c r="B5264" s="1" t="s">
        <v>2567</v>
      </c>
      <c r="C5264" s="1" t="s">
        <v>2568</v>
      </c>
      <c r="D5264" s="1" t="s">
        <v>2557</v>
      </c>
      <c r="E5264" s="1" t="s">
        <v>2569</v>
      </c>
      <c r="F5264" s="1" t="s">
        <v>2570</v>
      </c>
      <c r="G5264" s="1" t="s">
        <v>2571</v>
      </c>
      <c r="H5264" s="2" t="str">
        <f>Tabella1[[#This Row],[Denominazione]]&amp;" - "&amp;Tabella1[[#This Row],[Città]]</f>
        <v>OSTELLO GRASSANO - MACERATA FELTRIA</v>
      </c>
    </row>
    <row r="5265" spans="1:8" x14ac:dyDescent="0.25">
      <c r="A5265" s="1" t="s">
        <v>186</v>
      </c>
      <c r="B5265" s="1" t="s">
        <v>8860</v>
      </c>
      <c r="C5265" s="1" t="s">
        <v>8861</v>
      </c>
      <c r="D5265" s="1" t="s">
        <v>8849</v>
      </c>
      <c r="E5265" s="1" t="s">
        <v>8849</v>
      </c>
      <c r="F5265" s="1" t="s">
        <v>8862</v>
      </c>
      <c r="H5265" s="2" t="str">
        <f>Tabella1[[#This Row],[Denominazione]]&amp;" - "&amp;Tabella1[[#This Row],[Città]]</f>
        <v>OSTELLO IL VOLTO SANTO - SASSOFERRATO</v>
      </c>
    </row>
    <row r="5266" spans="1:8" x14ac:dyDescent="0.25">
      <c r="A5266" s="1" t="s">
        <v>186</v>
      </c>
      <c r="B5266" s="1" t="s">
        <v>9322</v>
      </c>
      <c r="C5266" s="1" t="s">
        <v>9323</v>
      </c>
      <c r="D5266" s="1" t="s">
        <v>8949</v>
      </c>
      <c r="E5266" s="1" t="s">
        <v>8949</v>
      </c>
      <c r="F5266" s="1" t="s">
        <v>9324</v>
      </c>
      <c r="G5266" s="1" t="s">
        <v>9325</v>
      </c>
      <c r="H5266" s="2" t="str">
        <f>Tabella1[[#This Row],[Denominazione]]&amp;" - "&amp;Tabella1[[#This Row],[Città]]</f>
        <v>OSTELLO LE DUNE - SENIGALLIA</v>
      </c>
    </row>
    <row r="5267" spans="1:8" x14ac:dyDescent="0.25">
      <c r="A5267" s="1" t="s">
        <v>186</v>
      </c>
      <c r="B5267" s="1" t="s">
        <v>304</v>
      </c>
      <c r="C5267" s="1" t="s">
        <v>305</v>
      </c>
      <c r="D5267" s="1" t="s">
        <v>266</v>
      </c>
      <c r="E5267" s="1" t="s">
        <v>274</v>
      </c>
      <c r="G5267" s="1" t="s">
        <v>306</v>
      </c>
      <c r="H5267" s="2" t="str">
        <f>Tabella1[[#This Row],[Denominazione]]&amp;" - "&amp;Tabella1[[#This Row],[Città]]</f>
        <v>OSTELLO PER LA GIOVENTU' - BORGO PACE</v>
      </c>
    </row>
    <row r="5268" spans="1:8" x14ac:dyDescent="0.25">
      <c r="A5268" s="1" t="s">
        <v>186</v>
      </c>
      <c r="B5268" s="1" t="s">
        <v>304</v>
      </c>
      <c r="C5268" s="1" t="s">
        <v>14140</v>
      </c>
      <c r="D5268" s="1" t="s">
        <v>14065</v>
      </c>
      <c r="F5268" s="1" t="s">
        <v>14135</v>
      </c>
      <c r="G5268" s="1" t="s">
        <v>14136</v>
      </c>
      <c r="H5268" s="2" t="str">
        <f>Tabella1[[#This Row],[Denominazione]]&amp;" - "&amp;Tabella1[[#This Row],[Città]]</f>
        <v>OSTELLO PER LA GIOVENTU' - TREIA</v>
      </c>
    </row>
    <row r="5269" spans="1:8" x14ac:dyDescent="0.25">
      <c r="A5269" s="1" t="s">
        <v>186</v>
      </c>
      <c r="B5269" s="1" t="s">
        <v>304</v>
      </c>
      <c r="C5269" s="1" t="s">
        <v>16766</v>
      </c>
      <c r="D5269" s="1" t="s">
        <v>16767</v>
      </c>
      <c r="E5269" s="1" t="s">
        <v>16767</v>
      </c>
      <c r="F5269" s="1" t="s">
        <v>16768</v>
      </c>
      <c r="G5269" s="1" t="s">
        <v>16769</v>
      </c>
      <c r="H5269" s="2" t="str">
        <f>Tabella1[[#This Row],[Denominazione]]&amp;" - "&amp;Tabella1[[#This Row],[Città]]</f>
        <v>OSTELLO PER LA GIOVENTU' - ROTELLA</v>
      </c>
    </row>
    <row r="5270" spans="1:8" x14ac:dyDescent="0.25">
      <c r="A5270" s="1" t="s">
        <v>186</v>
      </c>
      <c r="B5270" s="1" t="s">
        <v>5653</v>
      </c>
      <c r="C5270" s="1" t="s">
        <v>5654</v>
      </c>
      <c r="D5270" s="1" t="s">
        <v>1864</v>
      </c>
      <c r="E5270" s="1" t="s">
        <v>1864</v>
      </c>
      <c r="F5270" s="1" t="s">
        <v>5655</v>
      </c>
      <c r="G5270" s="1" t="s">
        <v>5656</v>
      </c>
      <c r="H5270" s="2" t="str">
        <f>Tabella1[[#This Row],[Denominazione]]&amp;" - "&amp;Tabella1[[#This Row],[Città]]</f>
        <v>OSTELLO PER LA GIOVENTU' ANCONA - ANCONA</v>
      </c>
    </row>
    <row r="5271" spans="1:8" x14ac:dyDescent="0.25">
      <c r="A5271" s="1" t="s">
        <v>186</v>
      </c>
      <c r="B5271" s="1" t="s">
        <v>14254</v>
      </c>
      <c r="D5271" s="1" t="s">
        <v>14213</v>
      </c>
      <c r="E5271" s="1" t="s">
        <v>14255</v>
      </c>
      <c r="H5271" s="2" t="str">
        <f>Tabella1[[#This Row],[Denominazione]]&amp;" - "&amp;Tabella1[[#This Row],[Città]]</f>
        <v>OSTELLO PER LA GIOVENTU' COLORITO - USSITA</v>
      </c>
    </row>
    <row r="5272" spans="1:8" x14ac:dyDescent="0.25">
      <c r="A5272" s="1" t="s">
        <v>186</v>
      </c>
      <c r="B5272" s="1" t="s">
        <v>556</v>
      </c>
      <c r="C5272" s="1" t="s">
        <v>557</v>
      </c>
      <c r="D5272" s="1" t="s">
        <v>535</v>
      </c>
      <c r="E5272" s="1" t="s">
        <v>535</v>
      </c>
      <c r="F5272" s="1" t="s">
        <v>558</v>
      </c>
      <c r="G5272" s="1" t="s">
        <v>559</v>
      </c>
      <c r="H5272" s="2" t="str">
        <f>Tabella1[[#This Row],[Denominazione]]&amp;" - "&amp;Tabella1[[#This Row],[Città]]</f>
        <v>OSTELLO SAN GIOVANNI BATTISTA - CANTIANO</v>
      </c>
    </row>
    <row r="5273" spans="1:8" x14ac:dyDescent="0.25">
      <c r="A5273" s="1" t="s">
        <v>186</v>
      </c>
      <c r="B5273" s="1" t="s">
        <v>14835</v>
      </c>
      <c r="D5273" s="1" t="s">
        <v>14576</v>
      </c>
      <c r="E5273" s="1" t="s">
        <v>14836</v>
      </c>
      <c r="F5273" s="1" t="s">
        <v>14837</v>
      </c>
      <c r="G5273" s="1" t="s">
        <v>14838</v>
      </c>
      <c r="H5273" s="2" t="str">
        <f>Tabella1[[#This Row],[Denominazione]]&amp;" - "&amp;Tabella1[[#This Row],[Città]]</f>
        <v>OSTELLO SAN MARCO - ASCOLI PICENO</v>
      </c>
    </row>
    <row r="5274" spans="1:8" x14ac:dyDescent="0.25">
      <c r="A5274" s="1" t="s">
        <v>186</v>
      </c>
      <c r="B5274" s="1" t="s">
        <v>16304</v>
      </c>
      <c r="C5274" s="1" t="s">
        <v>16305</v>
      </c>
      <c r="D5274" s="1" t="s">
        <v>16281</v>
      </c>
      <c r="E5274" s="1" t="s">
        <v>16281</v>
      </c>
      <c r="H5274" s="2" t="str">
        <f>Tabella1[[#This Row],[Denominazione]]&amp;" - "&amp;Tabella1[[#This Row],[Città]]</f>
        <v>OSTELLO SANTA MARIA IN LAPIDE - MONTEGALLO</v>
      </c>
    </row>
    <row r="5275" spans="1:8" x14ac:dyDescent="0.25">
      <c r="A5275" s="1" t="s">
        <v>35</v>
      </c>
      <c r="B5275" s="1" t="s">
        <v>12521</v>
      </c>
      <c r="C5275" s="1" t="s">
        <v>12522</v>
      </c>
      <c r="D5275" s="1" t="s">
        <v>12519</v>
      </c>
      <c r="E5275" s="1" t="s">
        <v>12519</v>
      </c>
      <c r="F5275" s="1" t="s">
        <v>12523</v>
      </c>
      <c r="G5275" s="1" t="s">
        <v>12524</v>
      </c>
      <c r="H5275" s="2" t="str">
        <f>Tabella1[[#This Row],[Denominazione]]&amp;" - "&amp;Tabella1[[#This Row],[Città]]</f>
        <v>OSTERIA DEL LAGO - MONTE SAN MARTINO</v>
      </c>
    </row>
    <row r="5276" spans="1:8" x14ac:dyDescent="0.25">
      <c r="A5276" s="1" t="s">
        <v>679</v>
      </c>
      <c r="B5276" s="1" t="s">
        <v>5702</v>
      </c>
      <c r="C5276" s="1" t="s">
        <v>5703</v>
      </c>
      <c r="D5276" s="1" t="s">
        <v>1864</v>
      </c>
      <c r="E5276" s="1" t="s">
        <v>5704</v>
      </c>
      <c r="F5276" s="1" t="s">
        <v>5705</v>
      </c>
      <c r="G5276" s="1" t="s">
        <v>5706</v>
      </c>
      <c r="H5276" s="2" t="str">
        <f>Tabella1[[#This Row],[Denominazione]]&amp;" - "&amp;Tabella1[[#This Row],[Città]]</f>
        <v>'OTELLO' di MORENA SCANSANI - ANCONA</v>
      </c>
    </row>
    <row r="5277" spans="1:8" x14ac:dyDescent="0.25">
      <c r="A5277" s="1" t="s">
        <v>12</v>
      </c>
      <c r="B5277" s="1" t="s">
        <v>11951</v>
      </c>
      <c r="C5277" s="1" t="s">
        <v>11947</v>
      </c>
      <c r="D5277" s="1" t="s">
        <v>11883</v>
      </c>
      <c r="E5277" s="1" t="s">
        <v>11948</v>
      </c>
      <c r="F5277" s="1" t="s">
        <v>11949</v>
      </c>
      <c r="G5277" s="1" t="s">
        <v>11952</v>
      </c>
      <c r="H5277" s="2" t="str">
        <f>Tabella1[[#This Row],[Denominazione]]&amp;" - "&amp;Tabella1[[#This Row],[Città]]</f>
        <v>O'VIV - GUALDO</v>
      </c>
    </row>
    <row r="5278" spans="1:8" x14ac:dyDescent="0.25">
      <c r="A5278" s="1" t="s">
        <v>82</v>
      </c>
      <c r="B5278" s="1" t="s">
        <v>12648</v>
      </c>
      <c r="C5278" s="1" t="s">
        <v>12649</v>
      </c>
      <c r="D5278" s="1" t="s">
        <v>12635</v>
      </c>
      <c r="E5278" s="1" t="s">
        <v>12635</v>
      </c>
      <c r="H5278" s="2" t="str">
        <f>Tabella1[[#This Row],[Denominazione]]&amp;" - "&amp;Tabella1[[#This Row],[Città]]</f>
        <v>P.A.E.A DI SILENZI ADELE &amp; C. - S.N.C. - PENNA SAN GIOVANNI</v>
      </c>
    </row>
    <row r="5279" spans="1:8" x14ac:dyDescent="0.25">
      <c r="A5279" s="1" t="s">
        <v>12</v>
      </c>
      <c r="B5279" s="1" t="s">
        <v>13058</v>
      </c>
      <c r="C5279" s="1" t="s">
        <v>13059</v>
      </c>
      <c r="D5279" s="1" t="s">
        <v>13026</v>
      </c>
      <c r="E5279" s="1" t="s">
        <v>13026</v>
      </c>
      <c r="H5279" s="2" t="str">
        <f>Tabella1[[#This Row],[Denominazione]]&amp;" - "&amp;Tabella1[[#This Row],[Città]]</f>
        <v>PACCALONI GIOVANNI - POTENZA PICENA</v>
      </c>
    </row>
    <row r="5280" spans="1:8" x14ac:dyDescent="0.25">
      <c r="A5280" s="1" t="s">
        <v>82</v>
      </c>
      <c r="B5280" s="1" t="s">
        <v>12963</v>
      </c>
      <c r="C5280" s="1" t="s">
        <v>12964</v>
      </c>
      <c r="D5280" s="1" t="s">
        <v>12801</v>
      </c>
      <c r="F5280" s="1" t="s">
        <v>12965</v>
      </c>
      <c r="G5280" s="1" t="s">
        <v>12966</v>
      </c>
      <c r="H5280" s="2" t="str">
        <f>Tabella1[[#This Row],[Denominazione]]&amp;" - "&amp;Tabella1[[#This Row],[Città]]</f>
        <v>PACIFIC BLUE - PORTO RECANATI</v>
      </c>
    </row>
    <row r="5281" spans="1:8" x14ac:dyDescent="0.25">
      <c r="A5281" s="1" t="s">
        <v>12</v>
      </c>
      <c r="B5281" s="1" t="s">
        <v>521</v>
      </c>
      <c r="C5281" s="1" t="s">
        <v>522</v>
      </c>
      <c r="D5281" s="1" t="s">
        <v>316</v>
      </c>
      <c r="E5281" s="1" t="s">
        <v>523</v>
      </c>
      <c r="G5281" s="1" t="s">
        <v>524</v>
      </c>
      <c r="H5281" s="2" t="str">
        <f>Tabella1[[#This Row],[Denominazione]]&amp;" - "&amp;Tabella1[[#This Row],[Città]]</f>
        <v>PACINI MARIA GABRIELLA - CAGLI</v>
      </c>
    </row>
    <row r="5282" spans="1:8" x14ac:dyDescent="0.25">
      <c r="A5282" s="1" t="s">
        <v>12</v>
      </c>
      <c r="B5282" s="1" t="s">
        <v>2052</v>
      </c>
      <c r="C5282" s="1" t="s">
        <v>1932</v>
      </c>
      <c r="D5282" s="1" t="s">
        <v>1907</v>
      </c>
      <c r="H5282" s="2" t="str">
        <f>Tabella1[[#This Row],[Denominazione]]&amp;" - "&amp;Tabella1[[#This Row],[Città]]</f>
        <v>PAGNINI GILBERTO - GABICCE MARE</v>
      </c>
    </row>
    <row r="5283" spans="1:8" x14ac:dyDescent="0.25">
      <c r="A5283" s="1" t="s">
        <v>12</v>
      </c>
      <c r="B5283" s="1" t="s">
        <v>1522</v>
      </c>
      <c r="D5283" s="1" t="s">
        <v>682</v>
      </c>
      <c r="G5283" s="1" t="s">
        <v>1523</v>
      </c>
      <c r="H5283" s="2" t="str">
        <f>Tabella1[[#This Row],[Denominazione]]&amp;" - "&amp;Tabella1[[#This Row],[Città]]</f>
        <v>PAGNONI GIULIANA - FANO</v>
      </c>
    </row>
    <row r="5284" spans="1:8" x14ac:dyDescent="0.25">
      <c r="A5284" s="1" t="s">
        <v>679</v>
      </c>
      <c r="B5284" s="1" t="s">
        <v>17243</v>
      </c>
      <c r="C5284" s="1" t="s">
        <v>17244</v>
      </c>
      <c r="D5284" s="1" t="s">
        <v>15819</v>
      </c>
      <c r="H5284" s="2" t="str">
        <f>Tabella1[[#This Row],[Denominazione]]&amp;" - "&amp;Tabella1[[#This Row],[Città]]</f>
        <v>PAGODA BEACH - SAN BENEDETTO DEL TRONTO</v>
      </c>
    </row>
    <row r="5285" spans="1:8" x14ac:dyDescent="0.25">
      <c r="A5285" s="1" t="s">
        <v>20</v>
      </c>
      <c r="B5285" s="1" t="s">
        <v>8570</v>
      </c>
      <c r="C5285" s="1" t="s">
        <v>8571</v>
      </c>
      <c r="D5285" s="1" t="s">
        <v>8454</v>
      </c>
      <c r="E5285" s="1" t="s">
        <v>8454</v>
      </c>
      <c r="F5285" s="1" t="s">
        <v>8572</v>
      </c>
      <c r="G5285" s="1" t="s">
        <v>8573</v>
      </c>
      <c r="H5285" s="2" t="str">
        <f>Tabella1[[#This Row],[Denominazione]]&amp;" - "&amp;Tabella1[[#This Row],[Città]]</f>
        <v>PALACE DEL CONERO - OSIMO</v>
      </c>
    </row>
    <row r="5286" spans="1:8" x14ac:dyDescent="0.25">
      <c r="A5286" s="1" t="s">
        <v>20</v>
      </c>
      <c r="B5286" s="1" t="s">
        <v>2226</v>
      </c>
      <c r="C5286" s="1" t="s">
        <v>2227</v>
      </c>
      <c r="D5286" s="1" t="s">
        <v>1907</v>
      </c>
      <c r="E5286" s="1" t="s">
        <v>1907</v>
      </c>
      <c r="F5286" s="1" t="s">
        <v>2228</v>
      </c>
      <c r="G5286" s="1" t="s">
        <v>2229</v>
      </c>
      <c r="H5286" s="2" t="str">
        <f>Tabella1[[#This Row],[Denominazione]]&amp;" - "&amp;Tabella1[[#This Row],[Città]]</f>
        <v>PALAZZI - GABICCE MARE</v>
      </c>
    </row>
    <row r="5287" spans="1:8" x14ac:dyDescent="0.25">
      <c r="A5287" s="1" t="s">
        <v>12</v>
      </c>
      <c r="B5287" s="1" t="s">
        <v>1535</v>
      </c>
      <c r="C5287" s="1" t="s">
        <v>1536</v>
      </c>
      <c r="D5287" s="1" t="s">
        <v>682</v>
      </c>
      <c r="E5287" s="1" t="s">
        <v>1537</v>
      </c>
      <c r="G5287" s="1" t="s">
        <v>1538</v>
      </c>
      <c r="H5287" s="2" t="str">
        <f>Tabella1[[#This Row],[Denominazione]]&amp;" - "&amp;Tabella1[[#This Row],[Città]]</f>
        <v>PALAZZI FLORIANA - FANO</v>
      </c>
    </row>
    <row r="5288" spans="1:8" x14ac:dyDescent="0.25">
      <c r="A5288" s="1" t="s">
        <v>12</v>
      </c>
      <c r="B5288" s="1" t="s">
        <v>1998</v>
      </c>
      <c r="C5288" s="1" t="s">
        <v>1999</v>
      </c>
      <c r="D5288" s="1" t="s">
        <v>1907</v>
      </c>
      <c r="H5288" s="2" t="str">
        <f>Tabella1[[#This Row],[Denominazione]]&amp;" - "&amp;Tabella1[[#This Row],[Città]]</f>
        <v>PALAZZI GIUSEPPINA - GABICCE MARE</v>
      </c>
    </row>
    <row r="5289" spans="1:8" x14ac:dyDescent="0.25">
      <c r="A5289" s="1" t="s">
        <v>82</v>
      </c>
      <c r="B5289" s="1" t="s">
        <v>8912</v>
      </c>
      <c r="C5289" s="1" t="s">
        <v>8913</v>
      </c>
      <c r="D5289" s="1" t="s">
        <v>8849</v>
      </c>
      <c r="F5289" s="1" t="s">
        <v>8914</v>
      </c>
      <c r="G5289" s="1" t="s">
        <v>8915</v>
      </c>
      <c r="H5289" s="2" t="str">
        <f>Tabella1[[#This Row],[Denominazione]]&amp;" - "&amp;Tabella1[[#This Row],[Città]]</f>
        <v>PALAZZO BENTIVOGLIO - SASSOFERRATO</v>
      </c>
    </row>
    <row r="5290" spans="1:8" x14ac:dyDescent="0.25">
      <c r="A5290" s="1" t="s">
        <v>6</v>
      </c>
      <c r="B5290" s="1" t="s">
        <v>10669</v>
      </c>
      <c r="D5290" s="1" t="s">
        <v>10654</v>
      </c>
      <c r="E5290" s="1" t="s">
        <v>10670</v>
      </c>
      <c r="F5290" s="1" t="s">
        <v>10671</v>
      </c>
      <c r="G5290" s="1" t="s">
        <v>10672</v>
      </c>
      <c r="H5290" s="2" t="str">
        <f>Tabella1[[#This Row],[Denominazione]]&amp;" - "&amp;Tabella1[[#This Row],[Città]]</f>
        <v>PALAZZO BONFRANCESCHI RESIDENZA D'EPOCA - BELFORTE DEL CHIENTI</v>
      </c>
    </row>
    <row r="5291" spans="1:8" x14ac:dyDescent="0.25">
      <c r="A5291" s="1" t="s">
        <v>20</v>
      </c>
      <c r="B5291" s="1" t="s">
        <v>12453</v>
      </c>
      <c r="C5291" s="1" t="s">
        <v>12454</v>
      </c>
      <c r="D5291" s="1" t="s">
        <v>12427</v>
      </c>
      <c r="E5291" s="1" t="s">
        <v>12427</v>
      </c>
      <c r="F5291" s="1" t="s">
        <v>12455</v>
      </c>
      <c r="G5291" s="1" t="s">
        <v>12456</v>
      </c>
      <c r="H5291" s="2" t="str">
        <f>Tabella1[[#This Row],[Denominazione]]&amp;" - "&amp;Tabella1[[#This Row],[Città]]</f>
        <v>PALAZZO CARRADORI - MONTEFANO</v>
      </c>
    </row>
    <row r="5292" spans="1:8" x14ac:dyDescent="0.25">
      <c r="A5292" s="1" t="s">
        <v>20</v>
      </c>
      <c r="B5292" s="1" t="s">
        <v>14997</v>
      </c>
      <c r="C5292" s="1" t="s">
        <v>14998</v>
      </c>
      <c r="D5292" s="1" t="s">
        <v>14576</v>
      </c>
      <c r="E5292" s="1" t="s">
        <v>14582</v>
      </c>
      <c r="F5292" s="1" t="s">
        <v>14999</v>
      </c>
      <c r="G5292" s="1" t="s">
        <v>15000</v>
      </c>
      <c r="H5292" s="2" t="str">
        <f>Tabella1[[#This Row],[Denominazione]]&amp;" - "&amp;Tabella1[[#This Row],[Città]]</f>
        <v>PALAZZO DEI MERCANTI - ASCOLI PICENO</v>
      </c>
    </row>
    <row r="5293" spans="1:8" x14ac:dyDescent="0.25">
      <c r="A5293" s="1" t="s">
        <v>12</v>
      </c>
      <c r="B5293" s="1" t="s">
        <v>15280</v>
      </c>
      <c r="C5293" s="1" t="s">
        <v>15281</v>
      </c>
      <c r="D5293" s="1" t="s">
        <v>15282</v>
      </c>
      <c r="E5293" s="1" t="s">
        <v>15282</v>
      </c>
      <c r="F5293" s="1" t="s">
        <v>15283</v>
      </c>
      <c r="G5293" s="1" t="s">
        <v>15284</v>
      </c>
      <c r="H5293" s="2" t="str">
        <f>Tabella1[[#This Row],[Denominazione]]&amp;" - "&amp;Tabella1[[#This Row],[Città]]</f>
        <v>PALAZZO GALANTI - COSSIGNANO</v>
      </c>
    </row>
    <row r="5294" spans="1:8" x14ac:dyDescent="0.25">
      <c r="A5294" s="1" t="s">
        <v>6</v>
      </c>
      <c r="B5294" s="1" t="s">
        <v>13568</v>
      </c>
      <c r="C5294" s="1" t="s">
        <v>13569</v>
      </c>
      <c r="D5294" s="1" t="s">
        <v>13548</v>
      </c>
      <c r="E5294" s="1" t="s">
        <v>13548</v>
      </c>
      <c r="F5294" s="1" t="s">
        <v>13570</v>
      </c>
      <c r="G5294" s="1" t="s">
        <v>13571</v>
      </c>
      <c r="H5294" s="2" t="str">
        <f>Tabella1[[#This Row],[Denominazione]]&amp;" - "&amp;Tabella1[[#This Row],[Città]]</f>
        <v>PALAZZO GENTILI SUITES, APARTMENTS, WELLNESS &amp; SPA - SAN SEVERINO MARCHE</v>
      </c>
    </row>
    <row r="5295" spans="1:8" x14ac:dyDescent="0.25">
      <c r="A5295" s="1" t="s">
        <v>6</v>
      </c>
      <c r="B5295" s="1" t="s">
        <v>13519</v>
      </c>
      <c r="C5295" s="1" t="s">
        <v>13520</v>
      </c>
      <c r="D5295" s="1" t="s">
        <v>6072</v>
      </c>
      <c r="F5295" s="1" t="s">
        <v>13521</v>
      </c>
      <c r="G5295" s="1" t="s">
        <v>13522</v>
      </c>
      <c r="H5295" s="2" t="str">
        <f>Tabella1[[#This Row],[Denominazione]]&amp;" - "&amp;Tabella1[[#This Row],[Città]]</f>
        <v>PALAZZO MORICHELLI D'ALTEMPS - SAN GINESIO</v>
      </c>
    </row>
    <row r="5296" spans="1:8" x14ac:dyDescent="0.25">
      <c r="A5296" s="1" t="s">
        <v>20</v>
      </c>
      <c r="B5296" s="1" t="s">
        <v>15272</v>
      </c>
      <c r="C5296" s="1" t="s">
        <v>15273</v>
      </c>
      <c r="D5296" s="1" t="s">
        <v>15249</v>
      </c>
      <c r="E5296" s="1" t="s">
        <v>15249</v>
      </c>
      <c r="F5296" s="1" t="s">
        <v>15274</v>
      </c>
      <c r="G5296" s="1" t="s">
        <v>15275</v>
      </c>
      <c r="H5296" s="2" t="str">
        <f>Tabella1[[#This Row],[Denominazione]]&amp;" - "&amp;Tabella1[[#This Row],[Città]]</f>
        <v>PALAZZO PASCALI ART HOTEL - COMUNANZA</v>
      </c>
    </row>
    <row r="5297" spans="1:8" x14ac:dyDescent="0.25">
      <c r="A5297" s="1" t="s">
        <v>29</v>
      </c>
      <c r="B5297" s="1" t="s">
        <v>18339</v>
      </c>
      <c r="C5297" s="1" t="s">
        <v>18340</v>
      </c>
      <c r="D5297" s="1" t="s">
        <v>17932</v>
      </c>
      <c r="F5297" s="1" t="s">
        <v>18341</v>
      </c>
      <c r="G5297" s="1" t="s">
        <v>18342</v>
      </c>
      <c r="H5297" s="2" t="str">
        <f>Tabella1[[#This Row],[Denominazione]]&amp;" - "&amp;Tabella1[[#This Row],[Città]]</f>
        <v>PALAZZO PUCCI B&amp;B - FERMO</v>
      </c>
    </row>
    <row r="5298" spans="1:8" x14ac:dyDescent="0.25">
      <c r="A5298" s="1" t="s">
        <v>20</v>
      </c>
      <c r="B5298" s="1" t="s">
        <v>18491</v>
      </c>
      <c r="C5298" s="1" t="s">
        <v>18492</v>
      </c>
      <c r="D5298" s="1" t="s">
        <v>18489</v>
      </c>
      <c r="F5298" s="1" t="s">
        <v>18493</v>
      </c>
      <c r="G5298" s="1" t="s">
        <v>18494</v>
      </c>
      <c r="H5298" s="2" t="str">
        <f>Tabella1[[#This Row],[Denominazione]]&amp;" - "&amp;Tabella1[[#This Row],[Città]]</f>
        <v>PALAZZO RICCUCCI - MONTAPPONE</v>
      </c>
    </row>
    <row r="5299" spans="1:8" x14ac:dyDescent="0.25">
      <c r="A5299" s="1" t="s">
        <v>6</v>
      </c>
      <c r="B5299" s="1" t="s">
        <v>1589</v>
      </c>
      <c r="C5299" s="1" t="s">
        <v>1590</v>
      </c>
      <c r="D5299" s="1" t="s">
        <v>682</v>
      </c>
      <c r="F5299" s="1" t="s">
        <v>1591</v>
      </c>
      <c r="G5299" s="1" t="s">
        <v>1592</v>
      </c>
      <c r="H5299" s="2" t="str">
        <f>Tabella1[[#This Row],[Denominazione]]&amp;" - "&amp;Tabella1[[#This Row],[Città]]</f>
        <v>PALAZZO ROTATI - FANO</v>
      </c>
    </row>
    <row r="5300" spans="1:8" x14ac:dyDescent="0.25">
      <c r="A5300" s="1" t="s">
        <v>20</v>
      </c>
      <c r="B5300" s="1" t="s">
        <v>6293</v>
      </c>
      <c r="C5300" s="1" t="s">
        <v>6294</v>
      </c>
      <c r="D5300" s="1" t="s">
        <v>6290</v>
      </c>
      <c r="F5300" s="1" t="s">
        <v>6295</v>
      </c>
      <c r="G5300" s="1" t="s">
        <v>6296</v>
      </c>
      <c r="H5300" s="2" t="str">
        <f>Tabella1[[#This Row],[Denominazione]]&amp;" - "&amp;Tabella1[[#This Row],[Città]]</f>
        <v>PALAZZO RUSCHIONI - CAMERANO</v>
      </c>
    </row>
    <row r="5301" spans="1:8" x14ac:dyDescent="0.25">
      <c r="A5301" s="1" t="s">
        <v>6</v>
      </c>
      <c r="B5301" s="1" t="s">
        <v>11020</v>
      </c>
      <c r="C5301" s="1" t="s">
        <v>11021</v>
      </c>
      <c r="D5301" s="1" t="s">
        <v>11022</v>
      </c>
      <c r="E5301" s="1" t="s">
        <v>11022</v>
      </c>
      <c r="F5301" s="1" t="s">
        <v>11023</v>
      </c>
      <c r="G5301" s="1" t="s">
        <v>11024</v>
      </c>
      <c r="H5301" s="2" t="str">
        <f>Tabella1[[#This Row],[Denominazione]]&amp;" - "&amp;Tabella1[[#This Row],[Città]]</f>
        <v>PALAZZO SIMONELLI - CESSAPALOMBO</v>
      </c>
    </row>
    <row r="5302" spans="1:8" x14ac:dyDescent="0.25">
      <c r="A5302" s="1" t="s">
        <v>679</v>
      </c>
      <c r="B5302" s="1" t="s">
        <v>951</v>
      </c>
      <c r="C5302" s="1" t="s">
        <v>952</v>
      </c>
      <c r="D5302" s="1" t="s">
        <v>682</v>
      </c>
      <c r="E5302" s="1" t="s">
        <v>682</v>
      </c>
      <c r="H5302" s="2" t="str">
        <f>Tabella1[[#This Row],[Denominazione]]&amp;" - "&amp;Tabella1[[#This Row],[Città]]</f>
        <v>PALM BEACH - FANO</v>
      </c>
    </row>
    <row r="5303" spans="1:8" x14ac:dyDescent="0.25">
      <c r="A5303" s="1" t="s">
        <v>679</v>
      </c>
      <c r="B5303" s="1" t="s">
        <v>951</v>
      </c>
      <c r="D5303" s="1" t="s">
        <v>12801</v>
      </c>
      <c r="E5303" s="1" t="s">
        <v>12801</v>
      </c>
      <c r="H5303" s="2" t="str">
        <f>Tabella1[[#This Row],[Denominazione]]&amp;" - "&amp;Tabella1[[#This Row],[Città]]</f>
        <v>PALM BEACH - PORTO RECANATI</v>
      </c>
    </row>
    <row r="5304" spans="1:8" x14ac:dyDescent="0.25">
      <c r="A5304" s="1" t="s">
        <v>20</v>
      </c>
      <c r="B5304" s="1" t="s">
        <v>17971</v>
      </c>
      <c r="C5304" s="1" t="s">
        <v>17972</v>
      </c>
      <c r="D5304" s="1" t="s">
        <v>17932</v>
      </c>
      <c r="E5304" s="1" t="s">
        <v>17932</v>
      </c>
      <c r="G5304" s="1" t="s">
        <v>17973</v>
      </c>
      <c r="H5304" s="2" t="str">
        <f>Tabella1[[#This Row],[Denominazione]]&amp;" - "&amp;Tabella1[[#This Row],[Città]]</f>
        <v>PALMENSIS HOTEL RESIDENCE - FERMO</v>
      </c>
    </row>
    <row r="5305" spans="1:8" x14ac:dyDescent="0.25">
      <c r="A5305" s="1" t="s">
        <v>12</v>
      </c>
      <c r="B5305" s="1" t="s">
        <v>13081</v>
      </c>
      <c r="C5305" s="1" t="s">
        <v>13082</v>
      </c>
      <c r="D5305" s="1" t="s">
        <v>13026</v>
      </c>
      <c r="E5305" s="1" t="s">
        <v>13026</v>
      </c>
      <c r="H5305" s="2" t="str">
        <f>Tabella1[[#This Row],[Denominazione]]&amp;" - "&amp;Tabella1[[#This Row],[Città]]</f>
        <v>PALMIERI MANILA - POTENZA PICENA</v>
      </c>
    </row>
    <row r="5306" spans="1:8" x14ac:dyDescent="0.25">
      <c r="A5306" s="1" t="s">
        <v>35</v>
      </c>
      <c r="B5306" s="1" t="s">
        <v>9655</v>
      </c>
      <c r="C5306" s="1" t="s">
        <v>9656</v>
      </c>
      <c r="D5306" s="1" t="s">
        <v>8949</v>
      </c>
      <c r="E5306" s="1" t="s">
        <v>9027</v>
      </c>
      <c r="G5306" s="1" t="s">
        <v>9657</v>
      </c>
      <c r="H5306" s="2" t="str">
        <f>Tabella1[[#This Row],[Denominazione]]&amp;" - "&amp;Tabella1[[#This Row],[Città]]</f>
        <v>PANCOTTI ALESSANDRO - SENIGALLIA</v>
      </c>
    </row>
    <row r="5307" spans="1:8" x14ac:dyDescent="0.25">
      <c r="A5307" s="1" t="s">
        <v>12</v>
      </c>
      <c r="B5307" s="1" t="s">
        <v>9189</v>
      </c>
      <c r="C5307" s="1" t="s">
        <v>9190</v>
      </c>
      <c r="D5307" s="1" t="s">
        <v>8949</v>
      </c>
      <c r="E5307" s="1" t="s">
        <v>8949</v>
      </c>
      <c r="G5307" s="1" t="s">
        <v>9191</v>
      </c>
      <c r="H5307" s="2" t="str">
        <f>Tabella1[[#This Row],[Denominazione]]&amp;" - "&amp;Tabella1[[#This Row],[Città]]</f>
        <v>PANCOTTI LUCA - SENIGALLIA</v>
      </c>
    </row>
    <row r="5308" spans="1:8" x14ac:dyDescent="0.25">
      <c r="A5308" s="1" t="s">
        <v>12</v>
      </c>
      <c r="B5308" s="1" t="s">
        <v>16850</v>
      </c>
      <c r="C5308" s="1" t="s">
        <v>16851</v>
      </c>
      <c r="D5308" s="1" t="s">
        <v>15819</v>
      </c>
      <c r="E5308" s="1" t="s">
        <v>16852</v>
      </c>
      <c r="G5308" s="1" t="s">
        <v>16853</v>
      </c>
      <c r="H5308" s="2" t="str">
        <f>Tabella1[[#This Row],[Denominazione]]&amp;" - "&amp;Tabella1[[#This Row],[Città]]</f>
        <v>PANELLA GIANLUCA - SAN BENEDETTO DEL TRONTO</v>
      </c>
    </row>
    <row r="5309" spans="1:8" x14ac:dyDescent="0.25">
      <c r="A5309" s="1" t="s">
        <v>12</v>
      </c>
      <c r="B5309" s="1" t="s">
        <v>13100</v>
      </c>
      <c r="C5309" s="1" t="s">
        <v>13101</v>
      </c>
      <c r="D5309" s="1" t="s">
        <v>13026</v>
      </c>
      <c r="G5309" s="1" t="s">
        <v>13102</v>
      </c>
      <c r="H5309" s="2" t="str">
        <f>Tabella1[[#This Row],[Denominazione]]&amp;" - "&amp;Tabella1[[#This Row],[Città]]</f>
        <v>PANICONI PIERLUIGI - POTENZA PICENA</v>
      </c>
    </row>
    <row r="5310" spans="1:8" x14ac:dyDescent="0.25">
      <c r="A5310" s="1" t="s">
        <v>571</v>
      </c>
      <c r="B5310" s="1" t="s">
        <v>3761</v>
      </c>
      <c r="C5310" s="1" t="s">
        <v>3762</v>
      </c>
      <c r="D5310" s="1" t="s">
        <v>2386</v>
      </c>
      <c r="E5310" s="1" t="s">
        <v>2386</v>
      </c>
      <c r="F5310" s="1" t="s">
        <v>3763</v>
      </c>
      <c r="G5310" s="1" t="s">
        <v>3764</v>
      </c>
      <c r="H5310" s="2" t="str">
        <f>Tabella1[[#This Row],[Denominazione]]&amp;" - "&amp;Tabella1[[#This Row],[Città]]</f>
        <v>PANORAMA - PESARO</v>
      </c>
    </row>
    <row r="5311" spans="1:8" x14ac:dyDescent="0.25">
      <c r="A5311" s="1" t="s">
        <v>20</v>
      </c>
      <c r="B5311" s="1" t="s">
        <v>3761</v>
      </c>
      <c r="C5311" s="1" t="s">
        <v>10969</v>
      </c>
      <c r="D5311" s="1" t="s">
        <v>10932</v>
      </c>
      <c r="E5311" s="1" t="s">
        <v>10970</v>
      </c>
      <c r="G5311" s="1" t="s">
        <v>10971</v>
      </c>
      <c r="H5311" s="2" t="str">
        <f>Tabella1[[#This Row],[Denominazione]]&amp;" - "&amp;Tabella1[[#This Row],[Città]]</f>
        <v>PANORAMA - CASTELRAIMONDO</v>
      </c>
    </row>
    <row r="5312" spans="1:8" x14ac:dyDescent="0.25">
      <c r="A5312" s="1" t="s">
        <v>679</v>
      </c>
      <c r="B5312" s="1" t="s">
        <v>12830</v>
      </c>
      <c r="D5312" s="1" t="s">
        <v>12801</v>
      </c>
      <c r="H5312" s="2" t="str">
        <f>Tabella1[[#This Row],[Denominazione]]&amp;" - "&amp;Tabella1[[#This Row],[Città]]</f>
        <v>PAOLA - PORTO RECANATI</v>
      </c>
    </row>
    <row r="5313" spans="1:8" x14ac:dyDescent="0.25">
      <c r="A5313" s="1" t="s">
        <v>12</v>
      </c>
      <c r="B5313" s="1" t="s">
        <v>8353</v>
      </c>
      <c r="C5313" s="1" t="s">
        <v>8354</v>
      </c>
      <c r="D5313" s="1" t="s">
        <v>7889</v>
      </c>
      <c r="G5313" s="1" t="s">
        <v>8355</v>
      </c>
      <c r="H5313" s="2" t="str">
        <f>Tabella1[[#This Row],[Denominazione]]&amp;" - "&amp;Tabella1[[#This Row],[Città]]</f>
        <v>PAOLA FRONTINI - NUMANA</v>
      </c>
    </row>
    <row r="5314" spans="1:8" x14ac:dyDescent="0.25">
      <c r="A5314" s="1" t="s">
        <v>12</v>
      </c>
      <c r="B5314" s="1" t="s">
        <v>1553</v>
      </c>
      <c r="C5314" s="1" t="s">
        <v>1554</v>
      </c>
      <c r="D5314" s="1" t="s">
        <v>682</v>
      </c>
      <c r="G5314" s="1" t="s">
        <v>1550</v>
      </c>
      <c r="H5314" s="2" t="str">
        <f>Tabella1[[#This Row],[Denominazione]]&amp;" - "&amp;Tabella1[[#This Row],[Città]]</f>
        <v>PAOLETTI MAURA - FANO</v>
      </c>
    </row>
    <row r="5315" spans="1:8" x14ac:dyDescent="0.25">
      <c r="A5315" s="1" t="s">
        <v>679</v>
      </c>
      <c r="B5315" s="1" t="s">
        <v>2822</v>
      </c>
      <c r="C5315" s="1" t="s">
        <v>2811</v>
      </c>
      <c r="D5315" s="1" t="s">
        <v>1605</v>
      </c>
      <c r="E5315" s="1" t="s">
        <v>1456</v>
      </c>
      <c r="H5315" s="2" t="str">
        <f>Tabella1[[#This Row],[Denominazione]]&amp;" - "&amp;Tabella1[[#This Row],[Città]]</f>
        <v>PAOLINELLI MICHELE - MONDOLFO</v>
      </c>
    </row>
    <row r="5316" spans="1:8" x14ac:dyDescent="0.25">
      <c r="A5316" s="1" t="s">
        <v>12</v>
      </c>
      <c r="B5316" s="1" t="s">
        <v>314</v>
      </c>
      <c r="C5316" s="1" t="s">
        <v>315</v>
      </c>
      <c r="D5316" s="1" t="s">
        <v>316</v>
      </c>
      <c r="H5316" s="2" t="str">
        <f>Tabella1[[#This Row],[Denominazione]]&amp;" - "&amp;Tabella1[[#This Row],[Città]]</f>
        <v>PAOLO CANGINI - CAGLI</v>
      </c>
    </row>
    <row r="5317" spans="1:8" x14ac:dyDescent="0.25">
      <c r="A5317" s="1" t="s">
        <v>12</v>
      </c>
      <c r="B5317" s="1" t="s">
        <v>13925</v>
      </c>
      <c r="C5317" s="1" t="s">
        <v>13926</v>
      </c>
      <c r="D5317" s="1" t="s">
        <v>13894</v>
      </c>
      <c r="G5317" s="1" t="s">
        <v>13927</v>
      </c>
      <c r="H5317" s="2" t="str">
        <f>Tabella1[[#This Row],[Denominazione]]&amp;" - "&amp;Tabella1[[#This Row],[Città]]</f>
        <v>PAOLO TALLEI - SERRAPETRONA</v>
      </c>
    </row>
    <row r="5318" spans="1:8" x14ac:dyDescent="0.25">
      <c r="A5318" s="1" t="s">
        <v>82</v>
      </c>
      <c r="B5318" s="1" t="s">
        <v>5203</v>
      </c>
      <c r="C5318" s="1" t="s">
        <v>5204</v>
      </c>
      <c r="D5318" s="1" t="s">
        <v>9</v>
      </c>
      <c r="E5318" s="1" t="s">
        <v>9</v>
      </c>
      <c r="H5318" s="2" t="str">
        <f>Tabella1[[#This Row],[Denominazione]]&amp;" - "&amp;Tabella1[[#This Row],[Città]]</f>
        <v>PAOLUCCI ENZO - URBINO</v>
      </c>
    </row>
    <row r="5319" spans="1:8" x14ac:dyDescent="0.25">
      <c r="A5319" s="1" t="s">
        <v>12</v>
      </c>
      <c r="B5319" s="1" t="s">
        <v>3577</v>
      </c>
      <c r="C5319" s="1" t="s">
        <v>3578</v>
      </c>
      <c r="D5319" s="1" t="s">
        <v>2386</v>
      </c>
      <c r="E5319" s="1" t="s">
        <v>2386</v>
      </c>
      <c r="G5319" s="1" t="s">
        <v>3555</v>
      </c>
      <c r="H5319" s="2" t="str">
        <f>Tabella1[[#This Row],[Denominazione]]&amp;" - "&amp;Tabella1[[#This Row],[Città]]</f>
        <v>PAONE MARCO - PESARO</v>
      </c>
    </row>
    <row r="5320" spans="1:8" x14ac:dyDescent="0.25">
      <c r="A5320" s="1" t="s">
        <v>679</v>
      </c>
      <c r="B5320" s="1" t="s">
        <v>15421</v>
      </c>
      <c r="C5320" s="1" t="s">
        <v>15419</v>
      </c>
      <c r="D5320" s="1" t="s">
        <v>15349</v>
      </c>
      <c r="E5320" s="1" t="s">
        <v>15349</v>
      </c>
      <c r="F5320" s="1" t="s">
        <v>15422</v>
      </c>
      <c r="H5320" s="2" t="str">
        <f>Tabella1[[#This Row],[Denominazione]]&amp;" - "&amp;Tabella1[[#This Row],[Città]]</f>
        <v>PAPA ORSO - CUPRA MARITTIMA</v>
      </c>
    </row>
    <row r="5321" spans="1:8" x14ac:dyDescent="0.25">
      <c r="A5321" s="1" t="s">
        <v>12</v>
      </c>
      <c r="B5321" s="1" t="s">
        <v>2874</v>
      </c>
      <c r="C5321" s="1" t="s">
        <v>2875</v>
      </c>
      <c r="D5321" s="1" t="s">
        <v>1605</v>
      </c>
      <c r="E5321" s="1" t="s">
        <v>1605</v>
      </c>
      <c r="H5321" s="2" t="str">
        <f>Tabella1[[#This Row],[Denominazione]]&amp;" - "&amp;Tabella1[[#This Row],[Città]]</f>
        <v>PAPINI PAPI ORNELLA - MONDOLFO</v>
      </c>
    </row>
    <row r="5322" spans="1:8" x14ac:dyDescent="0.25">
      <c r="A5322" s="1" t="s">
        <v>20</v>
      </c>
      <c r="B5322" s="1" t="s">
        <v>1136</v>
      </c>
      <c r="C5322" s="1" t="s">
        <v>1137</v>
      </c>
      <c r="D5322" s="1" t="s">
        <v>682</v>
      </c>
      <c r="E5322" s="1" t="s">
        <v>682</v>
      </c>
      <c r="F5322" s="1" t="s">
        <v>1138</v>
      </c>
      <c r="G5322" s="1" t="s">
        <v>1139</v>
      </c>
      <c r="H5322" s="2" t="str">
        <f>Tabella1[[#This Row],[Denominazione]]&amp;" - "&amp;Tabella1[[#This Row],[Città]]</f>
        <v>PARADISE - FANO</v>
      </c>
    </row>
    <row r="5323" spans="1:8" x14ac:dyDescent="0.25">
      <c r="A5323" s="1" t="s">
        <v>20</v>
      </c>
      <c r="B5323" s="1" t="s">
        <v>1136</v>
      </c>
      <c r="C5323" s="1" t="s">
        <v>12807</v>
      </c>
      <c r="D5323" s="1" t="s">
        <v>12801</v>
      </c>
      <c r="E5323" s="1" t="s">
        <v>12801</v>
      </c>
      <c r="F5323" s="1" t="s">
        <v>12808</v>
      </c>
      <c r="G5323" s="1" t="s">
        <v>12809</v>
      </c>
      <c r="H5323" s="2" t="str">
        <f>Tabella1[[#This Row],[Denominazione]]&amp;" - "&amp;Tabella1[[#This Row],[Città]]</f>
        <v>PARADISE - PORTO RECANATI</v>
      </c>
    </row>
    <row r="5324" spans="1:8" x14ac:dyDescent="0.25">
      <c r="A5324" s="1" t="s">
        <v>571</v>
      </c>
      <c r="B5324" s="1" t="s">
        <v>1136</v>
      </c>
      <c r="C5324" s="1" t="s">
        <v>12870</v>
      </c>
      <c r="D5324" s="1" t="s">
        <v>12801</v>
      </c>
      <c r="E5324" s="1" t="s">
        <v>12801</v>
      </c>
      <c r="F5324" s="1" t="s">
        <v>12871</v>
      </c>
      <c r="G5324" s="1" t="s">
        <v>12809</v>
      </c>
      <c r="H5324" s="2" t="str">
        <f>Tabella1[[#This Row],[Denominazione]]&amp;" - "&amp;Tabella1[[#This Row],[Città]]</f>
        <v>PARADISE - PORTO RECANATI</v>
      </c>
    </row>
    <row r="5325" spans="1:8" x14ac:dyDescent="0.25">
      <c r="A5325" s="1" t="s">
        <v>679</v>
      </c>
      <c r="B5325" s="1" t="s">
        <v>18094</v>
      </c>
      <c r="C5325" s="1" t="s">
        <v>18081</v>
      </c>
      <c r="D5325" s="1" t="s">
        <v>17932</v>
      </c>
      <c r="E5325" s="1" t="s">
        <v>18082</v>
      </c>
      <c r="H5325" s="2" t="str">
        <f>Tabella1[[#This Row],[Denominazione]]&amp;" - "&amp;Tabella1[[#This Row],[Città]]</f>
        <v>PARADISE BEACH - FERMO</v>
      </c>
    </row>
    <row r="5326" spans="1:8" x14ac:dyDescent="0.25">
      <c r="A5326" s="1" t="s">
        <v>679</v>
      </c>
      <c r="B5326" s="1" t="s">
        <v>3866</v>
      </c>
      <c r="C5326" s="1" t="s">
        <v>3867</v>
      </c>
      <c r="D5326" s="1" t="s">
        <v>2386</v>
      </c>
      <c r="E5326" s="1" t="s">
        <v>2386</v>
      </c>
      <c r="H5326" s="2" t="str">
        <f>Tabella1[[#This Row],[Denominazione]]&amp;" - "&amp;Tabella1[[#This Row],[Città]]</f>
        <v>PARADISE BEACH N 20 - PESARO</v>
      </c>
    </row>
    <row r="5327" spans="1:8" x14ac:dyDescent="0.25">
      <c r="A5327" s="1" t="s">
        <v>571</v>
      </c>
      <c r="B5327" s="1" t="s">
        <v>588</v>
      </c>
      <c r="C5327" s="1" t="s">
        <v>589</v>
      </c>
      <c r="D5327" s="1" t="s">
        <v>579</v>
      </c>
      <c r="E5327" s="1" t="s">
        <v>579</v>
      </c>
      <c r="F5327" s="1" t="s">
        <v>590</v>
      </c>
      <c r="G5327" s="1" t="s">
        <v>591</v>
      </c>
      <c r="H5327" s="2" t="str">
        <f>Tabella1[[#This Row],[Denominazione]]&amp;" - "&amp;Tabella1[[#This Row],[Città]]</f>
        <v>PARADISO - CARPEGNA</v>
      </c>
    </row>
    <row r="5328" spans="1:8" x14ac:dyDescent="0.25">
      <c r="A5328" s="1" t="s">
        <v>571</v>
      </c>
      <c r="B5328" s="1" t="s">
        <v>588</v>
      </c>
      <c r="C5328" s="1" t="s">
        <v>3769</v>
      </c>
      <c r="D5328" s="1" t="s">
        <v>2386</v>
      </c>
      <c r="E5328" s="1" t="s">
        <v>2386</v>
      </c>
      <c r="F5328" s="1" t="s">
        <v>3770</v>
      </c>
      <c r="G5328" s="1" t="s">
        <v>3771</v>
      </c>
      <c r="H5328" s="2" t="str">
        <f>Tabella1[[#This Row],[Denominazione]]&amp;" - "&amp;Tabella1[[#This Row],[Città]]</f>
        <v>PARADISO - PESARO</v>
      </c>
    </row>
    <row r="5329" spans="1:8" x14ac:dyDescent="0.25">
      <c r="A5329" s="1" t="s">
        <v>20</v>
      </c>
      <c r="B5329" s="1" t="s">
        <v>588</v>
      </c>
      <c r="C5329" s="1" t="s">
        <v>15762</v>
      </c>
      <c r="D5329" s="1" t="s">
        <v>15585</v>
      </c>
      <c r="E5329" s="1" t="s">
        <v>15585</v>
      </c>
      <c r="F5329" s="1" t="s">
        <v>15726</v>
      </c>
      <c r="G5329" s="1" t="s">
        <v>15763</v>
      </c>
      <c r="H5329" s="2" t="str">
        <f>Tabella1[[#This Row],[Denominazione]]&amp;" - "&amp;Tabella1[[#This Row],[Città]]</f>
        <v>PARADISO - GROTTAMMARE</v>
      </c>
    </row>
    <row r="5330" spans="1:8" x14ac:dyDescent="0.25">
      <c r="A5330" s="1" t="s">
        <v>6092</v>
      </c>
      <c r="B5330" s="1" t="s">
        <v>588</v>
      </c>
      <c r="C5330" s="1" t="s">
        <v>18136</v>
      </c>
      <c r="D5330" s="1" t="s">
        <v>17932</v>
      </c>
      <c r="E5330" s="1" t="s">
        <v>17932</v>
      </c>
      <c r="F5330" s="1" t="s">
        <v>18137</v>
      </c>
      <c r="G5330" s="1" t="s">
        <v>18138</v>
      </c>
      <c r="H5330" s="2" t="str">
        <f>Tabella1[[#This Row],[Denominazione]]&amp;" - "&amp;Tabella1[[#This Row],[Città]]</f>
        <v>PARADISO - FERMO</v>
      </c>
    </row>
    <row r="5331" spans="1:8" x14ac:dyDescent="0.25">
      <c r="A5331" s="1" t="s">
        <v>20</v>
      </c>
      <c r="B5331" s="1" t="s">
        <v>17544</v>
      </c>
      <c r="C5331" s="1" t="s">
        <v>17545</v>
      </c>
      <c r="D5331" s="1" t="s">
        <v>15819</v>
      </c>
      <c r="E5331" s="1" t="s">
        <v>15819</v>
      </c>
      <c r="F5331" s="1" t="s">
        <v>17546</v>
      </c>
      <c r="G5331" s="1" t="s">
        <v>17547</v>
      </c>
      <c r="H5331" s="2" t="str">
        <f>Tabella1[[#This Row],[Denominazione]]&amp;" - "&amp;Tabella1[[#This Row],[Città]]</f>
        <v>PARCO - SAN BENEDETTO DEL TRONTO</v>
      </c>
    </row>
    <row r="5332" spans="1:8" x14ac:dyDescent="0.25">
      <c r="A5332" s="1" t="s">
        <v>679</v>
      </c>
      <c r="B5332" s="1" t="s">
        <v>15920</v>
      </c>
      <c r="C5332" s="1" t="s">
        <v>15818</v>
      </c>
      <c r="D5332" s="1" t="s">
        <v>15585</v>
      </c>
      <c r="H5332" s="2" t="str">
        <f>Tabella1[[#This Row],[Denominazione]]&amp;" - "&amp;Tabella1[[#This Row],[Città]]</f>
        <v>PARCO DEI PRINCIPI - GROTTAMMARE</v>
      </c>
    </row>
    <row r="5333" spans="1:8" x14ac:dyDescent="0.25">
      <c r="A5333" s="1" t="s">
        <v>6</v>
      </c>
      <c r="B5333" s="1" t="s">
        <v>15549</v>
      </c>
      <c r="C5333" s="1" t="s">
        <v>15550</v>
      </c>
      <c r="D5333" s="1" t="s">
        <v>15546</v>
      </c>
      <c r="E5333" s="1" t="s">
        <v>15546</v>
      </c>
      <c r="F5333" s="1" t="s">
        <v>15551</v>
      </c>
      <c r="G5333" s="1" t="s">
        <v>15552</v>
      </c>
      <c r="H5333" s="2" t="str">
        <f>Tabella1[[#This Row],[Denominazione]]&amp;" - "&amp;Tabella1[[#This Row],[Città]]</f>
        <v>PARCO DEI TIGLI - FOLIGNANO</v>
      </c>
    </row>
    <row r="5334" spans="1:8" x14ac:dyDescent="0.25">
      <c r="A5334" s="1" t="s">
        <v>20</v>
      </c>
      <c r="B5334" s="1" t="s">
        <v>3094</v>
      </c>
      <c r="C5334" s="1" t="s">
        <v>3091</v>
      </c>
      <c r="D5334" s="1" t="s">
        <v>3067</v>
      </c>
      <c r="E5334" s="1" t="s">
        <v>3067</v>
      </c>
      <c r="F5334" s="1" t="s">
        <v>3092</v>
      </c>
      <c r="G5334" s="1" t="s">
        <v>3093</v>
      </c>
      <c r="H5334" s="2" t="str">
        <f>Tabella1[[#This Row],[Denominazione]]&amp;" - "&amp;Tabella1[[#This Row],[Città]]</f>
        <v>PARCO DEL LAGO - MONTECOPIOLO</v>
      </c>
    </row>
    <row r="5335" spans="1:8" x14ac:dyDescent="0.25">
      <c r="A5335" s="1" t="s">
        <v>20</v>
      </c>
      <c r="B5335" s="1" t="s">
        <v>3090</v>
      </c>
      <c r="C5335" s="1" t="s">
        <v>3091</v>
      </c>
      <c r="D5335" s="1" t="s">
        <v>3067</v>
      </c>
      <c r="E5335" s="1" t="s">
        <v>3067</v>
      </c>
      <c r="F5335" s="1" t="s">
        <v>3092</v>
      </c>
      <c r="G5335" s="1" t="s">
        <v>3093</v>
      </c>
      <c r="H5335" s="2" t="str">
        <f>Tabella1[[#This Row],[Denominazione]]&amp;" - "&amp;Tabella1[[#This Row],[Città]]</f>
        <v>PARCO DEL LAGO DIPENDENZA - MONTECOPIOLO</v>
      </c>
    </row>
    <row r="5336" spans="1:8" x14ac:dyDescent="0.25">
      <c r="A5336" s="1" t="s">
        <v>6</v>
      </c>
      <c r="B5336" s="1" t="s">
        <v>4788</v>
      </c>
      <c r="D5336" s="1" t="s">
        <v>4735</v>
      </c>
      <c r="E5336" s="1" t="s">
        <v>4789</v>
      </c>
      <c r="F5336" s="1" t="s">
        <v>4790</v>
      </c>
      <c r="G5336" s="1" t="s">
        <v>4791</v>
      </c>
      <c r="H5336" s="2" t="str">
        <f>Tabella1[[#This Row],[Denominazione]]&amp;" - "&amp;Tabella1[[#This Row],[Città]]</f>
        <v>PARCO DUCALE - URBANIA</v>
      </c>
    </row>
    <row r="5337" spans="1:8" x14ac:dyDescent="0.25">
      <c r="A5337" s="1" t="s">
        <v>88</v>
      </c>
      <c r="B5337" s="1" t="s">
        <v>12479</v>
      </c>
      <c r="D5337" s="1" t="s">
        <v>12459</v>
      </c>
      <c r="E5337" s="1" t="s">
        <v>12480</v>
      </c>
      <c r="H5337" s="2" t="str">
        <f>Tabella1[[#This Row],[Denominazione]]&amp;" - "&amp;Tabella1[[#This Row],[Città]]</f>
        <v>PARCO ELEUTERI - MONTELUPONE</v>
      </c>
    </row>
    <row r="5338" spans="1:8" x14ac:dyDescent="0.25">
      <c r="A5338" s="1" t="s">
        <v>35</v>
      </c>
      <c r="B5338" s="1" t="s">
        <v>18985</v>
      </c>
      <c r="D5338" s="1" t="s">
        <v>18971</v>
      </c>
      <c r="F5338" s="1" t="s">
        <v>18986</v>
      </c>
      <c r="G5338" s="1" t="s">
        <v>18987</v>
      </c>
      <c r="H5338" s="2" t="str">
        <f>Tabella1[[#This Row],[Denominazione]]&amp;" - "&amp;Tabella1[[#This Row],[Città]]</f>
        <v>PARCO GALEANO - PETRITOLI</v>
      </c>
    </row>
    <row r="5339" spans="1:8" x14ac:dyDescent="0.25">
      <c r="A5339" s="1" t="s">
        <v>20</v>
      </c>
      <c r="B5339" s="1" t="s">
        <v>12789</v>
      </c>
      <c r="C5339" s="1" t="s">
        <v>12790</v>
      </c>
      <c r="D5339" s="1" t="s">
        <v>12772</v>
      </c>
      <c r="E5339" s="1" t="s">
        <v>12772</v>
      </c>
      <c r="F5339" s="1" t="s">
        <v>12791</v>
      </c>
      <c r="G5339" s="1" t="s">
        <v>12792</v>
      </c>
      <c r="H5339" s="2" t="str">
        <f>Tabella1[[#This Row],[Denominazione]]&amp;" - "&amp;Tabella1[[#This Row],[Città]]</f>
        <v>PARCO HOTEL - POLLENZA</v>
      </c>
    </row>
    <row r="5340" spans="1:8" x14ac:dyDescent="0.25">
      <c r="A5340" s="1" t="s">
        <v>20</v>
      </c>
      <c r="B5340" s="1" t="s">
        <v>2331</v>
      </c>
      <c r="C5340" s="1" t="s">
        <v>2332</v>
      </c>
      <c r="D5340" s="1" t="s">
        <v>1907</v>
      </c>
      <c r="E5340" s="1" t="s">
        <v>1907</v>
      </c>
      <c r="F5340" s="1" t="s">
        <v>2333</v>
      </c>
      <c r="H5340" s="2" t="str">
        <f>Tabella1[[#This Row],[Denominazione]]&amp;" - "&amp;Tabella1[[#This Row],[Città]]</f>
        <v>PARIS MEUBLE' GARNI' - GABICCE MARE</v>
      </c>
    </row>
    <row r="5341" spans="1:8" x14ac:dyDescent="0.25">
      <c r="A5341" s="1" t="s">
        <v>20</v>
      </c>
      <c r="B5341" s="1" t="s">
        <v>6187</v>
      </c>
      <c r="C5341" s="1" t="s">
        <v>6188</v>
      </c>
      <c r="D5341" s="1" t="s">
        <v>6049</v>
      </c>
      <c r="E5341" s="1" t="s">
        <v>6049</v>
      </c>
      <c r="F5341" s="1" t="s">
        <v>6189</v>
      </c>
      <c r="G5341" s="1" t="s">
        <v>6190</v>
      </c>
      <c r="H5341" s="2" t="str">
        <f>Tabella1[[#This Row],[Denominazione]]&amp;" - "&amp;Tabella1[[#This Row],[Città]]</f>
        <v>PARK HOTEL ARCEVIA - ARCEVIA</v>
      </c>
    </row>
    <row r="5342" spans="1:8" x14ac:dyDescent="0.25">
      <c r="A5342" s="1" t="s">
        <v>12</v>
      </c>
      <c r="B5342" s="1" t="s">
        <v>14897</v>
      </c>
      <c r="C5342" s="1" t="s">
        <v>14898</v>
      </c>
      <c r="D5342" s="1" t="s">
        <v>14576</v>
      </c>
      <c r="E5342" s="1" t="s">
        <v>14899</v>
      </c>
      <c r="F5342" s="1" t="s">
        <v>14900</v>
      </c>
      <c r="G5342" s="1" t="s">
        <v>14901</v>
      </c>
      <c r="H5342" s="2" t="str">
        <f>Tabella1[[#This Row],[Denominazione]]&amp;" - "&amp;Tabella1[[#This Row],[Città]]</f>
        <v>PARNASO - ASCOLI PICENO</v>
      </c>
    </row>
    <row r="5343" spans="1:8" x14ac:dyDescent="0.25">
      <c r="A5343" s="1" t="s">
        <v>82</v>
      </c>
      <c r="B5343" s="1" t="s">
        <v>5209</v>
      </c>
      <c r="C5343" s="1" t="s">
        <v>5210</v>
      </c>
      <c r="D5343" s="1" t="s">
        <v>9</v>
      </c>
      <c r="E5343" s="1" t="s">
        <v>9</v>
      </c>
      <c r="H5343" s="2" t="str">
        <f>Tabella1[[#This Row],[Denominazione]]&amp;" - "&amp;Tabella1[[#This Row],[Città]]</f>
        <v>PAROLO CARLA AURELIA - URBINO</v>
      </c>
    </row>
    <row r="5344" spans="1:8" x14ac:dyDescent="0.25">
      <c r="A5344" s="1" t="s">
        <v>12</v>
      </c>
      <c r="B5344" s="1" t="s">
        <v>17939</v>
      </c>
      <c r="C5344" s="1" t="s">
        <v>17940</v>
      </c>
      <c r="D5344" s="1" t="s">
        <v>17932</v>
      </c>
      <c r="G5344" s="1" t="s">
        <v>17941</v>
      </c>
      <c r="H5344" s="2" t="str">
        <f>Tabella1[[#This Row],[Denominazione]]&amp;" - "&amp;Tabella1[[#This Row],[Città]]</f>
        <v>PASCALI TEA - FERMO</v>
      </c>
    </row>
    <row r="5345" spans="1:8" x14ac:dyDescent="0.25">
      <c r="A5345" s="1" t="s">
        <v>12</v>
      </c>
      <c r="B5345" s="1" t="s">
        <v>13125</v>
      </c>
      <c r="C5345" s="1" t="s">
        <v>13126</v>
      </c>
      <c r="D5345" s="1" t="s">
        <v>13026</v>
      </c>
      <c r="F5345" s="1" t="s">
        <v>13127</v>
      </c>
      <c r="G5345" s="1" t="s">
        <v>13128</v>
      </c>
      <c r="H5345" s="2" t="str">
        <f>Tabella1[[#This Row],[Denominazione]]&amp;" - "&amp;Tabella1[[#This Row],[Città]]</f>
        <v>PASQUALI ENZO - POTENZA PICENA</v>
      </c>
    </row>
    <row r="5346" spans="1:8" x14ac:dyDescent="0.25">
      <c r="A5346" s="1" t="s">
        <v>12</v>
      </c>
      <c r="B5346" s="1" t="s">
        <v>12306</v>
      </c>
      <c r="C5346" s="1" t="s">
        <v>12307</v>
      </c>
      <c r="D5346" s="1" t="s">
        <v>12290</v>
      </c>
      <c r="E5346" s="1" t="s">
        <v>12290</v>
      </c>
      <c r="G5346" s="1" t="s">
        <v>12308</v>
      </c>
      <c r="H5346" s="2" t="str">
        <f>Tabella1[[#This Row],[Denominazione]]&amp;" - "&amp;Tabella1[[#This Row],[Città]]</f>
        <v>PATRICK TORIGLIONI DEL CASSERO NISBETT - MOGLIANO</v>
      </c>
    </row>
    <row r="5347" spans="1:8" x14ac:dyDescent="0.25">
      <c r="A5347" s="1" t="s">
        <v>12</v>
      </c>
      <c r="B5347" s="1" t="s">
        <v>2939</v>
      </c>
      <c r="C5347" s="1" t="s">
        <v>2940</v>
      </c>
      <c r="D5347" s="1" t="s">
        <v>1605</v>
      </c>
      <c r="E5347" s="1" t="s">
        <v>1605</v>
      </c>
      <c r="G5347" s="1" t="s">
        <v>2941</v>
      </c>
      <c r="H5347" s="2" t="str">
        <f>Tabella1[[#This Row],[Denominazione]]&amp;" - "&amp;Tabella1[[#This Row],[Città]]</f>
        <v>PATRIGNANELLI GIANNI - MONDOLFO</v>
      </c>
    </row>
    <row r="5348" spans="1:8" x14ac:dyDescent="0.25">
      <c r="A5348" s="1" t="s">
        <v>12</v>
      </c>
      <c r="B5348" s="1" t="s">
        <v>2945</v>
      </c>
      <c r="C5348" s="1" t="s">
        <v>2946</v>
      </c>
      <c r="D5348" s="1" t="s">
        <v>1605</v>
      </c>
      <c r="E5348" s="1" t="s">
        <v>1605</v>
      </c>
      <c r="G5348" s="1" t="s">
        <v>2941</v>
      </c>
      <c r="H5348" s="2" t="str">
        <f>Tabella1[[#This Row],[Denominazione]]&amp;" - "&amp;Tabella1[[#This Row],[Città]]</f>
        <v>PATRIGNANELLI LAURETTA - MONDOLFO</v>
      </c>
    </row>
    <row r="5349" spans="1:8" x14ac:dyDescent="0.25">
      <c r="A5349" s="1" t="s">
        <v>12</v>
      </c>
      <c r="B5349" s="1" t="s">
        <v>1563</v>
      </c>
      <c r="C5349" s="1" t="s">
        <v>1564</v>
      </c>
      <c r="D5349" s="1" t="s">
        <v>682</v>
      </c>
      <c r="G5349" s="1" t="s">
        <v>1565</v>
      </c>
      <c r="H5349" s="2" t="str">
        <f>Tabella1[[#This Row],[Denominazione]]&amp;" - "&amp;Tabella1[[#This Row],[Città]]</f>
        <v>PATRIK LIVI - FANO</v>
      </c>
    </row>
    <row r="5350" spans="1:8" x14ac:dyDescent="0.25">
      <c r="A5350" s="1" t="s">
        <v>82</v>
      </c>
      <c r="B5350" s="1" t="s">
        <v>18001</v>
      </c>
      <c r="C5350" s="1" t="s">
        <v>18002</v>
      </c>
      <c r="D5350" s="1" t="s">
        <v>17932</v>
      </c>
      <c r="E5350" s="1" t="s">
        <v>17932</v>
      </c>
      <c r="G5350" s="1" t="s">
        <v>18003</v>
      </c>
      <c r="H5350" s="2" t="str">
        <f>Tabella1[[#This Row],[Denominazione]]&amp;" - "&amp;Tabella1[[#This Row],[Città]]</f>
        <v>PATRIZIA ROOM - FERMO</v>
      </c>
    </row>
    <row r="5351" spans="1:8" x14ac:dyDescent="0.25">
      <c r="A5351" s="1" t="s">
        <v>12</v>
      </c>
      <c r="B5351" s="1" t="s">
        <v>317</v>
      </c>
      <c r="C5351" s="1" t="s">
        <v>318</v>
      </c>
      <c r="D5351" s="1" t="s">
        <v>316</v>
      </c>
      <c r="G5351" s="1" t="s">
        <v>319</v>
      </c>
      <c r="H5351" s="2" t="str">
        <f>Tabella1[[#This Row],[Denominazione]]&amp;" - "&amp;Tabella1[[#This Row],[Città]]</f>
        <v>PAVONI LUCIO - CAGLI</v>
      </c>
    </row>
    <row r="5352" spans="1:8" x14ac:dyDescent="0.25">
      <c r="A5352" s="1" t="s">
        <v>679</v>
      </c>
      <c r="B5352" s="1" t="s">
        <v>15869</v>
      </c>
      <c r="C5352" s="1" t="s">
        <v>15818</v>
      </c>
      <c r="D5352" s="1" t="s">
        <v>15585</v>
      </c>
      <c r="H5352" s="2" t="str">
        <f>Tabella1[[#This Row],[Denominazione]]&amp;" - "&amp;Tabella1[[#This Row],[Città]]</f>
        <v>PECCATO SOLO D'ESTATE - GROTTAMMARE</v>
      </c>
    </row>
    <row r="5353" spans="1:8" x14ac:dyDescent="0.25">
      <c r="A5353" s="1" t="s">
        <v>12</v>
      </c>
      <c r="B5353" s="1" t="s">
        <v>1516</v>
      </c>
      <c r="C5353" s="1" t="s">
        <v>1517</v>
      </c>
      <c r="D5353" s="1" t="s">
        <v>682</v>
      </c>
      <c r="E5353" s="1" t="s">
        <v>682</v>
      </c>
      <c r="G5353" s="1" t="s">
        <v>1518</v>
      </c>
      <c r="H5353" s="2" t="str">
        <f>Tabella1[[#This Row],[Denominazione]]&amp;" - "&amp;Tabella1[[#This Row],[Città]]</f>
        <v>PELLEGRINI ANTONELLA - FANO</v>
      </c>
    </row>
    <row r="5354" spans="1:8" x14ac:dyDescent="0.25">
      <c r="A5354" s="1" t="s">
        <v>1200</v>
      </c>
      <c r="B5354" s="1" t="s">
        <v>4961</v>
      </c>
      <c r="C5354" s="1" t="s">
        <v>4962</v>
      </c>
      <c r="D5354" s="1" t="s">
        <v>9</v>
      </c>
      <c r="E5354" s="1" t="s">
        <v>9</v>
      </c>
      <c r="G5354" s="1" t="s">
        <v>4963</v>
      </c>
      <c r="H5354" s="2" t="str">
        <f>Tabella1[[#This Row],[Denominazione]]&amp;" - "&amp;Tabella1[[#This Row],[Città]]</f>
        <v>PENSIONATO MARIA IMMACOLATA - URBINO</v>
      </c>
    </row>
    <row r="5355" spans="1:8" x14ac:dyDescent="0.25">
      <c r="A5355" s="1" t="s">
        <v>190</v>
      </c>
      <c r="B5355" s="1" t="s">
        <v>5650</v>
      </c>
      <c r="C5355" s="1" t="s">
        <v>5651</v>
      </c>
      <c r="D5355" s="1" t="s">
        <v>1864</v>
      </c>
      <c r="E5355" s="1" t="s">
        <v>1864</v>
      </c>
      <c r="G5355" s="1" t="s">
        <v>5652</v>
      </c>
      <c r="H5355" s="2" t="str">
        <f>Tabella1[[#This Row],[Denominazione]]&amp;" - "&amp;Tabella1[[#This Row],[Città]]</f>
        <v>PENSIONATO UNIVERSITARIO DON BOSCO - ANCONA</v>
      </c>
    </row>
    <row r="5356" spans="1:8" x14ac:dyDescent="0.25">
      <c r="A5356" s="1" t="s">
        <v>82</v>
      </c>
      <c r="B5356" s="1" t="s">
        <v>19483</v>
      </c>
      <c r="C5356" s="1" t="s">
        <v>19484</v>
      </c>
      <c r="D5356" s="1" t="s">
        <v>19283</v>
      </c>
      <c r="E5356" s="1" t="s">
        <v>19363</v>
      </c>
      <c r="F5356" s="1" t="s">
        <v>19485</v>
      </c>
      <c r="G5356" s="1" t="s">
        <v>19486</v>
      </c>
      <c r="H5356" s="2" t="str">
        <f>Tabella1[[#This Row],[Denominazione]]&amp;" - "&amp;Tabella1[[#This Row],[Città]]</f>
        <v>PENSIONE DEGLI ULIVI - PORTO SANT'ELPIDIO</v>
      </c>
    </row>
    <row r="5357" spans="1:8" x14ac:dyDescent="0.25">
      <c r="A5357" s="1" t="s">
        <v>20</v>
      </c>
      <c r="B5357" s="1" t="s">
        <v>9594</v>
      </c>
      <c r="C5357" s="1" t="s">
        <v>9595</v>
      </c>
      <c r="D5357" s="1" t="s">
        <v>8949</v>
      </c>
      <c r="E5357" s="1" t="s">
        <v>8949</v>
      </c>
      <c r="F5357" s="1" t="s">
        <v>9596</v>
      </c>
      <c r="G5357" s="1" t="s">
        <v>9597</v>
      </c>
      <c r="H5357" s="2" t="str">
        <f>Tabella1[[#This Row],[Denominazione]]&amp;" - "&amp;Tabella1[[#This Row],[Città]]</f>
        <v>PENSIONE LICIA - SENIGALLIA</v>
      </c>
    </row>
    <row r="5358" spans="1:8" x14ac:dyDescent="0.25">
      <c r="A5358" s="1" t="s">
        <v>20</v>
      </c>
      <c r="B5358" s="1" t="s">
        <v>15764</v>
      </c>
      <c r="C5358" s="1" t="s">
        <v>15765</v>
      </c>
      <c r="D5358" s="1" t="s">
        <v>15585</v>
      </c>
      <c r="E5358" s="1" t="s">
        <v>15585</v>
      </c>
      <c r="G5358" s="1" t="s">
        <v>15766</v>
      </c>
      <c r="H5358" s="2" t="str">
        <f>Tabella1[[#This Row],[Denominazione]]&amp;" - "&amp;Tabella1[[#This Row],[Città]]</f>
        <v>PENSIONE MIRAMARE - GROTTAMMARE</v>
      </c>
    </row>
    <row r="5359" spans="1:8" x14ac:dyDescent="0.25">
      <c r="A5359" s="1" t="s">
        <v>20</v>
      </c>
      <c r="B5359" s="1" t="s">
        <v>7409</v>
      </c>
      <c r="C5359" s="1" t="s">
        <v>7410</v>
      </c>
      <c r="D5359" s="1" t="s">
        <v>7385</v>
      </c>
      <c r="F5359" s="1" t="s">
        <v>7411</v>
      </c>
      <c r="G5359" s="1" t="s">
        <v>7412</v>
      </c>
      <c r="H5359" s="2" t="str">
        <f>Tabella1[[#This Row],[Denominazione]]&amp;" - "&amp;Tabella1[[#This Row],[Città]]</f>
        <v>PENSIONE PIEMONTE - LORETO</v>
      </c>
    </row>
    <row r="5360" spans="1:8" x14ac:dyDescent="0.25">
      <c r="A5360" s="1" t="s">
        <v>403</v>
      </c>
      <c r="B5360" s="1" t="s">
        <v>15394</v>
      </c>
      <c r="C5360" s="1" t="s">
        <v>15395</v>
      </c>
      <c r="D5360" s="1" t="s">
        <v>15349</v>
      </c>
      <c r="E5360" s="1" t="s">
        <v>15349</v>
      </c>
      <c r="F5360" s="1" t="s">
        <v>15396</v>
      </c>
      <c r="G5360" s="1" t="s">
        <v>15397</v>
      </c>
      <c r="H5360" s="2" t="str">
        <f>Tabella1[[#This Row],[Denominazione]]&amp;" - "&amp;Tabella1[[#This Row],[Città]]</f>
        <v>PENSIONE RESIDENCE PATRIZIA - CUPRA MARITTIMA</v>
      </c>
    </row>
    <row r="5361" spans="1:8" x14ac:dyDescent="0.25">
      <c r="A5361" s="1" t="s">
        <v>20</v>
      </c>
      <c r="B5361" s="1" t="s">
        <v>15347</v>
      </c>
      <c r="C5361" s="1" t="s">
        <v>15348</v>
      </c>
      <c r="D5361" s="1" t="s">
        <v>15349</v>
      </c>
      <c r="E5361" s="1" t="s">
        <v>15349</v>
      </c>
      <c r="G5361" s="1" t="s">
        <v>15350</v>
      </c>
      <c r="H5361" s="2" t="str">
        <f>Tabella1[[#This Row],[Denominazione]]&amp;" - "&amp;Tabella1[[#This Row],[Città]]</f>
        <v>PENSIONE RISTORANTE CASTELLO - CUPRA MARITTIMA</v>
      </c>
    </row>
    <row r="5362" spans="1:8" x14ac:dyDescent="0.25">
      <c r="A5362" s="1" t="s">
        <v>20</v>
      </c>
      <c r="B5362" s="1" t="s">
        <v>18804</v>
      </c>
      <c r="C5362" s="1" t="s">
        <v>18805</v>
      </c>
      <c r="D5362" s="1" t="s">
        <v>18783</v>
      </c>
      <c r="E5362" s="1" t="s">
        <v>18783</v>
      </c>
      <c r="H5362" s="2" t="str">
        <f>Tabella1[[#This Row],[Denominazione]]&amp;" - "&amp;Tabella1[[#This Row],[Città]]</f>
        <v>PENSIONE RISTORANTE DA CHECCO - MONTERUBBIANO</v>
      </c>
    </row>
    <row r="5363" spans="1:8" x14ac:dyDescent="0.25">
      <c r="A5363" s="1" t="s">
        <v>20</v>
      </c>
      <c r="B5363" s="1" t="s">
        <v>18963</v>
      </c>
      <c r="C5363" s="1" t="s">
        <v>18964</v>
      </c>
      <c r="D5363" s="1" t="s">
        <v>18944</v>
      </c>
      <c r="E5363" s="1" t="s">
        <v>18944</v>
      </c>
      <c r="F5363" s="1" t="s">
        <v>18965</v>
      </c>
      <c r="G5363" s="1" t="s">
        <v>18966</v>
      </c>
      <c r="H5363" s="2" t="str">
        <f>Tabella1[[#This Row],[Denominazione]]&amp;" - "&amp;Tabella1[[#This Row],[Città]]</f>
        <v>PENSIONE VERDE - PEDASO</v>
      </c>
    </row>
    <row r="5364" spans="1:8" x14ac:dyDescent="0.25">
      <c r="A5364" s="1" t="s">
        <v>679</v>
      </c>
      <c r="B5364" s="1" t="s">
        <v>19442</v>
      </c>
      <c r="C5364" s="1" t="s">
        <v>19382</v>
      </c>
      <c r="D5364" s="1" t="s">
        <v>19283</v>
      </c>
      <c r="E5364" s="1" t="s">
        <v>19363</v>
      </c>
      <c r="F5364" s="1" t="s">
        <v>19443</v>
      </c>
      <c r="G5364" s="1" t="s">
        <v>19444</v>
      </c>
      <c r="H5364" s="2" t="str">
        <f>Tabella1[[#This Row],[Denominazione]]&amp;" - "&amp;Tabella1[[#This Row],[Città]]</f>
        <v>PEPE NERO (PAGLIARICCIO SILVIA) - PORTO SANT'ELPIDIO</v>
      </c>
    </row>
    <row r="5365" spans="1:8" x14ac:dyDescent="0.25">
      <c r="A5365" s="1" t="s">
        <v>679</v>
      </c>
      <c r="B5365" s="1" t="s">
        <v>19445</v>
      </c>
      <c r="C5365" s="1" t="s">
        <v>19382</v>
      </c>
      <c r="D5365" s="1" t="s">
        <v>19283</v>
      </c>
      <c r="E5365" s="1" t="s">
        <v>19363</v>
      </c>
      <c r="F5365" s="1" t="s">
        <v>19443</v>
      </c>
      <c r="G5365" s="1" t="s">
        <v>19444</v>
      </c>
      <c r="H5365" s="2" t="str">
        <f>Tabella1[[#This Row],[Denominazione]]&amp;" - "&amp;Tabella1[[#This Row],[Città]]</f>
        <v>PEPENERO (ANDREA DI SANTO) - PORTO SANT'ELPIDIO</v>
      </c>
    </row>
    <row r="5366" spans="1:8" x14ac:dyDescent="0.25">
      <c r="A5366" s="1" t="s">
        <v>6</v>
      </c>
      <c r="B5366" s="1" t="s">
        <v>2868</v>
      </c>
      <c r="C5366" s="1" t="s">
        <v>2869</v>
      </c>
      <c r="D5366" s="1" t="s">
        <v>1605</v>
      </c>
      <c r="E5366" s="1" t="s">
        <v>1605</v>
      </c>
      <c r="F5366" s="1" t="s">
        <v>2870</v>
      </c>
      <c r="G5366" s="1" t="s">
        <v>2871</v>
      </c>
      <c r="H5366" s="2" t="str">
        <f>Tabella1[[#This Row],[Denominazione]]&amp;" - "&amp;Tabella1[[#This Row],[Città]]</f>
        <v>PER BACCO - MONDOLFO</v>
      </c>
    </row>
    <row r="5367" spans="1:8" x14ac:dyDescent="0.25">
      <c r="A5367" s="1" t="s">
        <v>82</v>
      </c>
      <c r="B5367" s="1" t="s">
        <v>4216</v>
      </c>
      <c r="C5367" s="1" t="s">
        <v>4217</v>
      </c>
      <c r="D5367" s="1" t="s">
        <v>4175</v>
      </c>
      <c r="E5367" s="1" t="s">
        <v>4175</v>
      </c>
      <c r="F5367" s="1" t="s">
        <v>4218</v>
      </c>
      <c r="G5367" s="1" t="s">
        <v>4219</v>
      </c>
      <c r="H5367" s="2" t="str">
        <f>Tabella1[[#This Row],[Denominazione]]&amp;" - "&amp;Tabella1[[#This Row],[Città]]</f>
        <v>PERBACCO - PIOBBICO</v>
      </c>
    </row>
    <row r="5368" spans="1:8" x14ac:dyDescent="0.25">
      <c r="A5368" s="1" t="s">
        <v>12</v>
      </c>
      <c r="B5368" s="1" t="s">
        <v>2943</v>
      </c>
      <c r="C5368" s="1" t="s">
        <v>2944</v>
      </c>
      <c r="D5368" s="1" t="s">
        <v>1605</v>
      </c>
      <c r="E5368" s="1" t="s">
        <v>1605</v>
      </c>
      <c r="H5368" s="2" t="str">
        <f>Tabella1[[#This Row],[Denominazione]]&amp;" - "&amp;Tabella1[[#This Row],[Città]]</f>
        <v>PERINI CATIUSCIA - MONDOLFO</v>
      </c>
    </row>
    <row r="5369" spans="1:8" x14ac:dyDescent="0.25">
      <c r="A5369" s="1" t="s">
        <v>20</v>
      </c>
      <c r="B5369" s="1" t="s">
        <v>2230</v>
      </c>
      <c r="C5369" s="1" t="s">
        <v>2231</v>
      </c>
      <c r="D5369" s="1" t="s">
        <v>1907</v>
      </c>
      <c r="E5369" s="1" t="s">
        <v>1907</v>
      </c>
      <c r="F5369" s="1" t="s">
        <v>2232</v>
      </c>
      <c r="G5369" s="1" t="s">
        <v>2233</v>
      </c>
      <c r="H5369" s="2" t="str">
        <f>Tabella1[[#This Row],[Denominazione]]&amp;" - "&amp;Tabella1[[#This Row],[Città]]</f>
        <v>PERLA - GABICCE MARE</v>
      </c>
    </row>
    <row r="5370" spans="1:8" x14ac:dyDescent="0.25">
      <c r="A5370" s="1" t="s">
        <v>20</v>
      </c>
      <c r="B5370" s="1" t="s">
        <v>2230</v>
      </c>
      <c r="C5370" s="1" t="s">
        <v>9711</v>
      </c>
      <c r="D5370" s="1" t="s">
        <v>8949</v>
      </c>
      <c r="E5370" s="1" t="s">
        <v>8949</v>
      </c>
      <c r="F5370" s="1" t="s">
        <v>9712</v>
      </c>
      <c r="G5370" s="1" t="s">
        <v>9713</v>
      </c>
      <c r="H5370" s="2" t="str">
        <f>Tabella1[[#This Row],[Denominazione]]&amp;" - "&amp;Tabella1[[#This Row],[Città]]</f>
        <v>PERLA - SENIGALLIA</v>
      </c>
    </row>
    <row r="5371" spans="1:8" x14ac:dyDescent="0.25">
      <c r="A5371" s="1" t="s">
        <v>20</v>
      </c>
      <c r="B5371" s="1" t="s">
        <v>17548</v>
      </c>
      <c r="C5371" s="1" t="s">
        <v>17549</v>
      </c>
      <c r="D5371" s="1" t="s">
        <v>15819</v>
      </c>
      <c r="E5371" s="1" t="s">
        <v>15819</v>
      </c>
      <c r="F5371" s="1" t="s">
        <v>17550</v>
      </c>
      <c r="G5371" s="1" t="s">
        <v>17551</v>
      </c>
      <c r="H5371" s="2" t="str">
        <f>Tabella1[[#This Row],[Denominazione]]&amp;" - "&amp;Tabella1[[#This Row],[Città]]</f>
        <v>PERSICO - SAN BENEDETTO DEL TRONTO</v>
      </c>
    </row>
    <row r="5372" spans="1:8" x14ac:dyDescent="0.25">
      <c r="A5372" s="1" t="s">
        <v>20</v>
      </c>
      <c r="B5372" s="1" t="s">
        <v>3677</v>
      </c>
      <c r="C5372" s="1" t="s">
        <v>3678</v>
      </c>
      <c r="D5372" s="1" t="s">
        <v>2386</v>
      </c>
      <c r="E5372" s="1" t="s">
        <v>2386</v>
      </c>
      <c r="F5372" s="1" t="s">
        <v>3679</v>
      </c>
      <c r="G5372" s="1" t="s">
        <v>3680</v>
      </c>
      <c r="H5372" s="2" t="str">
        <f>Tabella1[[#This Row],[Denominazione]]&amp;" - "&amp;Tabella1[[#This Row],[Città]]</f>
        <v>PERTICARI - PESARO</v>
      </c>
    </row>
    <row r="5373" spans="1:8" x14ac:dyDescent="0.25">
      <c r="A5373" s="1" t="s">
        <v>12</v>
      </c>
      <c r="B5373" s="1" t="s">
        <v>13798</v>
      </c>
      <c r="C5373" s="1" t="s">
        <v>13799</v>
      </c>
      <c r="D5373" s="1" t="s">
        <v>13756</v>
      </c>
      <c r="G5373" s="1" t="s">
        <v>13800</v>
      </c>
      <c r="H5373" s="2" t="str">
        <f>Tabella1[[#This Row],[Denominazione]]&amp;" - "&amp;Tabella1[[#This Row],[Città]]</f>
        <v>PERUGINI FIORENZO - SARNANO</v>
      </c>
    </row>
    <row r="5374" spans="1:8" x14ac:dyDescent="0.25">
      <c r="A5374" s="1" t="s">
        <v>12</v>
      </c>
      <c r="B5374" s="1" t="s">
        <v>4870</v>
      </c>
      <c r="C5374" s="1" t="s">
        <v>4871</v>
      </c>
      <c r="D5374" s="1" t="s">
        <v>9</v>
      </c>
      <c r="F5374" s="1" t="s">
        <v>4872</v>
      </c>
      <c r="G5374" s="1" t="s">
        <v>4873</v>
      </c>
      <c r="H5374" s="2" t="str">
        <f>Tabella1[[#This Row],[Denominazione]]&amp;" - "&amp;Tabella1[[#This Row],[Città]]</f>
        <v>PESCHKE MARTIN MICHAEL ERNST - URBINO</v>
      </c>
    </row>
    <row r="5375" spans="1:8" x14ac:dyDescent="0.25">
      <c r="A5375" s="1" t="s">
        <v>20</v>
      </c>
      <c r="B5375" s="1" t="s">
        <v>17552</v>
      </c>
      <c r="C5375" s="1" t="s">
        <v>17553</v>
      </c>
      <c r="D5375" s="1" t="s">
        <v>15819</v>
      </c>
      <c r="E5375" s="1" t="s">
        <v>15819</v>
      </c>
      <c r="F5375" s="1" t="s">
        <v>17172</v>
      </c>
      <c r="G5375" s="1" t="s">
        <v>17171</v>
      </c>
      <c r="H5375" s="2" t="str">
        <f>Tabella1[[#This Row],[Denominazione]]&amp;" - "&amp;Tabella1[[#This Row],[Città]]</f>
        <v>PETIT - SAN BENEDETTO DEL TRONTO</v>
      </c>
    </row>
    <row r="5376" spans="1:8" x14ac:dyDescent="0.25">
      <c r="A5376" s="1" t="s">
        <v>679</v>
      </c>
      <c r="B5376" s="1" t="s">
        <v>17170</v>
      </c>
      <c r="D5376" s="1" t="s">
        <v>15819</v>
      </c>
      <c r="F5376" s="1" t="s">
        <v>17171</v>
      </c>
      <c r="G5376" s="1" t="s">
        <v>17172</v>
      </c>
      <c r="H5376" s="2" t="str">
        <f>Tabella1[[#This Row],[Denominazione]]&amp;" - "&amp;Tabella1[[#This Row],[Città]]</f>
        <v>PETIT HOTEL - SAN BENEDETTO DEL TRONTO</v>
      </c>
    </row>
    <row r="5377" spans="1:8" x14ac:dyDescent="0.25">
      <c r="A5377" s="1" t="s">
        <v>6</v>
      </c>
      <c r="B5377" s="1" t="s">
        <v>7703</v>
      </c>
      <c r="C5377" s="1" t="s">
        <v>7704</v>
      </c>
      <c r="D5377" s="1" t="s">
        <v>7678</v>
      </c>
      <c r="E5377" s="1" t="s">
        <v>7678</v>
      </c>
      <c r="F5377" s="1" t="s">
        <v>7705</v>
      </c>
      <c r="G5377" s="1" t="s">
        <v>7706</v>
      </c>
      <c r="H5377" s="2" t="str">
        <f>Tabella1[[#This Row],[Denominazione]]&amp;" - "&amp;Tabella1[[#This Row],[Città]]</f>
        <v>PIAGGE DEL SOLE - MONTECAROTTO</v>
      </c>
    </row>
    <row r="5378" spans="1:8" x14ac:dyDescent="0.25">
      <c r="A5378" s="1" t="s">
        <v>571</v>
      </c>
      <c r="B5378" s="1" t="s">
        <v>1846</v>
      </c>
      <c r="D5378" s="1" t="s">
        <v>1810</v>
      </c>
      <c r="E5378" s="1" t="s">
        <v>1810</v>
      </c>
      <c r="F5378" s="1" t="s">
        <v>1847</v>
      </c>
      <c r="G5378" s="1" t="s">
        <v>1848</v>
      </c>
      <c r="H5378" s="2" t="str">
        <f>Tabella1[[#This Row],[Denominazione]]&amp;" - "&amp;Tabella1[[#This Row],[Città]]</f>
        <v>PIAN DEI PRATI - FRONTINO</v>
      </c>
    </row>
    <row r="5379" spans="1:8" x14ac:dyDescent="0.25">
      <c r="A5379" s="1" t="s">
        <v>35</v>
      </c>
      <c r="B5379" s="1" t="s">
        <v>14183</v>
      </c>
      <c r="C5379" s="1" t="s">
        <v>14184</v>
      </c>
      <c r="D5379" s="1" t="s">
        <v>14065</v>
      </c>
      <c r="E5379" s="1" t="s">
        <v>14065</v>
      </c>
      <c r="H5379" s="2" t="str">
        <f>Tabella1[[#This Row],[Denominazione]]&amp;" - "&amp;Tabella1[[#This Row],[Città]]</f>
        <v>PIAN DI GIANO - TREIA</v>
      </c>
    </row>
    <row r="5380" spans="1:8" x14ac:dyDescent="0.25">
      <c r="A5380" s="1" t="s">
        <v>12</v>
      </c>
      <c r="B5380" s="1" t="s">
        <v>9019</v>
      </c>
      <c r="C5380" s="1" t="s">
        <v>9020</v>
      </c>
      <c r="D5380" s="1" t="s">
        <v>8949</v>
      </c>
      <c r="E5380" s="1" t="s">
        <v>8949</v>
      </c>
      <c r="G5380" s="1" t="s">
        <v>9021</v>
      </c>
      <c r="H5380" s="2" t="str">
        <f>Tabella1[[#This Row],[Denominazione]]&amp;" - "&amp;Tabella1[[#This Row],[Città]]</f>
        <v>PIANELLI SUSI MARIA - SENIGALLIA</v>
      </c>
    </row>
    <row r="5381" spans="1:8" x14ac:dyDescent="0.25">
      <c r="A5381" s="1" t="s">
        <v>6</v>
      </c>
      <c r="B5381" s="1" t="s">
        <v>15276</v>
      </c>
      <c r="C5381" s="1" t="s">
        <v>15277</v>
      </c>
      <c r="D5381" s="1" t="s">
        <v>15249</v>
      </c>
      <c r="E5381" s="1" t="s">
        <v>15249</v>
      </c>
      <c r="F5381" s="1" t="s">
        <v>15278</v>
      </c>
      <c r="G5381" s="1" t="s">
        <v>15279</v>
      </c>
      <c r="H5381" s="2" t="str">
        <f>Tabella1[[#This Row],[Denominazione]]&amp;" - "&amp;Tabella1[[#This Row],[Città]]</f>
        <v>PIANTABETE - COMUNANZA</v>
      </c>
    </row>
    <row r="5382" spans="1:8" x14ac:dyDescent="0.25">
      <c r="A5382" s="1" t="s">
        <v>12</v>
      </c>
      <c r="B5382" s="1" t="s">
        <v>9197</v>
      </c>
      <c r="C5382" s="1" t="s">
        <v>9198</v>
      </c>
      <c r="D5382" s="1" t="s">
        <v>8949</v>
      </c>
      <c r="E5382" s="1" t="s">
        <v>8949</v>
      </c>
      <c r="G5382" s="1" t="s">
        <v>9037</v>
      </c>
      <c r="H5382" s="2" t="str">
        <f>Tabella1[[#This Row],[Denominazione]]&amp;" - "&amp;Tabella1[[#This Row],[Città]]</f>
        <v>PIAZZOLLA ADRIANA - SENIGALLIA</v>
      </c>
    </row>
    <row r="5383" spans="1:8" x14ac:dyDescent="0.25">
      <c r="A5383" s="1" t="s">
        <v>679</v>
      </c>
      <c r="B5383" s="1" t="s">
        <v>7075</v>
      </c>
      <c r="D5383" s="1" t="s">
        <v>5735</v>
      </c>
      <c r="E5383" s="1" t="s">
        <v>5735</v>
      </c>
      <c r="F5383" s="1" t="s">
        <v>7076</v>
      </c>
      <c r="G5383" s="1" t="s">
        <v>7077</v>
      </c>
      <c r="H5383" s="2" t="str">
        <f>Tabella1[[#This Row],[Denominazione]]&amp;" - "&amp;Tabella1[[#This Row],[Città]]</f>
        <v>PICCHIO BEACH - BAGNI N° 7/8 - FALCONARA MARITTIMA</v>
      </c>
    </row>
    <row r="5384" spans="1:8" x14ac:dyDescent="0.25">
      <c r="A5384" s="1" t="s">
        <v>6</v>
      </c>
      <c r="B5384" s="1" t="s">
        <v>7666</v>
      </c>
      <c r="C5384" s="1" t="s">
        <v>7667</v>
      </c>
      <c r="D5384" s="1" t="s">
        <v>7660</v>
      </c>
      <c r="E5384" s="1" t="s">
        <v>7660</v>
      </c>
      <c r="G5384" s="1" t="s">
        <v>7668</v>
      </c>
      <c r="H5384" s="2" t="str">
        <f>Tabella1[[#This Row],[Denominazione]]&amp;" - "&amp;Tabella1[[#This Row],[Città]]</f>
        <v>PICCOLO EDEN - MONSANO</v>
      </c>
    </row>
    <row r="5385" spans="1:8" x14ac:dyDescent="0.25">
      <c r="A5385" s="1" t="s">
        <v>20</v>
      </c>
      <c r="B5385" s="1" t="s">
        <v>3251</v>
      </c>
      <c r="C5385" s="1" t="s">
        <v>3252</v>
      </c>
      <c r="D5385" s="1" t="s">
        <v>3222</v>
      </c>
      <c r="E5385" s="1" t="s">
        <v>3236</v>
      </c>
      <c r="F5385" s="1" t="s">
        <v>3253</v>
      </c>
      <c r="G5385" s="1" t="s">
        <v>3254</v>
      </c>
      <c r="H5385" s="2" t="str">
        <f>Tabella1[[#This Row],[Denominazione]]&amp;" - "&amp;Tabella1[[#This Row],[Città]]</f>
        <v>PICCOLO HOTEL SAN CRISTOFORO - MONTE PORZIO</v>
      </c>
    </row>
    <row r="5386" spans="1:8" x14ac:dyDescent="0.25">
      <c r="A5386" s="1" t="s">
        <v>12</v>
      </c>
      <c r="B5386" s="1" t="s">
        <v>5844</v>
      </c>
      <c r="C5386" s="1" t="s">
        <v>5845</v>
      </c>
      <c r="D5386" s="1" t="s">
        <v>1864</v>
      </c>
      <c r="F5386" s="1" t="s">
        <v>5846</v>
      </c>
      <c r="G5386" s="1" t="s">
        <v>5843</v>
      </c>
      <c r="H5386" s="2" t="str">
        <f>Tabella1[[#This Row],[Denominazione]]&amp;" - "&amp;Tabella1[[#This Row],[Città]]</f>
        <v>PICCOLO ISTRICE - ANCONA</v>
      </c>
    </row>
    <row r="5387" spans="1:8" x14ac:dyDescent="0.25">
      <c r="A5387" s="1" t="s">
        <v>679</v>
      </c>
      <c r="B5387" s="1" t="s">
        <v>17142</v>
      </c>
      <c r="C5387" s="1" t="s">
        <v>17143</v>
      </c>
      <c r="D5387" s="1" t="s">
        <v>15819</v>
      </c>
      <c r="F5387" s="1" t="s">
        <v>17144</v>
      </c>
      <c r="H5387" s="2" t="str">
        <f>Tabella1[[#This Row],[Denominazione]]&amp;" - "&amp;Tabella1[[#This Row],[Città]]</f>
        <v>PICCOLO LIDO - SAN BENEDETTO DEL TRONTO</v>
      </c>
    </row>
    <row r="5388" spans="1:8" x14ac:dyDescent="0.25">
      <c r="A5388" s="1" t="s">
        <v>35</v>
      </c>
      <c r="B5388" s="1" t="s">
        <v>6183</v>
      </c>
      <c r="C5388" s="1" t="s">
        <v>6184</v>
      </c>
      <c r="D5388" s="1" t="s">
        <v>6049</v>
      </c>
      <c r="E5388" s="1" t="s">
        <v>6112</v>
      </c>
      <c r="F5388" s="1" t="s">
        <v>6185</v>
      </c>
      <c r="G5388" s="1" t="s">
        <v>6186</v>
      </c>
      <c r="H5388" s="2" t="str">
        <f>Tabella1[[#This Row],[Denominazione]]&amp;" - "&amp;Tabella1[[#This Row],[Città]]</f>
        <v>PICCOLO RANCH - ARCEVIA</v>
      </c>
    </row>
    <row r="5389" spans="1:8" x14ac:dyDescent="0.25">
      <c r="A5389" s="1" t="s">
        <v>20</v>
      </c>
      <c r="B5389" s="1" t="s">
        <v>19184</v>
      </c>
      <c r="C5389" s="1" t="s">
        <v>19185</v>
      </c>
      <c r="D5389" s="1" t="s">
        <v>18082</v>
      </c>
      <c r="E5389" s="1" t="s">
        <v>18082</v>
      </c>
      <c r="G5389" s="1" t="s">
        <v>19186</v>
      </c>
      <c r="H5389" s="2" t="str">
        <f>Tabella1[[#This Row],[Denominazione]]&amp;" - "&amp;Tabella1[[#This Row],[Città]]</f>
        <v>PICENO - PORTO SAN GIORGIO</v>
      </c>
    </row>
    <row r="5390" spans="1:8" x14ac:dyDescent="0.25">
      <c r="A5390" s="1" t="s">
        <v>29</v>
      </c>
      <c r="B5390" s="1" t="s">
        <v>15075</v>
      </c>
      <c r="C5390" s="1" t="s">
        <v>15076</v>
      </c>
      <c r="D5390" s="1" t="s">
        <v>14576</v>
      </c>
      <c r="E5390" s="1" t="s">
        <v>14576</v>
      </c>
      <c r="H5390" s="2" t="str">
        <f>Tabella1[[#This Row],[Denominazione]]&amp;" - "&amp;Tabella1[[#This Row],[Città]]</f>
        <v>PICENO SUITE - ASCOLI PICENO</v>
      </c>
    </row>
    <row r="5391" spans="1:8" x14ac:dyDescent="0.25">
      <c r="A5391" s="1" t="s">
        <v>12</v>
      </c>
      <c r="B5391" s="1" t="s">
        <v>9100</v>
      </c>
      <c r="C5391" s="1" t="s">
        <v>9101</v>
      </c>
      <c r="D5391" s="1" t="s">
        <v>8949</v>
      </c>
      <c r="E5391" s="1" t="s">
        <v>8949</v>
      </c>
      <c r="G5391" s="1" t="s">
        <v>9037</v>
      </c>
      <c r="H5391" s="2" t="str">
        <f>Tabella1[[#This Row],[Denominazione]]&amp;" - "&amp;Tabella1[[#This Row],[Città]]</f>
        <v>PIERALISI GIANNA - SENIGALLIA</v>
      </c>
    </row>
    <row r="5392" spans="1:8" x14ac:dyDescent="0.25">
      <c r="A5392" s="1" t="s">
        <v>12</v>
      </c>
      <c r="B5392" s="1" t="s">
        <v>16475</v>
      </c>
      <c r="C5392" s="1" t="s">
        <v>16476</v>
      </c>
      <c r="D5392" s="1" t="s">
        <v>16440</v>
      </c>
      <c r="G5392" s="1" t="s">
        <v>16477</v>
      </c>
      <c r="H5392" s="2" t="str">
        <f>Tabella1[[#This Row],[Denominazione]]&amp;" - "&amp;Tabella1[[#This Row],[Città]]</f>
        <v>PIERANTONELLI MARCO APP.TO 1 - OFFIDA</v>
      </c>
    </row>
    <row r="5393" spans="1:8" x14ac:dyDescent="0.25">
      <c r="A5393" s="1" t="s">
        <v>12</v>
      </c>
      <c r="B5393" s="1" t="s">
        <v>16578</v>
      </c>
      <c r="C5393" s="1" t="s">
        <v>16476</v>
      </c>
      <c r="D5393" s="1" t="s">
        <v>16440</v>
      </c>
      <c r="E5393" s="1" t="s">
        <v>16440</v>
      </c>
      <c r="G5393" s="1" t="s">
        <v>16477</v>
      </c>
      <c r="H5393" s="2" t="str">
        <f>Tabella1[[#This Row],[Denominazione]]&amp;" - "&amp;Tabella1[[#This Row],[Città]]</f>
        <v>PIERANTONELLI MARCO APP.TO 2 - OFFIDA</v>
      </c>
    </row>
    <row r="5394" spans="1:8" x14ac:dyDescent="0.25">
      <c r="A5394" s="1" t="s">
        <v>12</v>
      </c>
      <c r="B5394" s="1" t="s">
        <v>9290</v>
      </c>
      <c r="C5394" s="1" t="s">
        <v>9291</v>
      </c>
      <c r="D5394" s="1" t="s">
        <v>8949</v>
      </c>
      <c r="E5394" s="1" t="s">
        <v>8949</v>
      </c>
      <c r="G5394" s="1" t="s">
        <v>9037</v>
      </c>
      <c r="H5394" s="2" t="str">
        <f>Tabella1[[#This Row],[Denominazione]]&amp;" - "&amp;Tabella1[[#This Row],[Città]]</f>
        <v>PIERANTONI GABRIELLA - SENIGALLIA</v>
      </c>
    </row>
    <row r="5395" spans="1:8" x14ac:dyDescent="0.25">
      <c r="A5395" s="1" t="s">
        <v>12</v>
      </c>
      <c r="B5395" s="1" t="s">
        <v>8378</v>
      </c>
      <c r="C5395" s="1" t="s">
        <v>8379</v>
      </c>
      <c r="D5395" s="1" t="s">
        <v>7889</v>
      </c>
      <c r="E5395" s="1" t="s">
        <v>7889</v>
      </c>
      <c r="G5395" s="1" t="s">
        <v>8380</v>
      </c>
      <c r="H5395" s="2" t="str">
        <f>Tabella1[[#This Row],[Denominazione]]&amp;" - "&amp;Tabella1[[#This Row],[Città]]</f>
        <v>PIERANTONI ROBERTO - NUMANA</v>
      </c>
    </row>
    <row r="5396" spans="1:8" x14ac:dyDescent="0.25">
      <c r="A5396" s="1" t="s">
        <v>12</v>
      </c>
      <c r="B5396" s="1" t="s">
        <v>857</v>
      </c>
      <c r="C5396" s="1" t="s">
        <v>858</v>
      </c>
      <c r="D5396" s="1" t="s">
        <v>682</v>
      </c>
      <c r="G5396" s="1" t="s">
        <v>853</v>
      </c>
      <c r="H5396" s="2" t="str">
        <f>Tabella1[[#This Row],[Denominazione]]&amp;" - "&amp;Tabella1[[#This Row],[Città]]</f>
        <v>PIERETTI SILVIA - FANO</v>
      </c>
    </row>
    <row r="5397" spans="1:8" x14ac:dyDescent="0.25">
      <c r="A5397" s="1" t="s">
        <v>82</v>
      </c>
      <c r="B5397" s="1" t="s">
        <v>15780</v>
      </c>
      <c r="C5397" s="1" t="s">
        <v>15781</v>
      </c>
      <c r="D5397" s="1" t="s">
        <v>15585</v>
      </c>
      <c r="E5397" s="1" t="s">
        <v>15585</v>
      </c>
      <c r="G5397" s="1" t="s">
        <v>15782</v>
      </c>
      <c r="H5397" s="2" t="str">
        <f>Tabella1[[#This Row],[Denominazione]]&amp;" - "&amp;Tabella1[[#This Row],[Città]]</f>
        <v>PIERGALLINI RITA - GROTTAMMARE</v>
      </c>
    </row>
    <row r="5398" spans="1:8" x14ac:dyDescent="0.25">
      <c r="A5398" s="1" t="s">
        <v>12</v>
      </c>
      <c r="B5398" s="1" t="s">
        <v>9058</v>
      </c>
      <c r="C5398" s="1" t="s">
        <v>9059</v>
      </c>
      <c r="D5398" s="1" t="s">
        <v>8949</v>
      </c>
      <c r="E5398" s="1" t="s">
        <v>8949</v>
      </c>
      <c r="G5398" s="1" t="s">
        <v>9060</v>
      </c>
      <c r="H5398" s="2" t="str">
        <f>Tabella1[[#This Row],[Denominazione]]&amp;" - "&amp;Tabella1[[#This Row],[Città]]</f>
        <v>PIERGENTILI EMANUELA - SENIGALLIA</v>
      </c>
    </row>
    <row r="5399" spans="1:8" x14ac:dyDescent="0.25">
      <c r="A5399" s="1" t="s">
        <v>12</v>
      </c>
      <c r="B5399" s="1" t="s">
        <v>3579</v>
      </c>
      <c r="C5399" s="1" t="s">
        <v>3580</v>
      </c>
      <c r="D5399" s="1" t="s">
        <v>2386</v>
      </c>
      <c r="E5399" s="1" t="s">
        <v>2386</v>
      </c>
      <c r="G5399" s="1" t="s">
        <v>3527</v>
      </c>
      <c r="H5399" s="2" t="str">
        <f>Tabella1[[#This Row],[Denominazione]]&amp;" - "&amp;Tabella1[[#This Row],[Città]]</f>
        <v>PIERMATTEI CLAUDIA - PESARO</v>
      </c>
    </row>
    <row r="5400" spans="1:8" x14ac:dyDescent="0.25">
      <c r="A5400" s="1" t="s">
        <v>20</v>
      </c>
      <c r="B5400" s="1" t="s">
        <v>5103</v>
      </c>
      <c r="C5400" s="1" t="s">
        <v>5104</v>
      </c>
      <c r="D5400" s="1" t="s">
        <v>9</v>
      </c>
      <c r="E5400" s="1" t="s">
        <v>9</v>
      </c>
      <c r="F5400" s="1" t="s">
        <v>5105</v>
      </c>
      <c r="G5400" s="1" t="s">
        <v>5106</v>
      </c>
      <c r="H5400" s="2" t="str">
        <f>Tabella1[[#This Row],[Denominazione]]&amp;" - "&amp;Tabella1[[#This Row],[Città]]</f>
        <v>PIERO DELLA FRANCESCA - URBINO</v>
      </c>
    </row>
    <row r="5401" spans="1:8" x14ac:dyDescent="0.25">
      <c r="A5401" s="1" t="s">
        <v>12</v>
      </c>
      <c r="B5401" s="1" t="s">
        <v>2947</v>
      </c>
      <c r="C5401" s="1" t="s">
        <v>2948</v>
      </c>
      <c r="D5401" s="1" t="s">
        <v>1605</v>
      </c>
      <c r="E5401" s="1" t="s">
        <v>1605</v>
      </c>
      <c r="H5401" s="2" t="str">
        <f>Tabella1[[#This Row],[Denominazione]]&amp;" - "&amp;Tabella1[[#This Row],[Città]]</f>
        <v>PIERPAOLI GIUSEPPA - MONDOLFO</v>
      </c>
    </row>
    <row r="5402" spans="1:8" x14ac:dyDescent="0.25">
      <c r="A5402" s="1" t="s">
        <v>35</v>
      </c>
      <c r="B5402" s="1" t="s">
        <v>10939</v>
      </c>
      <c r="C5402" s="1" t="s">
        <v>10940</v>
      </c>
      <c r="D5402" s="1" t="s">
        <v>10932</v>
      </c>
      <c r="E5402" s="1" t="s">
        <v>10941</v>
      </c>
      <c r="F5402" s="1" t="s">
        <v>10942</v>
      </c>
      <c r="G5402" s="1" t="s">
        <v>10943</v>
      </c>
      <c r="H5402" s="2" t="str">
        <f>Tabella1[[#This Row],[Denominazione]]&amp;" - "&amp;Tabella1[[#This Row],[Città]]</f>
        <v>PIETRA MAULA AGRITURISMO - CASTELRAIMONDO</v>
      </c>
    </row>
    <row r="5403" spans="1:8" x14ac:dyDescent="0.25">
      <c r="A5403" s="1" t="s">
        <v>35</v>
      </c>
      <c r="B5403" s="1" t="s">
        <v>5151</v>
      </c>
      <c r="C5403" s="1" t="s">
        <v>5152</v>
      </c>
      <c r="D5403" s="1" t="s">
        <v>9</v>
      </c>
      <c r="E5403" s="1" t="s">
        <v>9</v>
      </c>
      <c r="F5403" s="1" t="s">
        <v>5153</v>
      </c>
      <c r="G5403" s="1" t="s">
        <v>5154</v>
      </c>
      <c r="H5403" s="2" t="str">
        <f>Tabella1[[#This Row],[Denominazione]]&amp;" - "&amp;Tabella1[[#This Row],[Città]]</f>
        <v>PIETRA ROSA - URBINO</v>
      </c>
    </row>
    <row r="5404" spans="1:8" x14ac:dyDescent="0.25">
      <c r="A5404" s="1" t="s">
        <v>679</v>
      </c>
      <c r="B5404" s="1" t="s">
        <v>17305</v>
      </c>
      <c r="C5404" s="1" t="s">
        <v>9843</v>
      </c>
      <c r="D5404" s="1" t="s">
        <v>15819</v>
      </c>
      <c r="H5404" s="2" t="str">
        <f>Tabella1[[#This Row],[Denominazione]]&amp;" - "&amp;Tabella1[[#This Row],[Città]]</f>
        <v>PIETRO - SAN BENEDETTO DEL TRONTO</v>
      </c>
    </row>
    <row r="5405" spans="1:8" x14ac:dyDescent="0.25">
      <c r="A5405" s="1" t="s">
        <v>82</v>
      </c>
      <c r="B5405" s="1" t="s">
        <v>4208</v>
      </c>
      <c r="D5405" s="1" t="s">
        <v>4175</v>
      </c>
      <c r="E5405" s="1" t="s">
        <v>4209</v>
      </c>
      <c r="F5405" s="1" t="s">
        <v>4210</v>
      </c>
      <c r="G5405" s="1" t="s">
        <v>4211</v>
      </c>
      <c r="H5405" s="2" t="str">
        <f>Tabella1[[#This Row],[Denominazione]]&amp;" - "&amp;Tabella1[[#This Row],[Città]]</f>
        <v>PIEVE DEGLI ACINELLI - PIOBBICO</v>
      </c>
    </row>
    <row r="5406" spans="1:8" x14ac:dyDescent="0.25">
      <c r="A5406" s="1" t="s">
        <v>35</v>
      </c>
      <c r="B5406" s="1" t="s">
        <v>4815</v>
      </c>
      <c r="C5406" s="1" t="s">
        <v>4816</v>
      </c>
      <c r="D5406" s="1" t="s">
        <v>4735</v>
      </c>
      <c r="E5406" s="1" t="s">
        <v>4735</v>
      </c>
      <c r="F5406" s="1" t="s">
        <v>4817</v>
      </c>
      <c r="G5406" s="1" t="s">
        <v>4818</v>
      </c>
      <c r="H5406" s="2" t="str">
        <f>Tabella1[[#This Row],[Denominazione]]&amp;" - "&amp;Tabella1[[#This Row],[Città]]</f>
        <v>PIEVE DEL COLLE - URBANIA</v>
      </c>
    </row>
    <row r="5407" spans="1:8" x14ac:dyDescent="0.25">
      <c r="A5407" s="1" t="s">
        <v>12</v>
      </c>
      <c r="B5407" s="1" t="s">
        <v>1452</v>
      </c>
      <c r="C5407" s="1" t="s">
        <v>1453</v>
      </c>
      <c r="D5407" s="1" t="s">
        <v>682</v>
      </c>
      <c r="H5407" s="2" t="str">
        <f>Tabella1[[#This Row],[Denominazione]]&amp;" - "&amp;Tabella1[[#This Row],[Città]]</f>
        <v>PIGHIN FRANCESCA - FANO</v>
      </c>
    </row>
    <row r="5408" spans="1:8" x14ac:dyDescent="0.25">
      <c r="A5408" s="1" t="s">
        <v>20</v>
      </c>
      <c r="B5408" s="1" t="s">
        <v>18835</v>
      </c>
      <c r="C5408" s="1" t="s">
        <v>16361</v>
      </c>
      <c r="D5408" s="1" t="s">
        <v>18829</v>
      </c>
      <c r="E5408" s="1" t="s">
        <v>18829</v>
      </c>
      <c r="G5408" s="1" t="s">
        <v>18836</v>
      </c>
      <c r="H5408" s="2" t="str">
        <f>Tabella1[[#This Row],[Denominazione]]&amp;" - "&amp;Tabella1[[#This Row],[Città]]</f>
        <v>PINA - MONTE SAN PIETRANGELI</v>
      </c>
    </row>
    <row r="5409" spans="1:8" x14ac:dyDescent="0.25">
      <c r="A5409" s="1" t="s">
        <v>571</v>
      </c>
      <c r="B5409" s="1" t="s">
        <v>5215</v>
      </c>
      <c r="C5409" s="1" t="s">
        <v>5216</v>
      </c>
      <c r="D5409" s="1" t="s">
        <v>9</v>
      </c>
      <c r="E5409" s="1" t="s">
        <v>9</v>
      </c>
      <c r="F5409" s="1" t="s">
        <v>5217</v>
      </c>
      <c r="G5409" s="1" t="s">
        <v>5218</v>
      </c>
      <c r="H5409" s="2" t="str">
        <f>Tabella1[[#This Row],[Denominazione]]&amp;" - "&amp;Tabella1[[#This Row],[Città]]</f>
        <v>PINETA - URBINO</v>
      </c>
    </row>
    <row r="5410" spans="1:8" x14ac:dyDescent="0.25">
      <c r="A5410" s="1" t="s">
        <v>20</v>
      </c>
      <c r="B5410" s="1" t="s">
        <v>5215</v>
      </c>
      <c r="C5410" s="1" t="s">
        <v>7659</v>
      </c>
      <c r="D5410" s="1" t="s">
        <v>7660</v>
      </c>
      <c r="E5410" s="1" t="s">
        <v>7660</v>
      </c>
      <c r="F5410" s="1" t="s">
        <v>7661</v>
      </c>
      <c r="G5410" s="1" t="s">
        <v>7662</v>
      </c>
      <c r="H5410" s="2" t="str">
        <f>Tabella1[[#This Row],[Denominazione]]&amp;" - "&amp;Tabella1[[#This Row],[Città]]</f>
        <v>PINETA - MONSANO</v>
      </c>
    </row>
    <row r="5411" spans="1:8" x14ac:dyDescent="0.25">
      <c r="A5411" s="1" t="s">
        <v>571</v>
      </c>
      <c r="B5411" s="1" t="s">
        <v>5215</v>
      </c>
      <c r="C5411" s="1" t="s">
        <v>12892</v>
      </c>
      <c r="D5411" s="1" t="s">
        <v>12801</v>
      </c>
      <c r="E5411" s="1" t="s">
        <v>12801</v>
      </c>
      <c r="F5411" s="1" t="s">
        <v>12893</v>
      </c>
      <c r="G5411" s="1" t="s">
        <v>12874</v>
      </c>
      <c r="H5411" s="2" t="str">
        <f>Tabella1[[#This Row],[Denominazione]]&amp;" - "&amp;Tabella1[[#This Row],[Città]]</f>
        <v>PINETA - PORTO RECANATI</v>
      </c>
    </row>
    <row r="5412" spans="1:8" x14ac:dyDescent="0.25">
      <c r="A5412" s="1" t="s">
        <v>20</v>
      </c>
      <c r="B5412" s="1" t="s">
        <v>5215</v>
      </c>
      <c r="C5412" s="1" t="s">
        <v>17289</v>
      </c>
      <c r="D5412" s="1" t="s">
        <v>15819</v>
      </c>
      <c r="E5412" s="1" t="s">
        <v>15819</v>
      </c>
      <c r="F5412" s="1" t="s">
        <v>17290</v>
      </c>
      <c r="G5412" s="1" t="s">
        <v>17291</v>
      </c>
      <c r="H5412" s="2" t="str">
        <f>Tabella1[[#This Row],[Denominazione]]&amp;" - "&amp;Tabella1[[#This Row],[Città]]</f>
        <v>PINETA - SAN BENEDETTO DEL TRONTO</v>
      </c>
    </row>
    <row r="5413" spans="1:8" x14ac:dyDescent="0.25">
      <c r="A5413" s="1" t="s">
        <v>6</v>
      </c>
      <c r="B5413" s="1" t="s">
        <v>13668</v>
      </c>
      <c r="C5413" s="1" t="s">
        <v>13669</v>
      </c>
      <c r="D5413" s="1" t="s">
        <v>13548</v>
      </c>
      <c r="E5413" s="1" t="s">
        <v>13670</v>
      </c>
      <c r="F5413" s="1" t="s">
        <v>13671</v>
      </c>
      <c r="G5413" s="1" t="s">
        <v>13672</v>
      </c>
      <c r="H5413" s="2" t="str">
        <f>Tabella1[[#This Row],[Denominazione]]&amp;" - "&amp;Tabella1[[#This Row],[Città]]</f>
        <v>PINETA COUNTRY HOUSE - SAN SEVERINO MARCHE</v>
      </c>
    </row>
    <row r="5414" spans="1:8" x14ac:dyDescent="0.25">
      <c r="A5414" s="1" t="s">
        <v>679</v>
      </c>
      <c r="B5414" s="1" t="s">
        <v>17345</v>
      </c>
      <c r="C5414" s="1" t="s">
        <v>17346</v>
      </c>
      <c r="D5414" s="1" t="s">
        <v>15819</v>
      </c>
      <c r="F5414" s="1" t="s">
        <v>17347</v>
      </c>
      <c r="H5414" s="2" t="str">
        <f>Tabella1[[#This Row],[Denominazione]]&amp;" - "&amp;Tabella1[[#This Row],[Città]]</f>
        <v>PINGUINO - SAN BENEDETTO DEL TRONTO</v>
      </c>
    </row>
    <row r="5415" spans="1:8" x14ac:dyDescent="0.25">
      <c r="A5415" s="1" t="s">
        <v>82</v>
      </c>
      <c r="B5415" s="1" t="s">
        <v>13641</v>
      </c>
      <c r="C5415" s="1" t="s">
        <v>13642</v>
      </c>
      <c r="D5415" s="1" t="s">
        <v>13548</v>
      </c>
      <c r="E5415" s="1" t="s">
        <v>13632</v>
      </c>
      <c r="F5415" s="1" t="s">
        <v>13643</v>
      </c>
      <c r="G5415" s="1" t="s">
        <v>13644</v>
      </c>
      <c r="H5415" s="2" t="str">
        <f>Tabella1[[#This Row],[Denominazione]]&amp;" - "&amp;Tabella1[[#This Row],[Città]]</f>
        <v>PINO NERO - SAN SEVERINO MARCHE</v>
      </c>
    </row>
    <row r="5416" spans="1:8" x14ac:dyDescent="0.25">
      <c r="A5416" s="1" t="s">
        <v>20</v>
      </c>
      <c r="B5416" s="1" t="s">
        <v>10688</v>
      </c>
      <c r="C5416" s="1" t="s">
        <v>10689</v>
      </c>
      <c r="D5416" s="1" t="s">
        <v>10690</v>
      </c>
      <c r="E5416" s="1" t="s">
        <v>10691</v>
      </c>
      <c r="H5416" s="2" t="str">
        <f>Tabella1[[#This Row],[Denominazione]]&amp;" - "&amp;Tabella1[[#This Row],[Città]]</f>
        <v>PINTURA - BOLOGNOLA</v>
      </c>
    </row>
    <row r="5417" spans="1:8" x14ac:dyDescent="0.25">
      <c r="A5417" s="1" t="s">
        <v>12</v>
      </c>
      <c r="B5417" s="1" t="s">
        <v>516</v>
      </c>
      <c r="C5417" s="1" t="s">
        <v>517</v>
      </c>
      <c r="D5417" s="1" t="s">
        <v>316</v>
      </c>
      <c r="E5417" s="1" t="s">
        <v>518</v>
      </c>
      <c r="F5417" s="1" t="s">
        <v>519</v>
      </c>
      <c r="G5417" s="1" t="s">
        <v>520</v>
      </c>
      <c r="H5417" s="2" t="str">
        <f>Tabella1[[#This Row],[Denominazione]]&amp;" - "&amp;Tabella1[[#This Row],[Città]]</f>
        <v>PIO BRACCO - CAGLI</v>
      </c>
    </row>
    <row r="5418" spans="1:8" x14ac:dyDescent="0.25">
      <c r="A5418" s="1" t="s">
        <v>82</v>
      </c>
      <c r="B5418" s="1" t="s">
        <v>16560</v>
      </c>
      <c r="C5418" s="1" t="s">
        <v>16561</v>
      </c>
      <c r="D5418" s="1" t="s">
        <v>16440</v>
      </c>
      <c r="E5418" s="1" t="s">
        <v>16440</v>
      </c>
      <c r="G5418" s="1" t="s">
        <v>16562</v>
      </c>
      <c r="H5418" s="2" t="str">
        <f>Tabella1[[#This Row],[Denominazione]]&amp;" - "&amp;Tabella1[[#This Row],[Città]]</f>
        <v>PIT LANE - OFFIDA</v>
      </c>
    </row>
    <row r="5419" spans="1:8" x14ac:dyDescent="0.25">
      <c r="A5419" s="1" t="s">
        <v>679</v>
      </c>
      <c r="B5419" s="1" t="s">
        <v>12837</v>
      </c>
      <c r="C5419" s="1" t="s">
        <v>12838</v>
      </c>
      <c r="D5419" s="1" t="s">
        <v>12801</v>
      </c>
      <c r="H5419" s="2" t="str">
        <f>Tabella1[[#This Row],[Denominazione]]&amp;" - "&amp;Tabella1[[#This Row],[Città]]</f>
        <v>PITER - PORTO RECANATI</v>
      </c>
    </row>
    <row r="5420" spans="1:8" x14ac:dyDescent="0.25">
      <c r="A5420" s="1" t="s">
        <v>20</v>
      </c>
      <c r="B5420" s="1" t="s">
        <v>2584</v>
      </c>
      <c r="C5420" s="1" t="s">
        <v>2585</v>
      </c>
      <c r="D5420" s="1" t="s">
        <v>2557</v>
      </c>
      <c r="E5420" s="1" t="s">
        <v>2557</v>
      </c>
      <c r="F5420" s="1" t="s">
        <v>2586</v>
      </c>
      <c r="G5420" s="1" t="s">
        <v>2587</v>
      </c>
      <c r="H5420" s="2" t="str">
        <f>Tabella1[[#This Row],[Denominazione]]&amp;" - "&amp;Tabella1[[#This Row],[Città]]</f>
        <v>PITINUM - MACERATA FELTRIA</v>
      </c>
    </row>
    <row r="5421" spans="1:8" x14ac:dyDescent="0.25">
      <c r="A5421" s="1" t="s">
        <v>679</v>
      </c>
      <c r="B5421" s="1" t="s">
        <v>15910</v>
      </c>
      <c r="D5421" s="1" t="s">
        <v>15585</v>
      </c>
      <c r="H5421" s="2" t="str">
        <f>Tabella1[[#This Row],[Denominazione]]&amp;" - "&amp;Tabella1[[#This Row],[Città]]</f>
        <v>PIZZACCIA ON THE BEACH - GROTTAMMARE</v>
      </c>
    </row>
    <row r="5422" spans="1:8" x14ac:dyDescent="0.25">
      <c r="A5422" s="1" t="s">
        <v>571</v>
      </c>
      <c r="B5422" s="1" t="s">
        <v>9620</v>
      </c>
      <c r="C5422" s="1" t="s">
        <v>9621</v>
      </c>
      <c r="D5422" s="1" t="s">
        <v>8949</v>
      </c>
      <c r="E5422" s="1" t="s">
        <v>8949</v>
      </c>
      <c r="G5422" s="1" t="s">
        <v>9619</v>
      </c>
      <c r="H5422" s="2" t="str">
        <f>Tabella1[[#This Row],[Denominazione]]&amp;" - "&amp;Tabella1[[#This Row],[Città]]</f>
        <v>PLAYA - SENIGALLIA</v>
      </c>
    </row>
    <row r="5423" spans="1:8" x14ac:dyDescent="0.25">
      <c r="A5423" s="1" t="s">
        <v>679</v>
      </c>
      <c r="B5423" s="1" t="s">
        <v>13294</v>
      </c>
      <c r="D5423" s="1" t="s">
        <v>13026</v>
      </c>
      <c r="E5423" s="1" t="s">
        <v>13105</v>
      </c>
      <c r="H5423" s="2" t="str">
        <f>Tabella1[[#This Row],[Denominazione]]&amp;" - "&amp;Tabella1[[#This Row],[Città]]</f>
        <v>PLAYA BOCACHICA - POTENZA PICENA</v>
      </c>
    </row>
    <row r="5424" spans="1:8" x14ac:dyDescent="0.25">
      <c r="A5424" s="1" t="s">
        <v>679</v>
      </c>
      <c r="B5424" s="1" t="s">
        <v>19436</v>
      </c>
      <c r="D5424" s="1" t="s">
        <v>19283</v>
      </c>
      <c r="H5424" s="2" t="str">
        <f>Tabella1[[#This Row],[Denominazione]]&amp;" - "&amp;Tabella1[[#This Row],[Città]]</f>
        <v>PLAYA DORADA - PORTO SANT'ELPIDIO</v>
      </c>
    </row>
    <row r="5425" spans="1:8" x14ac:dyDescent="0.25">
      <c r="A5425" s="1" t="s">
        <v>20</v>
      </c>
      <c r="B5425" s="1" t="s">
        <v>1167</v>
      </c>
      <c r="C5425" s="1" t="s">
        <v>1168</v>
      </c>
      <c r="D5425" s="1" t="s">
        <v>682</v>
      </c>
      <c r="E5425" s="1" t="s">
        <v>682</v>
      </c>
      <c r="F5425" s="1" t="s">
        <v>1169</v>
      </c>
      <c r="G5425" s="1" t="s">
        <v>1170</v>
      </c>
      <c r="H5425" s="2" t="str">
        <f>Tabella1[[#This Row],[Denominazione]]&amp;" - "&amp;Tabella1[[#This Row],[Città]]</f>
        <v>PLAYA PRINCIPE RESORT - FANO</v>
      </c>
    </row>
    <row r="5426" spans="1:8" x14ac:dyDescent="0.25">
      <c r="A5426" s="1" t="s">
        <v>20</v>
      </c>
      <c r="B5426" s="1" t="s">
        <v>1140</v>
      </c>
      <c r="C5426" s="1" t="s">
        <v>1141</v>
      </c>
      <c r="D5426" s="1" t="s">
        <v>682</v>
      </c>
      <c r="E5426" s="1" t="s">
        <v>682</v>
      </c>
      <c r="F5426" s="1" t="s">
        <v>1142</v>
      </c>
      <c r="G5426" s="1" t="s">
        <v>1143</v>
      </c>
      <c r="H5426" s="2" t="str">
        <f>Tabella1[[#This Row],[Denominazione]]&amp;" - "&amp;Tabella1[[#This Row],[Città]]</f>
        <v>PLAZA - FANO</v>
      </c>
    </row>
    <row r="5427" spans="1:8" x14ac:dyDescent="0.25">
      <c r="A5427" s="1" t="s">
        <v>20</v>
      </c>
      <c r="B5427" s="1" t="s">
        <v>1140</v>
      </c>
      <c r="C5427" s="1" t="s">
        <v>2234</v>
      </c>
      <c r="D5427" s="1" t="s">
        <v>1907</v>
      </c>
      <c r="E5427" s="1" t="s">
        <v>1907</v>
      </c>
      <c r="F5427" s="1" t="s">
        <v>2235</v>
      </c>
      <c r="H5427" s="2" t="str">
        <f>Tabella1[[#This Row],[Denominazione]]&amp;" - "&amp;Tabella1[[#This Row],[Città]]</f>
        <v>PLAZA - GABICCE MARE</v>
      </c>
    </row>
    <row r="5428" spans="1:8" x14ac:dyDescent="0.25">
      <c r="A5428" s="1" t="s">
        <v>20</v>
      </c>
      <c r="B5428" s="1" t="s">
        <v>1140</v>
      </c>
      <c r="C5428" s="1" t="s">
        <v>3681</v>
      </c>
      <c r="D5428" s="1" t="s">
        <v>2386</v>
      </c>
      <c r="E5428" s="1" t="s">
        <v>2386</v>
      </c>
      <c r="F5428" s="1" t="s">
        <v>3682</v>
      </c>
      <c r="G5428" s="1" t="s">
        <v>3683</v>
      </c>
      <c r="H5428" s="2" t="str">
        <f>Tabella1[[#This Row],[Denominazione]]&amp;" - "&amp;Tabella1[[#This Row],[Città]]</f>
        <v>PLAZA - PESARO</v>
      </c>
    </row>
    <row r="5429" spans="1:8" x14ac:dyDescent="0.25">
      <c r="A5429" s="1" t="s">
        <v>35</v>
      </c>
      <c r="B5429" s="1" t="s">
        <v>5870</v>
      </c>
      <c r="C5429" s="1" t="s">
        <v>5871</v>
      </c>
      <c r="D5429" s="1" t="s">
        <v>1864</v>
      </c>
      <c r="E5429" s="1" t="s">
        <v>1864</v>
      </c>
      <c r="F5429" s="1" t="s">
        <v>5872</v>
      </c>
      <c r="G5429" s="1" t="s">
        <v>5873</v>
      </c>
      <c r="H5429" s="2" t="str">
        <f>Tabella1[[#This Row],[Denominazione]]&amp;" - "&amp;Tabella1[[#This Row],[Città]]</f>
        <v>POGGIO AGLI ULIVI - ANCONA</v>
      </c>
    </row>
    <row r="5430" spans="1:8" x14ac:dyDescent="0.25">
      <c r="A5430" s="1" t="s">
        <v>6</v>
      </c>
      <c r="B5430" s="1" t="s">
        <v>7838</v>
      </c>
      <c r="C5430" s="1" t="s">
        <v>7839</v>
      </c>
      <c r="D5430" s="1" t="s">
        <v>7824</v>
      </c>
      <c r="E5430" s="1" t="s">
        <v>7824</v>
      </c>
      <c r="F5430" s="1" t="s">
        <v>7840</v>
      </c>
      <c r="G5430" s="1" t="s">
        <v>7841</v>
      </c>
      <c r="H5430" s="2" t="str">
        <f>Tabella1[[#This Row],[Denominazione]]&amp;" - "&amp;Tabella1[[#This Row],[Città]]</f>
        <v>POGGIO ANTICO - MONTE SAN VITO</v>
      </c>
    </row>
    <row r="5431" spans="1:8" x14ac:dyDescent="0.25">
      <c r="A5431" s="1" t="s">
        <v>82</v>
      </c>
      <c r="B5431" s="1" t="s">
        <v>5081</v>
      </c>
      <c r="C5431" s="1" t="s">
        <v>5082</v>
      </c>
      <c r="D5431" s="1" t="s">
        <v>9</v>
      </c>
      <c r="E5431" s="1" t="s">
        <v>9</v>
      </c>
      <c r="F5431" s="1" t="s">
        <v>5083</v>
      </c>
      <c r="G5431" s="1" t="s">
        <v>5084</v>
      </c>
      <c r="H5431" s="2" t="str">
        <f>Tabella1[[#This Row],[Denominazione]]&amp;" - "&amp;Tabella1[[#This Row],[Città]]</f>
        <v>POGGIO DEI PRUGNOLI di MARINA ARCANGELI - URBINO</v>
      </c>
    </row>
    <row r="5432" spans="1:8" x14ac:dyDescent="0.25">
      <c r="A5432" s="1" t="s">
        <v>35</v>
      </c>
      <c r="B5432" s="1" t="s">
        <v>6036</v>
      </c>
      <c r="C5432" s="1" t="s">
        <v>6037</v>
      </c>
      <c r="D5432" s="1" t="s">
        <v>1864</v>
      </c>
      <c r="E5432" s="1" t="s">
        <v>6038</v>
      </c>
      <c r="F5432" s="1" t="s">
        <v>6039</v>
      </c>
      <c r="G5432" s="1" t="s">
        <v>6040</v>
      </c>
      <c r="H5432" s="2" t="str">
        <f>Tabella1[[#This Row],[Denominazione]]&amp;" - "&amp;Tabella1[[#This Row],[Città]]</f>
        <v>POGGIO DEL CONERO - ANCONA</v>
      </c>
    </row>
    <row r="5433" spans="1:8" x14ac:dyDescent="0.25">
      <c r="A5433" s="1" t="s">
        <v>35</v>
      </c>
      <c r="B5433" s="1" t="s">
        <v>7814</v>
      </c>
      <c r="C5433" s="1" t="s">
        <v>7815</v>
      </c>
      <c r="D5433" s="1" t="s">
        <v>7811</v>
      </c>
      <c r="F5433" s="1" t="s">
        <v>7816</v>
      </c>
      <c r="G5433" s="1" t="s">
        <v>7817</v>
      </c>
      <c r="H5433" s="2" t="str">
        <f>Tabella1[[#This Row],[Denominazione]]&amp;" - "&amp;Tabella1[[#This Row],[Città]]</f>
        <v>POGGIO MONTALI - MONTE ROBERTO</v>
      </c>
    </row>
    <row r="5434" spans="1:8" x14ac:dyDescent="0.25">
      <c r="A5434" s="1" t="s">
        <v>35</v>
      </c>
      <c r="B5434" s="1" t="s">
        <v>19691</v>
      </c>
      <c r="C5434" s="1" t="s">
        <v>19692</v>
      </c>
      <c r="D5434" s="1" t="s">
        <v>19685</v>
      </c>
      <c r="F5434" s="1" t="s">
        <v>19693</v>
      </c>
      <c r="G5434" s="1" t="s">
        <v>19694</v>
      </c>
      <c r="H5434" s="2" t="str">
        <f>Tabella1[[#This Row],[Denominazione]]&amp;" - "&amp;Tabella1[[#This Row],[Città]]</f>
        <v>POMO D'ORO - TORRE SAN PATRIZIO</v>
      </c>
    </row>
    <row r="5435" spans="1:8" x14ac:dyDescent="0.25">
      <c r="A5435" s="1" t="s">
        <v>12</v>
      </c>
      <c r="B5435" s="1" t="s">
        <v>9080</v>
      </c>
      <c r="C5435" s="1" t="s">
        <v>9081</v>
      </c>
      <c r="D5435" s="1" t="s">
        <v>8949</v>
      </c>
      <c r="E5435" s="1" t="s">
        <v>8949</v>
      </c>
      <c r="G5435" s="1" t="s">
        <v>9037</v>
      </c>
      <c r="H5435" s="2" t="str">
        <f>Tabella1[[#This Row],[Denominazione]]&amp;" - "&amp;Tabella1[[#This Row],[Città]]</f>
        <v>PORFIDO LUIGI - SENIGALLIA</v>
      </c>
    </row>
    <row r="5436" spans="1:8" x14ac:dyDescent="0.25">
      <c r="A5436" s="1" t="s">
        <v>82</v>
      </c>
      <c r="B5436" s="1" t="s">
        <v>7350</v>
      </c>
      <c r="C5436" s="1" t="s">
        <v>7351</v>
      </c>
      <c r="D5436" s="1" t="s">
        <v>7254</v>
      </c>
      <c r="E5436" s="1" t="s">
        <v>7254</v>
      </c>
      <c r="F5436" s="1" t="s">
        <v>7352</v>
      </c>
      <c r="G5436" s="1" t="s">
        <v>7353</v>
      </c>
      <c r="H5436" s="2" t="str">
        <f>Tabella1[[#This Row],[Denominazione]]&amp;" - "&amp;Tabella1[[#This Row],[Città]]</f>
        <v>PORTA MAZZINI - JESI</v>
      </c>
    </row>
    <row r="5437" spans="1:8" x14ac:dyDescent="0.25">
      <c r="A5437" s="1" t="s">
        <v>29</v>
      </c>
      <c r="B5437" s="1" t="s">
        <v>17982</v>
      </c>
      <c r="C5437" s="1" t="s">
        <v>17983</v>
      </c>
      <c r="D5437" s="1" t="s">
        <v>17932</v>
      </c>
      <c r="E5437" s="1" t="s">
        <v>17932</v>
      </c>
      <c r="F5437" s="1" t="s">
        <v>17984</v>
      </c>
      <c r="G5437" s="1" t="s">
        <v>17985</v>
      </c>
      <c r="H5437" s="2" t="str">
        <f>Tabella1[[#This Row],[Denominazione]]&amp;" - "&amp;Tabella1[[#This Row],[Città]]</f>
        <v>PORTA SANTA LUCIA - FERMO</v>
      </c>
    </row>
    <row r="5438" spans="1:8" x14ac:dyDescent="0.25">
      <c r="A5438" s="1" t="s">
        <v>20</v>
      </c>
      <c r="B5438" s="1" t="s">
        <v>17554</v>
      </c>
      <c r="C5438" s="1" t="s">
        <v>17555</v>
      </c>
      <c r="D5438" s="1" t="s">
        <v>15819</v>
      </c>
      <c r="E5438" s="1" t="s">
        <v>15819</v>
      </c>
      <c r="F5438" s="1" t="s">
        <v>17366</v>
      </c>
      <c r="G5438" s="1" t="s">
        <v>17365</v>
      </c>
      <c r="H5438" s="2" t="str">
        <f>Tabella1[[#This Row],[Denominazione]]&amp;" - "&amp;Tabella1[[#This Row],[Città]]</f>
        <v>POSEIDON - SAN BENEDETTO DEL TRONTO</v>
      </c>
    </row>
    <row r="5439" spans="1:8" x14ac:dyDescent="0.25">
      <c r="A5439" s="1" t="s">
        <v>20</v>
      </c>
      <c r="B5439" s="1" t="s">
        <v>2236</v>
      </c>
      <c r="C5439" s="1" t="s">
        <v>2237</v>
      </c>
      <c r="D5439" s="1" t="s">
        <v>1907</v>
      </c>
      <c r="E5439" s="1" t="s">
        <v>1907</v>
      </c>
      <c r="F5439" s="1" t="s">
        <v>2238</v>
      </c>
      <c r="G5439" s="1" t="s">
        <v>2239</v>
      </c>
      <c r="H5439" s="2" t="str">
        <f>Tabella1[[#This Row],[Denominazione]]&amp;" - "&amp;Tabella1[[#This Row],[Città]]</f>
        <v>POSILLIPO - GABICCE MARE</v>
      </c>
    </row>
    <row r="5440" spans="1:8" x14ac:dyDescent="0.25">
      <c r="A5440" s="1" t="s">
        <v>6</v>
      </c>
      <c r="B5440" s="1" t="s">
        <v>11176</v>
      </c>
      <c r="C5440" s="1" t="s">
        <v>11177</v>
      </c>
      <c r="D5440" s="1" t="s">
        <v>11058</v>
      </c>
      <c r="E5440" s="1" t="s">
        <v>11058</v>
      </c>
      <c r="F5440" s="1" t="s">
        <v>11178</v>
      </c>
      <c r="G5440" s="1" t="s">
        <v>11179</v>
      </c>
      <c r="H5440" s="2" t="str">
        <f>Tabella1[[#This Row],[Denominazione]]&amp;" - "&amp;Tabella1[[#This Row],[Città]]</f>
        <v>POSTIGLIONE DELLA CASTELLETTA - CINGOLI</v>
      </c>
    </row>
    <row r="5441" spans="1:8" x14ac:dyDescent="0.25">
      <c r="A5441" s="1" t="s">
        <v>6</v>
      </c>
      <c r="B5441" s="1" t="s">
        <v>5278</v>
      </c>
      <c r="C5441" s="1" t="s">
        <v>5279</v>
      </c>
      <c r="D5441" s="1" t="s">
        <v>9</v>
      </c>
      <c r="E5441" s="1" t="s">
        <v>9</v>
      </c>
      <c r="H5441" s="2" t="str">
        <f>Tabella1[[#This Row],[Denominazione]]&amp;" - "&amp;Tabella1[[#This Row],[Città]]</f>
        <v>POZZO NUOVO - URBINO</v>
      </c>
    </row>
    <row r="5442" spans="1:8" x14ac:dyDescent="0.25">
      <c r="A5442" s="1" t="s">
        <v>35</v>
      </c>
      <c r="B5442" s="1" t="s">
        <v>8779</v>
      </c>
      <c r="C5442" s="1" t="s">
        <v>8780</v>
      </c>
      <c r="D5442" s="1" t="s">
        <v>8763</v>
      </c>
      <c r="E5442" s="1" t="s">
        <v>8763</v>
      </c>
      <c r="F5442" s="1" t="s">
        <v>8781</v>
      </c>
      <c r="G5442" s="1" t="s">
        <v>8782</v>
      </c>
      <c r="H5442" s="2" t="str">
        <f>Tabella1[[#This Row],[Denominazione]]&amp;" - "&amp;Tabella1[[#This Row],[Città]]</f>
        <v>PRATELLI SEI - ROSORA</v>
      </c>
    </row>
    <row r="5443" spans="1:8" x14ac:dyDescent="0.25">
      <c r="A5443" s="1" t="s">
        <v>20</v>
      </c>
      <c r="B5443" s="1" t="s">
        <v>15771</v>
      </c>
      <c r="C5443" s="1" t="s">
        <v>15772</v>
      </c>
      <c r="D5443" s="1" t="s">
        <v>15585</v>
      </c>
      <c r="E5443" s="1" t="s">
        <v>15585</v>
      </c>
      <c r="F5443" s="1" t="s">
        <v>15773</v>
      </c>
      <c r="G5443" s="1" t="s">
        <v>15774</v>
      </c>
      <c r="H5443" s="2" t="str">
        <f>Tabella1[[#This Row],[Denominazione]]&amp;" - "&amp;Tabella1[[#This Row],[Città]]</f>
        <v>PRATER - GROTTAMMARE</v>
      </c>
    </row>
    <row r="5444" spans="1:8" x14ac:dyDescent="0.25">
      <c r="A5444" s="1" t="s">
        <v>20</v>
      </c>
      <c r="B5444" s="1" t="s">
        <v>17556</v>
      </c>
      <c r="C5444" s="1" t="s">
        <v>17557</v>
      </c>
      <c r="D5444" s="1" t="s">
        <v>15819</v>
      </c>
      <c r="E5444" s="1" t="s">
        <v>15819</v>
      </c>
      <c r="F5444" s="1" t="s">
        <v>17558</v>
      </c>
      <c r="G5444" s="1" t="s">
        <v>17559</v>
      </c>
      <c r="H5444" s="2" t="str">
        <f>Tabella1[[#This Row],[Denominazione]]&amp;" - "&amp;Tabella1[[#This Row],[Città]]</f>
        <v>PRESIDENT - SAN BENEDETTO DEL TRONTO</v>
      </c>
    </row>
    <row r="5445" spans="1:8" x14ac:dyDescent="0.25">
      <c r="A5445" s="1" t="s">
        <v>82</v>
      </c>
      <c r="B5445" s="1" t="s">
        <v>18007</v>
      </c>
      <c r="C5445" s="1" t="s">
        <v>18008</v>
      </c>
      <c r="D5445" s="1" t="s">
        <v>17932</v>
      </c>
      <c r="E5445" s="1" t="s">
        <v>17932</v>
      </c>
      <c r="F5445" s="1" t="s">
        <v>18009</v>
      </c>
      <c r="G5445" s="1" t="s">
        <v>18010</v>
      </c>
      <c r="H5445" s="2" t="str">
        <f>Tabella1[[#This Row],[Denominazione]]&amp;" - "&amp;Tabella1[[#This Row],[Città]]</f>
        <v>PRIMA COLONNA DEL LOGGIATO - FERMO</v>
      </c>
    </row>
    <row r="5446" spans="1:8" x14ac:dyDescent="0.25">
      <c r="A5446" s="1" t="s">
        <v>20</v>
      </c>
      <c r="B5446" s="1" t="s">
        <v>9558</v>
      </c>
      <c r="C5446" s="1" t="s">
        <v>9559</v>
      </c>
      <c r="D5446" s="1" t="s">
        <v>8949</v>
      </c>
      <c r="E5446" s="1" t="s">
        <v>8949</v>
      </c>
      <c r="F5446" s="1" t="s">
        <v>9560</v>
      </c>
      <c r="G5446" s="1" t="s">
        <v>9561</v>
      </c>
      <c r="H5446" s="2" t="str">
        <f>Tabella1[[#This Row],[Denominazione]]&amp;" - "&amp;Tabella1[[#This Row],[Città]]</f>
        <v>PRIMAVERA - SENIGALLIA</v>
      </c>
    </row>
    <row r="5447" spans="1:8" x14ac:dyDescent="0.25">
      <c r="A5447" s="1" t="s">
        <v>12</v>
      </c>
      <c r="B5447" s="1" t="s">
        <v>2023</v>
      </c>
      <c r="C5447" s="1" t="s">
        <v>2024</v>
      </c>
      <c r="D5447" s="1" t="s">
        <v>1907</v>
      </c>
      <c r="H5447" s="2" t="str">
        <f>Tabella1[[#This Row],[Denominazione]]&amp;" - "&amp;Tabella1[[#This Row],[Città]]</f>
        <v>PRIMAVERA MARIA - GABICCE MARE</v>
      </c>
    </row>
    <row r="5448" spans="1:8" x14ac:dyDescent="0.25">
      <c r="A5448" s="1" t="s">
        <v>12</v>
      </c>
      <c r="B5448" s="1" t="s">
        <v>686</v>
      </c>
      <c r="C5448" s="1" t="s">
        <v>687</v>
      </c>
      <c r="D5448" s="1" t="s">
        <v>682</v>
      </c>
      <c r="E5448" s="1" t="s">
        <v>682</v>
      </c>
      <c r="G5448" s="1" t="s">
        <v>688</v>
      </c>
      <c r="H5448" s="2" t="str">
        <f>Tabella1[[#This Row],[Denominazione]]&amp;" - "&amp;Tabella1[[#This Row],[Città]]</f>
        <v>PRIMAVERA MARIELLA - FANO</v>
      </c>
    </row>
    <row r="5449" spans="1:8" x14ac:dyDescent="0.25">
      <c r="A5449" s="1" t="s">
        <v>20</v>
      </c>
      <c r="B5449" s="1" t="s">
        <v>15460</v>
      </c>
      <c r="C5449" s="1" t="s">
        <v>15461</v>
      </c>
      <c r="D5449" s="1" t="s">
        <v>15349</v>
      </c>
      <c r="E5449" s="1" t="s">
        <v>15349</v>
      </c>
      <c r="F5449" s="1" t="s">
        <v>15462</v>
      </c>
      <c r="G5449" s="1" t="s">
        <v>15463</v>
      </c>
      <c r="H5449" s="2" t="str">
        <f>Tabella1[[#This Row],[Denominazione]]&amp;" - "&amp;Tabella1[[#This Row],[Città]]</f>
        <v>PRIMO SOLE - CUPRA MARITTIMA</v>
      </c>
    </row>
    <row r="5450" spans="1:8" x14ac:dyDescent="0.25">
      <c r="A5450" s="1" t="s">
        <v>20</v>
      </c>
      <c r="B5450" s="1" t="s">
        <v>2240</v>
      </c>
      <c r="C5450" s="1" t="s">
        <v>2241</v>
      </c>
      <c r="D5450" s="1" t="s">
        <v>1907</v>
      </c>
      <c r="E5450" s="1" t="s">
        <v>1907</v>
      </c>
      <c r="F5450" s="1" t="s">
        <v>2242</v>
      </c>
      <c r="G5450" s="1" t="s">
        <v>2243</v>
      </c>
      <c r="H5450" s="2" t="str">
        <f>Tabella1[[#This Row],[Denominazione]]&amp;" - "&amp;Tabella1[[#This Row],[Città]]</f>
        <v>PRINCIPE - GABICCE MARE</v>
      </c>
    </row>
    <row r="5451" spans="1:8" x14ac:dyDescent="0.25">
      <c r="A5451" s="1" t="s">
        <v>12</v>
      </c>
      <c r="B5451" s="1" t="s">
        <v>9250</v>
      </c>
      <c r="C5451" s="1" t="s">
        <v>9251</v>
      </c>
      <c r="D5451" s="1" t="s">
        <v>8949</v>
      </c>
      <c r="E5451" s="1" t="s">
        <v>8949</v>
      </c>
      <c r="G5451" s="1" t="s">
        <v>9037</v>
      </c>
      <c r="H5451" s="2" t="str">
        <f>Tabella1[[#This Row],[Denominazione]]&amp;" - "&amp;Tabella1[[#This Row],[Città]]</f>
        <v>PRINCIPI EMILIANO - SENIGALLIA</v>
      </c>
    </row>
    <row r="5452" spans="1:8" x14ac:dyDescent="0.25">
      <c r="A5452" s="1" t="s">
        <v>12</v>
      </c>
      <c r="B5452" s="1" t="s">
        <v>9179</v>
      </c>
      <c r="C5452" s="1" t="s">
        <v>9180</v>
      </c>
      <c r="D5452" s="1" t="s">
        <v>8949</v>
      </c>
      <c r="E5452" s="1" t="s">
        <v>8949</v>
      </c>
      <c r="G5452" s="1" t="s">
        <v>9037</v>
      </c>
      <c r="H5452" s="2" t="str">
        <f>Tabella1[[#This Row],[Denominazione]]&amp;" - "&amp;Tabella1[[#This Row],[Città]]</f>
        <v>PRINCIPI LEONARDO - SENIGALLIA</v>
      </c>
    </row>
    <row r="5453" spans="1:8" x14ac:dyDescent="0.25">
      <c r="A5453" s="1" t="s">
        <v>29</v>
      </c>
      <c r="B5453" s="1" t="s">
        <v>14957</v>
      </c>
      <c r="C5453" s="1" t="s">
        <v>14958</v>
      </c>
      <c r="D5453" s="1" t="s">
        <v>14576</v>
      </c>
      <c r="E5453" s="1" t="s">
        <v>14576</v>
      </c>
      <c r="H5453" s="2" t="str">
        <f>Tabella1[[#This Row],[Denominazione]]&amp;" - "&amp;Tabella1[[#This Row],[Città]]</f>
        <v>PRINCIPIA CHARMING SUITE - ASCOLI PICENO</v>
      </c>
    </row>
    <row r="5454" spans="1:8" x14ac:dyDescent="0.25">
      <c r="A5454" s="1" t="s">
        <v>12</v>
      </c>
      <c r="B5454" s="1" t="s">
        <v>2046</v>
      </c>
      <c r="C5454" s="1" t="s">
        <v>2047</v>
      </c>
      <c r="D5454" s="1" t="s">
        <v>1907</v>
      </c>
      <c r="H5454" s="2" t="str">
        <f>Tabella1[[#This Row],[Denominazione]]&amp;" - "&amp;Tabella1[[#This Row],[Città]]</f>
        <v>PRIOLI ANTONIO - GABICCE MARE</v>
      </c>
    </row>
    <row r="5455" spans="1:8" x14ac:dyDescent="0.25">
      <c r="A5455" s="1" t="s">
        <v>20</v>
      </c>
      <c r="B5455" s="1" t="s">
        <v>17560</v>
      </c>
      <c r="C5455" s="1" t="s">
        <v>17561</v>
      </c>
      <c r="D5455" s="1" t="s">
        <v>15819</v>
      </c>
      <c r="E5455" s="1" t="s">
        <v>15819</v>
      </c>
      <c r="F5455" s="1" t="s">
        <v>17562</v>
      </c>
      <c r="G5455" s="1" t="s">
        <v>17563</v>
      </c>
      <c r="H5455" s="2" t="str">
        <f>Tabella1[[#This Row],[Denominazione]]&amp;" - "&amp;Tabella1[[#This Row],[Città]]</f>
        <v>PROGRESSO - SAN BENEDETTO DEL TRONTO</v>
      </c>
    </row>
    <row r="5456" spans="1:8" x14ac:dyDescent="0.25">
      <c r="A5456" s="1" t="s">
        <v>20</v>
      </c>
      <c r="B5456" s="1" t="s">
        <v>2244</v>
      </c>
      <c r="C5456" s="1" t="s">
        <v>2245</v>
      </c>
      <c r="D5456" s="1" t="s">
        <v>1907</v>
      </c>
      <c r="E5456" s="1" t="s">
        <v>1907</v>
      </c>
      <c r="F5456" s="1" t="s">
        <v>2246</v>
      </c>
      <c r="G5456" s="1" t="s">
        <v>2247</v>
      </c>
      <c r="H5456" s="2" t="str">
        <f>Tabella1[[#This Row],[Denominazione]]&amp;" - "&amp;Tabella1[[#This Row],[Città]]</f>
        <v>PROMENADE - GABICCE MARE</v>
      </c>
    </row>
    <row r="5457" spans="1:8" x14ac:dyDescent="0.25">
      <c r="A5457" s="1" t="s">
        <v>20</v>
      </c>
      <c r="B5457" s="1" t="s">
        <v>2244</v>
      </c>
      <c r="C5457" s="1" t="s">
        <v>19421</v>
      </c>
      <c r="D5457" s="1" t="s">
        <v>19283</v>
      </c>
      <c r="E5457" s="1" t="s">
        <v>19422</v>
      </c>
      <c r="F5457" s="1" t="s">
        <v>19423</v>
      </c>
      <c r="G5457" s="1" t="s">
        <v>19424</v>
      </c>
      <c r="H5457" s="2" t="str">
        <f>Tabella1[[#This Row],[Denominazione]]&amp;" - "&amp;Tabella1[[#This Row],[Città]]</f>
        <v>PROMENADE - PORTO SANT'ELPIDIO</v>
      </c>
    </row>
    <row r="5458" spans="1:8" x14ac:dyDescent="0.25">
      <c r="A5458" s="1" t="s">
        <v>12</v>
      </c>
      <c r="B5458" s="1" t="s">
        <v>13108</v>
      </c>
      <c r="C5458" s="1" t="s">
        <v>13109</v>
      </c>
      <c r="D5458" s="1" t="s">
        <v>13026</v>
      </c>
      <c r="G5458" s="1" t="s">
        <v>13110</v>
      </c>
      <c r="H5458" s="2" t="str">
        <f>Tabella1[[#This Row],[Denominazione]]&amp;" - "&amp;Tabella1[[#This Row],[Città]]</f>
        <v>PURIFICO MAURIZIO - POTENZA PICENA</v>
      </c>
    </row>
    <row r="5459" spans="1:8" x14ac:dyDescent="0.25">
      <c r="A5459" s="1" t="s">
        <v>20</v>
      </c>
      <c r="B5459" s="1" t="s">
        <v>16810</v>
      </c>
      <c r="C5459" s="1" t="s">
        <v>16811</v>
      </c>
      <c r="D5459" s="1" t="s">
        <v>15819</v>
      </c>
      <c r="E5459" s="1" t="s">
        <v>15819</v>
      </c>
      <c r="F5459" s="1" t="s">
        <v>16812</v>
      </c>
      <c r="G5459" s="1" t="s">
        <v>16813</v>
      </c>
      <c r="H5459" s="2" t="str">
        <f>Tabella1[[#This Row],[Denominazione]]&amp;" - "&amp;Tabella1[[#This Row],[Città]]</f>
        <v>QUADRIFOGLIO - SAN BENEDETTO DEL TRONTO</v>
      </c>
    </row>
    <row r="5460" spans="1:8" x14ac:dyDescent="0.25">
      <c r="A5460" s="1" t="s">
        <v>679</v>
      </c>
      <c r="B5460" s="1" t="s">
        <v>19123</v>
      </c>
      <c r="C5460" s="1" t="s">
        <v>19048</v>
      </c>
      <c r="D5460" s="1" t="s">
        <v>18082</v>
      </c>
      <c r="E5460" s="1" t="s">
        <v>18082</v>
      </c>
      <c r="F5460" s="1" t="s">
        <v>19124</v>
      </c>
      <c r="H5460" s="2" t="str">
        <f>Tabella1[[#This Row],[Denominazione]]&amp;" - "&amp;Tabella1[[#This Row],[Città]]</f>
        <v>QUADRIFOGLIO BEACH - PORTO SAN GIORGIO</v>
      </c>
    </row>
    <row r="5461" spans="1:8" x14ac:dyDescent="0.25">
      <c r="A5461" s="1" t="s">
        <v>12</v>
      </c>
      <c r="B5461" s="1" t="s">
        <v>9131</v>
      </c>
      <c r="C5461" s="1" t="s">
        <v>9132</v>
      </c>
      <c r="D5461" s="1" t="s">
        <v>8949</v>
      </c>
      <c r="E5461" s="1" t="s">
        <v>8949</v>
      </c>
      <c r="G5461" s="1" t="s">
        <v>9037</v>
      </c>
      <c r="H5461" s="2" t="str">
        <f>Tabella1[[#This Row],[Denominazione]]&amp;" - "&amp;Tabella1[[#This Row],[Città]]</f>
        <v>QUADRINI LORENZA PAOLA - SENIGALLIA</v>
      </c>
    </row>
    <row r="5462" spans="1:8" x14ac:dyDescent="0.25">
      <c r="A5462" s="1" t="s">
        <v>571</v>
      </c>
      <c r="B5462" s="1" t="s">
        <v>18139</v>
      </c>
      <c r="C5462" s="1" t="s">
        <v>18140</v>
      </c>
      <c r="D5462" s="1" t="s">
        <v>17932</v>
      </c>
      <c r="E5462" s="1" t="s">
        <v>17932</v>
      </c>
      <c r="F5462" s="1" t="s">
        <v>18141</v>
      </c>
      <c r="G5462" s="1" t="s">
        <v>18142</v>
      </c>
      <c r="H5462" s="2" t="str">
        <f>Tabella1[[#This Row],[Denominazione]]&amp;" - "&amp;Tabella1[[#This Row],[Città]]</f>
        <v>QUATTRO CERCHI - FERMO</v>
      </c>
    </row>
    <row r="5463" spans="1:8" x14ac:dyDescent="0.25">
      <c r="A5463" s="1" t="s">
        <v>20</v>
      </c>
      <c r="B5463" s="1" t="s">
        <v>19187</v>
      </c>
      <c r="C5463" s="1" t="s">
        <v>19188</v>
      </c>
      <c r="D5463" s="1" t="s">
        <v>18082</v>
      </c>
      <c r="E5463" s="1" t="s">
        <v>18082</v>
      </c>
      <c r="G5463" s="1" t="s">
        <v>19189</v>
      </c>
      <c r="H5463" s="2" t="str">
        <f>Tabella1[[#This Row],[Denominazione]]&amp;" - "&amp;Tabella1[[#This Row],[Città]]</f>
        <v>QUATTRO RUOTE - PORTO SAN GIORGIO</v>
      </c>
    </row>
    <row r="5464" spans="1:8" x14ac:dyDescent="0.25">
      <c r="A5464" s="1" t="s">
        <v>82</v>
      </c>
      <c r="B5464" s="1" t="s">
        <v>871</v>
      </c>
      <c r="C5464" s="1" t="s">
        <v>872</v>
      </c>
      <c r="D5464" s="1" t="s">
        <v>682</v>
      </c>
      <c r="G5464" s="1" t="s">
        <v>873</v>
      </c>
      <c r="H5464" s="2" t="str">
        <f>Tabella1[[#This Row],[Denominazione]]&amp;" - "&amp;Tabella1[[#This Row],[Città]]</f>
        <v>QUATTRO STAGIONI - FANO</v>
      </c>
    </row>
    <row r="5465" spans="1:8" x14ac:dyDescent="0.25">
      <c r="A5465" s="1" t="s">
        <v>82</v>
      </c>
      <c r="B5465" s="1" t="s">
        <v>18202</v>
      </c>
      <c r="D5465" s="1" t="s">
        <v>17932</v>
      </c>
      <c r="H5465" s="2" t="str">
        <f>Tabella1[[#This Row],[Denominazione]]&amp;" - "&amp;Tabella1[[#This Row],[Città]]</f>
        <v>QUINTILI MARIA CANDIDA - FERMO</v>
      </c>
    </row>
    <row r="5466" spans="1:8" x14ac:dyDescent="0.25">
      <c r="A5466" s="1" t="s">
        <v>12</v>
      </c>
      <c r="B5466" s="1" t="s">
        <v>354</v>
      </c>
      <c r="C5466" s="1" t="s">
        <v>355</v>
      </c>
      <c r="D5466" s="1" t="s">
        <v>316</v>
      </c>
      <c r="E5466" s="1" t="s">
        <v>356</v>
      </c>
      <c r="G5466" s="1" t="s">
        <v>357</v>
      </c>
      <c r="H5466" s="2" t="str">
        <f>Tabella1[[#This Row],[Denominazione]]&amp;" - "&amp;Tabella1[[#This Row],[Città]]</f>
        <v>RADI MILENA - CAGLI</v>
      </c>
    </row>
    <row r="5467" spans="1:8" x14ac:dyDescent="0.25">
      <c r="A5467" s="1" t="s">
        <v>679</v>
      </c>
      <c r="B5467" s="1" t="s">
        <v>19468</v>
      </c>
      <c r="D5467" s="1" t="s">
        <v>19283</v>
      </c>
      <c r="F5467" s="1" t="s">
        <v>19469</v>
      </c>
      <c r="H5467" s="2" t="str">
        <f>Tabella1[[#This Row],[Denominazione]]&amp;" - "&amp;Tabella1[[#This Row],[Città]]</f>
        <v>RADIONAVE - PORTO SANT'ELPIDIO</v>
      </c>
    </row>
    <row r="5468" spans="1:8" x14ac:dyDescent="0.25">
      <c r="A5468" s="1" t="s">
        <v>29</v>
      </c>
      <c r="B5468" s="1" t="s">
        <v>5231</v>
      </c>
      <c r="C5468" s="1" t="s">
        <v>5232</v>
      </c>
      <c r="D5468" s="1" t="s">
        <v>9</v>
      </c>
      <c r="E5468" s="1" t="s">
        <v>9</v>
      </c>
      <c r="F5468" s="1" t="s">
        <v>5233</v>
      </c>
      <c r="G5468" s="1" t="s">
        <v>5234</v>
      </c>
      <c r="H5468" s="2" t="str">
        <f>Tabella1[[#This Row],[Denominazione]]&amp;" - "&amp;Tabella1[[#This Row],[Città]]</f>
        <v>RAFFAELLO - URBINO</v>
      </c>
    </row>
    <row r="5469" spans="1:8" x14ac:dyDescent="0.25">
      <c r="A5469" s="1" t="s">
        <v>6</v>
      </c>
      <c r="B5469" s="1" t="s">
        <v>8863</v>
      </c>
      <c r="C5469" s="1" t="s">
        <v>8864</v>
      </c>
      <c r="D5469" s="1" t="s">
        <v>8849</v>
      </c>
      <c r="F5469" s="1" t="s">
        <v>8865</v>
      </c>
      <c r="G5469" s="1" t="s">
        <v>8866</v>
      </c>
      <c r="H5469" s="2" t="str">
        <f>Tabella1[[#This Row],[Denominazione]]&amp;" - "&amp;Tabella1[[#This Row],[Città]]</f>
        <v>RAFFAELLO RESIDENCE - SASSOFERRATO</v>
      </c>
    </row>
    <row r="5470" spans="1:8" x14ac:dyDescent="0.25">
      <c r="A5470" s="1" t="s">
        <v>679</v>
      </c>
      <c r="B5470" s="1" t="s">
        <v>7086</v>
      </c>
      <c r="C5470" s="1" t="s">
        <v>7087</v>
      </c>
      <c r="D5470" s="1" t="s">
        <v>5735</v>
      </c>
      <c r="E5470" s="1" t="s">
        <v>5735</v>
      </c>
      <c r="H5470" s="2" t="str">
        <f>Tabella1[[#This Row],[Denominazione]]&amp;" - "&amp;Tabella1[[#This Row],[Città]]</f>
        <v>RAFFYCLA - FALCONARA MARITTIMA</v>
      </c>
    </row>
    <row r="5471" spans="1:8" x14ac:dyDescent="0.25">
      <c r="A5471" s="1" t="s">
        <v>6</v>
      </c>
      <c r="B5471" s="1" t="s">
        <v>4708</v>
      </c>
      <c r="C5471" s="1" t="s">
        <v>4709</v>
      </c>
      <c r="D5471" s="1" t="s">
        <v>4657</v>
      </c>
      <c r="E5471" s="1" t="s">
        <v>4657</v>
      </c>
      <c r="F5471" s="1" t="s">
        <v>4710</v>
      </c>
      <c r="G5471" s="1" t="s">
        <v>4711</v>
      </c>
      <c r="H5471" s="2" t="str">
        <f>Tabella1[[#This Row],[Denominazione]]&amp;" - "&amp;Tabella1[[#This Row],[Città]]</f>
        <v>RAGGIO DI LUCE - TAVULLIA</v>
      </c>
    </row>
    <row r="5472" spans="1:8" x14ac:dyDescent="0.25">
      <c r="A5472" s="1" t="s">
        <v>571</v>
      </c>
      <c r="B5472" s="1" t="s">
        <v>9605</v>
      </c>
      <c r="C5472" s="1" t="s">
        <v>9606</v>
      </c>
      <c r="D5472" s="1" t="s">
        <v>8949</v>
      </c>
      <c r="E5472" s="1" t="s">
        <v>8949</v>
      </c>
      <c r="H5472" s="2" t="str">
        <f>Tabella1[[#This Row],[Denominazione]]&amp;" - "&amp;Tabella1[[#This Row],[Città]]</f>
        <v>RAGGIO DI LUNA - SENIGALLIA</v>
      </c>
    </row>
    <row r="5473" spans="1:8" x14ac:dyDescent="0.25">
      <c r="A5473" s="1" t="s">
        <v>35</v>
      </c>
      <c r="B5473" s="1" t="s">
        <v>487</v>
      </c>
      <c r="C5473" s="1" t="s">
        <v>488</v>
      </c>
      <c r="D5473" s="1" t="s">
        <v>316</v>
      </c>
      <c r="E5473" s="1" t="s">
        <v>316</v>
      </c>
      <c r="H5473" s="2" t="str">
        <f>Tabella1[[#This Row],[Denominazione]]&amp;" - "&amp;Tabella1[[#This Row],[Città]]</f>
        <v>RAGGIO DI SOLE - CAGLI</v>
      </c>
    </row>
    <row r="5474" spans="1:8" x14ac:dyDescent="0.25">
      <c r="A5474" s="1" t="s">
        <v>82</v>
      </c>
      <c r="B5474" s="1" t="s">
        <v>8406</v>
      </c>
      <c r="C5474" s="1" t="s">
        <v>8407</v>
      </c>
      <c r="D5474" s="1" t="s">
        <v>7889</v>
      </c>
      <c r="E5474" s="1" t="s">
        <v>7889</v>
      </c>
      <c r="F5474" s="1" t="s">
        <v>8322</v>
      </c>
      <c r="G5474" s="1" t="s">
        <v>8408</v>
      </c>
      <c r="H5474" s="2" t="str">
        <f>Tabella1[[#This Row],[Denominazione]]&amp;" - "&amp;Tabella1[[#This Row],[Città]]</f>
        <v>RAGNI GIUSEPPE - NUMANA</v>
      </c>
    </row>
    <row r="5475" spans="1:8" x14ac:dyDescent="0.25">
      <c r="A5475" s="1" t="s">
        <v>679</v>
      </c>
      <c r="B5475" s="1" t="s">
        <v>15838</v>
      </c>
      <c r="C5475" s="1" t="s">
        <v>15839</v>
      </c>
      <c r="D5475" s="1" t="s">
        <v>15585</v>
      </c>
      <c r="G5475" s="1" t="s">
        <v>15840</v>
      </c>
      <c r="H5475" s="2" t="str">
        <f>Tabella1[[#This Row],[Denominazione]]&amp;" - "&amp;Tabella1[[#This Row],[Città]]</f>
        <v>RAGNO VERDE - GROTTAMMARE</v>
      </c>
    </row>
    <row r="5476" spans="1:8" x14ac:dyDescent="0.25">
      <c r="A5476" s="1" t="s">
        <v>35</v>
      </c>
      <c r="B5476" s="1" t="s">
        <v>1732</v>
      </c>
      <c r="D5476" s="1" t="s">
        <v>1724</v>
      </c>
      <c r="E5476" s="1" t="s">
        <v>1724</v>
      </c>
      <c r="F5476" s="1" t="s">
        <v>1733</v>
      </c>
      <c r="G5476" s="1" t="s">
        <v>1734</v>
      </c>
      <c r="H5476" s="2" t="str">
        <f>Tabella1[[#This Row],[Denominazione]]&amp;" - "&amp;Tabella1[[#This Row],[Città]]</f>
        <v>RANCO - FOSSOMBRONE</v>
      </c>
    </row>
    <row r="5477" spans="1:8" x14ac:dyDescent="0.25">
      <c r="A5477" s="1" t="s">
        <v>35</v>
      </c>
      <c r="B5477" s="1" t="s">
        <v>422</v>
      </c>
      <c r="C5477" s="1" t="s">
        <v>423</v>
      </c>
      <c r="D5477" s="1" t="s">
        <v>316</v>
      </c>
      <c r="E5477" s="1" t="s">
        <v>316</v>
      </c>
      <c r="F5477" s="1" t="s">
        <v>424</v>
      </c>
      <c r="G5477" s="1" t="s">
        <v>425</v>
      </c>
      <c r="H5477" s="2" t="str">
        <f>Tabella1[[#This Row],[Denominazione]]&amp;" - "&amp;Tabella1[[#This Row],[Città]]</f>
        <v>RANCO DI SOPRA - CAGLI</v>
      </c>
    </row>
    <row r="5478" spans="1:8" x14ac:dyDescent="0.25">
      <c r="A5478" s="1" t="s">
        <v>82</v>
      </c>
      <c r="B5478" s="1" t="s">
        <v>282</v>
      </c>
      <c r="D5478" s="1" t="s">
        <v>266</v>
      </c>
      <c r="E5478" s="1" t="s">
        <v>283</v>
      </c>
      <c r="G5478" s="1" t="s">
        <v>284</v>
      </c>
      <c r="H5478" s="2" t="str">
        <f>Tabella1[[#This Row],[Denominazione]]&amp;" - "&amp;Tabella1[[#This Row],[Città]]</f>
        <v>RANCO FABBRO - BORGO PACE</v>
      </c>
    </row>
    <row r="5479" spans="1:8" x14ac:dyDescent="0.25">
      <c r="A5479" s="1" t="s">
        <v>679</v>
      </c>
      <c r="B5479" s="1" t="s">
        <v>11585</v>
      </c>
      <c r="C5479" s="1" t="s">
        <v>11586</v>
      </c>
      <c r="D5479" s="1" t="s">
        <v>11244</v>
      </c>
      <c r="F5479" s="1" t="s">
        <v>11587</v>
      </c>
      <c r="G5479" s="1" t="s">
        <v>11588</v>
      </c>
      <c r="H5479" s="2" t="str">
        <f>Tabella1[[#This Row],[Denominazione]]&amp;" - "&amp;Tabella1[[#This Row],[Città]]</f>
        <v>RAPHAEL BEACH - CIVITANOVA MARCHE</v>
      </c>
    </row>
    <row r="5480" spans="1:8" x14ac:dyDescent="0.25">
      <c r="A5480" s="1" t="s">
        <v>29</v>
      </c>
      <c r="B5480" s="1" t="s">
        <v>5567</v>
      </c>
      <c r="C5480" s="1" t="s">
        <v>5568</v>
      </c>
      <c r="D5480" s="1" t="s">
        <v>1864</v>
      </c>
      <c r="E5480" s="1" t="s">
        <v>1864</v>
      </c>
      <c r="G5480" s="1" t="s">
        <v>5569</v>
      </c>
      <c r="H5480" s="2" t="str">
        <f>Tabella1[[#This Row],[Denominazione]]&amp;" - "&amp;Tabella1[[#This Row],[Città]]</f>
        <v>RAYO DE SOL - ANCONA</v>
      </c>
    </row>
    <row r="5481" spans="1:8" x14ac:dyDescent="0.25">
      <c r="A5481" s="1" t="s">
        <v>679</v>
      </c>
      <c r="B5481" s="1" t="s">
        <v>3855</v>
      </c>
      <c r="C5481" s="1" t="s">
        <v>3811</v>
      </c>
      <c r="D5481" s="1" t="s">
        <v>2386</v>
      </c>
      <c r="E5481" s="1" t="s">
        <v>3812</v>
      </c>
      <c r="H5481" s="2" t="str">
        <f>Tabella1[[#This Row],[Denominazione]]&amp;" - "&amp;Tabella1[[#This Row],[Città]]</f>
        <v>RE SOLE - PESARO</v>
      </c>
    </row>
    <row r="5482" spans="1:8" x14ac:dyDescent="0.25">
      <c r="A5482" s="1" t="s">
        <v>12</v>
      </c>
      <c r="B5482" s="1" t="s">
        <v>13085</v>
      </c>
      <c r="C5482" s="1" t="s">
        <v>13086</v>
      </c>
      <c r="D5482" s="1" t="s">
        <v>13026</v>
      </c>
      <c r="E5482" s="1" t="s">
        <v>13026</v>
      </c>
      <c r="H5482" s="2" t="str">
        <f>Tabella1[[#This Row],[Denominazione]]&amp;" - "&amp;Tabella1[[#This Row],[Città]]</f>
        <v>RE VINCENZO - POTENZA PICENA</v>
      </c>
    </row>
    <row r="5483" spans="1:8" x14ac:dyDescent="0.25">
      <c r="A5483" s="1" t="s">
        <v>29</v>
      </c>
      <c r="B5483" s="1" t="s">
        <v>4331</v>
      </c>
      <c r="C5483" s="1" t="s">
        <v>4332</v>
      </c>
      <c r="D5483" s="1" t="s">
        <v>4272</v>
      </c>
      <c r="E5483" s="1" t="s">
        <v>4272</v>
      </c>
      <c r="F5483" s="1" t="s">
        <v>4333</v>
      </c>
      <c r="G5483" s="1" t="s">
        <v>4334</v>
      </c>
      <c r="H5483" s="2" t="str">
        <f>Tabella1[[#This Row],[Denominazione]]&amp;" - "&amp;Tabella1[[#This Row],[Città]]</f>
        <v>REDGEKKO B&amp;B - SAN COSTANZO</v>
      </c>
    </row>
    <row r="5484" spans="1:8" x14ac:dyDescent="0.25">
      <c r="A5484" s="1" t="s">
        <v>20</v>
      </c>
      <c r="B5484" s="1" t="s">
        <v>17451</v>
      </c>
      <c r="C5484" s="1" t="s">
        <v>17452</v>
      </c>
      <c r="D5484" s="1" t="s">
        <v>15819</v>
      </c>
      <c r="E5484" s="1" t="s">
        <v>15819</v>
      </c>
      <c r="F5484" s="1" t="s">
        <v>17453</v>
      </c>
      <c r="G5484" s="1" t="s">
        <v>17454</v>
      </c>
      <c r="H5484" s="2" t="str">
        <f>Tabella1[[#This Row],[Denominazione]]&amp;" - "&amp;Tabella1[[#This Row],[Città]]</f>
        <v>REGENT - SAN BENEDETTO DEL TRONTO</v>
      </c>
    </row>
    <row r="5485" spans="1:8" x14ac:dyDescent="0.25">
      <c r="A5485" s="1" t="s">
        <v>20</v>
      </c>
      <c r="B5485" s="1" t="s">
        <v>9749</v>
      </c>
      <c r="C5485" s="1" t="s">
        <v>9750</v>
      </c>
      <c r="D5485" s="1" t="s">
        <v>8949</v>
      </c>
      <c r="E5485" s="1" t="s">
        <v>8949</v>
      </c>
      <c r="F5485" s="1" t="s">
        <v>9751</v>
      </c>
      <c r="G5485" s="1" t="s">
        <v>9752</v>
      </c>
      <c r="H5485" s="2" t="str">
        <f>Tabella1[[#This Row],[Denominazione]]&amp;" - "&amp;Tabella1[[#This Row],[Città]]</f>
        <v>REGINA - SENIGALLIA</v>
      </c>
    </row>
    <row r="5486" spans="1:8" x14ac:dyDescent="0.25">
      <c r="A5486" s="1" t="s">
        <v>571</v>
      </c>
      <c r="B5486" s="1" t="s">
        <v>9749</v>
      </c>
      <c r="D5486" s="1" t="s">
        <v>13026</v>
      </c>
      <c r="E5486" s="1" t="s">
        <v>13105</v>
      </c>
      <c r="F5486" s="1" t="s">
        <v>13234</v>
      </c>
      <c r="G5486" s="1" t="s">
        <v>13235</v>
      </c>
      <c r="H5486" s="2" t="str">
        <f>Tabella1[[#This Row],[Denominazione]]&amp;" - "&amp;Tabella1[[#This Row],[Città]]</f>
        <v>REGINA - POTENZA PICENA</v>
      </c>
    </row>
    <row r="5487" spans="1:8" x14ac:dyDescent="0.25">
      <c r="A5487" s="1" t="s">
        <v>571</v>
      </c>
      <c r="B5487" s="1" t="s">
        <v>12872</v>
      </c>
      <c r="C5487" s="1" t="s">
        <v>12873</v>
      </c>
      <c r="D5487" s="1" t="s">
        <v>12801</v>
      </c>
      <c r="E5487" s="1" t="s">
        <v>12801</v>
      </c>
      <c r="G5487" s="1" t="s">
        <v>12874</v>
      </c>
      <c r="H5487" s="2" t="str">
        <f>Tabella1[[#This Row],[Denominazione]]&amp;" - "&amp;Tabella1[[#This Row],[Città]]</f>
        <v>REGINA 2° - PORTO RECANATI</v>
      </c>
    </row>
    <row r="5488" spans="1:8" x14ac:dyDescent="0.25">
      <c r="A5488" s="1" t="s">
        <v>679</v>
      </c>
      <c r="B5488" s="1" t="s">
        <v>1046</v>
      </c>
      <c r="D5488" s="1" t="s">
        <v>682</v>
      </c>
      <c r="E5488" s="1" t="s">
        <v>1014</v>
      </c>
      <c r="H5488" s="2" t="str">
        <f>Tabella1[[#This Row],[Denominazione]]&amp;" - "&amp;Tabella1[[#This Row],[Città]]</f>
        <v>REGINA BEACH DI BACCHIOCCHI SILVIA E CIACCI SIRIANA - FANO</v>
      </c>
    </row>
    <row r="5489" spans="1:8" x14ac:dyDescent="0.25">
      <c r="A5489" s="1" t="s">
        <v>29</v>
      </c>
      <c r="B5489" s="1" t="s">
        <v>7676</v>
      </c>
      <c r="C5489" s="1" t="s">
        <v>7677</v>
      </c>
      <c r="D5489" s="1" t="s">
        <v>7678</v>
      </c>
      <c r="G5489" s="1" t="s">
        <v>7679</v>
      </c>
      <c r="H5489" s="2" t="str">
        <f>Tabella1[[#This Row],[Denominazione]]&amp;" - "&amp;Tabella1[[#This Row],[Città]]</f>
        <v>REILLYS B&amp;B - MONTECAROTTO</v>
      </c>
    </row>
    <row r="5490" spans="1:8" x14ac:dyDescent="0.25">
      <c r="A5490" s="1" t="s">
        <v>29</v>
      </c>
      <c r="B5490" s="1" t="s">
        <v>6390</v>
      </c>
      <c r="C5490" s="1" t="s">
        <v>6391</v>
      </c>
      <c r="D5490" s="1" t="s">
        <v>6371</v>
      </c>
      <c r="F5490" s="1" t="s">
        <v>6392</v>
      </c>
      <c r="G5490" s="1" t="s">
        <v>6393</v>
      </c>
      <c r="H5490" s="2" t="str">
        <f>Tabella1[[#This Row],[Denominazione]]&amp;" - "&amp;Tabella1[[#This Row],[Città]]</f>
        <v>RELAIS CHAMBRE - CASTELFIDARDO</v>
      </c>
    </row>
    <row r="5491" spans="1:8" x14ac:dyDescent="0.25">
      <c r="A5491" s="1" t="s">
        <v>20</v>
      </c>
      <c r="B5491" s="1" t="s">
        <v>15743</v>
      </c>
      <c r="C5491" s="1" t="s">
        <v>15744</v>
      </c>
      <c r="D5491" s="1" t="s">
        <v>15585</v>
      </c>
      <c r="E5491" s="1" t="s">
        <v>15585</v>
      </c>
      <c r="F5491" s="1" t="s">
        <v>15745</v>
      </c>
      <c r="G5491" s="1" t="s">
        <v>15746</v>
      </c>
      <c r="H5491" s="2" t="str">
        <f>Tabella1[[#This Row],[Denominazione]]&amp;" - "&amp;Tabella1[[#This Row],[Città]]</f>
        <v>RELAIS CONCORDE - GROTTAMMARE</v>
      </c>
    </row>
    <row r="5492" spans="1:8" x14ac:dyDescent="0.25">
      <c r="A5492" s="1" t="s">
        <v>20</v>
      </c>
      <c r="B5492" s="1" t="s">
        <v>10486</v>
      </c>
      <c r="C5492" s="1" t="s">
        <v>10487</v>
      </c>
      <c r="D5492" s="1" t="s">
        <v>10488</v>
      </c>
      <c r="E5492" s="1" t="s">
        <v>10488</v>
      </c>
      <c r="F5492" s="1" t="s">
        <v>10489</v>
      </c>
      <c r="G5492" s="1" t="s">
        <v>10490</v>
      </c>
      <c r="H5492" s="2" t="str">
        <f>Tabella1[[#This Row],[Denominazione]]&amp;" - "&amp;Tabella1[[#This Row],[Città]]</f>
        <v>RELAIS DEL BORGO HOTEL &amp; SPA - STAFFOLO</v>
      </c>
    </row>
    <row r="5493" spans="1:8" x14ac:dyDescent="0.25">
      <c r="A5493" s="1" t="s">
        <v>82</v>
      </c>
      <c r="B5493" s="1" t="s">
        <v>373</v>
      </c>
      <c r="C5493" s="1" t="s">
        <v>374</v>
      </c>
      <c r="D5493" s="1" t="s">
        <v>316</v>
      </c>
      <c r="E5493" s="1" t="s">
        <v>316</v>
      </c>
      <c r="H5493" s="2" t="str">
        <f>Tabella1[[#This Row],[Denominazione]]&amp;" - "&amp;Tabella1[[#This Row],[Città]]</f>
        <v>RELAIS DRUDA - CAGLI</v>
      </c>
    </row>
    <row r="5494" spans="1:8" x14ac:dyDescent="0.25">
      <c r="A5494" s="1" t="s">
        <v>82</v>
      </c>
      <c r="B5494" s="1" t="s">
        <v>1662</v>
      </c>
      <c r="C5494" s="1" t="s">
        <v>1663</v>
      </c>
      <c r="D5494" s="1" t="s">
        <v>1653</v>
      </c>
      <c r="F5494" s="1" t="s">
        <v>1664</v>
      </c>
      <c r="G5494" s="1" t="s">
        <v>1665</v>
      </c>
      <c r="H5494" s="2" t="str">
        <f>Tabella1[[#This Row],[Denominazione]]&amp;" - "&amp;Tabella1[[#This Row],[Città]]</f>
        <v>RELAIS SERRA ALTA - FERMIGNANO</v>
      </c>
    </row>
    <row r="5495" spans="1:8" x14ac:dyDescent="0.25">
      <c r="A5495" s="1" t="s">
        <v>20</v>
      </c>
      <c r="B5495" s="1" t="s">
        <v>10234</v>
      </c>
      <c r="C5495" s="1" t="s">
        <v>10235</v>
      </c>
      <c r="D5495" s="1" t="s">
        <v>10206</v>
      </c>
      <c r="F5495" s="1" t="s">
        <v>10236</v>
      </c>
      <c r="G5495" s="1" t="s">
        <v>10237</v>
      </c>
      <c r="H5495" s="2" t="str">
        <f>Tabella1[[#This Row],[Denominazione]]&amp;" - "&amp;Tabella1[[#This Row],[Città]]</f>
        <v>RELAIS VALCASTAGNO - SIROLO</v>
      </c>
    </row>
    <row r="5496" spans="1:8" x14ac:dyDescent="0.25">
      <c r="A5496" s="1" t="s">
        <v>6</v>
      </c>
      <c r="B5496" s="1" t="s">
        <v>10756</v>
      </c>
      <c r="C5496" s="1" t="s">
        <v>10757</v>
      </c>
      <c r="D5496" s="1" t="s">
        <v>10737</v>
      </c>
      <c r="E5496" s="1" t="s">
        <v>10737</v>
      </c>
      <c r="F5496" s="1" t="s">
        <v>10758</v>
      </c>
      <c r="G5496" s="1" t="s">
        <v>10759</v>
      </c>
      <c r="H5496" s="2" t="str">
        <f>Tabella1[[#This Row],[Denominazione]]&amp;" - "&amp;Tabella1[[#This Row],[Città]]</f>
        <v>RELAIS VILLA FORNARI - CAMERINO</v>
      </c>
    </row>
    <row r="5497" spans="1:8" x14ac:dyDescent="0.25">
      <c r="A5497" s="1" t="s">
        <v>20</v>
      </c>
      <c r="B5497" s="1" t="s">
        <v>17564</v>
      </c>
      <c r="C5497" s="1" t="s">
        <v>17565</v>
      </c>
      <c r="D5497" s="1" t="s">
        <v>15819</v>
      </c>
      <c r="E5497" s="1" t="s">
        <v>15819</v>
      </c>
      <c r="F5497" s="1" t="s">
        <v>17566</v>
      </c>
      <c r="G5497" s="1" t="s">
        <v>17567</v>
      </c>
      <c r="H5497" s="2" t="str">
        <f>Tabella1[[#This Row],[Denominazione]]&amp;" - "&amp;Tabella1[[#This Row],[Città]]</f>
        <v>RELAX - SAN BENEDETTO DEL TRONTO</v>
      </c>
    </row>
    <row r="5498" spans="1:8" x14ac:dyDescent="0.25">
      <c r="A5498" s="1" t="s">
        <v>12</v>
      </c>
      <c r="B5498" s="1" t="s">
        <v>5495</v>
      </c>
      <c r="C5498" s="1" t="s">
        <v>5496</v>
      </c>
      <c r="D5498" s="1" t="s">
        <v>1864</v>
      </c>
      <c r="G5498" s="1" t="s">
        <v>5497</v>
      </c>
      <c r="H5498" s="2" t="str">
        <f>Tabella1[[#This Row],[Denominazione]]&amp;" - "&amp;Tabella1[[#This Row],[Città]]</f>
        <v>RENATA PAOLINI - ANCONA</v>
      </c>
    </row>
    <row r="5499" spans="1:8" x14ac:dyDescent="0.25">
      <c r="A5499" s="1" t="s">
        <v>571</v>
      </c>
      <c r="B5499" s="1" t="s">
        <v>10293</v>
      </c>
      <c r="C5499" s="1" t="s">
        <v>10294</v>
      </c>
      <c r="D5499" s="1" t="s">
        <v>10206</v>
      </c>
      <c r="E5499" s="1" t="s">
        <v>10206</v>
      </c>
      <c r="G5499" s="1" t="s">
        <v>10281</v>
      </c>
      <c r="H5499" s="2" t="str">
        <f>Tabella1[[#This Row],[Denominazione]]&amp;" - "&amp;Tabella1[[#This Row],[Città]]</f>
        <v>RENO - SIROLO</v>
      </c>
    </row>
    <row r="5500" spans="1:8" x14ac:dyDescent="0.25">
      <c r="A5500" s="1" t="s">
        <v>679</v>
      </c>
      <c r="B5500" s="1" t="s">
        <v>17160</v>
      </c>
      <c r="C5500" s="1" t="s">
        <v>17161</v>
      </c>
      <c r="D5500" s="1" t="s">
        <v>15819</v>
      </c>
      <c r="H5500" s="2" t="str">
        <f>Tabella1[[#This Row],[Denominazione]]&amp;" - "&amp;Tabella1[[#This Row],[Città]]</f>
        <v>RENO'S 54 - SAN BENEDETTO DEL TRONTO</v>
      </c>
    </row>
    <row r="5501" spans="1:8" x14ac:dyDescent="0.25">
      <c r="A5501" s="1" t="s">
        <v>82</v>
      </c>
      <c r="B5501" s="1" t="s">
        <v>4664</v>
      </c>
      <c r="C5501" s="1" t="s">
        <v>4665</v>
      </c>
      <c r="D5501" s="1" t="s">
        <v>4657</v>
      </c>
      <c r="E5501" s="1" t="s">
        <v>4657</v>
      </c>
      <c r="G5501" s="1" t="s">
        <v>4666</v>
      </c>
      <c r="H5501" s="2" t="str">
        <f>Tabella1[[#This Row],[Denominazione]]&amp;" - "&amp;Tabella1[[#This Row],[Città]]</f>
        <v>RENTAL ROOMS ANTONELLA di ANTONELLA SERAFINI - TAVULLIA</v>
      </c>
    </row>
    <row r="5502" spans="1:8" x14ac:dyDescent="0.25">
      <c r="A5502" s="1" t="s">
        <v>82</v>
      </c>
      <c r="B5502" s="1" t="s">
        <v>3795</v>
      </c>
      <c r="C5502" s="1" t="s">
        <v>3796</v>
      </c>
      <c r="D5502" s="1" t="s">
        <v>2386</v>
      </c>
      <c r="E5502" s="1" t="s">
        <v>3797</v>
      </c>
      <c r="G5502" s="1" t="s">
        <v>3640</v>
      </c>
      <c r="H5502" s="2" t="str">
        <f>Tabella1[[#This Row],[Denominazione]]&amp;" - "&amp;Tabella1[[#This Row],[Città]]</f>
        <v>RESIDENCE ABBAZIA - PESARO</v>
      </c>
    </row>
    <row r="5503" spans="1:8" x14ac:dyDescent="0.25">
      <c r="A5503" s="1" t="s">
        <v>82</v>
      </c>
      <c r="B5503" s="1" t="s">
        <v>17396</v>
      </c>
      <c r="C5503" s="1" t="s">
        <v>17397</v>
      </c>
      <c r="D5503" s="1" t="s">
        <v>15819</v>
      </c>
      <c r="E5503" s="1" t="s">
        <v>15819</v>
      </c>
      <c r="F5503" s="1" t="s">
        <v>17370</v>
      </c>
      <c r="G5503" s="1" t="s">
        <v>17398</v>
      </c>
      <c r="H5503" s="2" t="str">
        <f>Tabella1[[#This Row],[Denominazione]]&amp;" - "&amp;Tabella1[[#This Row],[Città]]</f>
        <v>RESIDENCE ALEXANDER - SAN BENEDETTO DEL TRONTO</v>
      </c>
    </row>
    <row r="5504" spans="1:8" x14ac:dyDescent="0.25">
      <c r="A5504" s="1" t="s">
        <v>403</v>
      </c>
      <c r="B5504" s="1" t="s">
        <v>9370</v>
      </c>
      <c r="C5504" s="1" t="s">
        <v>9371</v>
      </c>
      <c r="D5504" s="1" t="s">
        <v>8949</v>
      </c>
      <c r="G5504" s="1" t="s">
        <v>9372</v>
      </c>
      <c r="H5504" s="2" t="str">
        <f>Tabella1[[#This Row],[Denominazione]]&amp;" - "&amp;Tabella1[[#This Row],[Città]]</f>
        <v>RESIDENCE AMERICA - SENIGALLIA</v>
      </c>
    </row>
    <row r="5505" spans="1:8" x14ac:dyDescent="0.25">
      <c r="A5505" s="1" t="s">
        <v>82</v>
      </c>
      <c r="B5505" s="1" t="s">
        <v>5473</v>
      </c>
      <c r="C5505" s="1" t="s">
        <v>5474</v>
      </c>
      <c r="D5505" s="1" t="s">
        <v>1864</v>
      </c>
      <c r="F5505" s="1" t="s">
        <v>5475</v>
      </c>
      <c r="G5505" s="1" t="s">
        <v>5476</v>
      </c>
      <c r="H5505" s="2" t="str">
        <f>Tabella1[[#This Row],[Denominazione]]&amp;" - "&amp;Tabella1[[#This Row],[Città]]</f>
        <v>RESIDENCE ANCONA - ANCONA</v>
      </c>
    </row>
    <row r="5506" spans="1:8" x14ac:dyDescent="0.25">
      <c r="A5506" s="1" t="s">
        <v>82</v>
      </c>
      <c r="B5506" s="1" t="s">
        <v>3791</v>
      </c>
      <c r="C5506" s="1" t="s">
        <v>3792</v>
      </c>
      <c r="D5506" s="1" t="s">
        <v>2386</v>
      </c>
      <c r="E5506" s="1" t="s">
        <v>2386</v>
      </c>
      <c r="F5506" s="1" t="s">
        <v>3793</v>
      </c>
      <c r="G5506" s="1" t="s">
        <v>3794</v>
      </c>
      <c r="H5506" s="2" t="str">
        <f>Tabella1[[#This Row],[Denominazione]]&amp;" - "&amp;Tabella1[[#This Row],[Città]]</f>
        <v>RESIDENCE ARIANNA - PESARO</v>
      </c>
    </row>
    <row r="5507" spans="1:8" x14ac:dyDescent="0.25">
      <c r="A5507" s="1" t="s">
        <v>12</v>
      </c>
      <c r="B5507" s="1" t="s">
        <v>2007</v>
      </c>
      <c r="C5507" s="1" t="s">
        <v>2008</v>
      </c>
      <c r="D5507" s="1" t="s">
        <v>1907</v>
      </c>
      <c r="H5507" s="2" t="str">
        <f>Tabella1[[#This Row],[Denominazione]]&amp;" - "&amp;Tabella1[[#This Row],[Città]]</f>
        <v>RESIDENCE AZZURRO - GABICCE MARE</v>
      </c>
    </row>
    <row r="5508" spans="1:8" x14ac:dyDescent="0.25">
      <c r="A5508" s="1" t="s">
        <v>82</v>
      </c>
      <c r="B5508" s="1" t="s">
        <v>2007</v>
      </c>
      <c r="C5508" s="1" t="s">
        <v>16013</v>
      </c>
      <c r="D5508" s="1" t="s">
        <v>5692</v>
      </c>
      <c r="E5508" s="1" t="s">
        <v>5692</v>
      </c>
      <c r="F5508" s="1" t="s">
        <v>16014</v>
      </c>
      <c r="G5508" s="1" t="s">
        <v>16015</v>
      </c>
      <c r="H5508" s="2" t="str">
        <f>Tabella1[[#This Row],[Denominazione]]&amp;" - "&amp;Tabella1[[#This Row],[Città]]</f>
        <v>RESIDENCE AZZURRO - MASSIGNANO</v>
      </c>
    </row>
    <row r="5509" spans="1:8" x14ac:dyDescent="0.25">
      <c r="A5509" s="1" t="s">
        <v>403</v>
      </c>
      <c r="B5509" s="1" t="s">
        <v>2053</v>
      </c>
      <c r="C5509" s="1" t="s">
        <v>2054</v>
      </c>
      <c r="D5509" s="1" t="s">
        <v>1907</v>
      </c>
      <c r="F5509" s="1" t="s">
        <v>2055</v>
      </c>
      <c r="G5509" s="1" t="s">
        <v>2056</v>
      </c>
      <c r="H5509" s="2" t="str">
        <f>Tabella1[[#This Row],[Denominazione]]&amp;" - "&amp;Tabella1[[#This Row],[Città]]</f>
        <v>RESIDENCE BEACH RESIDENCE - GABICCE MARE</v>
      </c>
    </row>
    <row r="5510" spans="1:8" x14ac:dyDescent="0.25">
      <c r="A5510" s="1" t="s">
        <v>403</v>
      </c>
      <c r="B5510" s="1" t="s">
        <v>17067</v>
      </c>
      <c r="C5510" s="1" t="s">
        <v>17068</v>
      </c>
      <c r="D5510" s="1" t="s">
        <v>15819</v>
      </c>
      <c r="E5510" s="1" t="s">
        <v>15819</v>
      </c>
      <c r="F5510" s="1" t="s">
        <v>17069</v>
      </c>
      <c r="G5510" s="1" t="s">
        <v>17070</v>
      </c>
      <c r="H5510" s="2" t="str">
        <f>Tabella1[[#This Row],[Denominazione]]&amp;" - "&amp;Tabella1[[#This Row],[Città]]</f>
        <v>RESIDENCE BEAURIVAGE - SAN BENEDETTO DEL TRONTO</v>
      </c>
    </row>
    <row r="5511" spans="1:8" x14ac:dyDescent="0.25">
      <c r="A5511" s="1" t="s">
        <v>403</v>
      </c>
      <c r="B5511" s="1" t="s">
        <v>17071</v>
      </c>
      <c r="C5511" s="1" t="s">
        <v>17072</v>
      </c>
      <c r="D5511" s="1" t="s">
        <v>15819</v>
      </c>
      <c r="E5511" s="1" t="s">
        <v>15819</v>
      </c>
      <c r="F5511" s="1" t="s">
        <v>17073</v>
      </c>
      <c r="G5511" s="1" t="s">
        <v>17074</v>
      </c>
      <c r="H5511" s="2" t="str">
        <f>Tabella1[[#This Row],[Denominazione]]&amp;" - "&amp;Tabella1[[#This Row],[Città]]</f>
        <v>RESIDENCE BOOMERANG - SAN BENEDETTO DEL TRONTO</v>
      </c>
    </row>
    <row r="5512" spans="1:8" x14ac:dyDescent="0.25">
      <c r="A5512" s="1" t="s">
        <v>82</v>
      </c>
      <c r="B5512" s="1" t="s">
        <v>16434</v>
      </c>
      <c r="C5512" s="1" t="s">
        <v>16435</v>
      </c>
      <c r="D5512" s="1" t="s">
        <v>16396</v>
      </c>
      <c r="F5512" s="1" t="s">
        <v>16436</v>
      </c>
      <c r="G5512" s="1" t="s">
        <v>16437</v>
      </c>
      <c r="H5512" s="2" t="str">
        <f>Tabella1[[#This Row],[Denominazione]]&amp;" - "&amp;Tabella1[[#This Row],[Città]]</f>
        <v>RESIDENCE BORGO DA MARE - MONTEPRANDONE</v>
      </c>
    </row>
    <row r="5513" spans="1:8" x14ac:dyDescent="0.25">
      <c r="A5513" s="1" t="s">
        <v>82</v>
      </c>
      <c r="B5513" s="1" t="s">
        <v>17215</v>
      </c>
      <c r="C5513" s="1" t="s">
        <v>17216</v>
      </c>
      <c r="D5513" s="1" t="s">
        <v>15819</v>
      </c>
      <c r="E5513" s="1" t="s">
        <v>15819</v>
      </c>
      <c r="F5513" s="1" t="s">
        <v>17217</v>
      </c>
      <c r="G5513" s="1" t="s">
        <v>17218</v>
      </c>
      <c r="H5513" s="2" t="str">
        <f>Tabella1[[#This Row],[Denominazione]]&amp;" - "&amp;Tabella1[[#This Row],[Città]]</f>
        <v>RESIDENCE BREZZA DI MARE - SAN BENEDETTO DEL TRONTO</v>
      </c>
    </row>
    <row r="5514" spans="1:8" x14ac:dyDescent="0.25">
      <c r="A5514" s="1" t="s">
        <v>82</v>
      </c>
      <c r="B5514" s="1" t="s">
        <v>19226</v>
      </c>
      <c r="C5514" s="1" t="s">
        <v>19227</v>
      </c>
      <c r="D5514" s="1" t="s">
        <v>18082</v>
      </c>
      <c r="G5514" s="1" t="s">
        <v>19206</v>
      </c>
      <c r="H5514" s="2" t="str">
        <f>Tabella1[[#This Row],[Denominazione]]&amp;" - "&amp;Tabella1[[#This Row],[Città]]</f>
        <v>RESIDENCE CAMPANELLI - PORTO SAN GIORGIO</v>
      </c>
    </row>
    <row r="5515" spans="1:8" x14ac:dyDescent="0.25">
      <c r="A5515" s="1" t="s">
        <v>403</v>
      </c>
      <c r="B5515" s="1" t="s">
        <v>18235</v>
      </c>
      <c r="C5515" s="1" t="s">
        <v>18236</v>
      </c>
      <c r="D5515" s="1" t="s">
        <v>17932</v>
      </c>
      <c r="E5515" s="1" t="s">
        <v>17932</v>
      </c>
      <c r="F5515" s="1" t="s">
        <v>18237</v>
      </c>
      <c r="G5515" s="1" t="s">
        <v>18238</v>
      </c>
      <c r="H5515" s="2" t="str">
        <f>Tabella1[[#This Row],[Denominazione]]&amp;" - "&amp;Tabella1[[#This Row],[Città]]</f>
        <v>RESIDENCE CASABIANCA - FERMO</v>
      </c>
    </row>
    <row r="5516" spans="1:8" x14ac:dyDescent="0.25">
      <c r="A5516" s="1" t="s">
        <v>82</v>
      </c>
      <c r="B5516" s="1" t="s">
        <v>12927</v>
      </c>
      <c r="C5516" s="1" t="s">
        <v>12928</v>
      </c>
      <c r="D5516" s="1" t="s">
        <v>12801</v>
      </c>
      <c r="E5516" s="1" t="s">
        <v>12801</v>
      </c>
      <c r="F5516" s="1" t="s">
        <v>12929</v>
      </c>
      <c r="G5516" s="1" t="s">
        <v>12930</v>
      </c>
      <c r="H5516" s="2" t="str">
        <f>Tabella1[[#This Row],[Denominazione]]&amp;" - "&amp;Tabella1[[#This Row],[Città]]</f>
        <v>RESIDENCE CASALE DEL CONERO - PORTO RECANATI</v>
      </c>
    </row>
    <row r="5517" spans="1:8" x14ac:dyDescent="0.25">
      <c r="A5517" s="1" t="s">
        <v>403</v>
      </c>
      <c r="B5517" s="1" t="s">
        <v>5313</v>
      </c>
      <c r="C5517" s="1" t="s">
        <v>5314</v>
      </c>
      <c r="D5517" s="1" t="s">
        <v>9</v>
      </c>
      <c r="E5517" s="1" t="s">
        <v>9</v>
      </c>
      <c r="G5517" s="1" t="s">
        <v>5315</v>
      </c>
      <c r="H5517" s="2" t="str">
        <f>Tabella1[[#This Row],[Denominazione]]&amp;" - "&amp;Tabella1[[#This Row],[Città]]</f>
        <v>RESIDENCE CITTA' IDEALE - URBINO</v>
      </c>
    </row>
    <row r="5518" spans="1:8" x14ac:dyDescent="0.25">
      <c r="A5518" s="1" t="s">
        <v>403</v>
      </c>
      <c r="B5518" s="1" t="s">
        <v>2316</v>
      </c>
      <c r="C5518" s="1" t="s">
        <v>2317</v>
      </c>
      <c r="D5518" s="1" t="s">
        <v>1907</v>
      </c>
      <c r="E5518" s="1" t="s">
        <v>1907</v>
      </c>
      <c r="G5518" s="1" t="s">
        <v>2318</v>
      </c>
      <c r="H5518" s="2" t="str">
        <f>Tabella1[[#This Row],[Denominazione]]&amp;" - "&amp;Tabella1[[#This Row],[Città]]</f>
        <v>RESIDENCE CONTINENTAL RESORT - GABICCE MARE</v>
      </c>
    </row>
    <row r="5519" spans="1:8" x14ac:dyDescent="0.25">
      <c r="A5519" s="1" t="s">
        <v>403</v>
      </c>
      <c r="B5519" s="1" t="s">
        <v>15664</v>
      </c>
      <c r="C5519" s="1" t="s">
        <v>15665</v>
      </c>
      <c r="D5519" s="1" t="s">
        <v>15585</v>
      </c>
      <c r="E5519" s="1" t="s">
        <v>15585</v>
      </c>
      <c r="F5519" s="1" t="s">
        <v>15666</v>
      </c>
      <c r="G5519" s="1" t="s">
        <v>15667</v>
      </c>
      <c r="H5519" s="2" t="str">
        <f>Tabella1[[#This Row],[Denominazione]]&amp;" - "&amp;Tabella1[[#This Row],[Città]]</f>
        <v>RESIDENCE COSTA SMERALDA - GROTTAMMARE</v>
      </c>
    </row>
    <row r="5520" spans="1:8" x14ac:dyDescent="0.25">
      <c r="A5520" s="1" t="s">
        <v>403</v>
      </c>
      <c r="B5520" s="1" t="s">
        <v>18041</v>
      </c>
      <c r="C5520" s="1" t="s">
        <v>18042</v>
      </c>
      <c r="D5520" s="1" t="s">
        <v>17932</v>
      </c>
      <c r="E5520" s="1" t="s">
        <v>18043</v>
      </c>
      <c r="F5520" s="1" t="s">
        <v>18044</v>
      </c>
      <c r="G5520" s="1" t="s">
        <v>18045</v>
      </c>
      <c r="H5520" s="2" t="str">
        <f>Tabella1[[#This Row],[Denominazione]]&amp;" - "&amp;Tabella1[[#This Row],[Città]]</f>
        <v>RESIDENCE CRIRO' - FERMO</v>
      </c>
    </row>
    <row r="5521" spans="1:8" x14ac:dyDescent="0.25">
      <c r="A5521" s="1" t="s">
        <v>82</v>
      </c>
      <c r="B5521" s="1" t="s">
        <v>17392</v>
      </c>
      <c r="C5521" s="1" t="s">
        <v>17393</v>
      </c>
      <c r="D5521" s="1" t="s">
        <v>15819</v>
      </c>
      <c r="E5521" s="1" t="s">
        <v>15819</v>
      </c>
      <c r="F5521" s="1" t="s">
        <v>17394</v>
      </c>
      <c r="G5521" s="1" t="s">
        <v>17395</v>
      </c>
      <c r="H5521" s="2" t="str">
        <f>Tabella1[[#This Row],[Denominazione]]&amp;" - "&amp;Tabella1[[#This Row],[Città]]</f>
        <v>RESIDENCE DANUBIO - SAN BENEDETTO DEL TRONTO</v>
      </c>
    </row>
    <row r="5522" spans="1:8" x14ac:dyDescent="0.25">
      <c r="A5522" s="1" t="s">
        <v>82</v>
      </c>
      <c r="B5522" s="1" t="s">
        <v>5644</v>
      </c>
      <c r="C5522" s="1" t="s">
        <v>5645</v>
      </c>
      <c r="D5522" s="1" t="s">
        <v>1864</v>
      </c>
      <c r="E5522" s="1" t="s">
        <v>1864</v>
      </c>
      <c r="F5522" s="1" t="s">
        <v>5642</v>
      </c>
      <c r="G5522" s="1" t="s">
        <v>5643</v>
      </c>
      <c r="H5522" s="2" t="str">
        <f>Tabella1[[#This Row],[Denominazione]]&amp;" - "&amp;Tabella1[[#This Row],[Città]]</f>
        <v>RESIDENCE DEGLI ARANCI - ANCONA</v>
      </c>
    </row>
    <row r="5523" spans="1:8" x14ac:dyDescent="0.25">
      <c r="A5523" s="1" t="s">
        <v>403</v>
      </c>
      <c r="B5523" s="1" t="s">
        <v>17431</v>
      </c>
      <c r="C5523" s="1" t="s">
        <v>17432</v>
      </c>
      <c r="D5523" s="1" t="s">
        <v>15819</v>
      </c>
      <c r="E5523" s="1" t="s">
        <v>15819</v>
      </c>
      <c r="F5523" s="1" t="s">
        <v>17422</v>
      </c>
      <c r="G5523" s="1" t="s">
        <v>17390</v>
      </c>
      <c r="H5523" s="2" t="str">
        <f>Tabella1[[#This Row],[Denominazione]]&amp;" - "&amp;Tabella1[[#This Row],[Città]]</f>
        <v>RESIDENCE DEI MILLE - SAN BENEDETTO DEL TRONTO</v>
      </c>
    </row>
    <row r="5524" spans="1:8" x14ac:dyDescent="0.25">
      <c r="A5524" s="1" t="s">
        <v>82</v>
      </c>
      <c r="B5524" s="1" t="s">
        <v>17413</v>
      </c>
      <c r="C5524" s="1" t="s">
        <v>17414</v>
      </c>
      <c r="D5524" s="1" t="s">
        <v>15819</v>
      </c>
      <c r="E5524" s="1" t="s">
        <v>15819</v>
      </c>
      <c r="F5524" s="1" t="s">
        <v>17415</v>
      </c>
      <c r="G5524" s="1" t="s">
        <v>17416</v>
      </c>
      <c r="H5524" s="2" t="str">
        <f>Tabella1[[#This Row],[Denominazione]]&amp;" - "&amp;Tabella1[[#This Row],[Città]]</f>
        <v>RESIDENCE DOLCE VITA - PERAZZOLI GEOM. GIANNI S.N.C. - SAN BENEDETTO DEL TRONTO</v>
      </c>
    </row>
    <row r="5525" spans="1:8" x14ac:dyDescent="0.25">
      <c r="A5525" s="1" t="s">
        <v>82</v>
      </c>
      <c r="B5525" s="1" t="s">
        <v>17021</v>
      </c>
      <c r="C5525" s="1" t="s">
        <v>17022</v>
      </c>
      <c r="D5525" s="1" t="s">
        <v>15819</v>
      </c>
      <c r="E5525" s="1" t="s">
        <v>15819</v>
      </c>
      <c r="F5525" s="1" t="s">
        <v>17023</v>
      </c>
      <c r="G5525" s="1" t="s">
        <v>17024</v>
      </c>
      <c r="H5525" s="2" t="str">
        <f>Tabella1[[#This Row],[Denominazione]]&amp;" - "&amp;Tabella1[[#This Row],[Città]]</f>
        <v>RESIDENCE DOLCEMARE - SAN BENEDETTO DEL TRONTO</v>
      </c>
    </row>
    <row r="5526" spans="1:8" x14ac:dyDescent="0.25">
      <c r="A5526" s="1" t="s">
        <v>403</v>
      </c>
      <c r="B5526" s="1" t="s">
        <v>16940</v>
      </c>
      <c r="C5526" s="1" t="s">
        <v>16941</v>
      </c>
      <c r="D5526" s="1" t="s">
        <v>15819</v>
      </c>
      <c r="E5526" s="1" t="s">
        <v>15819</v>
      </c>
      <c r="F5526" s="1" t="s">
        <v>16942</v>
      </c>
      <c r="G5526" s="1" t="s">
        <v>16943</v>
      </c>
      <c r="H5526" s="2" t="str">
        <f>Tabella1[[#This Row],[Denominazione]]&amp;" - "&amp;Tabella1[[#This Row],[Città]]</f>
        <v>RESIDENCE ELISA - SAN BENEDETTO DEL TRONTO</v>
      </c>
    </row>
    <row r="5527" spans="1:8" x14ac:dyDescent="0.25">
      <c r="A5527" s="1" t="s">
        <v>82</v>
      </c>
      <c r="B5527" s="1" t="s">
        <v>17211</v>
      </c>
      <c r="C5527" s="1" t="s">
        <v>17212</v>
      </c>
      <c r="D5527" s="1" t="s">
        <v>15819</v>
      </c>
      <c r="E5527" s="1" t="s">
        <v>15819</v>
      </c>
      <c r="F5527" s="1" t="s">
        <v>17213</v>
      </c>
      <c r="G5527" s="1" t="s">
        <v>17214</v>
      </c>
      <c r="H5527" s="2" t="str">
        <f>Tabella1[[#This Row],[Denominazione]]&amp;" - "&amp;Tabella1[[#This Row],[Città]]</f>
        <v>RESIDENCE ELLE - SAN BENEDETTO DEL TRONTO</v>
      </c>
    </row>
    <row r="5528" spans="1:8" x14ac:dyDescent="0.25">
      <c r="A5528" s="1" t="s">
        <v>82</v>
      </c>
      <c r="B5528" s="1" t="s">
        <v>5646</v>
      </c>
      <c r="C5528" s="1" t="s">
        <v>5647</v>
      </c>
      <c r="D5528" s="1" t="s">
        <v>1864</v>
      </c>
      <c r="E5528" s="1" t="s">
        <v>1864</v>
      </c>
      <c r="F5528" s="1" t="s">
        <v>5648</v>
      </c>
      <c r="G5528" s="1" t="s">
        <v>5649</v>
      </c>
      <c r="H5528" s="2" t="str">
        <f>Tabella1[[#This Row],[Denominazione]]&amp;" - "&amp;Tabella1[[#This Row],[Città]]</f>
        <v>RESIDENCE EXECUTIVE - ANCONA</v>
      </c>
    </row>
    <row r="5529" spans="1:8" x14ac:dyDescent="0.25">
      <c r="A5529" s="1" t="s">
        <v>82</v>
      </c>
      <c r="B5529" s="1" t="s">
        <v>7958</v>
      </c>
      <c r="C5529" s="1" t="s">
        <v>7959</v>
      </c>
      <c r="D5529" s="1" t="s">
        <v>7889</v>
      </c>
      <c r="E5529" s="1" t="s">
        <v>7889</v>
      </c>
      <c r="G5529" s="1" t="s">
        <v>7960</v>
      </c>
      <c r="H5529" s="2" t="str">
        <f>Tabella1[[#This Row],[Denominazione]]&amp;" - "&amp;Tabella1[[#This Row],[Città]]</f>
        <v>RESIDENCE GIGLI - NUMANA</v>
      </c>
    </row>
    <row r="5530" spans="1:8" x14ac:dyDescent="0.25">
      <c r="A5530" s="1" t="s">
        <v>82</v>
      </c>
      <c r="B5530" s="1" t="s">
        <v>14717</v>
      </c>
      <c r="C5530" s="1" t="s">
        <v>14718</v>
      </c>
      <c r="D5530" s="1" t="s">
        <v>14576</v>
      </c>
      <c r="E5530" s="1" t="s">
        <v>14719</v>
      </c>
      <c r="G5530" s="1" t="s">
        <v>14720</v>
      </c>
      <c r="H5530" s="2" t="str">
        <f>Tabella1[[#This Row],[Denominazione]]&amp;" - "&amp;Tabella1[[#This Row],[Città]]</f>
        <v>RESIDENCE GLI ULIVI di SILVESTRI ROSINA - ASCOLI PICENO</v>
      </c>
    </row>
    <row r="5531" spans="1:8" x14ac:dyDescent="0.25">
      <c r="A5531" s="1" t="s">
        <v>82</v>
      </c>
      <c r="B5531" s="1" t="s">
        <v>11865</v>
      </c>
      <c r="C5531" s="1" t="s">
        <v>11866</v>
      </c>
      <c r="D5531" s="1" t="s">
        <v>11854</v>
      </c>
      <c r="E5531" s="1" t="s">
        <v>11854</v>
      </c>
      <c r="H5531" s="2" t="str">
        <f>Tabella1[[#This Row],[Denominazione]]&amp;" - "&amp;Tabella1[[#This Row],[Città]]</f>
        <v>RESIDENCE GRAZIELLA di BOTTEI MARIA GRAZIA - FIUMINATA</v>
      </c>
    </row>
    <row r="5532" spans="1:8" x14ac:dyDescent="0.25">
      <c r="A5532" s="1" t="s">
        <v>82</v>
      </c>
      <c r="B5532" s="1" t="s">
        <v>17399</v>
      </c>
      <c r="C5532" s="1" t="s">
        <v>17400</v>
      </c>
      <c r="D5532" s="1" t="s">
        <v>15819</v>
      </c>
      <c r="E5532" s="1" t="s">
        <v>15819</v>
      </c>
      <c r="H5532" s="2" t="str">
        <f>Tabella1[[#This Row],[Denominazione]]&amp;" - "&amp;Tabella1[[#This Row],[Città]]</f>
        <v>RESIDENCE HAWAI - MASCITTI UMBERTO - SAN BENEDETTO DEL TRONTO</v>
      </c>
    </row>
    <row r="5533" spans="1:8" x14ac:dyDescent="0.25">
      <c r="A5533" s="1" t="s">
        <v>82</v>
      </c>
      <c r="B5533" s="1" t="s">
        <v>12888</v>
      </c>
      <c r="C5533" s="1" t="s">
        <v>12889</v>
      </c>
      <c r="D5533" s="1" t="s">
        <v>12801</v>
      </c>
      <c r="E5533" s="1" t="s">
        <v>12801</v>
      </c>
      <c r="F5533" s="1" t="s">
        <v>12890</v>
      </c>
      <c r="G5533" s="1" t="s">
        <v>12891</v>
      </c>
      <c r="H5533" s="2" t="str">
        <f>Tabella1[[#This Row],[Denominazione]]&amp;" - "&amp;Tabella1[[#This Row],[Città]]</f>
        <v>RESIDENCE HOTEL BIANCHI VINCENZO - PORTO RECANATI</v>
      </c>
    </row>
    <row r="5534" spans="1:8" x14ac:dyDescent="0.25">
      <c r="A5534" s="1" t="s">
        <v>82</v>
      </c>
      <c r="B5534" s="1" t="s">
        <v>582</v>
      </c>
      <c r="C5534" s="1" t="s">
        <v>583</v>
      </c>
      <c r="D5534" s="1" t="s">
        <v>579</v>
      </c>
      <c r="E5534" s="1" t="s">
        <v>584</v>
      </c>
      <c r="F5534" s="1" t="s">
        <v>585</v>
      </c>
      <c r="G5534" s="1" t="s">
        <v>586</v>
      </c>
      <c r="H5534" s="2" t="str">
        <f>Tabella1[[#This Row],[Denominazione]]&amp;" - "&amp;Tabella1[[#This Row],[Città]]</f>
        <v>RESIDENCE HOTEL SAN MICHELE - CARPEGNA</v>
      </c>
    </row>
    <row r="5535" spans="1:8" x14ac:dyDescent="0.25">
      <c r="A5535" s="1" t="s">
        <v>82</v>
      </c>
      <c r="B5535" s="1" t="s">
        <v>10877</v>
      </c>
      <c r="C5535" s="1" t="s">
        <v>10878</v>
      </c>
      <c r="D5535" s="1" t="s">
        <v>10737</v>
      </c>
      <c r="E5535" s="1" t="s">
        <v>10737</v>
      </c>
      <c r="F5535" s="1" t="s">
        <v>10879</v>
      </c>
      <c r="G5535" s="1" t="s">
        <v>10880</v>
      </c>
      <c r="H5535" s="2" t="str">
        <f>Tabella1[[#This Row],[Denominazione]]&amp;" - "&amp;Tabella1[[#This Row],[Città]]</f>
        <v>RESIDENCE I GIRASOLI - CAMERINO</v>
      </c>
    </row>
    <row r="5536" spans="1:8" x14ac:dyDescent="0.25">
      <c r="A5536" s="1" t="s">
        <v>82</v>
      </c>
      <c r="B5536" s="1" t="s">
        <v>7942</v>
      </c>
      <c r="C5536" s="1" t="s">
        <v>7943</v>
      </c>
      <c r="D5536" s="1" t="s">
        <v>7889</v>
      </c>
      <c r="F5536" s="1" t="s">
        <v>7944</v>
      </c>
      <c r="G5536" s="1" t="s">
        <v>7945</v>
      </c>
      <c r="H5536" s="2" t="str">
        <f>Tabella1[[#This Row],[Denominazione]]&amp;" - "&amp;Tabella1[[#This Row],[Città]]</f>
        <v>RESIDENCE IL CONERO 2 - NUMANA</v>
      </c>
    </row>
    <row r="5537" spans="1:8" x14ac:dyDescent="0.25">
      <c r="A5537" s="1" t="s">
        <v>82</v>
      </c>
      <c r="B5537" s="1" t="s">
        <v>13834</v>
      </c>
      <c r="C5537" s="1" t="s">
        <v>13835</v>
      </c>
      <c r="D5537" s="1" t="s">
        <v>13756</v>
      </c>
      <c r="E5537" s="1" t="s">
        <v>13756</v>
      </c>
      <c r="F5537" s="1" t="s">
        <v>13836</v>
      </c>
      <c r="G5537" s="1" t="s">
        <v>13837</v>
      </c>
      <c r="H5537" s="2" t="str">
        <f>Tabella1[[#This Row],[Denominazione]]&amp;" - "&amp;Tabella1[[#This Row],[Città]]</f>
        <v>RESIDENCE IL GLICINE - SARNANO</v>
      </c>
    </row>
    <row r="5538" spans="1:8" x14ac:dyDescent="0.25">
      <c r="A5538" s="1" t="s">
        <v>82</v>
      </c>
      <c r="B5538" s="1" t="s">
        <v>13862</v>
      </c>
      <c r="C5538" s="1" t="s">
        <v>13863</v>
      </c>
      <c r="D5538" s="1" t="s">
        <v>13756</v>
      </c>
      <c r="E5538" s="1" t="s">
        <v>13756</v>
      </c>
      <c r="F5538" s="1" t="s">
        <v>13836</v>
      </c>
      <c r="G5538" s="1" t="s">
        <v>13837</v>
      </c>
      <c r="H5538" s="2" t="str">
        <f>Tabella1[[#This Row],[Denominazione]]&amp;" - "&amp;Tabella1[[#This Row],[Città]]</f>
        <v>RESIDENCE IL GLICINE - VIA DEL COLLE - SARNANO</v>
      </c>
    </row>
    <row r="5539" spans="1:8" x14ac:dyDescent="0.25">
      <c r="A5539" s="1" t="s">
        <v>403</v>
      </c>
      <c r="B5539" s="1" t="s">
        <v>17420</v>
      </c>
      <c r="C5539" s="1" t="s">
        <v>17421</v>
      </c>
      <c r="D5539" s="1" t="s">
        <v>15819</v>
      </c>
      <c r="E5539" s="1" t="s">
        <v>15819</v>
      </c>
      <c r="F5539" s="1" t="s">
        <v>17422</v>
      </c>
      <c r="G5539" s="1" t="s">
        <v>17423</v>
      </c>
      <c r="H5539" s="2" t="str">
        <f>Tabella1[[#This Row],[Denominazione]]&amp;" - "&amp;Tabella1[[#This Row],[Città]]</f>
        <v>RESIDENCE IL LAURO - SAN BENEDETTO DEL TRONTO</v>
      </c>
    </row>
    <row r="5540" spans="1:8" x14ac:dyDescent="0.25">
      <c r="A5540" s="1" t="s">
        <v>82</v>
      </c>
      <c r="B5540" s="1" t="s">
        <v>13805</v>
      </c>
      <c r="C5540" s="1" t="s">
        <v>13806</v>
      </c>
      <c r="D5540" s="1" t="s">
        <v>13756</v>
      </c>
      <c r="G5540" s="1" t="s">
        <v>13807</v>
      </c>
      <c r="H5540" s="2" t="str">
        <f>Tabella1[[#This Row],[Denominazione]]&amp;" - "&amp;Tabella1[[#This Row],[Città]]</f>
        <v>RESIDENCE IL SERAFINO - SARNANO</v>
      </c>
    </row>
    <row r="5541" spans="1:8" x14ac:dyDescent="0.25">
      <c r="A5541" s="1" t="s">
        <v>82</v>
      </c>
      <c r="B5541" s="1" t="s">
        <v>17410</v>
      </c>
      <c r="C5541" s="1" t="s">
        <v>17411</v>
      </c>
      <c r="D5541" s="1" t="s">
        <v>15819</v>
      </c>
      <c r="E5541" s="1" t="s">
        <v>15819</v>
      </c>
      <c r="F5541" s="1" t="s">
        <v>17412</v>
      </c>
      <c r="G5541" s="1" t="s">
        <v>17127</v>
      </c>
      <c r="H5541" s="2" t="str">
        <f>Tabella1[[#This Row],[Denominazione]]&amp;" - "&amp;Tabella1[[#This Row],[Città]]</f>
        <v>RESIDENCE IMPERIAL - SAN BENEDETTO DEL TRONTO</v>
      </c>
    </row>
    <row r="5542" spans="1:8" x14ac:dyDescent="0.25">
      <c r="A5542" s="1" t="s">
        <v>82</v>
      </c>
      <c r="B5542" s="1" t="s">
        <v>5640</v>
      </c>
      <c r="C5542" s="1" t="s">
        <v>5641</v>
      </c>
      <c r="D5542" s="1" t="s">
        <v>1864</v>
      </c>
      <c r="E5542" s="1" t="s">
        <v>1864</v>
      </c>
      <c r="F5542" s="1" t="s">
        <v>5642</v>
      </c>
      <c r="G5542" s="1" t="s">
        <v>5643</v>
      </c>
      <c r="H5542" s="2" t="str">
        <f>Tabella1[[#This Row],[Denominazione]]&amp;" - "&amp;Tabella1[[#This Row],[Città]]</f>
        <v>RESIDENCE JUNIOR - ANCONA</v>
      </c>
    </row>
    <row r="5543" spans="1:8" x14ac:dyDescent="0.25">
      <c r="A5543" s="1" t="s">
        <v>82</v>
      </c>
      <c r="B5543" s="1" t="s">
        <v>8306</v>
      </c>
      <c r="C5543" s="1" t="s">
        <v>8307</v>
      </c>
      <c r="D5543" s="1" t="s">
        <v>7889</v>
      </c>
      <c r="E5543" s="1" t="s">
        <v>7889</v>
      </c>
      <c r="F5543" s="1" t="s">
        <v>8308</v>
      </c>
      <c r="G5543" s="1" t="s">
        <v>8309</v>
      </c>
      <c r="H5543" s="2" t="str">
        <f>Tabella1[[#This Row],[Denominazione]]&amp;" - "&amp;Tabella1[[#This Row],[Città]]</f>
        <v>RESIDENCE LA GINESTRA - NUMANA</v>
      </c>
    </row>
    <row r="5544" spans="1:8" x14ac:dyDescent="0.25">
      <c r="A5544" s="1" t="s">
        <v>82</v>
      </c>
      <c r="B5544" s="1" t="s">
        <v>15988</v>
      </c>
      <c r="C5544" s="1" t="s">
        <v>15989</v>
      </c>
      <c r="D5544" s="1" t="s">
        <v>5692</v>
      </c>
      <c r="E5544" s="1" t="s">
        <v>15990</v>
      </c>
      <c r="G5544" s="1" t="s">
        <v>15991</v>
      </c>
      <c r="H5544" s="2" t="str">
        <f>Tabella1[[#This Row],[Denominazione]]&amp;" - "&amp;Tabella1[[#This Row],[Città]]</f>
        <v>RESIDENCE L'AGAVE - MASSIGNANO</v>
      </c>
    </row>
    <row r="5545" spans="1:8" x14ac:dyDescent="0.25">
      <c r="A5545" s="1" t="s">
        <v>82</v>
      </c>
      <c r="B5545" s="1" t="s">
        <v>17387</v>
      </c>
      <c r="C5545" s="1" t="s">
        <v>17388</v>
      </c>
      <c r="D5545" s="1" t="s">
        <v>15819</v>
      </c>
      <c r="E5545" s="1" t="s">
        <v>15819</v>
      </c>
      <c r="F5545" s="1" t="s">
        <v>17389</v>
      </c>
      <c r="G5545" s="1" t="s">
        <v>17390</v>
      </c>
      <c r="H5545" s="2" t="str">
        <f>Tabella1[[#This Row],[Denominazione]]&amp;" - "&amp;Tabella1[[#This Row],[Città]]</f>
        <v>RESIDENCE LAS VEGAS - SAN BENEDETTO DEL TRONTO</v>
      </c>
    </row>
    <row r="5546" spans="1:8" x14ac:dyDescent="0.25">
      <c r="A5546" s="1" t="s">
        <v>82</v>
      </c>
      <c r="B5546" s="1" t="s">
        <v>7979</v>
      </c>
      <c r="C5546" s="1" t="s">
        <v>7980</v>
      </c>
      <c r="D5546" s="1" t="s">
        <v>7889</v>
      </c>
      <c r="E5546" s="1" t="s">
        <v>7981</v>
      </c>
      <c r="F5546" s="1" t="s">
        <v>7982</v>
      </c>
      <c r="G5546" s="1" t="s">
        <v>7983</v>
      </c>
      <c r="H5546" s="2" t="str">
        <f>Tabella1[[#This Row],[Denominazione]]&amp;" - "&amp;Tabella1[[#This Row],[Città]]</f>
        <v>RESIDENCE LE ALI DEL CONERO - NUMANA</v>
      </c>
    </row>
    <row r="5547" spans="1:8" x14ac:dyDescent="0.25">
      <c r="A5547" s="1" t="s">
        <v>82</v>
      </c>
      <c r="B5547" s="1" t="s">
        <v>8114</v>
      </c>
      <c r="C5547" s="1" t="s">
        <v>8115</v>
      </c>
      <c r="D5547" s="1" t="s">
        <v>7889</v>
      </c>
      <c r="E5547" s="1" t="s">
        <v>7895</v>
      </c>
      <c r="F5547" s="1" t="s">
        <v>8116</v>
      </c>
      <c r="G5547" s="1" t="s">
        <v>8117</v>
      </c>
      <c r="H5547" s="2" t="str">
        <f>Tabella1[[#This Row],[Denominazione]]&amp;" - "&amp;Tabella1[[#This Row],[Città]]</f>
        <v>RESIDENCE LE PALME - NUMANA</v>
      </c>
    </row>
    <row r="5548" spans="1:8" x14ac:dyDescent="0.25">
      <c r="A5548" s="1" t="s">
        <v>403</v>
      </c>
      <c r="B5548" s="1" t="s">
        <v>8114</v>
      </c>
      <c r="C5548" s="1" t="s">
        <v>15728</v>
      </c>
      <c r="D5548" s="1" t="s">
        <v>15585</v>
      </c>
      <c r="E5548" s="1" t="s">
        <v>15585</v>
      </c>
      <c r="F5548" s="1" t="s">
        <v>15729</v>
      </c>
      <c r="G5548" s="1" t="s">
        <v>15730</v>
      </c>
      <c r="H5548" s="2" t="str">
        <f>Tabella1[[#This Row],[Denominazione]]&amp;" - "&amp;Tabella1[[#This Row],[Città]]</f>
        <v>RESIDENCE LE PALME - GROTTAMMARE</v>
      </c>
    </row>
    <row r="5549" spans="1:8" x14ac:dyDescent="0.25">
      <c r="A5549" s="1" t="s">
        <v>82</v>
      </c>
      <c r="B5549" s="1" t="s">
        <v>592</v>
      </c>
      <c r="C5549" s="1" t="s">
        <v>593</v>
      </c>
      <c r="D5549" s="1" t="s">
        <v>579</v>
      </c>
      <c r="E5549" s="1" t="s">
        <v>579</v>
      </c>
      <c r="F5549" s="1" t="s">
        <v>594</v>
      </c>
      <c r="G5549" s="1" t="s">
        <v>595</v>
      </c>
      <c r="H5549" s="2" t="str">
        <f>Tabella1[[#This Row],[Denominazione]]&amp;" - "&amp;Tabella1[[#This Row],[Città]]</f>
        <v>RESIDENCE LE TERRAZZE di FILIPPETTI  GIULIANA - CARPEGNA</v>
      </c>
    </row>
    <row r="5550" spans="1:8" x14ac:dyDescent="0.25">
      <c r="A5550" s="1" t="s">
        <v>82</v>
      </c>
      <c r="B5550" s="1" t="s">
        <v>8316</v>
      </c>
      <c r="C5550" s="1" t="s">
        <v>8317</v>
      </c>
      <c r="D5550" s="1" t="s">
        <v>7889</v>
      </c>
      <c r="E5550" s="1" t="s">
        <v>8318</v>
      </c>
      <c r="G5550" s="1" t="s">
        <v>8319</v>
      </c>
      <c r="H5550" s="2" t="str">
        <f>Tabella1[[#This Row],[Denominazione]]&amp;" - "&amp;Tabella1[[#This Row],[Città]]</f>
        <v>RESIDENCE LIDO AZZURRO (EMANUELA TORRESI) - NUMANA</v>
      </c>
    </row>
    <row r="5551" spans="1:8" x14ac:dyDescent="0.25">
      <c r="A5551" s="1" t="s">
        <v>82</v>
      </c>
      <c r="B5551" s="1" t="s">
        <v>12102</v>
      </c>
      <c r="C5551" s="1" t="s">
        <v>12103</v>
      </c>
      <c r="D5551" s="1" t="s">
        <v>12050</v>
      </c>
      <c r="E5551" s="1" t="s">
        <v>12050</v>
      </c>
      <c r="F5551" s="1" t="s">
        <v>12104</v>
      </c>
      <c r="G5551" s="1" t="s">
        <v>12105</v>
      </c>
      <c r="H5551" s="2" t="str">
        <f>Tabella1[[#This Row],[Denominazione]]&amp;" - "&amp;Tabella1[[#This Row],[Città]]</f>
        <v>RESIDENCE MADISON VILLAGE - MACERATA</v>
      </c>
    </row>
    <row r="5552" spans="1:8" x14ac:dyDescent="0.25">
      <c r="A5552" s="1" t="s">
        <v>403</v>
      </c>
      <c r="B5552" s="1" t="s">
        <v>17424</v>
      </c>
      <c r="C5552" s="1" t="s">
        <v>17425</v>
      </c>
      <c r="D5552" s="1" t="s">
        <v>15819</v>
      </c>
      <c r="E5552" s="1" t="s">
        <v>15819</v>
      </c>
      <c r="F5552" s="1" t="s">
        <v>17426</v>
      </c>
      <c r="G5552" s="1" t="s">
        <v>17427</v>
      </c>
      <c r="H5552" s="2" t="str">
        <f>Tabella1[[#This Row],[Denominazione]]&amp;" - "&amp;Tabella1[[#This Row],[Città]]</f>
        <v>RESIDENCE MAJESTIC - SAN BENEDETTO DEL TRONTO</v>
      </c>
    </row>
    <row r="5553" spans="1:8" x14ac:dyDescent="0.25">
      <c r="A5553" s="1" t="s">
        <v>82</v>
      </c>
      <c r="B5553" s="1" t="s">
        <v>8296</v>
      </c>
      <c r="C5553" s="1" t="s">
        <v>7967</v>
      </c>
      <c r="D5553" s="1" t="s">
        <v>7889</v>
      </c>
      <c r="E5553" s="1" t="s">
        <v>7889</v>
      </c>
      <c r="G5553" s="1" t="s">
        <v>8206</v>
      </c>
      <c r="H5553" s="2" t="str">
        <f>Tabella1[[#This Row],[Denominazione]]&amp;" - "&amp;Tabella1[[#This Row],[Città]]</f>
        <v>RESIDENCE MARCELLI - NUMANA</v>
      </c>
    </row>
    <row r="5554" spans="1:8" x14ac:dyDescent="0.25">
      <c r="A5554" s="1" t="s">
        <v>6092</v>
      </c>
      <c r="B5554" s="1" t="s">
        <v>18125</v>
      </c>
      <c r="C5554" s="1" t="s">
        <v>18126</v>
      </c>
      <c r="D5554" s="1" t="s">
        <v>17932</v>
      </c>
      <c r="E5554" s="1" t="s">
        <v>17932</v>
      </c>
      <c r="F5554" s="1" t="s">
        <v>18127</v>
      </c>
      <c r="G5554" s="1" t="s">
        <v>18128</v>
      </c>
      <c r="H5554" s="2" t="str">
        <f>Tabella1[[#This Row],[Denominazione]]&amp;" - "&amp;Tabella1[[#This Row],[Città]]</f>
        <v>RESIDENCE MARE - FERMO</v>
      </c>
    </row>
    <row r="5555" spans="1:8" x14ac:dyDescent="0.25">
      <c r="A5555" s="1" t="s">
        <v>82</v>
      </c>
      <c r="B5555" s="1" t="s">
        <v>9625</v>
      </c>
      <c r="C5555" s="1" t="s">
        <v>9626</v>
      </c>
      <c r="D5555" s="1" t="s">
        <v>8949</v>
      </c>
      <c r="E5555" s="1" t="s">
        <v>8949</v>
      </c>
      <c r="F5555" s="1" t="s">
        <v>9627</v>
      </c>
      <c r="G5555" s="1" t="s">
        <v>9628</v>
      </c>
      <c r="H5555" s="2" t="str">
        <f>Tabella1[[#This Row],[Denominazione]]&amp;" - "&amp;Tabella1[[#This Row],[Città]]</f>
        <v>RESIDENCE MARE VERDE (FERRO GIOVANNI FRANCESCO &amp; C. S.A.S) - SENIGALLIA</v>
      </c>
    </row>
    <row r="5556" spans="1:8" x14ac:dyDescent="0.25">
      <c r="A5556" s="1" t="s">
        <v>403</v>
      </c>
      <c r="B5556" s="1" t="s">
        <v>15656</v>
      </c>
      <c r="C5556" s="1" t="s">
        <v>15657</v>
      </c>
      <c r="D5556" s="1" t="s">
        <v>15585</v>
      </c>
      <c r="E5556" s="1" t="s">
        <v>15585</v>
      </c>
      <c r="F5556" s="1" t="s">
        <v>15658</v>
      </c>
      <c r="G5556" s="1" t="s">
        <v>15659</v>
      </c>
      <c r="H5556" s="2" t="str">
        <f>Tabella1[[#This Row],[Denominazione]]&amp;" - "&amp;Tabella1[[#This Row],[Città]]</f>
        <v>RESIDENCE MAREAMARE - GROTTAMMARE</v>
      </c>
    </row>
    <row r="5557" spans="1:8" x14ac:dyDescent="0.25">
      <c r="A5557" s="1" t="s">
        <v>82</v>
      </c>
      <c r="B5557" s="1" t="s">
        <v>17429</v>
      </c>
      <c r="C5557" s="1" t="s">
        <v>17430</v>
      </c>
      <c r="D5557" s="1" t="s">
        <v>15819</v>
      </c>
      <c r="E5557" s="1" t="s">
        <v>15819</v>
      </c>
      <c r="F5557" s="1" t="s">
        <v>17236</v>
      </c>
      <c r="G5557" s="1" t="s">
        <v>17179</v>
      </c>
      <c r="H5557" s="2" t="str">
        <f>Tabella1[[#This Row],[Denominazione]]&amp;" - "&amp;Tabella1[[#This Row],[Città]]</f>
        <v>RESIDENCE MEDITERRANEO 2 - SAN BENEDETTO DEL TRONTO</v>
      </c>
    </row>
    <row r="5558" spans="1:8" x14ac:dyDescent="0.25">
      <c r="A5558" s="1" t="s">
        <v>403</v>
      </c>
      <c r="B5558" s="1" t="s">
        <v>17085</v>
      </c>
      <c r="C5558" s="1" t="s">
        <v>17086</v>
      </c>
      <c r="D5558" s="1" t="s">
        <v>15819</v>
      </c>
      <c r="E5558" s="1" t="s">
        <v>15819</v>
      </c>
      <c r="G5558" s="1" t="s">
        <v>17087</v>
      </c>
      <c r="H5558" s="2" t="str">
        <f>Tabella1[[#This Row],[Denominazione]]&amp;" - "&amp;Tabella1[[#This Row],[Città]]</f>
        <v>RESIDENCE MENTANA - SAN BENEDETTO DEL TRONTO</v>
      </c>
    </row>
    <row r="5559" spans="1:8" x14ac:dyDescent="0.25">
      <c r="A5559" s="1" t="s">
        <v>403</v>
      </c>
      <c r="B5559" s="1" t="s">
        <v>17536</v>
      </c>
      <c r="C5559" s="1" t="s">
        <v>17537</v>
      </c>
      <c r="D5559" s="1" t="s">
        <v>15819</v>
      </c>
      <c r="E5559" s="1" t="s">
        <v>15819</v>
      </c>
      <c r="F5559" s="1" t="s">
        <v>17538</v>
      </c>
      <c r="G5559" s="1" t="s">
        <v>17539</v>
      </c>
      <c r="H5559" s="2" t="str">
        <f>Tabella1[[#This Row],[Denominazione]]&amp;" - "&amp;Tabella1[[#This Row],[Città]]</f>
        <v>RESIDENCE MICHELANGELO - SAN BENEDETTO DEL TRONTO</v>
      </c>
    </row>
    <row r="5560" spans="1:8" x14ac:dyDescent="0.25">
      <c r="A5560" s="1" t="s">
        <v>403</v>
      </c>
      <c r="B5560" s="1" t="s">
        <v>10512</v>
      </c>
      <c r="C5560" s="1" t="s">
        <v>10513</v>
      </c>
      <c r="D5560" s="1" t="s">
        <v>10488</v>
      </c>
      <c r="E5560" s="1" t="s">
        <v>10514</v>
      </c>
      <c r="F5560" s="1" t="s">
        <v>10515</v>
      </c>
      <c r="G5560" s="1" t="s">
        <v>10516</v>
      </c>
      <c r="H5560" s="2" t="str">
        <f>Tabella1[[#This Row],[Denominazione]]&amp;" - "&amp;Tabella1[[#This Row],[Città]]</f>
        <v>RESIDENCE OASI - STAFFOLO</v>
      </c>
    </row>
    <row r="5561" spans="1:8" x14ac:dyDescent="0.25">
      <c r="A5561" s="1" t="s">
        <v>403</v>
      </c>
      <c r="B5561" s="1" t="s">
        <v>17268</v>
      </c>
      <c r="C5561" s="1" t="s">
        <v>17177</v>
      </c>
      <c r="D5561" s="1" t="s">
        <v>15819</v>
      </c>
      <c r="E5561" s="1" t="s">
        <v>15819</v>
      </c>
      <c r="F5561" s="1" t="s">
        <v>17178</v>
      </c>
      <c r="G5561" s="1" t="s">
        <v>17179</v>
      </c>
      <c r="H5561" s="2" t="str">
        <f>Tabella1[[#This Row],[Denominazione]]&amp;" - "&amp;Tabella1[[#This Row],[Città]]</f>
        <v>RESIDENCE OLTREMARE - SAN BENEDETTO DEL TRONTO</v>
      </c>
    </row>
    <row r="5562" spans="1:8" x14ac:dyDescent="0.25">
      <c r="A5562" s="1" t="s">
        <v>82</v>
      </c>
      <c r="B5562" s="1" t="s">
        <v>12931</v>
      </c>
      <c r="C5562" s="1" t="s">
        <v>12932</v>
      </c>
      <c r="D5562" s="1" t="s">
        <v>12801</v>
      </c>
      <c r="E5562" s="1" t="s">
        <v>12801</v>
      </c>
      <c r="F5562" s="1" t="s">
        <v>12933</v>
      </c>
      <c r="G5562" s="1" t="s">
        <v>12934</v>
      </c>
      <c r="H5562" s="2" t="str">
        <f>Tabella1[[#This Row],[Denominazione]]&amp;" - "&amp;Tabella1[[#This Row],[Città]]</f>
        <v>RESIDENCE POCKET BEACH - PORTO RECANATI</v>
      </c>
    </row>
    <row r="5563" spans="1:8" x14ac:dyDescent="0.25">
      <c r="A5563" s="1" t="s">
        <v>82</v>
      </c>
      <c r="B5563" s="1" t="s">
        <v>1417</v>
      </c>
      <c r="C5563" s="1" t="s">
        <v>1418</v>
      </c>
      <c r="D5563" s="1" t="s">
        <v>682</v>
      </c>
      <c r="E5563" s="1" t="s">
        <v>682</v>
      </c>
      <c r="F5563" s="1" t="s">
        <v>1419</v>
      </c>
      <c r="G5563" s="1" t="s">
        <v>1420</v>
      </c>
      <c r="H5563" s="2" t="str">
        <f>Tabella1[[#This Row],[Denominazione]]&amp;" - "&amp;Tabella1[[#This Row],[Città]]</f>
        <v>RESIDENCE PRESTIGE - FANO</v>
      </c>
    </row>
    <row r="5564" spans="1:8" x14ac:dyDescent="0.25">
      <c r="A5564" s="1" t="s">
        <v>82</v>
      </c>
      <c r="B5564" s="1" t="s">
        <v>8289</v>
      </c>
      <c r="C5564" s="1" t="s">
        <v>8290</v>
      </c>
      <c r="D5564" s="1" t="s">
        <v>7889</v>
      </c>
      <c r="E5564" s="1" t="s">
        <v>7889</v>
      </c>
      <c r="F5564" s="1" t="s">
        <v>8291</v>
      </c>
      <c r="G5564" s="1" t="s">
        <v>8292</v>
      </c>
      <c r="H5564" s="2" t="str">
        <f>Tabella1[[#This Row],[Denominazione]]&amp;" - "&amp;Tabella1[[#This Row],[Città]]</f>
        <v>RESIDENCE SAINT TROPEZ - NUMANA</v>
      </c>
    </row>
    <row r="5565" spans="1:8" x14ac:dyDescent="0.25">
      <c r="A5565" s="1" t="s">
        <v>403</v>
      </c>
      <c r="B5565" s="1" t="s">
        <v>18952</v>
      </c>
      <c r="C5565" s="1" t="s">
        <v>18953</v>
      </c>
      <c r="D5565" s="1" t="s">
        <v>18944</v>
      </c>
      <c r="E5565" s="1" t="s">
        <v>18944</v>
      </c>
      <c r="G5565" s="1" t="s">
        <v>18954</v>
      </c>
      <c r="H5565" s="2" t="str">
        <f>Tabella1[[#This Row],[Denominazione]]&amp;" - "&amp;Tabella1[[#This Row],[Città]]</f>
        <v>RESIDENCE SAN MARINO - PEDASO</v>
      </c>
    </row>
    <row r="5566" spans="1:8" x14ac:dyDescent="0.25">
      <c r="A5566" s="1" t="s">
        <v>403</v>
      </c>
      <c r="B5566" s="1" t="s">
        <v>17433</v>
      </c>
      <c r="C5566" s="1" t="s">
        <v>17434</v>
      </c>
      <c r="D5566" s="1" t="s">
        <v>15819</v>
      </c>
      <c r="E5566" s="1" t="s">
        <v>15819</v>
      </c>
      <c r="G5566" s="1" t="s">
        <v>17419</v>
      </c>
      <c r="H5566" s="2" t="str">
        <f>Tabella1[[#This Row],[Denominazione]]&amp;" - "&amp;Tabella1[[#This Row],[Città]]</f>
        <v>RESIDENCE SEASIDE - SAN BENEDETTO DEL TRONTO</v>
      </c>
    </row>
    <row r="5567" spans="1:8" x14ac:dyDescent="0.25">
      <c r="A5567" s="1" t="s">
        <v>403</v>
      </c>
      <c r="B5567" s="1" t="s">
        <v>8980</v>
      </c>
      <c r="C5567" s="1" t="s">
        <v>8981</v>
      </c>
      <c r="D5567" s="1" t="s">
        <v>8949</v>
      </c>
      <c r="F5567" s="1" t="s">
        <v>8982</v>
      </c>
      <c r="G5567" s="1" t="s">
        <v>8983</v>
      </c>
      <c r="H5567" s="2" t="str">
        <f>Tabella1[[#This Row],[Denominazione]]&amp;" - "&amp;Tabella1[[#This Row],[Città]]</f>
        <v>RESIDENCE SENBHOTEL 1 - SENIGALLIA</v>
      </c>
    </row>
    <row r="5568" spans="1:8" x14ac:dyDescent="0.25">
      <c r="A5568" s="1" t="s">
        <v>403</v>
      </c>
      <c r="B5568" s="1" t="s">
        <v>8984</v>
      </c>
      <c r="C5568" s="1" t="s">
        <v>8985</v>
      </c>
      <c r="D5568" s="1" t="s">
        <v>8949</v>
      </c>
      <c r="F5568" s="1" t="s">
        <v>8982</v>
      </c>
      <c r="G5568" s="1" t="s">
        <v>8983</v>
      </c>
      <c r="H5568" s="2" t="str">
        <f>Tabella1[[#This Row],[Denominazione]]&amp;" - "&amp;Tabella1[[#This Row],[Città]]</f>
        <v>RESIDENCE SENBHOTEL 2 - SENIGALLIA</v>
      </c>
    </row>
    <row r="5569" spans="1:8" x14ac:dyDescent="0.25">
      <c r="A5569" s="1" t="s">
        <v>403</v>
      </c>
      <c r="B5569" s="1" t="s">
        <v>16917</v>
      </c>
      <c r="C5569" s="1" t="s">
        <v>16918</v>
      </c>
      <c r="D5569" s="1" t="s">
        <v>15819</v>
      </c>
      <c r="F5569" s="1" t="s">
        <v>16919</v>
      </c>
      <c r="G5569" s="1" t="s">
        <v>16920</v>
      </c>
      <c r="H5569" s="2" t="str">
        <f>Tabella1[[#This Row],[Denominazione]]&amp;" - "&amp;Tabella1[[#This Row],[Città]]</f>
        <v>RESIDENCE SETTEBELLO di ANGELLOTTI LEOPOLDO - SAN BENEDETTO DEL TRONTO</v>
      </c>
    </row>
    <row r="5570" spans="1:8" x14ac:dyDescent="0.25">
      <c r="A5570" s="1" t="s">
        <v>82</v>
      </c>
      <c r="B5570" s="1" t="s">
        <v>5771</v>
      </c>
      <c r="C5570" s="1" t="s">
        <v>5772</v>
      </c>
      <c r="D5570" s="1" t="s">
        <v>1864</v>
      </c>
      <c r="E5570" s="1" t="s">
        <v>1864</v>
      </c>
      <c r="F5570" s="1" t="s">
        <v>5773</v>
      </c>
      <c r="G5570" s="1" t="s">
        <v>5774</v>
      </c>
      <c r="H5570" s="2" t="str">
        <f>Tabella1[[#This Row],[Denominazione]]&amp;" - "&amp;Tabella1[[#This Row],[Città]]</f>
        <v>RESIDENCE SOLE DEL CONERO - ANCONA</v>
      </c>
    </row>
    <row r="5571" spans="1:8" x14ac:dyDescent="0.25">
      <c r="A5571" s="1" t="s">
        <v>82</v>
      </c>
      <c r="B5571" s="1" t="s">
        <v>17029</v>
      </c>
      <c r="C5571" s="1" t="s">
        <v>17030</v>
      </c>
      <c r="D5571" s="1" t="s">
        <v>15819</v>
      </c>
      <c r="E5571" s="1" t="s">
        <v>15819</v>
      </c>
      <c r="F5571" s="1" t="s">
        <v>17031</v>
      </c>
      <c r="G5571" s="1" t="s">
        <v>17032</v>
      </c>
      <c r="H5571" s="2" t="str">
        <f>Tabella1[[#This Row],[Denominazione]]&amp;" - "&amp;Tabella1[[#This Row],[Città]]</f>
        <v>RESIDENCE TAORMINA - SAN BENEDETTO DEL TRONTO</v>
      </c>
    </row>
    <row r="5572" spans="1:8" x14ac:dyDescent="0.25">
      <c r="A5572" s="1" t="s">
        <v>82</v>
      </c>
      <c r="B5572" s="1" t="s">
        <v>495</v>
      </c>
      <c r="C5572" s="1" t="s">
        <v>496</v>
      </c>
      <c r="D5572" s="1" t="s">
        <v>316</v>
      </c>
      <c r="E5572" s="1" t="s">
        <v>316</v>
      </c>
      <c r="H5572" s="2" t="str">
        <f>Tabella1[[#This Row],[Denominazione]]&amp;" - "&amp;Tabella1[[#This Row],[Città]]</f>
        <v>RESIDENCE TORRE DEL SASSO - CAGLI</v>
      </c>
    </row>
    <row r="5573" spans="1:8" x14ac:dyDescent="0.25">
      <c r="A5573" s="1" t="s">
        <v>82</v>
      </c>
      <c r="B5573" s="1" t="s">
        <v>14670</v>
      </c>
      <c r="C5573" s="1" t="s">
        <v>14671</v>
      </c>
      <c r="D5573" s="1" t="s">
        <v>14576</v>
      </c>
      <c r="E5573" s="1" t="s">
        <v>14576</v>
      </c>
      <c r="G5573" s="1" t="s">
        <v>14672</v>
      </c>
      <c r="H5573" s="2" t="str">
        <f>Tabella1[[#This Row],[Denominazione]]&amp;" - "&amp;Tabella1[[#This Row],[Città]]</f>
        <v>RESIDENCE TRE TORRI - ASCOLI PICENO</v>
      </c>
    </row>
    <row r="5574" spans="1:8" x14ac:dyDescent="0.25">
      <c r="A5574" s="1" t="s">
        <v>82</v>
      </c>
      <c r="B5574" s="1" t="s">
        <v>5785</v>
      </c>
      <c r="C5574" s="1" t="s">
        <v>5786</v>
      </c>
      <c r="D5574" s="1" t="s">
        <v>1864</v>
      </c>
      <c r="E5574" s="1" t="s">
        <v>1864</v>
      </c>
      <c r="F5574" s="1" t="s">
        <v>5787</v>
      </c>
      <c r="G5574" s="1" t="s">
        <v>5788</v>
      </c>
      <c r="H5574" s="2" t="str">
        <f>Tabella1[[#This Row],[Denominazione]]&amp;" - "&amp;Tabella1[[#This Row],[Città]]</f>
        <v>RESIDENCE VANVITELLI - ANCONA</v>
      </c>
    </row>
    <row r="5575" spans="1:8" x14ac:dyDescent="0.25">
      <c r="A5575" s="1" t="s">
        <v>190</v>
      </c>
      <c r="B5575" s="1" t="s">
        <v>10872</v>
      </c>
      <c r="D5575" s="1" t="s">
        <v>10737</v>
      </c>
      <c r="E5575" s="1" t="s">
        <v>10737</v>
      </c>
      <c r="H5575" s="2" t="str">
        <f>Tabella1[[#This Row],[Denominazione]]&amp;" - "&amp;Tabella1[[#This Row],[Città]]</f>
        <v>RESIDENCE VENANZINA PENNESI - CAMERINO</v>
      </c>
    </row>
    <row r="5576" spans="1:8" x14ac:dyDescent="0.25">
      <c r="A5576" s="1" t="s">
        <v>82</v>
      </c>
      <c r="B5576" s="1" t="s">
        <v>12939</v>
      </c>
      <c r="C5576" s="1" t="s">
        <v>12940</v>
      </c>
      <c r="D5576" s="1" t="s">
        <v>12801</v>
      </c>
      <c r="E5576" s="1" t="s">
        <v>12801</v>
      </c>
      <c r="G5576" s="1" t="s">
        <v>12941</v>
      </c>
      <c r="H5576" s="2" t="str">
        <f>Tabella1[[#This Row],[Denominazione]]&amp;" - "&amp;Tabella1[[#This Row],[Città]]</f>
        <v>RESIDENCE VILLA CLAUDIA - PORTO RECANATI</v>
      </c>
    </row>
    <row r="5577" spans="1:8" x14ac:dyDescent="0.25">
      <c r="A5577" s="1" t="s">
        <v>29</v>
      </c>
      <c r="B5577" s="1" t="s">
        <v>5336</v>
      </c>
      <c r="C5577" s="1" t="s">
        <v>5337</v>
      </c>
      <c r="D5577" s="1" t="s">
        <v>9</v>
      </c>
      <c r="E5577" s="1" t="s">
        <v>9</v>
      </c>
      <c r="F5577" s="1" t="s">
        <v>5338</v>
      </c>
      <c r="G5577" s="1" t="s">
        <v>5339</v>
      </c>
      <c r="H5577" s="2" t="str">
        <f>Tabella1[[#This Row],[Denominazione]]&amp;" - "&amp;Tabella1[[#This Row],[Città]]</f>
        <v>RESIDENZA AMBROGI LUXURY B&amp;B - URBINO</v>
      </c>
    </row>
    <row r="5578" spans="1:8" x14ac:dyDescent="0.25">
      <c r="A5578" s="1" t="s">
        <v>12</v>
      </c>
      <c r="B5578" s="1" t="s">
        <v>2452</v>
      </c>
      <c r="C5578" s="1" t="s">
        <v>2453</v>
      </c>
      <c r="D5578" s="1" t="s">
        <v>2425</v>
      </c>
      <c r="G5578" s="1" t="s">
        <v>2454</v>
      </c>
      <c r="H5578" s="2" t="str">
        <f>Tabella1[[#This Row],[Denominazione]]&amp;" - "&amp;Tabella1[[#This Row],[Città]]</f>
        <v>RESIDENZA AURORA - GRADARA</v>
      </c>
    </row>
    <row r="5579" spans="1:8" x14ac:dyDescent="0.25">
      <c r="A5579" s="1" t="s">
        <v>190</v>
      </c>
      <c r="B5579" s="1" t="s">
        <v>10787</v>
      </c>
      <c r="C5579" s="1" t="s">
        <v>10788</v>
      </c>
      <c r="D5579" s="1" t="s">
        <v>10737</v>
      </c>
      <c r="E5579" s="1" t="s">
        <v>10737</v>
      </c>
      <c r="H5579" s="2" t="str">
        <f>Tabella1[[#This Row],[Denominazione]]&amp;" - "&amp;Tabella1[[#This Row],[Città]]</f>
        <v>RESIDENZA BONGIOVANNI - CAMERINO</v>
      </c>
    </row>
    <row r="5580" spans="1:8" x14ac:dyDescent="0.25">
      <c r="A5580" s="1" t="s">
        <v>82</v>
      </c>
      <c r="B5580" s="1" t="s">
        <v>7013</v>
      </c>
      <c r="C5580" s="1" t="s">
        <v>7014</v>
      </c>
      <c r="D5580" s="1" t="s">
        <v>6790</v>
      </c>
      <c r="E5580" s="1" t="s">
        <v>7015</v>
      </c>
      <c r="G5580" s="1" t="s">
        <v>7016</v>
      </c>
      <c r="H5580" s="2" t="str">
        <f>Tabella1[[#This Row],[Denominazione]]&amp;" - "&amp;Tabella1[[#This Row],[Città]]</f>
        <v>RESIDENZA CASTELLETTA - FABRIANO</v>
      </c>
    </row>
    <row r="5581" spans="1:8" x14ac:dyDescent="0.25">
      <c r="A5581" s="1" t="s">
        <v>403</v>
      </c>
      <c r="B5581" s="1" t="s">
        <v>14733</v>
      </c>
      <c r="C5581" s="1" t="s">
        <v>14734</v>
      </c>
      <c r="D5581" s="1" t="s">
        <v>14576</v>
      </c>
      <c r="E5581" s="1" t="s">
        <v>14576</v>
      </c>
      <c r="F5581" s="1" t="s">
        <v>14731</v>
      </c>
      <c r="G5581" s="1" t="s">
        <v>14732</v>
      </c>
      <c r="H5581" s="2" t="str">
        <f>Tabella1[[#This Row],[Denominazione]]&amp;" - "&amp;Tabella1[[#This Row],[Città]]</f>
        <v>RESIDENZA DEI CAPITANI - ASCOLI PICENO</v>
      </c>
    </row>
    <row r="5582" spans="1:8" x14ac:dyDescent="0.25">
      <c r="A5582" s="1" t="s">
        <v>82</v>
      </c>
      <c r="B5582" s="1" t="s">
        <v>13426</v>
      </c>
      <c r="C5582" s="1" t="s">
        <v>13427</v>
      </c>
      <c r="D5582" s="1" t="s">
        <v>13428</v>
      </c>
      <c r="G5582" s="1" t="s">
        <v>13429</v>
      </c>
      <c r="H5582" s="2" t="str">
        <f>Tabella1[[#This Row],[Denominazione]]&amp;" - "&amp;Tabella1[[#This Row],[Città]]</f>
        <v>RESIDENZA DEL BORGO - RIPE SAN GINESIO</v>
      </c>
    </row>
    <row r="5583" spans="1:8" x14ac:dyDescent="0.25">
      <c r="A5583" s="1" t="s">
        <v>20</v>
      </c>
      <c r="B5583" s="1" t="s">
        <v>2248</v>
      </c>
      <c r="C5583" s="1" t="s">
        <v>2249</v>
      </c>
      <c r="D5583" s="1" t="s">
        <v>1907</v>
      </c>
      <c r="E5583" s="1" t="s">
        <v>1907</v>
      </c>
      <c r="F5583" s="1" t="s">
        <v>2176</v>
      </c>
      <c r="G5583" s="1" t="s">
        <v>2177</v>
      </c>
      <c r="H5583" s="2" t="str">
        <f>Tabella1[[#This Row],[Denominazione]]&amp;" - "&amp;Tabella1[[#This Row],[Città]]</f>
        <v>RESIDENZA DEL GRAND HOTEL MICHELACCI - GABICCE MARE</v>
      </c>
    </row>
    <row r="5584" spans="1:8" x14ac:dyDescent="0.25">
      <c r="A5584" s="1" t="s">
        <v>82</v>
      </c>
      <c r="B5584" s="1" t="s">
        <v>1363</v>
      </c>
      <c r="C5584" s="1" t="s">
        <v>1364</v>
      </c>
      <c r="D5584" s="1" t="s">
        <v>682</v>
      </c>
      <c r="F5584" s="1" t="s">
        <v>1365</v>
      </c>
      <c r="G5584" s="1" t="s">
        <v>1366</v>
      </c>
      <c r="H5584" s="2" t="str">
        <f>Tabella1[[#This Row],[Denominazione]]&amp;" - "&amp;Tabella1[[#This Row],[Città]]</f>
        <v>RESIDENZA DELLO SQUERO - FANO</v>
      </c>
    </row>
    <row r="5585" spans="1:8" x14ac:dyDescent="0.25">
      <c r="A5585" s="1" t="s">
        <v>82</v>
      </c>
      <c r="B5585" s="1" t="s">
        <v>18215</v>
      </c>
      <c r="C5585" s="1" t="s">
        <v>18216</v>
      </c>
      <c r="D5585" s="1" t="s">
        <v>17932</v>
      </c>
      <c r="E5585" s="1" t="s">
        <v>18217</v>
      </c>
      <c r="G5585" s="1" t="s">
        <v>18218</v>
      </c>
      <c r="H5585" s="2" t="str">
        <f>Tabella1[[#This Row],[Denominazione]]&amp;" - "&amp;Tabella1[[#This Row],[Città]]</f>
        <v>RESIDENZA ECOLOGICA CASABIANCA - FERMO</v>
      </c>
    </row>
    <row r="5586" spans="1:8" x14ac:dyDescent="0.25">
      <c r="A5586" s="1" t="s">
        <v>82</v>
      </c>
      <c r="B5586" s="1" t="s">
        <v>16563</v>
      </c>
      <c r="C5586" s="1" t="s">
        <v>16564</v>
      </c>
      <c r="D5586" s="1" t="s">
        <v>16440</v>
      </c>
      <c r="E5586" s="1" t="s">
        <v>16440</v>
      </c>
      <c r="G5586" s="1" t="s">
        <v>16565</v>
      </c>
      <c r="H5586" s="2" t="str">
        <f>Tabella1[[#This Row],[Denominazione]]&amp;" - "&amp;Tabella1[[#This Row],[Città]]</f>
        <v>RESIDENZA IDA - OFFIDA</v>
      </c>
    </row>
    <row r="5587" spans="1:8" x14ac:dyDescent="0.25">
      <c r="A5587" s="1" t="s">
        <v>20</v>
      </c>
      <c r="B5587" s="1" t="s">
        <v>6974</v>
      </c>
      <c r="C5587" s="1" t="s">
        <v>6975</v>
      </c>
      <c r="D5587" s="1" t="s">
        <v>6790</v>
      </c>
      <c r="E5587" s="1" t="s">
        <v>6790</v>
      </c>
      <c r="F5587" s="1" t="s">
        <v>6976</v>
      </c>
      <c r="G5587" s="1" t="s">
        <v>6977</v>
      </c>
      <c r="H5587" s="2" t="str">
        <f>Tabella1[[#This Row],[Denominazione]]&amp;" - "&amp;Tabella1[[#This Row],[Città]]</f>
        <v>RESIDENZA LA CERAMICA - FABRIANO</v>
      </c>
    </row>
    <row r="5588" spans="1:8" x14ac:dyDescent="0.25">
      <c r="A5588" s="1" t="s">
        <v>82</v>
      </c>
      <c r="B5588" s="1" t="s">
        <v>12263</v>
      </c>
      <c r="C5588" s="1" t="s">
        <v>12264</v>
      </c>
      <c r="D5588" s="1" t="s">
        <v>12208</v>
      </c>
      <c r="G5588" s="1" t="s">
        <v>12265</v>
      </c>
      <c r="H5588" s="2" t="str">
        <f>Tabella1[[#This Row],[Denominazione]]&amp;" - "&amp;Tabella1[[#This Row],[Città]]</f>
        <v>RESIDENZA LA QUIETE - MATELICA</v>
      </c>
    </row>
    <row r="5589" spans="1:8" x14ac:dyDescent="0.25">
      <c r="A5589" s="1" t="s">
        <v>403</v>
      </c>
      <c r="B5589" s="1" t="s">
        <v>2807</v>
      </c>
      <c r="C5589" s="1" t="s">
        <v>2808</v>
      </c>
      <c r="D5589" s="1" t="s">
        <v>1605</v>
      </c>
      <c r="E5589" s="1" t="s">
        <v>1456</v>
      </c>
      <c r="G5589" s="1" t="s">
        <v>2809</v>
      </c>
      <c r="H5589" s="2" t="str">
        <f>Tabella1[[#This Row],[Denominazione]]&amp;" - "&amp;Tabella1[[#This Row],[Città]]</f>
        <v>RESIDENZA LA SIGNORA - MONDOLFO</v>
      </c>
    </row>
    <row r="5590" spans="1:8" x14ac:dyDescent="0.25">
      <c r="A5590" s="1" t="s">
        <v>82</v>
      </c>
      <c r="B5590" s="1" t="s">
        <v>10863</v>
      </c>
      <c r="C5590" s="1" t="s">
        <v>10864</v>
      </c>
      <c r="D5590" s="1" t="s">
        <v>10737</v>
      </c>
      <c r="E5590" s="1" t="s">
        <v>10737</v>
      </c>
      <c r="H5590" s="2" t="str">
        <f>Tabella1[[#This Row],[Denominazione]]&amp;" - "&amp;Tabella1[[#This Row],[Città]]</f>
        <v>RESIDENZA LARGO VALENTINI - CAMERINO</v>
      </c>
    </row>
    <row r="5591" spans="1:8" x14ac:dyDescent="0.25">
      <c r="A5591" s="1" t="s">
        <v>12</v>
      </c>
      <c r="B5591" s="1" t="s">
        <v>15508</v>
      </c>
      <c r="C5591" s="1" t="s">
        <v>15509</v>
      </c>
      <c r="D5591" s="1" t="s">
        <v>15349</v>
      </c>
      <c r="G5591" s="1" t="s">
        <v>15510</v>
      </c>
      <c r="H5591" s="2" t="str">
        <f>Tabella1[[#This Row],[Denominazione]]&amp;" - "&amp;Tabella1[[#This Row],[Città]]</f>
        <v>RESIDENZA MARANO - CUPRA MARITTIMA</v>
      </c>
    </row>
    <row r="5592" spans="1:8" x14ac:dyDescent="0.25">
      <c r="A5592" s="1" t="s">
        <v>190</v>
      </c>
      <c r="B5592" s="1" t="s">
        <v>12266</v>
      </c>
      <c r="C5592" s="1" t="s">
        <v>12267</v>
      </c>
      <c r="D5592" s="1" t="s">
        <v>12208</v>
      </c>
      <c r="G5592" s="1" t="s">
        <v>12268</v>
      </c>
      <c r="H5592" s="2" t="str">
        <f>Tabella1[[#This Row],[Denominazione]]&amp;" - "&amp;Tabella1[[#This Row],[Città]]</f>
        <v>RESIDENZA SAN FRANCESCO - MATELICA</v>
      </c>
    </row>
    <row r="5593" spans="1:8" x14ac:dyDescent="0.25">
      <c r="A5593" s="1" t="s">
        <v>6</v>
      </c>
      <c r="B5593" s="1" t="s">
        <v>1832</v>
      </c>
      <c r="C5593" s="1" t="s">
        <v>1833</v>
      </c>
      <c r="D5593" s="1" t="s">
        <v>1810</v>
      </c>
      <c r="E5593" s="1" t="s">
        <v>1834</v>
      </c>
      <c r="F5593" s="1" t="s">
        <v>1835</v>
      </c>
      <c r="G5593" s="1" t="s">
        <v>1836</v>
      </c>
      <c r="H5593" s="2" t="str">
        <f>Tabella1[[#This Row],[Denominazione]]&amp;" - "&amp;Tabella1[[#This Row],[Città]]</f>
        <v>RESIDENZA SAN GIROLAMO - FRONTINO</v>
      </c>
    </row>
    <row r="5594" spans="1:8" x14ac:dyDescent="0.25">
      <c r="A5594" s="1" t="s">
        <v>190</v>
      </c>
      <c r="B5594" s="1" t="s">
        <v>14702</v>
      </c>
      <c r="C5594" s="1" t="s">
        <v>14703</v>
      </c>
      <c r="D5594" s="1" t="s">
        <v>14576</v>
      </c>
      <c r="E5594" s="1" t="s">
        <v>14704</v>
      </c>
      <c r="G5594" s="1" t="s">
        <v>12268</v>
      </c>
      <c r="H5594" s="2" t="str">
        <f>Tabella1[[#This Row],[Denominazione]]&amp;" - "&amp;Tabella1[[#This Row],[Città]]</f>
        <v>RESIDENZA UNIVERSITARIA C.CRIVELLI - ASCOLI PICENO</v>
      </c>
    </row>
    <row r="5595" spans="1:8" x14ac:dyDescent="0.25">
      <c r="A5595" s="1" t="s">
        <v>190</v>
      </c>
      <c r="B5595" s="1" t="s">
        <v>14786</v>
      </c>
      <c r="C5595" s="1" t="s">
        <v>14787</v>
      </c>
      <c r="D5595" s="1" t="s">
        <v>14576</v>
      </c>
      <c r="G5595" s="1" t="s">
        <v>12268</v>
      </c>
      <c r="H5595" s="2" t="str">
        <f>Tabella1[[#This Row],[Denominazione]]&amp;" - "&amp;Tabella1[[#This Row],[Città]]</f>
        <v>RESIDENZA UNIVERSITARIA MERCANTINI - ASCOLI PICENO</v>
      </c>
    </row>
    <row r="5596" spans="1:8" x14ac:dyDescent="0.25">
      <c r="A5596" s="1" t="s">
        <v>190</v>
      </c>
      <c r="B5596" s="1" t="s">
        <v>14767</v>
      </c>
      <c r="C5596" s="1" t="s">
        <v>14768</v>
      </c>
      <c r="D5596" s="1" t="s">
        <v>14576</v>
      </c>
      <c r="G5596" s="1" t="s">
        <v>14769</v>
      </c>
      <c r="H5596" s="2" t="str">
        <f>Tabella1[[#This Row],[Denominazione]]&amp;" - "&amp;Tabella1[[#This Row],[Città]]</f>
        <v>RESIDENZA UNIVERSITARIA PAPAVERO - ASCOLI PICENO</v>
      </c>
    </row>
    <row r="5597" spans="1:8" x14ac:dyDescent="0.25">
      <c r="A5597" s="1" t="s">
        <v>190</v>
      </c>
      <c r="B5597" s="1" t="s">
        <v>14705</v>
      </c>
      <c r="C5597" s="1" t="s">
        <v>14706</v>
      </c>
      <c r="D5597" s="1" t="s">
        <v>14576</v>
      </c>
      <c r="G5597" s="1" t="s">
        <v>12268</v>
      </c>
      <c r="H5597" s="2" t="str">
        <f>Tabella1[[#This Row],[Denominazione]]&amp;" - "&amp;Tabella1[[#This Row],[Città]]</f>
        <v>RESIDENZA UNIVERSITARIA RUFO - ASCOLI PICENO</v>
      </c>
    </row>
    <row r="5598" spans="1:8" x14ac:dyDescent="0.25">
      <c r="A5598" s="1" t="s">
        <v>82</v>
      </c>
      <c r="B5598" s="1" t="s">
        <v>13864</v>
      </c>
      <c r="C5598" s="1" t="s">
        <v>13771</v>
      </c>
      <c r="D5598" s="1" t="s">
        <v>13756</v>
      </c>
      <c r="E5598" s="1" t="s">
        <v>13756</v>
      </c>
      <c r="F5598" s="1" t="s">
        <v>13865</v>
      </c>
      <c r="G5598" s="1" t="s">
        <v>13866</v>
      </c>
      <c r="H5598" s="2" t="str">
        <f>Tabella1[[#This Row],[Denominazione]]&amp;" - "&amp;Tabella1[[#This Row],[Città]]</f>
        <v>RESIDENZE VERDEQUIETE - SARNANO</v>
      </c>
    </row>
    <row r="5599" spans="1:8" x14ac:dyDescent="0.25">
      <c r="A5599" s="1" t="s">
        <v>82</v>
      </c>
      <c r="B5599" s="1" t="s">
        <v>15362</v>
      </c>
      <c r="C5599" s="1" t="s">
        <v>15363</v>
      </c>
      <c r="D5599" s="1" t="s">
        <v>15349</v>
      </c>
      <c r="E5599" s="1" t="s">
        <v>15349</v>
      </c>
      <c r="G5599" s="1" t="s">
        <v>15364</v>
      </c>
      <c r="H5599" s="2" t="str">
        <f>Tabella1[[#This Row],[Denominazione]]&amp;" - "&amp;Tabella1[[#This Row],[Città]]</f>
        <v>RESORT CUPRA - CUPRA MARITTIMA</v>
      </c>
    </row>
    <row r="5600" spans="1:8" x14ac:dyDescent="0.25">
      <c r="A5600" s="1" t="s">
        <v>82</v>
      </c>
      <c r="B5600" s="1" t="s">
        <v>14707</v>
      </c>
      <c r="C5600" s="1" t="s">
        <v>14708</v>
      </c>
      <c r="D5600" s="1" t="s">
        <v>14576</v>
      </c>
      <c r="E5600" s="1" t="s">
        <v>10384</v>
      </c>
      <c r="F5600" s="1" t="s">
        <v>14709</v>
      </c>
      <c r="G5600" s="1" t="s">
        <v>14710</v>
      </c>
      <c r="H5600" s="2" t="str">
        <f>Tabella1[[#This Row],[Denominazione]]&amp;" - "&amp;Tabella1[[#This Row],[Città]]</f>
        <v>RESORT DI SABATINO - ASCOLI PICENO</v>
      </c>
    </row>
    <row r="5601" spans="1:8" x14ac:dyDescent="0.25">
      <c r="A5601" s="1" t="s">
        <v>20</v>
      </c>
      <c r="B5601" s="1" t="s">
        <v>2250</v>
      </c>
      <c r="C5601" s="1" t="s">
        <v>2251</v>
      </c>
      <c r="D5601" s="1" t="s">
        <v>1907</v>
      </c>
      <c r="E5601" s="1" t="s">
        <v>1907</v>
      </c>
      <c r="F5601" s="1" t="s">
        <v>2252</v>
      </c>
      <c r="G5601" s="1" t="s">
        <v>2253</v>
      </c>
      <c r="H5601" s="2" t="str">
        <f>Tabella1[[#This Row],[Denominazione]]&amp;" - "&amp;Tabella1[[#This Row],[Città]]</f>
        <v>REX - GABICCE MARE</v>
      </c>
    </row>
    <row r="5602" spans="1:8" x14ac:dyDescent="0.25">
      <c r="A5602" s="1" t="s">
        <v>20</v>
      </c>
      <c r="B5602" s="1" t="s">
        <v>2250</v>
      </c>
      <c r="C5602" s="1" t="s">
        <v>9753</v>
      </c>
      <c r="D5602" s="1" t="s">
        <v>8949</v>
      </c>
      <c r="E5602" s="1" t="s">
        <v>8949</v>
      </c>
      <c r="F5602" s="1" t="s">
        <v>9754</v>
      </c>
      <c r="G5602" s="1" t="s">
        <v>9755</v>
      </c>
      <c r="H5602" s="2" t="str">
        <f>Tabella1[[#This Row],[Denominazione]]&amp;" - "&amp;Tabella1[[#This Row],[Città]]</f>
        <v>REX - SENIGALLIA</v>
      </c>
    </row>
    <row r="5603" spans="1:8" x14ac:dyDescent="0.25">
      <c r="A5603" s="1" t="s">
        <v>12</v>
      </c>
      <c r="B5603" s="1" t="s">
        <v>9143</v>
      </c>
      <c r="C5603" s="1" t="s">
        <v>9144</v>
      </c>
      <c r="D5603" s="1" t="s">
        <v>8949</v>
      </c>
      <c r="E5603" s="1" t="s">
        <v>8949</v>
      </c>
      <c r="G5603" s="1" t="s">
        <v>9145</v>
      </c>
      <c r="H5603" s="2" t="str">
        <f>Tabella1[[#This Row],[Denominazione]]&amp;" - "&amp;Tabella1[[#This Row],[Città]]</f>
        <v>RICCARDI SANDRO - SENIGALLIA</v>
      </c>
    </row>
    <row r="5604" spans="1:8" x14ac:dyDescent="0.25">
      <c r="A5604" s="1" t="s">
        <v>12</v>
      </c>
      <c r="B5604" s="1" t="s">
        <v>2029</v>
      </c>
      <c r="C5604" s="1" t="s">
        <v>2030</v>
      </c>
      <c r="D5604" s="1" t="s">
        <v>1907</v>
      </c>
      <c r="H5604" s="2" t="str">
        <f>Tabella1[[#This Row],[Denominazione]]&amp;" - "&amp;Tabella1[[#This Row],[Città]]</f>
        <v>RICCI ERNESTO - GABICCE MARE</v>
      </c>
    </row>
    <row r="5605" spans="1:8" x14ac:dyDescent="0.25">
      <c r="A5605" s="1" t="s">
        <v>12</v>
      </c>
      <c r="B5605" s="1" t="s">
        <v>5450</v>
      </c>
      <c r="C5605" s="1" t="s">
        <v>5451</v>
      </c>
      <c r="D5605" s="1" t="s">
        <v>1864</v>
      </c>
      <c r="G5605" s="1" t="s">
        <v>5447</v>
      </c>
      <c r="H5605" s="2" t="str">
        <f>Tabella1[[#This Row],[Denominazione]]&amp;" - "&amp;Tabella1[[#This Row],[Città]]</f>
        <v>RICCI FAUSTO - ANCONA</v>
      </c>
    </row>
    <row r="5606" spans="1:8" x14ac:dyDescent="0.25">
      <c r="A5606" s="1" t="s">
        <v>12</v>
      </c>
      <c r="B5606" s="1" t="s">
        <v>369</v>
      </c>
      <c r="C5606" s="1" t="s">
        <v>370</v>
      </c>
      <c r="D5606" s="1" t="s">
        <v>316</v>
      </c>
      <c r="E5606" s="1" t="s">
        <v>371</v>
      </c>
      <c r="G5606" s="1" t="s">
        <v>372</v>
      </c>
      <c r="H5606" s="2" t="str">
        <f>Tabella1[[#This Row],[Denominazione]]&amp;" - "&amp;Tabella1[[#This Row],[Città]]</f>
        <v>RICCI MARCO - CAGLI</v>
      </c>
    </row>
    <row r="5607" spans="1:8" x14ac:dyDescent="0.25">
      <c r="A5607" s="1" t="s">
        <v>12</v>
      </c>
      <c r="B5607" s="1" t="s">
        <v>2031</v>
      </c>
      <c r="C5607" s="1" t="s">
        <v>2032</v>
      </c>
      <c r="D5607" s="1" t="s">
        <v>1907</v>
      </c>
      <c r="H5607" s="2" t="str">
        <f>Tabella1[[#This Row],[Denominazione]]&amp;" - "&amp;Tabella1[[#This Row],[Città]]</f>
        <v>RICCI TERESA - GABICCE MARE</v>
      </c>
    </row>
    <row r="5608" spans="1:8" x14ac:dyDescent="0.25">
      <c r="A5608" s="1" t="s">
        <v>12</v>
      </c>
      <c r="B5608" s="1" t="s">
        <v>2000</v>
      </c>
      <c r="C5608" s="1" t="s">
        <v>2001</v>
      </c>
      <c r="D5608" s="1" t="s">
        <v>1907</v>
      </c>
      <c r="H5608" s="2" t="str">
        <f>Tabella1[[#This Row],[Denominazione]]&amp;" - "&amp;Tabella1[[#This Row],[Città]]</f>
        <v>RICCI TIZIANA - GABICCE MARE</v>
      </c>
    </row>
    <row r="5609" spans="1:8" x14ac:dyDescent="0.25">
      <c r="A5609" s="1" t="s">
        <v>35</v>
      </c>
      <c r="B5609" s="1" t="s">
        <v>6543</v>
      </c>
      <c r="C5609" s="1" t="s">
        <v>6544</v>
      </c>
      <c r="D5609" s="1" t="s">
        <v>6536</v>
      </c>
      <c r="G5609" s="1" t="s">
        <v>6545</v>
      </c>
      <c r="H5609" s="2" t="str">
        <f>Tabella1[[#This Row],[Denominazione]]&amp;" - "&amp;Tabella1[[#This Row],[Città]]</f>
        <v>RICOLANDO - CORINALDO</v>
      </c>
    </row>
    <row r="5610" spans="1:8" x14ac:dyDescent="0.25">
      <c r="A5610" s="1" t="s">
        <v>12</v>
      </c>
      <c r="B5610" s="1" t="s">
        <v>2017</v>
      </c>
      <c r="C5610" s="1" t="s">
        <v>2018</v>
      </c>
      <c r="D5610" s="1" t="s">
        <v>1907</v>
      </c>
      <c r="H5610" s="2" t="str">
        <f>Tabella1[[#This Row],[Denominazione]]&amp;" - "&amp;Tabella1[[#This Row],[Città]]</f>
        <v>RIDOLFI PAOLA - GABICCE MARE</v>
      </c>
    </row>
    <row r="5611" spans="1:8" x14ac:dyDescent="0.25">
      <c r="A5611" s="1" t="s">
        <v>12</v>
      </c>
      <c r="B5611" s="1" t="s">
        <v>4329</v>
      </c>
      <c r="C5611" s="1" t="s">
        <v>4330</v>
      </c>
      <c r="D5611" s="1" t="s">
        <v>4272</v>
      </c>
      <c r="E5611" s="1" t="s">
        <v>4272</v>
      </c>
      <c r="H5611" s="2" t="str">
        <f>Tabella1[[#This Row],[Denominazione]]&amp;" - "&amp;Tabella1[[#This Row],[Città]]</f>
        <v>RIFINO MARCANTONIO - SAN COSTANZO</v>
      </c>
    </row>
    <row r="5612" spans="1:8" x14ac:dyDescent="0.25">
      <c r="A5612" s="1" t="s">
        <v>300</v>
      </c>
      <c r="B5612" s="1" t="s">
        <v>14219</v>
      </c>
      <c r="D5612" s="1" t="s">
        <v>14213</v>
      </c>
      <c r="E5612" s="1" t="s">
        <v>14220</v>
      </c>
      <c r="F5612" s="1" t="s">
        <v>14221</v>
      </c>
      <c r="G5612" s="1" t="s">
        <v>14222</v>
      </c>
      <c r="H5612" s="2" t="str">
        <f>Tabella1[[#This Row],[Denominazione]]&amp;" - "&amp;Tabella1[[#This Row],[Città]]</f>
        <v>RIFUGIO ALPINO DEL FARGNO - USSITA</v>
      </c>
    </row>
    <row r="5613" spans="1:8" x14ac:dyDescent="0.25">
      <c r="A5613" s="1" t="s">
        <v>300</v>
      </c>
      <c r="B5613" s="1" t="s">
        <v>16317</v>
      </c>
      <c r="C5613" s="1" t="s">
        <v>16318</v>
      </c>
      <c r="D5613" s="1" t="s">
        <v>16312</v>
      </c>
      <c r="E5613" s="1" t="s">
        <v>16312</v>
      </c>
      <c r="H5613" s="2" t="str">
        <f>Tabella1[[#This Row],[Denominazione]]&amp;" - "&amp;Tabella1[[#This Row],[Città]]</f>
        <v>RIFUGIO ALTINO - MONTEMONACO</v>
      </c>
    </row>
    <row r="5614" spans="1:8" x14ac:dyDescent="0.25">
      <c r="A5614" s="1" t="s">
        <v>300</v>
      </c>
      <c r="B5614" s="1" t="s">
        <v>14216</v>
      </c>
      <c r="C5614" s="1" t="s">
        <v>14217</v>
      </c>
      <c r="D5614" s="1" t="s">
        <v>14213</v>
      </c>
      <c r="E5614" s="1" t="s">
        <v>14218</v>
      </c>
      <c r="H5614" s="2" t="str">
        <f>Tabella1[[#This Row],[Denominazione]]&amp;" - "&amp;Tabella1[[#This Row],[Città]]</f>
        <v>RIFUGIO CASALI - USSITA</v>
      </c>
    </row>
    <row r="5615" spans="1:8" x14ac:dyDescent="0.25">
      <c r="A5615" s="1" t="s">
        <v>300</v>
      </c>
      <c r="B5615" s="1" t="s">
        <v>14563</v>
      </c>
      <c r="C5615" s="1" t="s">
        <v>14564</v>
      </c>
      <c r="D5615" s="1" t="s">
        <v>14510</v>
      </c>
      <c r="E5615" s="1" t="s">
        <v>14510</v>
      </c>
      <c r="F5615" s="1" t="s">
        <v>14363</v>
      </c>
      <c r="G5615" s="1" t="s">
        <v>14565</v>
      </c>
      <c r="H5615" s="2" t="str">
        <f>Tabella1[[#This Row],[Denominazione]]&amp;" - "&amp;Tabella1[[#This Row],[Città]]</f>
        <v>RIFUGIO DEGLI ALPINI G. GIACOMINI - ARQUATA DEL TRONTO</v>
      </c>
    </row>
    <row r="5616" spans="1:8" x14ac:dyDescent="0.25">
      <c r="A5616" s="1" t="s">
        <v>300</v>
      </c>
      <c r="B5616" s="1" t="s">
        <v>14535</v>
      </c>
      <c r="C5616" s="1" t="s">
        <v>14536</v>
      </c>
      <c r="D5616" s="1" t="s">
        <v>14510</v>
      </c>
      <c r="E5616" s="1" t="s">
        <v>14537</v>
      </c>
      <c r="F5616" s="1" t="s">
        <v>14538</v>
      </c>
      <c r="G5616" s="1" t="s">
        <v>14539</v>
      </c>
      <c r="H5616" s="2" t="str">
        <f>Tabella1[[#This Row],[Denominazione]]&amp;" - "&amp;Tabella1[[#This Row],[Città]]</f>
        <v>RIFUGIO ESCURSIONISTICO DI COLLE LE CESE - ARQUATA DEL TRONTO</v>
      </c>
    </row>
    <row r="5617" spans="1:8" x14ac:dyDescent="0.25">
      <c r="A5617" s="1" t="s">
        <v>300</v>
      </c>
      <c r="B5617" s="1" t="s">
        <v>14305</v>
      </c>
      <c r="C5617" s="1" t="s">
        <v>14306</v>
      </c>
      <c r="D5617" s="1" t="s">
        <v>14276</v>
      </c>
      <c r="E5617" s="1" t="s">
        <v>14307</v>
      </c>
      <c r="F5617" s="1" t="s">
        <v>14308</v>
      </c>
      <c r="G5617" s="1" t="s">
        <v>14309</v>
      </c>
      <c r="H5617" s="2" t="str">
        <f>Tabella1[[#This Row],[Denominazione]]&amp;" - "&amp;Tabella1[[#This Row],[Città]]</f>
        <v>RIFUGIO ESCURSIONISTICO DI CUPI - VISSO</v>
      </c>
    </row>
    <row r="5618" spans="1:8" x14ac:dyDescent="0.25">
      <c r="A5618" s="1" t="s">
        <v>300</v>
      </c>
      <c r="B5618" s="1" t="s">
        <v>14687</v>
      </c>
      <c r="C5618" s="1" t="s">
        <v>14688</v>
      </c>
      <c r="D5618" s="1" t="s">
        <v>14576</v>
      </c>
      <c r="E5618" s="1" t="s">
        <v>14689</v>
      </c>
      <c r="F5618" s="1" t="s">
        <v>14690</v>
      </c>
      <c r="G5618" s="1" t="s">
        <v>14691</v>
      </c>
      <c r="H5618" s="2" t="str">
        <f>Tabella1[[#This Row],[Denominazione]]&amp;" - "&amp;Tabella1[[#This Row],[Città]]</f>
        <v>RIFUGIO ESCURSIONISTICO MARIO PACI - ASCOLI PICENO</v>
      </c>
    </row>
    <row r="5619" spans="1:8" x14ac:dyDescent="0.25">
      <c r="A5619" s="1" t="s">
        <v>300</v>
      </c>
      <c r="B5619" s="1" t="s">
        <v>4181</v>
      </c>
      <c r="C5619" s="1" t="s">
        <v>4182</v>
      </c>
      <c r="D5619" s="1" t="s">
        <v>4175</v>
      </c>
      <c r="E5619" s="1" t="s">
        <v>4183</v>
      </c>
      <c r="G5619" s="1" t="s">
        <v>4184</v>
      </c>
      <c r="H5619" s="2" t="str">
        <f>Tabella1[[#This Row],[Denominazione]]&amp;" - "&amp;Tabella1[[#This Row],[Città]]</f>
        <v>RIFUGIO ESCURSIONISTICO SAN LORENZO - PIOBBICO</v>
      </c>
    </row>
    <row r="5620" spans="1:8" x14ac:dyDescent="0.25">
      <c r="A5620" s="1" t="s">
        <v>300</v>
      </c>
      <c r="B5620" s="1" t="s">
        <v>16296</v>
      </c>
      <c r="C5620" s="1" t="s">
        <v>16297</v>
      </c>
      <c r="D5620" s="1" t="s">
        <v>16281</v>
      </c>
      <c r="E5620" s="1" t="s">
        <v>16281</v>
      </c>
      <c r="F5620" s="1" t="s">
        <v>16298</v>
      </c>
      <c r="G5620" s="1" t="s">
        <v>16299</v>
      </c>
      <c r="H5620" s="2" t="str">
        <f>Tabella1[[#This Row],[Denominazione]]&amp;" - "&amp;Tabella1[[#This Row],[Città]]</f>
        <v>RIFUGIO ESCURSIONISTICO SOTTO VENTO - MONTEGALLO</v>
      </c>
    </row>
    <row r="5621" spans="1:8" x14ac:dyDescent="0.25">
      <c r="A5621" s="1" t="s">
        <v>300</v>
      </c>
      <c r="B5621" s="1" t="s">
        <v>1902</v>
      </c>
      <c r="D5621" s="1" t="s">
        <v>356</v>
      </c>
      <c r="E5621" s="1" t="s">
        <v>1903</v>
      </c>
      <c r="G5621" s="1" t="s">
        <v>1904</v>
      </c>
      <c r="H5621" s="2" t="str">
        <f>Tabella1[[#This Row],[Denominazione]]&amp;" - "&amp;Tabella1[[#This Row],[Città]]</f>
        <v>RIFUGIO MONTE CATRIA COTALINE 1400 - FRONTONE</v>
      </c>
    </row>
    <row r="5622" spans="1:8" x14ac:dyDescent="0.25">
      <c r="A5622" s="1" t="s">
        <v>300</v>
      </c>
      <c r="B5622" s="1" t="s">
        <v>18527</v>
      </c>
      <c r="C5622" s="1" t="s">
        <v>18528</v>
      </c>
      <c r="D5622" s="1" t="s">
        <v>18522</v>
      </c>
      <c r="F5622" s="1" t="s">
        <v>18529</v>
      </c>
      <c r="G5622" s="1" t="s">
        <v>18530</v>
      </c>
      <c r="H5622" s="2" t="str">
        <f>Tabella1[[#This Row],[Denominazione]]&amp;" - "&amp;Tabella1[[#This Row],[Città]]</f>
        <v>RIFUGIO RUBBIANO - MONTEFORTINO</v>
      </c>
    </row>
    <row r="5623" spans="1:8" x14ac:dyDescent="0.25">
      <c r="A5623" s="1" t="s">
        <v>300</v>
      </c>
      <c r="B5623" s="1" t="s">
        <v>16378</v>
      </c>
      <c r="D5623" s="1" t="s">
        <v>16312</v>
      </c>
      <c r="H5623" s="2" t="str">
        <f>Tabella1[[#This Row],[Denominazione]]&amp;" - "&amp;Tabella1[[#This Row],[Città]]</f>
        <v>RIFUGIO SIBILLA 1540 - MONTEMONACO</v>
      </c>
    </row>
    <row r="5624" spans="1:8" x14ac:dyDescent="0.25">
      <c r="A5624" s="1" t="s">
        <v>20</v>
      </c>
      <c r="B5624" s="1" t="s">
        <v>17628</v>
      </c>
      <c r="C5624" s="1" t="s">
        <v>17629</v>
      </c>
      <c r="D5624" s="1" t="s">
        <v>15819</v>
      </c>
      <c r="E5624" s="1" t="s">
        <v>15819</v>
      </c>
      <c r="F5624" s="1" t="s">
        <v>17630</v>
      </c>
      <c r="G5624" s="1" t="s">
        <v>17631</v>
      </c>
      <c r="H5624" s="2" t="str">
        <f>Tabella1[[#This Row],[Denominazione]]&amp;" - "&amp;Tabella1[[#This Row],[Città]]</f>
        <v>RINA - SAN BENEDETTO DEL TRONTO</v>
      </c>
    </row>
    <row r="5625" spans="1:8" x14ac:dyDescent="0.25">
      <c r="A5625" s="1" t="s">
        <v>35</v>
      </c>
      <c r="B5625" s="1" t="s">
        <v>18170</v>
      </c>
      <c r="C5625" s="1" t="s">
        <v>18171</v>
      </c>
      <c r="D5625" s="1" t="s">
        <v>17932</v>
      </c>
      <c r="E5625" s="1" t="s">
        <v>17932</v>
      </c>
      <c r="H5625" s="2" t="str">
        <f>Tabella1[[#This Row],[Denominazione]]&amp;" - "&amp;Tabella1[[#This Row],[Città]]</f>
        <v>RIO ETE - FERMO</v>
      </c>
    </row>
    <row r="5626" spans="1:8" x14ac:dyDescent="0.25">
      <c r="A5626" s="1" t="s">
        <v>35</v>
      </c>
      <c r="B5626" s="1" t="s">
        <v>7317</v>
      </c>
      <c r="C5626" s="1" t="s">
        <v>7318</v>
      </c>
      <c r="D5626" s="1" t="s">
        <v>7254</v>
      </c>
      <c r="E5626" s="1" t="s">
        <v>7254</v>
      </c>
      <c r="F5626" s="1" t="s">
        <v>7319</v>
      </c>
      <c r="G5626" s="1" t="s">
        <v>7320</v>
      </c>
      <c r="H5626" s="2" t="str">
        <f>Tabella1[[#This Row],[Denominazione]]&amp;" - "&amp;Tabella1[[#This Row],[Città]]</f>
        <v>RIPABIANCA - JESI</v>
      </c>
    </row>
    <row r="5627" spans="1:8" x14ac:dyDescent="0.25">
      <c r="A5627" s="1" t="s">
        <v>12</v>
      </c>
      <c r="B5627" s="1" t="s">
        <v>9110</v>
      </c>
      <c r="C5627" s="1" t="s">
        <v>9105</v>
      </c>
      <c r="D5627" s="1" t="s">
        <v>8949</v>
      </c>
      <c r="E5627" s="1" t="s">
        <v>9106</v>
      </c>
      <c r="G5627" s="1" t="s">
        <v>9111</v>
      </c>
      <c r="H5627" s="2" t="str">
        <f>Tabella1[[#This Row],[Denominazione]]&amp;" - "&amp;Tabella1[[#This Row],[Città]]</f>
        <v>RIPESI ANGELA - SENIGALLIA</v>
      </c>
    </row>
    <row r="5628" spans="1:8" x14ac:dyDescent="0.25">
      <c r="A5628" s="1" t="s">
        <v>12</v>
      </c>
      <c r="B5628" s="1" t="s">
        <v>9104</v>
      </c>
      <c r="C5628" s="1" t="s">
        <v>9105</v>
      </c>
      <c r="D5628" s="1" t="s">
        <v>8949</v>
      </c>
      <c r="E5628" s="1" t="s">
        <v>9106</v>
      </c>
      <c r="G5628" s="1" t="s">
        <v>9107</v>
      </c>
      <c r="H5628" s="2" t="str">
        <f>Tabella1[[#This Row],[Denominazione]]&amp;" - "&amp;Tabella1[[#This Row],[Città]]</f>
        <v>RIPESI ROLANDO - SENIGALLIA</v>
      </c>
    </row>
    <row r="5629" spans="1:8" x14ac:dyDescent="0.25">
      <c r="A5629" s="1" t="s">
        <v>20</v>
      </c>
      <c r="B5629" s="1" t="s">
        <v>4409</v>
      </c>
      <c r="C5629" s="1" t="s">
        <v>4410</v>
      </c>
      <c r="D5629" s="1" t="s">
        <v>4397</v>
      </c>
      <c r="E5629" s="1" t="s">
        <v>4406</v>
      </c>
      <c r="F5629" s="1" t="s">
        <v>4411</v>
      </c>
      <c r="G5629" s="1" t="s">
        <v>4412</v>
      </c>
      <c r="H5629" s="2" t="str">
        <f>Tabella1[[#This Row],[Denominazione]]&amp;" - "&amp;Tabella1[[#This Row],[Città]]</f>
        <v>RISTO' TADDEO E FEDERICO - SANT'ANGELO IN VADO</v>
      </c>
    </row>
    <row r="5630" spans="1:8" x14ac:dyDescent="0.25">
      <c r="A5630" s="1" t="s">
        <v>20</v>
      </c>
      <c r="B5630" s="1" t="s">
        <v>3198</v>
      </c>
      <c r="C5630" s="1" t="s">
        <v>3199</v>
      </c>
      <c r="D5630" s="1" t="s">
        <v>3182</v>
      </c>
      <c r="E5630" s="1" t="s">
        <v>3183</v>
      </c>
      <c r="F5630" s="1" t="s">
        <v>3200</v>
      </c>
      <c r="G5630" s="1" t="s">
        <v>3201</v>
      </c>
      <c r="H5630" s="2" t="str">
        <f>Tabella1[[#This Row],[Denominazione]]&amp;" - "&amp;Tabella1[[#This Row],[Città]]</f>
        <v>RISTORANTE ALBERGO BORGO MONTEMAGGIORE - MONTEMAGGIORE AL METAURO</v>
      </c>
    </row>
    <row r="5631" spans="1:8" x14ac:dyDescent="0.25">
      <c r="A5631" s="1" t="s">
        <v>82</v>
      </c>
      <c r="B5631" s="1" t="s">
        <v>4653</v>
      </c>
      <c r="C5631" s="1" t="s">
        <v>4654</v>
      </c>
      <c r="D5631" s="1" t="s">
        <v>4630</v>
      </c>
      <c r="H5631" s="2" t="str">
        <f>Tabella1[[#This Row],[Denominazione]]&amp;" - "&amp;Tabella1[[#This Row],[Città]]</f>
        <v>RISTORANTE DA RENATA - TAVOLETO</v>
      </c>
    </row>
    <row r="5632" spans="1:8" x14ac:dyDescent="0.25">
      <c r="A5632" s="1" t="s">
        <v>82</v>
      </c>
      <c r="B5632" s="1" t="s">
        <v>7788</v>
      </c>
      <c r="C5632" s="1" t="s">
        <v>7789</v>
      </c>
      <c r="D5632" s="1" t="s">
        <v>7718</v>
      </c>
      <c r="G5632" s="1" t="s">
        <v>7790</v>
      </c>
      <c r="H5632" s="2" t="str">
        <f>Tabella1[[#This Row],[Denominazione]]&amp;" - "&amp;Tabella1[[#This Row],[Città]]</f>
        <v>RISTORANTE DELLE ROSE - MONTEMARCIANO</v>
      </c>
    </row>
    <row r="5633" spans="1:8" x14ac:dyDescent="0.25">
      <c r="A5633" s="1" t="s">
        <v>6</v>
      </c>
      <c r="B5633" s="1" t="s">
        <v>12450</v>
      </c>
      <c r="C5633" s="1" t="s">
        <v>12451</v>
      </c>
      <c r="D5633" s="1" t="s">
        <v>12427</v>
      </c>
      <c r="E5633" s="1" t="s">
        <v>12427</v>
      </c>
      <c r="G5633" s="1" t="s">
        <v>12452</v>
      </c>
      <c r="H5633" s="2" t="str">
        <f>Tabella1[[#This Row],[Denominazione]]&amp;" - "&amp;Tabella1[[#This Row],[Città]]</f>
        <v>RISTORANTE LOCANDA CANTALUPO - MONTEFANO</v>
      </c>
    </row>
    <row r="5634" spans="1:8" x14ac:dyDescent="0.25">
      <c r="A5634" s="1" t="s">
        <v>82</v>
      </c>
      <c r="B5634" s="1" t="s">
        <v>18916</v>
      </c>
      <c r="C5634" s="1" t="s">
        <v>18917</v>
      </c>
      <c r="D5634" s="1" t="s">
        <v>18909</v>
      </c>
      <c r="E5634" s="1" t="s">
        <v>18909</v>
      </c>
      <c r="F5634" s="1" t="s">
        <v>18918</v>
      </c>
      <c r="G5634" s="1" t="s">
        <v>18919</v>
      </c>
      <c r="H5634" s="2" t="str">
        <f>Tabella1[[#This Row],[Denominazione]]&amp;" - "&amp;Tabella1[[#This Row],[Città]]</f>
        <v>RISTORANTE LOCANDA I PICENI - ORTEZZANO</v>
      </c>
    </row>
    <row r="5635" spans="1:8" x14ac:dyDescent="0.25">
      <c r="A5635" s="1" t="s">
        <v>82</v>
      </c>
      <c r="B5635" s="1" t="s">
        <v>8271</v>
      </c>
      <c r="C5635" s="1" t="s">
        <v>8272</v>
      </c>
      <c r="D5635" s="1" t="s">
        <v>7889</v>
      </c>
      <c r="E5635" s="1" t="s">
        <v>7889</v>
      </c>
      <c r="G5635" s="1" t="s">
        <v>8273</v>
      </c>
      <c r="H5635" s="2" t="str">
        <f>Tabella1[[#This Row],[Denominazione]]&amp;" - "&amp;Tabella1[[#This Row],[Città]]</f>
        <v>RISTORANTE MARIOLINO - NUMANA</v>
      </c>
    </row>
    <row r="5636" spans="1:8" x14ac:dyDescent="0.25">
      <c r="A5636" s="1" t="s">
        <v>82</v>
      </c>
      <c r="B5636" s="1" t="s">
        <v>15123</v>
      </c>
      <c r="C5636" s="1" t="s">
        <v>15124</v>
      </c>
      <c r="D5636" s="1" t="s">
        <v>15096</v>
      </c>
      <c r="E5636" s="1" t="s">
        <v>15096</v>
      </c>
      <c r="F5636" s="1" t="s">
        <v>15125</v>
      </c>
      <c r="G5636" s="1" t="s">
        <v>15126</v>
      </c>
      <c r="H5636" s="2" t="str">
        <f>Tabella1[[#This Row],[Denominazione]]&amp;" - "&amp;Tabella1[[#This Row],[Città]]</f>
        <v>RISTORANTE PENSIONE MARCHETTI - CARASSAI</v>
      </c>
    </row>
    <row r="5637" spans="1:8" x14ac:dyDescent="0.25">
      <c r="A5637" s="1" t="s">
        <v>20</v>
      </c>
      <c r="B5637" s="1" t="s">
        <v>17657</v>
      </c>
      <c r="C5637" s="1" t="s">
        <v>17658</v>
      </c>
      <c r="D5637" s="1" t="s">
        <v>17659</v>
      </c>
      <c r="E5637" s="1" t="s">
        <v>17660</v>
      </c>
      <c r="F5637" s="1" t="s">
        <v>17661</v>
      </c>
      <c r="G5637" s="1" t="s">
        <v>17662</v>
      </c>
      <c r="H5637" s="2" t="str">
        <f>Tabella1[[#This Row],[Denominazione]]&amp;" - "&amp;Tabella1[[#This Row],[Città]]</f>
        <v>RISTORANTE SANPAOLO SRL - SPINETOLI</v>
      </c>
    </row>
    <row r="5638" spans="1:8" x14ac:dyDescent="0.25">
      <c r="A5638" s="1" t="s">
        <v>20</v>
      </c>
      <c r="B5638" s="1" t="s">
        <v>9550</v>
      </c>
      <c r="C5638" s="1" t="s">
        <v>9551</v>
      </c>
      <c r="D5638" s="1" t="s">
        <v>8949</v>
      </c>
      <c r="E5638" s="1" t="s">
        <v>8949</v>
      </c>
      <c r="F5638" s="1" t="s">
        <v>9552</v>
      </c>
      <c r="G5638" s="1" t="s">
        <v>9553</v>
      </c>
      <c r="H5638" s="2" t="str">
        <f>Tabella1[[#This Row],[Denominazione]]&amp;" - "&amp;Tabella1[[#This Row],[Città]]</f>
        <v>RITA - SENIGALLIA</v>
      </c>
    </row>
    <row r="5639" spans="1:8" x14ac:dyDescent="0.25">
      <c r="A5639" s="1" t="s">
        <v>12</v>
      </c>
      <c r="B5639" s="1" t="s">
        <v>8362</v>
      </c>
      <c r="C5639" s="1" t="s">
        <v>8363</v>
      </c>
      <c r="D5639" s="1" t="s">
        <v>7889</v>
      </c>
      <c r="G5639" s="1" t="s">
        <v>8364</v>
      </c>
      <c r="H5639" s="2" t="str">
        <f>Tabella1[[#This Row],[Denominazione]]&amp;" - "&amp;Tabella1[[#This Row],[Città]]</f>
        <v>RIVA CRISTINA - NUMANA</v>
      </c>
    </row>
    <row r="5640" spans="1:8" x14ac:dyDescent="0.25">
      <c r="A5640" s="1" t="s">
        <v>6092</v>
      </c>
      <c r="B5640" s="1" t="s">
        <v>18109</v>
      </c>
      <c r="C5640" s="1" t="s">
        <v>18110</v>
      </c>
      <c r="D5640" s="1" t="s">
        <v>17932</v>
      </c>
      <c r="E5640" s="1" t="s">
        <v>17932</v>
      </c>
      <c r="F5640" s="1" t="s">
        <v>18111</v>
      </c>
      <c r="G5640" s="1" t="s">
        <v>18112</v>
      </c>
      <c r="H5640" s="2" t="str">
        <f>Tabella1[[#This Row],[Denominazione]]&amp;" - "&amp;Tabella1[[#This Row],[Città]]</f>
        <v>RIVA DEI PINI - FERMO</v>
      </c>
    </row>
    <row r="5641" spans="1:8" x14ac:dyDescent="0.25">
      <c r="A5641" s="1" t="s">
        <v>571</v>
      </c>
      <c r="B5641" s="1" t="s">
        <v>17713</v>
      </c>
      <c r="C5641" s="1" t="s">
        <v>17714</v>
      </c>
      <c r="D5641" s="1" t="s">
        <v>17703</v>
      </c>
      <c r="E5641" s="1" t="s">
        <v>17703</v>
      </c>
      <c r="F5641" s="1" t="s">
        <v>17715</v>
      </c>
      <c r="G5641" s="1" t="s">
        <v>17716</v>
      </c>
      <c r="H5641" s="2" t="str">
        <f>Tabella1[[#This Row],[Denominazione]]&amp;" - "&amp;Tabella1[[#This Row],[Città]]</f>
        <v>RIVA VERDE - ALTIDONA</v>
      </c>
    </row>
    <row r="5642" spans="1:8" x14ac:dyDescent="0.25">
      <c r="A5642" s="1" t="s">
        <v>679</v>
      </c>
      <c r="B5642" s="1" t="s">
        <v>17733</v>
      </c>
      <c r="C5642" s="1" t="s">
        <v>17734</v>
      </c>
      <c r="D5642" s="1" t="s">
        <v>17703</v>
      </c>
      <c r="E5642" s="1" t="s">
        <v>17735</v>
      </c>
      <c r="F5642" s="1" t="s">
        <v>17716</v>
      </c>
      <c r="G5642" s="1" t="s">
        <v>17715</v>
      </c>
      <c r="H5642" s="2" t="str">
        <f>Tabella1[[#This Row],[Denominazione]]&amp;" - "&amp;Tabella1[[#This Row],[Città]]</f>
        <v>RIVA VERDE 1 - ALTIDONA</v>
      </c>
    </row>
    <row r="5643" spans="1:8" x14ac:dyDescent="0.25">
      <c r="A5643" s="1" t="s">
        <v>679</v>
      </c>
      <c r="B5643" s="1" t="s">
        <v>17736</v>
      </c>
      <c r="C5643" s="1" t="s">
        <v>17734</v>
      </c>
      <c r="D5643" s="1" t="s">
        <v>17703</v>
      </c>
      <c r="E5643" s="1" t="s">
        <v>17735</v>
      </c>
      <c r="F5643" s="1" t="s">
        <v>17716</v>
      </c>
      <c r="G5643" s="1" t="s">
        <v>17715</v>
      </c>
      <c r="H5643" s="2" t="str">
        <f>Tabella1[[#This Row],[Denominazione]]&amp;" - "&amp;Tabella1[[#This Row],[Città]]</f>
        <v>RIVA VERDE 2 - ALTIDONA</v>
      </c>
    </row>
    <row r="5644" spans="1:8" x14ac:dyDescent="0.25">
      <c r="A5644" s="1" t="s">
        <v>679</v>
      </c>
      <c r="B5644" s="1" t="s">
        <v>17266</v>
      </c>
      <c r="C5644" s="1" t="s">
        <v>17267</v>
      </c>
      <c r="D5644" s="1" t="s">
        <v>15819</v>
      </c>
      <c r="H5644" s="2" t="str">
        <f>Tabella1[[#This Row],[Denominazione]]&amp;" - "&amp;Tabella1[[#This Row],[Città]]</f>
        <v>RIVABELLA - SAN BENEDETTO DEL TRONTO</v>
      </c>
    </row>
    <row r="5645" spans="1:8" x14ac:dyDescent="0.25">
      <c r="A5645" s="1" t="s">
        <v>20</v>
      </c>
      <c r="B5645" s="1" t="s">
        <v>16021</v>
      </c>
      <c r="C5645" s="1" t="s">
        <v>16022</v>
      </c>
      <c r="D5645" s="1" t="s">
        <v>5692</v>
      </c>
      <c r="E5645" s="1" t="s">
        <v>15997</v>
      </c>
      <c r="F5645" s="1" t="s">
        <v>16023</v>
      </c>
      <c r="G5645" s="1" t="s">
        <v>16024</v>
      </c>
      <c r="H5645" s="2" t="str">
        <f>Tabella1[[#This Row],[Denominazione]]&amp;" - "&amp;Tabella1[[#This Row],[Città]]</f>
        <v>RIVAMARE - MASSIGNANO</v>
      </c>
    </row>
    <row r="5646" spans="1:8" x14ac:dyDescent="0.25">
      <c r="A5646" s="1" t="s">
        <v>20</v>
      </c>
      <c r="B5646" s="1" t="s">
        <v>3684</v>
      </c>
      <c r="C5646" s="1" t="s">
        <v>3685</v>
      </c>
      <c r="D5646" s="1" t="s">
        <v>2386</v>
      </c>
      <c r="E5646" s="1" t="s">
        <v>2386</v>
      </c>
      <c r="F5646" s="1" t="s">
        <v>3686</v>
      </c>
      <c r="G5646" s="1" t="s">
        <v>3687</v>
      </c>
      <c r="H5646" s="2" t="str">
        <f>Tabella1[[#This Row],[Denominazione]]&amp;" - "&amp;Tabella1[[#This Row],[Città]]</f>
        <v>RIVAZZURRA - PESARO</v>
      </c>
    </row>
    <row r="5647" spans="1:8" x14ac:dyDescent="0.25">
      <c r="A5647" s="1" t="s">
        <v>20</v>
      </c>
      <c r="B5647" s="1" t="s">
        <v>17269</v>
      </c>
      <c r="C5647" s="1" t="s">
        <v>17270</v>
      </c>
      <c r="D5647" s="1" t="s">
        <v>15819</v>
      </c>
      <c r="E5647" s="1" t="s">
        <v>15819</v>
      </c>
      <c r="F5647" s="1" t="s">
        <v>17271</v>
      </c>
      <c r="G5647" s="1" t="s">
        <v>17272</v>
      </c>
      <c r="H5647" s="2" t="str">
        <f>Tabella1[[#This Row],[Denominazione]]&amp;" - "&amp;Tabella1[[#This Row],[Città]]</f>
        <v>RIVIERA - SAN BENEDETTO DEL TRONTO</v>
      </c>
    </row>
    <row r="5648" spans="1:8" x14ac:dyDescent="0.25">
      <c r="A5648" s="1" t="s">
        <v>20</v>
      </c>
      <c r="B5648" s="1" t="s">
        <v>17269</v>
      </c>
      <c r="C5648" s="1" t="s">
        <v>19179</v>
      </c>
      <c r="D5648" s="1" t="s">
        <v>18082</v>
      </c>
      <c r="E5648" s="1" t="s">
        <v>18082</v>
      </c>
      <c r="F5648" s="1" t="s">
        <v>19180</v>
      </c>
      <c r="G5648" s="1" t="s">
        <v>19181</v>
      </c>
      <c r="H5648" s="2" t="str">
        <f>Tabella1[[#This Row],[Denominazione]]&amp;" - "&amp;Tabella1[[#This Row],[Città]]</f>
        <v>RIVIERA - PORTO SAN GIORGIO</v>
      </c>
    </row>
    <row r="5649" spans="1:8" x14ac:dyDescent="0.25">
      <c r="A5649" s="1" t="s">
        <v>190</v>
      </c>
      <c r="B5649" s="1" t="s">
        <v>16372</v>
      </c>
      <c r="D5649" s="1" t="s">
        <v>16312</v>
      </c>
      <c r="E5649" s="1" t="s">
        <v>16373</v>
      </c>
      <c r="H5649" s="2" t="str">
        <f>Tabella1[[#This Row],[Denominazione]]&amp;" - "&amp;Tabella1[[#This Row],[Città]]</f>
        <v>RIVOROSSO - MONTEMONACO</v>
      </c>
    </row>
    <row r="5650" spans="1:8" x14ac:dyDescent="0.25">
      <c r="A5650" s="1" t="s">
        <v>35</v>
      </c>
      <c r="B5650" s="1" t="s">
        <v>6214</v>
      </c>
      <c r="C5650" s="1" t="s">
        <v>6215</v>
      </c>
      <c r="D5650" s="1" t="s">
        <v>6049</v>
      </c>
      <c r="E5650" s="1" t="s">
        <v>6095</v>
      </c>
      <c r="H5650" s="2" t="str">
        <f>Tabella1[[#This Row],[Denominazione]]&amp;" - "&amp;Tabella1[[#This Row],[Città]]</f>
        <v>ROBERT ENRICO PELLEGRINI - ARCEVIA</v>
      </c>
    </row>
    <row r="5651" spans="1:8" x14ac:dyDescent="0.25">
      <c r="A5651" s="1" t="s">
        <v>12</v>
      </c>
      <c r="B5651" s="1" t="s">
        <v>9245</v>
      </c>
      <c r="C5651" s="1" t="s">
        <v>9208</v>
      </c>
      <c r="D5651" s="1" t="s">
        <v>8949</v>
      </c>
      <c r="E5651" s="1" t="s">
        <v>8949</v>
      </c>
      <c r="G5651" s="1" t="s">
        <v>9097</v>
      </c>
      <c r="H5651" s="2" t="str">
        <f>Tabella1[[#This Row],[Denominazione]]&amp;" - "&amp;Tabella1[[#This Row],[Città]]</f>
        <v>ROBERTI LUCA - SENIGALLIA</v>
      </c>
    </row>
    <row r="5652" spans="1:8" x14ac:dyDescent="0.25">
      <c r="A5652" s="1" t="s">
        <v>12</v>
      </c>
      <c r="B5652" s="1" t="s">
        <v>9244</v>
      </c>
      <c r="C5652" s="1" t="s">
        <v>9208</v>
      </c>
      <c r="D5652" s="1" t="s">
        <v>8949</v>
      </c>
      <c r="E5652" s="1" t="s">
        <v>8949</v>
      </c>
      <c r="G5652" s="1" t="s">
        <v>9037</v>
      </c>
      <c r="H5652" s="2" t="str">
        <f>Tabella1[[#This Row],[Denominazione]]&amp;" - "&amp;Tabella1[[#This Row],[Città]]</f>
        <v>ROBERTI LUCIO - SENIGALLIA</v>
      </c>
    </row>
    <row r="5653" spans="1:8" x14ac:dyDescent="0.25">
      <c r="A5653" s="1" t="s">
        <v>29</v>
      </c>
      <c r="B5653" s="1" t="s">
        <v>18163</v>
      </c>
      <c r="D5653" s="1" t="s">
        <v>17932</v>
      </c>
      <c r="E5653" s="1" t="s">
        <v>17990</v>
      </c>
      <c r="H5653" s="2" t="str">
        <f>Tabella1[[#This Row],[Denominazione]]&amp;" - "&amp;Tabella1[[#This Row],[Città]]</f>
        <v>ROBERTO ANTOLINI - FERMO</v>
      </c>
    </row>
    <row r="5654" spans="1:8" x14ac:dyDescent="0.25">
      <c r="A5654" s="1" t="s">
        <v>571</v>
      </c>
      <c r="B5654" s="1" t="s">
        <v>7059</v>
      </c>
      <c r="C5654" s="1" t="s">
        <v>7060</v>
      </c>
      <c r="D5654" s="1" t="s">
        <v>5735</v>
      </c>
      <c r="E5654" s="1" t="s">
        <v>5735</v>
      </c>
      <c r="F5654" s="1" t="s">
        <v>7061</v>
      </c>
      <c r="G5654" s="1" t="s">
        <v>7062</v>
      </c>
      <c r="H5654" s="2" t="str">
        <f>Tabella1[[#This Row],[Denominazione]]&amp;" - "&amp;Tabella1[[#This Row],[Città]]</f>
        <v>ROCCA MARE - FALCONARA MARITTIMA</v>
      </c>
    </row>
    <row r="5655" spans="1:8" x14ac:dyDescent="0.25">
      <c r="A5655" s="1" t="s">
        <v>35</v>
      </c>
      <c r="B5655" s="1" t="s">
        <v>12714</v>
      </c>
      <c r="C5655" s="1" t="s">
        <v>12715</v>
      </c>
      <c r="D5655" s="1" t="s">
        <v>12694</v>
      </c>
      <c r="E5655" s="1" t="s">
        <v>12694</v>
      </c>
      <c r="F5655" s="1" t="s">
        <v>12716</v>
      </c>
      <c r="G5655" s="1" t="s">
        <v>12717</v>
      </c>
      <c r="H5655" s="2" t="str">
        <f>Tabella1[[#This Row],[Denominazione]]&amp;" - "&amp;Tabella1[[#This Row],[Città]]</f>
        <v>ROCCAMAIA - PIEVEBOVIGLIANA</v>
      </c>
    </row>
    <row r="5656" spans="1:8" x14ac:dyDescent="0.25">
      <c r="A5656" s="1" t="s">
        <v>20</v>
      </c>
      <c r="B5656" s="1" t="s">
        <v>10263</v>
      </c>
      <c r="C5656" s="1" t="s">
        <v>10264</v>
      </c>
      <c r="D5656" s="1" t="s">
        <v>10206</v>
      </c>
      <c r="E5656" s="1" t="s">
        <v>10206</v>
      </c>
      <c r="F5656" s="1" t="s">
        <v>10265</v>
      </c>
      <c r="G5656" s="1" t="s">
        <v>10266</v>
      </c>
      <c r="H5656" s="2" t="str">
        <f>Tabella1[[#This Row],[Denominazione]]&amp;" - "&amp;Tabella1[[#This Row],[Città]]</f>
        <v>ROCCO LOCANDA &amp; RISTORANTE - SIROLO</v>
      </c>
    </row>
    <row r="5657" spans="1:8" x14ac:dyDescent="0.25">
      <c r="A5657" s="1" t="s">
        <v>20</v>
      </c>
      <c r="B5657" s="1" t="s">
        <v>2254</v>
      </c>
      <c r="C5657" s="1" t="s">
        <v>2255</v>
      </c>
      <c r="D5657" s="1" t="s">
        <v>1907</v>
      </c>
      <c r="E5657" s="1" t="s">
        <v>1907</v>
      </c>
      <c r="F5657" s="1" t="s">
        <v>2256</v>
      </c>
      <c r="G5657" s="1" t="s">
        <v>2257</v>
      </c>
      <c r="H5657" s="2" t="str">
        <f>Tabella1[[#This Row],[Denominazione]]&amp;" - "&amp;Tabella1[[#This Row],[Città]]</f>
        <v>ROCK CRYSTAL - GABICCE MARE</v>
      </c>
    </row>
    <row r="5658" spans="1:8" x14ac:dyDescent="0.25">
      <c r="A5658" s="1" t="s">
        <v>679</v>
      </c>
      <c r="B5658" s="1" t="s">
        <v>11597</v>
      </c>
      <c r="C5658" s="1" t="s">
        <v>11598</v>
      </c>
      <c r="D5658" s="1" t="s">
        <v>11244</v>
      </c>
      <c r="E5658" s="1" t="s">
        <v>11244</v>
      </c>
      <c r="H5658" s="2" t="str">
        <f>Tabella1[[#This Row],[Denominazione]]&amp;" - "&amp;Tabella1[[#This Row],[Città]]</f>
        <v>ROLANDO - CIVITANOVA MARCHE</v>
      </c>
    </row>
    <row r="5659" spans="1:8" x14ac:dyDescent="0.25">
      <c r="A5659" s="1" t="s">
        <v>20</v>
      </c>
      <c r="B5659" s="1" t="s">
        <v>9662</v>
      </c>
      <c r="C5659" s="1" t="s">
        <v>9663</v>
      </c>
      <c r="D5659" s="1" t="s">
        <v>8949</v>
      </c>
      <c r="E5659" s="1" t="s">
        <v>8949</v>
      </c>
      <c r="F5659" s="1" t="s">
        <v>9664</v>
      </c>
      <c r="G5659" s="1" t="s">
        <v>9665</v>
      </c>
      <c r="H5659" s="2" t="str">
        <f>Tabella1[[#This Row],[Denominazione]]&amp;" - "&amp;Tabella1[[#This Row],[Città]]</f>
        <v>ROMA - SENIGALLIA</v>
      </c>
    </row>
    <row r="5660" spans="1:8" x14ac:dyDescent="0.25">
      <c r="A5660" s="1" t="s">
        <v>20</v>
      </c>
      <c r="B5660" s="1" t="s">
        <v>9662</v>
      </c>
      <c r="C5660" s="1" t="s">
        <v>10848</v>
      </c>
      <c r="D5660" s="1" t="s">
        <v>10737</v>
      </c>
      <c r="E5660" s="1" t="s">
        <v>10737</v>
      </c>
      <c r="H5660" s="2" t="str">
        <f>Tabella1[[#This Row],[Denominazione]]&amp;" - "&amp;Tabella1[[#This Row],[Città]]</f>
        <v>ROMA - CAMERINO</v>
      </c>
    </row>
    <row r="5661" spans="1:8" x14ac:dyDescent="0.25">
      <c r="A5661" s="1" t="s">
        <v>20</v>
      </c>
      <c r="B5661" s="1" t="s">
        <v>9662</v>
      </c>
      <c r="C5661" s="1" t="s">
        <v>15750</v>
      </c>
      <c r="D5661" s="1" t="s">
        <v>15585</v>
      </c>
      <c r="E5661" s="1" t="s">
        <v>15585</v>
      </c>
      <c r="F5661" s="1" t="s">
        <v>15751</v>
      </c>
      <c r="G5661" s="1" t="s">
        <v>15752</v>
      </c>
      <c r="H5661" s="2" t="str">
        <f>Tabella1[[#This Row],[Denominazione]]&amp;" - "&amp;Tabella1[[#This Row],[Città]]</f>
        <v>ROMA - GROTTAMMARE</v>
      </c>
    </row>
    <row r="5662" spans="1:8" x14ac:dyDescent="0.25">
      <c r="A5662" s="1" t="s">
        <v>20</v>
      </c>
      <c r="B5662" s="1" t="s">
        <v>9662</v>
      </c>
      <c r="C5662" s="1" t="s">
        <v>18970</v>
      </c>
      <c r="D5662" s="1" t="s">
        <v>18971</v>
      </c>
      <c r="E5662" s="1" t="s">
        <v>18971</v>
      </c>
      <c r="F5662" s="1" t="s">
        <v>18972</v>
      </c>
      <c r="G5662" s="1" t="s">
        <v>18973</v>
      </c>
      <c r="H5662" s="2" t="str">
        <f>Tabella1[[#This Row],[Denominazione]]&amp;" - "&amp;Tabella1[[#This Row],[Città]]</f>
        <v>ROMA - PETRITOLI</v>
      </c>
    </row>
    <row r="5663" spans="1:8" x14ac:dyDescent="0.25">
      <c r="A5663" s="1" t="s">
        <v>1200</v>
      </c>
      <c r="B5663" s="1" t="s">
        <v>1207</v>
      </c>
      <c r="C5663" s="1" t="s">
        <v>1208</v>
      </c>
      <c r="D5663" s="1" t="s">
        <v>682</v>
      </c>
      <c r="E5663" s="1" t="s">
        <v>682</v>
      </c>
      <c r="H5663" s="2" t="str">
        <f>Tabella1[[#This Row],[Denominazione]]&amp;" - "&amp;Tabella1[[#This Row],[Città]]</f>
        <v>ROMANI ENNIO - AGRICAMPEGGIO - FANO</v>
      </c>
    </row>
    <row r="5664" spans="1:8" x14ac:dyDescent="0.25">
      <c r="A5664" s="1" t="s">
        <v>12</v>
      </c>
      <c r="B5664" s="1" t="s">
        <v>3536</v>
      </c>
      <c r="C5664" s="1" t="s">
        <v>3537</v>
      </c>
      <c r="D5664" s="1" t="s">
        <v>2386</v>
      </c>
      <c r="E5664" s="1" t="s">
        <v>2386</v>
      </c>
      <c r="G5664" s="1" t="s">
        <v>3538</v>
      </c>
      <c r="H5664" s="2" t="str">
        <f>Tabella1[[#This Row],[Denominazione]]&amp;" - "&amp;Tabella1[[#This Row],[Città]]</f>
        <v>ROMANINI GUIDO - PESARO</v>
      </c>
    </row>
    <row r="5665" spans="1:8" x14ac:dyDescent="0.25">
      <c r="A5665" s="1" t="s">
        <v>679</v>
      </c>
      <c r="B5665" s="1" t="s">
        <v>5707</v>
      </c>
      <c r="C5665" s="1" t="s">
        <v>5708</v>
      </c>
      <c r="D5665" s="1" t="s">
        <v>1864</v>
      </c>
      <c r="E5665" s="1" t="s">
        <v>5704</v>
      </c>
      <c r="G5665" s="1" t="s">
        <v>5709</v>
      </c>
      <c r="H5665" s="2" t="str">
        <f>Tabella1[[#This Row],[Denominazione]]&amp;" - "&amp;Tabella1[[#This Row],[Città]]</f>
        <v>ROMANO - ANCONA</v>
      </c>
    </row>
    <row r="5666" spans="1:8" x14ac:dyDescent="0.25">
      <c r="A5666" s="1" t="s">
        <v>679</v>
      </c>
      <c r="B5666" s="1" t="s">
        <v>5707</v>
      </c>
      <c r="D5666" s="1" t="s">
        <v>1864</v>
      </c>
      <c r="E5666" s="1" t="s">
        <v>5704</v>
      </c>
      <c r="F5666" s="1" t="s">
        <v>5709</v>
      </c>
      <c r="H5666" s="2" t="str">
        <f>Tabella1[[#This Row],[Denominazione]]&amp;" - "&amp;Tabella1[[#This Row],[Città]]</f>
        <v>ROMANO - ANCONA</v>
      </c>
    </row>
    <row r="5667" spans="1:8" x14ac:dyDescent="0.25">
      <c r="A5667" s="1" t="s">
        <v>20</v>
      </c>
      <c r="B5667" s="1" t="s">
        <v>5707</v>
      </c>
      <c r="C5667" s="1" t="s">
        <v>16588</v>
      </c>
      <c r="D5667" s="1" t="s">
        <v>16585</v>
      </c>
      <c r="E5667" s="1" t="s">
        <v>16585</v>
      </c>
      <c r="H5667" s="2" t="str">
        <f>Tabella1[[#This Row],[Denominazione]]&amp;" - "&amp;Tabella1[[#This Row],[Città]]</f>
        <v>ROMANO - RIPATRANSONE</v>
      </c>
    </row>
    <row r="5668" spans="1:8" x14ac:dyDescent="0.25">
      <c r="A5668" s="1" t="s">
        <v>29</v>
      </c>
      <c r="B5668" s="1" t="s">
        <v>4548</v>
      </c>
      <c r="C5668" s="1" t="s">
        <v>4549</v>
      </c>
      <c r="D5668" s="1" t="s">
        <v>4550</v>
      </c>
      <c r="F5668" s="1" t="s">
        <v>4551</v>
      </c>
      <c r="G5668" s="1" t="s">
        <v>4552</v>
      </c>
      <c r="H5668" s="2" t="str">
        <f>Tabella1[[#This Row],[Denominazione]]&amp;" - "&amp;Tabella1[[#This Row],[Città]]</f>
        <v>ROMANTICO B&amp;B - SERRA SANT'ABBONDIO</v>
      </c>
    </row>
    <row r="5669" spans="1:8" x14ac:dyDescent="0.25">
      <c r="A5669" s="1" t="s">
        <v>20</v>
      </c>
      <c r="B5669" s="1" t="s">
        <v>2258</v>
      </c>
      <c r="C5669" s="1" t="s">
        <v>2259</v>
      </c>
      <c r="D5669" s="1" t="s">
        <v>1907</v>
      </c>
      <c r="E5669" s="1" t="s">
        <v>1907</v>
      </c>
      <c r="F5669" s="1" t="s">
        <v>2260</v>
      </c>
      <c r="G5669" s="1" t="s">
        <v>2261</v>
      </c>
      <c r="H5669" s="2" t="str">
        <f>Tabella1[[#This Row],[Denominazione]]&amp;" - "&amp;Tabella1[[#This Row],[Città]]</f>
        <v>ROMANTICO K2 - GABICCE MARE</v>
      </c>
    </row>
    <row r="5670" spans="1:8" x14ac:dyDescent="0.25">
      <c r="A5670" s="1" t="s">
        <v>82</v>
      </c>
      <c r="B5670" s="1" t="s">
        <v>8829</v>
      </c>
      <c r="C5670" s="1" t="s">
        <v>8830</v>
      </c>
      <c r="D5670" s="1" t="s">
        <v>8831</v>
      </c>
      <c r="E5670" s="1" t="s">
        <v>8831</v>
      </c>
      <c r="H5670" s="2" t="str">
        <f>Tabella1[[#This Row],[Denominazione]]&amp;" - "&amp;Tabella1[[#This Row],[Città]]</f>
        <v>ROOMS DI MATTEO AFFITTACAMERE - SAN PAOLO DI JESI</v>
      </c>
    </row>
    <row r="5671" spans="1:8" x14ac:dyDescent="0.25">
      <c r="A5671" s="1" t="s">
        <v>403</v>
      </c>
      <c r="B5671" s="1" t="s">
        <v>2262</v>
      </c>
      <c r="C5671" s="1" t="s">
        <v>2263</v>
      </c>
      <c r="D5671" s="1" t="s">
        <v>1907</v>
      </c>
      <c r="E5671" s="1" t="s">
        <v>1907</v>
      </c>
      <c r="F5671" s="1" t="s">
        <v>2264</v>
      </c>
      <c r="G5671" s="1" t="s">
        <v>2265</v>
      </c>
      <c r="H5671" s="2" t="str">
        <f>Tabella1[[#This Row],[Denominazione]]&amp;" - "&amp;Tabella1[[#This Row],[Città]]</f>
        <v>ROSA - GABICCE MARE</v>
      </c>
    </row>
    <row r="5672" spans="1:8" x14ac:dyDescent="0.25">
      <c r="A5672" s="1" t="s">
        <v>82</v>
      </c>
      <c r="B5672" s="1" t="s">
        <v>11353</v>
      </c>
      <c r="C5672" s="1" t="s">
        <v>11354</v>
      </c>
      <c r="D5672" s="1" t="s">
        <v>11244</v>
      </c>
      <c r="E5672" s="1" t="s">
        <v>11244</v>
      </c>
      <c r="G5672" s="1" t="s">
        <v>11355</v>
      </c>
      <c r="H5672" s="2" t="str">
        <f>Tabella1[[#This Row],[Denominazione]]&amp;" - "&amp;Tabella1[[#This Row],[Città]]</f>
        <v>ROSA BLU - CIVITANOVA MARCHE</v>
      </c>
    </row>
    <row r="5673" spans="1:8" x14ac:dyDescent="0.25">
      <c r="A5673" s="1" t="s">
        <v>679</v>
      </c>
      <c r="B5673" s="1" t="s">
        <v>15824</v>
      </c>
      <c r="C5673" s="1" t="s">
        <v>15825</v>
      </c>
      <c r="D5673" s="1" t="s">
        <v>15585</v>
      </c>
      <c r="H5673" s="2" t="str">
        <f>Tabella1[[#This Row],[Denominazione]]&amp;" - "&amp;Tabella1[[#This Row],[Città]]</f>
        <v>ROSA DEI VENTI - GROTTAMMARE</v>
      </c>
    </row>
    <row r="5674" spans="1:8" x14ac:dyDescent="0.25">
      <c r="A5674" s="1" t="s">
        <v>35</v>
      </c>
      <c r="B5674" s="1" t="s">
        <v>15824</v>
      </c>
      <c r="C5674" s="1" t="s">
        <v>16529</v>
      </c>
      <c r="D5674" s="1" t="s">
        <v>16440</v>
      </c>
      <c r="E5674" s="1" t="s">
        <v>16526</v>
      </c>
      <c r="H5674" s="2" t="str">
        <f>Tabella1[[#This Row],[Denominazione]]&amp;" - "&amp;Tabella1[[#This Row],[Città]]</f>
        <v>ROSA DEI VENTI - OFFIDA</v>
      </c>
    </row>
    <row r="5675" spans="1:8" x14ac:dyDescent="0.25">
      <c r="A5675" s="1" t="s">
        <v>20</v>
      </c>
      <c r="B5675" s="1" t="s">
        <v>2266</v>
      </c>
      <c r="C5675" s="1" t="s">
        <v>2267</v>
      </c>
      <c r="D5675" s="1" t="s">
        <v>1907</v>
      </c>
      <c r="E5675" s="1" t="s">
        <v>1907</v>
      </c>
      <c r="F5675" s="1" t="s">
        <v>2264</v>
      </c>
      <c r="G5675" s="1" t="s">
        <v>2265</v>
      </c>
      <c r="H5675" s="2" t="str">
        <f>Tabella1[[#This Row],[Denominazione]]&amp;" - "&amp;Tabella1[[#This Row],[Città]]</f>
        <v>ROSA MEUBLE' GARNI - GABICCE MARE</v>
      </c>
    </row>
    <row r="5676" spans="1:8" x14ac:dyDescent="0.25">
      <c r="A5676" s="1" t="s">
        <v>29</v>
      </c>
      <c r="B5676" s="1" t="s">
        <v>6110</v>
      </c>
      <c r="C5676" s="1" t="s">
        <v>6111</v>
      </c>
      <c r="D5676" s="1" t="s">
        <v>6049</v>
      </c>
      <c r="E5676" s="1" t="s">
        <v>6112</v>
      </c>
      <c r="F5676" s="1" t="s">
        <v>6113</v>
      </c>
      <c r="G5676" s="1" t="s">
        <v>6114</v>
      </c>
      <c r="H5676" s="2" t="str">
        <f>Tabella1[[#This Row],[Denominazione]]&amp;" - "&amp;Tabella1[[#This Row],[Città]]</f>
        <v>ROSA NEL POZZO - ARCEVIA</v>
      </c>
    </row>
    <row r="5677" spans="1:8" x14ac:dyDescent="0.25">
      <c r="A5677" s="1" t="s">
        <v>29</v>
      </c>
      <c r="B5677" s="1" t="s">
        <v>6110</v>
      </c>
      <c r="C5677" s="1" t="s">
        <v>6111</v>
      </c>
      <c r="D5677" s="1" t="s">
        <v>6049</v>
      </c>
      <c r="E5677" s="1" t="s">
        <v>6112</v>
      </c>
      <c r="F5677" s="1" t="s">
        <v>6113</v>
      </c>
      <c r="G5677" s="1" t="s">
        <v>6114</v>
      </c>
      <c r="H5677" s="2" t="str">
        <f>Tabella1[[#This Row],[Denominazione]]&amp;" - "&amp;Tabella1[[#This Row],[Città]]</f>
        <v>ROSA NEL POZZO - ARCEVIA</v>
      </c>
    </row>
    <row r="5678" spans="1:8" x14ac:dyDescent="0.25">
      <c r="A5678" s="1" t="s">
        <v>29</v>
      </c>
      <c r="B5678" s="1" t="s">
        <v>16702</v>
      </c>
      <c r="C5678" s="1" t="s">
        <v>16703</v>
      </c>
      <c r="D5678" s="1" t="s">
        <v>16585</v>
      </c>
      <c r="E5678" s="1" t="s">
        <v>16704</v>
      </c>
      <c r="G5678" s="1" t="s">
        <v>16705</v>
      </c>
      <c r="H5678" s="2" t="str">
        <f>Tabella1[[#This Row],[Denominazione]]&amp;" - "&amp;Tabella1[[#This Row],[Città]]</f>
        <v>ROSADIPEPE - RIPATRANSONE</v>
      </c>
    </row>
    <row r="5679" spans="1:8" x14ac:dyDescent="0.25">
      <c r="A5679" s="1" t="s">
        <v>12</v>
      </c>
      <c r="B5679" s="1" t="s">
        <v>14765</v>
      </c>
      <c r="C5679" s="1" t="s">
        <v>14766</v>
      </c>
      <c r="D5679" s="1" t="s">
        <v>14576</v>
      </c>
      <c r="H5679" s="2" t="str">
        <f>Tabella1[[#This Row],[Denominazione]]&amp;" - "&amp;Tabella1[[#This Row],[Città]]</f>
        <v>ROSARA RELAX di PRETELLI PATRIZIA - ASCOLI PICENO</v>
      </c>
    </row>
    <row r="5680" spans="1:8" x14ac:dyDescent="0.25">
      <c r="A5680" s="1" t="s">
        <v>12</v>
      </c>
      <c r="B5680" s="1" t="s">
        <v>615</v>
      </c>
      <c r="C5680" s="1" t="s">
        <v>616</v>
      </c>
      <c r="D5680" s="1" t="s">
        <v>579</v>
      </c>
      <c r="E5680" s="1" t="s">
        <v>579</v>
      </c>
      <c r="G5680" s="1" t="s">
        <v>591</v>
      </c>
      <c r="H5680" s="2" t="str">
        <f>Tabella1[[#This Row],[Denominazione]]&amp;" - "&amp;Tabella1[[#This Row],[Città]]</f>
        <v>ROSATI FEDERICO - CARPEGNA</v>
      </c>
    </row>
    <row r="5681" spans="1:8" x14ac:dyDescent="0.25">
      <c r="A5681" s="1" t="s">
        <v>82</v>
      </c>
      <c r="B5681" s="1" t="s">
        <v>6708</v>
      </c>
      <c r="C5681" s="1" t="s">
        <v>6709</v>
      </c>
      <c r="D5681" s="1" t="s">
        <v>6652</v>
      </c>
      <c r="E5681" s="1" t="s">
        <v>6652</v>
      </c>
      <c r="F5681" s="1" t="s">
        <v>6710</v>
      </c>
      <c r="G5681" s="1" t="s">
        <v>6711</v>
      </c>
      <c r="H5681" s="2" t="str">
        <f>Tabella1[[#This Row],[Denominazione]]&amp;" - "&amp;Tabella1[[#This Row],[Città]]</f>
        <v>ROSE DI FRATTA - CUPRAMONTANA</v>
      </c>
    </row>
    <row r="5682" spans="1:8" x14ac:dyDescent="0.25">
      <c r="A5682" s="1" t="s">
        <v>12</v>
      </c>
      <c r="B5682" s="1" t="s">
        <v>1524</v>
      </c>
      <c r="D5682" s="1" t="s">
        <v>682</v>
      </c>
      <c r="G5682" s="1" t="s">
        <v>1525</v>
      </c>
      <c r="H5682" s="2" t="str">
        <f>Tabella1[[#This Row],[Denominazione]]&amp;" - "&amp;Tabella1[[#This Row],[Città]]</f>
        <v>ROSSETTI MARIA LUISA - FANO</v>
      </c>
    </row>
    <row r="5683" spans="1:8" x14ac:dyDescent="0.25">
      <c r="A5683" s="1" t="s">
        <v>12</v>
      </c>
      <c r="B5683" s="1" t="s">
        <v>13089</v>
      </c>
      <c r="C5683" s="1" t="s">
        <v>13090</v>
      </c>
      <c r="D5683" s="1" t="s">
        <v>13026</v>
      </c>
      <c r="E5683" s="1" t="s">
        <v>13026</v>
      </c>
      <c r="H5683" s="2" t="str">
        <f>Tabella1[[#This Row],[Denominazione]]&amp;" - "&amp;Tabella1[[#This Row],[Città]]</f>
        <v>ROSSI ILARIA - POTENZA PICENA</v>
      </c>
    </row>
    <row r="5684" spans="1:8" x14ac:dyDescent="0.25">
      <c r="A5684" s="1" t="s">
        <v>12</v>
      </c>
      <c r="B5684" s="1" t="s">
        <v>258</v>
      </c>
      <c r="C5684" s="1" t="s">
        <v>259</v>
      </c>
      <c r="D5684" s="1" t="s">
        <v>256</v>
      </c>
      <c r="G5684" s="1" t="s">
        <v>260</v>
      </c>
      <c r="H5684" s="2" t="str">
        <f>Tabella1[[#This Row],[Denominazione]]&amp;" - "&amp;Tabella1[[#This Row],[Città]]</f>
        <v>ROSSI ROSSANO - BELFORTE ALL'ISAURO</v>
      </c>
    </row>
    <row r="5685" spans="1:8" x14ac:dyDescent="0.25">
      <c r="A5685" s="1" t="s">
        <v>12</v>
      </c>
      <c r="B5685" s="1" t="s">
        <v>6561</v>
      </c>
      <c r="C5685" s="1" t="s">
        <v>6562</v>
      </c>
      <c r="D5685" s="1" t="s">
        <v>6536</v>
      </c>
      <c r="G5685" s="1" t="s">
        <v>6563</v>
      </c>
      <c r="H5685" s="2" t="str">
        <f>Tabella1[[#This Row],[Denominazione]]&amp;" - "&amp;Tabella1[[#This Row],[Città]]</f>
        <v>ROSSI TOMMASO - CORINALDO</v>
      </c>
    </row>
    <row r="5686" spans="1:8" x14ac:dyDescent="0.25">
      <c r="A5686" s="1" t="s">
        <v>35</v>
      </c>
      <c r="B5686" s="1" t="s">
        <v>5694</v>
      </c>
      <c r="C5686" s="1" t="s">
        <v>5695</v>
      </c>
      <c r="D5686" s="1" t="s">
        <v>1864</v>
      </c>
      <c r="E5686" s="1" t="s">
        <v>1864</v>
      </c>
      <c r="G5686" s="1" t="s">
        <v>5696</v>
      </c>
      <c r="H5686" s="2" t="str">
        <f>Tabella1[[#This Row],[Denominazione]]&amp;" - "&amp;Tabella1[[#This Row],[Città]]</f>
        <v>ROSSO CONERO - ANCONA</v>
      </c>
    </row>
    <row r="5687" spans="1:8" x14ac:dyDescent="0.25">
      <c r="A5687" s="1" t="s">
        <v>35</v>
      </c>
      <c r="B5687" s="1" t="s">
        <v>10458</v>
      </c>
      <c r="C5687" s="1" t="s">
        <v>10459</v>
      </c>
      <c r="D5687" s="1" t="s">
        <v>10206</v>
      </c>
      <c r="E5687" s="1" t="s">
        <v>10206</v>
      </c>
      <c r="G5687" s="1" t="s">
        <v>10460</v>
      </c>
      <c r="H5687" s="2" t="str">
        <f>Tabella1[[#This Row],[Denominazione]]&amp;" - "&amp;Tabella1[[#This Row],[Città]]</f>
        <v>ROSSOCOCOMERO - SIROLO</v>
      </c>
    </row>
    <row r="5688" spans="1:8" x14ac:dyDescent="0.25">
      <c r="A5688" s="1" t="s">
        <v>20</v>
      </c>
      <c r="B5688" s="1" t="s">
        <v>3688</v>
      </c>
      <c r="C5688" s="1" t="s">
        <v>3689</v>
      </c>
      <c r="D5688" s="1" t="s">
        <v>2386</v>
      </c>
      <c r="E5688" s="1" t="s">
        <v>2386</v>
      </c>
      <c r="F5688" s="1" t="s">
        <v>3690</v>
      </c>
      <c r="G5688" s="1" t="s">
        <v>3691</v>
      </c>
      <c r="H5688" s="2" t="str">
        <f>Tabella1[[#This Row],[Denominazione]]&amp;" - "&amp;Tabella1[[#This Row],[Città]]</f>
        <v>ROYAL - PESARO</v>
      </c>
    </row>
    <row r="5689" spans="1:8" x14ac:dyDescent="0.25">
      <c r="A5689" s="1" t="s">
        <v>20</v>
      </c>
      <c r="B5689" s="1" t="s">
        <v>17641</v>
      </c>
      <c r="C5689" s="1" t="s">
        <v>17642</v>
      </c>
      <c r="D5689" s="1" t="s">
        <v>15819</v>
      </c>
      <c r="E5689" s="1" t="s">
        <v>15819</v>
      </c>
      <c r="F5689" s="1" t="s">
        <v>17643</v>
      </c>
      <c r="G5689" s="1" t="s">
        <v>17644</v>
      </c>
      <c r="H5689" s="2" t="str">
        <f>Tabella1[[#This Row],[Denominazione]]&amp;" - "&amp;Tabella1[[#This Row],[Città]]</f>
        <v>ROYAL  HOTEL - SAN BENEDETTO DEL TRONTO</v>
      </c>
    </row>
    <row r="5690" spans="1:8" x14ac:dyDescent="0.25">
      <c r="A5690" s="1" t="s">
        <v>679</v>
      </c>
      <c r="B5690" s="1" t="s">
        <v>11691</v>
      </c>
      <c r="C5690" s="1" t="s">
        <v>11692</v>
      </c>
      <c r="D5690" s="1" t="s">
        <v>11244</v>
      </c>
      <c r="E5690" s="1" t="s">
        <v>11244</v>
      </c>
      <c r="G5690" s="1" t="s">
        <v>11435</v>
      </c>
      <c r="H5690" s="2" t="str">
        <f>Tabella1[[#This Row],[Denominazione]]&amp;" - "&amp;Tabella1[[#This Row],[Città]]</f>
        <v>RUFFINI ANTONIO N. 1/C - CIVITANOVA MARCHE</v>
      </c>
    </row>
    <row r="5691" spans="1:8" x14ac:dyDescent="0.25">
      <c r="A5691" s="1" t="s">
        <v>20</v>
      </c>
      <c r="B5691" s="1" t="s">
        <v>1190</v>
      </c>
      <c r="C5691" s="1" t="s">
        <v>1191</v>
      </c>
      <c r="D5691" s="1" t="s">
        <v>682</v>
      </c>
      <c r="E5691" s="1" t="s">
        <v>682</v>
      </c>
      <c r="F5691" s="1" t="s">
        <v>1019</v>
      </c>
      <c r="G5691" s="1" t="s">
        <v>1018</v>
      </c>
      <c r="H5691" s="2" t="str">
        <f>Tabella1[[#This Row],[Denominazione]]&amp;" - "&amp;Tabella1[[#This Row],[Città]]</f>
        <v>RUHIG - FANO</v>
      </c>
    </row>
    <row r="5692" spans="1:8" x14ac:dyDescent="0.25">
      <c r="A5692" s="1" t="s">
        <v>6</v>
      </c>
      <c r="B5692" s="1" t="s">
        <v>6454</v>
      </c>
      <c r="C5692" s="1" t="s">
        <v>6455</v>
      </c>
      <c r="D5692" s="1" t="s">
        <v>6456</v>
      </c>
      <c r="E5692" s="1" t="s">
        <v>6456</v>
      </c>
      <c r="G5692" s="1" t="s">
        <v>6457</v>
      </c>
      <c r="H5692" s="2" t="str">
        <f>Tabella1[[#This Row],[Denominazione]]&amp;" - "&amp;Tabella1[[#This Row],[Città]]</f>
        <v>RUSTICO DEL BOZZO - CASTELLEONE DI SUASA</v>
      </c>
    </row>
    <row r="5693" spans="1:8" x14ac:dyDescent="0.25">
      <c r="A5693" s="1" t="s">
        <v>12</v>
      </c>
      <c r="B5693" s="1" t="s">
        <v>9276</v>
      </c>
      <c r="C5693" s="1" t="s">
        <v>9277</v>
      </c>
      <c r="D5693" s="1" t="s">
        <v>8949</v>
      </c>
      <c r="E5693" s="1" t="s">
        <v>8949</v>
      </c>
      <c r="G5693" s="1" t="s">
        <v>9037</v>
      </c>
      <c r="H5693" s="2" t="str">
        <f>Tabella1[[#This Row],[Denominazione]]&amp;" - "&amp;Tabella1[[#This Row],[Città]]</f>
        <v>RUZZICONI MARIA PAOLA - SENIGALLIA</v>
      </c>
    </row>
    <row r="5694" spans="1:8" x14ac:dyDescent="0.25">
      <c r="A5694" s="1" t="s">
        <v>35</v>
      </c>
      <c r="B5694" s="1" t="s">
        <v>6470</v>
      </c>
      <c r="C5694" s="1" t="s">
        <v>6471</v>
      </c>
      <c r="D5694" s="1" t="s">
        <v>6467</v>
      </c>
      <c r="E5694" s="1" t="s">
        <v>6467</v>
      </c>
      <c r="F5694" s="1" t="s">
        <v>6472</v>
      </c>
      <c r="G5694" s="1" t="s">
        <v>6473</v>
      </c>
      <c r="H5694" s="2" t="str">
        <f>Tabella1[[#This Row],[Denominazione]]&amp;" - "&amp;Tabella1[[#This Row],[Città]]</f>
        <v>S. ANNA - CASTELPLANIO</v>
      </c>
    </row>
    <row r="5695" spans="1:8" x14ac:dyDescent="0.25">
      <c r="A5695" s="1" t="s">
        <v>679</v>
      </c>
      <c r="B5695" s="1" t="s">
        <v>15836</v>
      </c>
      <c r="C5695" s="1" t="s">
        <v>15837</v>
      </c>
      <c r="D5695" s="1" t="s">
        <v>15585</v>
      </c>
      <c r="H5695" s="2" t="str">
        <f>Tabella1[[#This Row],[Denominazione]]&amp;" - "&amp;Tabella1[[#This Row],[Città]]</f>
        <v>SAARI BEACH - GROTTAMMARE</v>
      </c>
    </row>
    <row r="5696" spans="1:8" x14ac:dyDescent="0.25">
      <c r="A5696" s="1" t="s">
        <v>679</v>
      </c>
      <c r="B5696" s="1" t="s">
        <v>17169</v>
      </c>
      <c r="C5696" s="1" t="s">
        <v>9843</v>
      </c>
      <c r="D5696" s="1" t="s">
        <v>15819</v>
      </c>
      <c r="H5696" s="2" t="str">
        <f>Tabella1[[#This Row],[Denominazione]]&amp;" - "&amp;Tabella1[[#This Row],[Città]]</f>
        <v>SABBIA - SAN BENEDETTO DEL TRONTO</v>
      </c>
    </row>
    <row r="5697" spans="1:8" x14ac:dyDescent="0.25">
      <c r="A5697" s="1" t="s">
        <v>679</v>
      </c>
      <c r="B5697" s="1" t="s">
        <v>15833</v>
      </c>
      <c r="C5697" s="1" t="s">
        <v>15834</v>
      </c>
      <c r="D5697" s="1" t="s">
        <v>15585</v>
      </c>
      <c r="G5697" s="1" t="s">
        <v>15835</v>
      </c>
      <c r="H5697" s="2" t="str">
        <f>Tabella1[[#This Row],[Denominazione]]&amp;" - "&amp;Tabella1[[#This Row],[Città]]</f>
        <v>SABIA - GROTTAMMARE</v>
      </c>
    </row>
    <row r="5698" spans="1:8" x14ac:dyDescent="0.25">
      <c r="A5698" s="1" t="s">
        <v>12</v>
      </c>
      <c r="B5698" s="1" t="s">
        <v>851</v>
      </c>
      <c r="C5698" s="1" t="s">
        <v>852</v>
      </c>
      <c r="D5698" s="1" t="s">
        <v>682</v>
      </c>
      <c r="G5698" s="1" t="s">
        <v>853</v>
      </c>
      <c r="H5698" s="2" t="str">
        <f>Tabella1[[#This Row],[Denominazione]]&amp;" - "&amp;Tabella1[[#This Row],[Città]]</f>
        <v>SACCHI FERNANDA - FANO</v>
      </c>
    </row>
    <row r="5699" spans="1:8" x14ac:dyDescent="0.25">
      <c r="A5699" s="1" t="s">
        <v>190</v>
      </c>
      <c r="B5699" s="1" t="s">
        <v>3776</v>
      </c>
      <c r="C5699" s="1" t="s">
        <v>3777</v>
      </c>
      <c r="D5699" s="1" t="s">
        <v>2386</v>
      </c>
      <c r="E5699" s="1" t="s">
        <v>2386</v>
      </c>
      <c r="F5699" s="1" t="s">
        <v>3778</v>
      </c>
      <c r="G5699" s="1" t="s">
        <v>3779</v>
      </c>
      <c r="H5699" s="2" t="str">
        <f>Tabella1[[#This Row],[Denominazione]]&amp;" - "&amp;Tabella1[[#This Row],[Città]]</f>
        <v>SACRO CUORE - PESARO</v>
      </c>
    </row>
    <row r="5700" spans="1:8" x14ac:dyDescent="0.25">
      <c r="A5700" s="1" t="s">
        <v>12</v>
      </c>
      <c r="B5700" s="1" t="s">
        <v>9166</v>
      </c>
      <c r="C5700" s="1" t="s">
        <v>9167</v>
      </c>
      <c r="D5700" s="1" t="s">
        <v>8949</v>
      </c>
      <c r="E5700" s="1" t="s">
        <v>8949</v>
      </c>
      <c r="G5700" s="1" t="s">
        <v>9037</v>
      </c>
      <c r="H5700" s="2" t="str">
        <f>Tabella1[[#This Row],[Denominazione]]&amp;" - "&amp;Tabella1[[#This Row],[Città]]</f>
        <v>SAGRATI ALBERTO APP.TO VIA PIERELLI - SENIGALLIA</v>
      </c>
    </row>
    <row r="5701" spans="1:8" x14ac:dyDescent="0.25">
      <c r="A5701" s="1" t="s">
        <v>12</v>
      </c>
      <c r="B5701" s="1" t="s">
        <v>9296</v>
      </c>
      <c r="C5701" s="1" t="s">
        <v>9291</v>
      </c>
      <c r="D5701" s="1" t="s">
        <v>8949</v>
      </c>
      <c r="E5701" s="1" t="s">
        <v>8949</v>
      </c>
      <c r="G5701" s="1" t="s">
        <v>9037</v>
      </c>
      <c r="H5701" s="2" t="str">
        <f>Tabella1[[#This Row],[Denominazione]]&amp;" - "&amp;Tabella1[[#This Row],[Città]]</f>
        <v>SAGRATI ALBERTO APP.TO VIA PUGLIE - SENIGALLIA</v>
      </c>
    </row>
    <row r="5702" spans="1:8" x14ac:dyDescent="0.25">
      <c r="A5702" s="1" t="s">
        <v>12</v>
      </c>
      <c r="B5702" s="1" t="s">
        <v>9174</v>
      </c>
      <c r="C5702" s="1" t="s">
        <v>9085</v>
      </c>
      <c r="D5702" s="1" t="s">
        <v>8949</v>
      </c>
      <c r="E5702" s="1" t="s">
        <v>8949</v>
      </c>
      <c r="G5702" s="1" t="s">
        <v>9175</v>
      </c>
      <c r="H5702" s="2" t="str">
        <f>Tabella1[[#This Row],[Denominazione]]&amp;" - "&amp;Tabella1[[#This Row],[Città]]</f>
        <v>SAGRATI ENZA - SENIGALLIA</v>
      </c>
    </row>
    <row r="5703" spans="1:8" x14ac:dyDescent="0.25">
      <c r="A5703" s="1" t="s">
        <v>12</v>
      </c>
      <c r="B5703" s="1" t="s">
        <v>5461</v>
      </c>
      <c r="C5703" s="1" t="s">
        <v>5462</v>
      </c>
      <c r="D5703" s="1" t="s">
        <v>1864</v>
      </c>
      <c r="H5703" s="2" t="str">
        <f>Tabella1[[#This Row],[Denominazione]]&amp;" - "&amp;Tabella1[[#This Row],[Città]]</f>
        <v>SALATI VIVIANA - ANCONA</v>
      </c>
    </row>
    <row r="5704" spans="1:8" x14ac:dyDescent="0.25">
      <c r="A5704" s="1" t="s">
        <v>679</v>
      </c>
      <c r="B5704" s="1" t="s">
        <v>19471</v>
      </c>
      <c r="D5704" s="1" t="s">
        <v>19283</v>
      </c>
      <c r="H5704" s="2" t="str">
        <f>Tabella1[[#This Row],[Denominazione]]&amp;" - "&amp;Tabella1[[#This Row],[Città]]</f>
        <v>SALE' - PORTO SANT'ELPIDIO</v>
      </c>
    </row>
    <row r="5705" spans="1:8" x14ac:dyDescent="0.25">
      <c r="A5705" s="1" t="s">
        <v>35</v>
      </c>
      <c r="B5705" s="1" t="s">
        <v>3813</v>
      </c>
      <c r="C5705" s="1" t="s">
        <v>3814</v>
      </c>
      <c r="D5705" s="1" t="s">
        <v>2386</v>
      </c>
      <c r="E5705" s="1" t="s">
        <v>2386</v>
      </c>
      <c r="F5705" s="1" t="s">
        <v>3815</v>
      </c>
      <c r="G5705" s="1" t="s">
        <v>3816</v>
      </c>
      <c r="H5705" s="2" t="str">
        <f>Tabella1[[#This Row],[Denominazione]]&amp;" - "&amp;Tabella1[[#This Row],[Città]]</f>
        <v>SAN CRISTOFORO ALLA VALLUGOLA - PESARO</v>
      </c>
    </row>
    <row r="5706" spans="1:8" x14ac:dyDescent="0.25">
      <c r="A5706" s="1" t="s">
        <v>679</v>
      </c>
      <c r="B5706" s="1" t="s">
        <v>13285</v>
      </c>
      <c r="D5706" s="1" t="s">
        <v>13026</v>
      </c>
      <c r="E5706" s="1" t="s">
        <v>13105</v>
      </c>
      <c r="H5706" s="2" t="str">
        <f>Tabella1[[#This Row],[Denominazione]]&amp;" - "&amp;Tabella1[[#This Row],[Città]]</f>
        <v>SAN DIEGO BEACH - POTENZA PICENA</v>
      </c>
    </row>
    <row r="5707" spans="1:8" x14ac:dyDescent="0.25">
      <c r="A5707" s="1" t="s">
        <v>20</v>
      </c>
      <c r="B5707" s="1" t="s">
        <v>5109</v>
      </c>
      <c r="C5707" s="1" t="s">
        <v>5110</v>
      </c>
      <c r="D5707" s="1" t="s">
        <v>9</v>
      </c>
      <c r="E5707" s="1" t="s">
        <v>9</v>
      </c>
      <c r="F5707" s="1" t="s">
        <v>5087</v>
      </c>
      <c r="G5707" s="1" t="s">
        <v>5111</v>
      </c>
      <c r="H5707" s="2" t="str">
        <f>Tabella1[[#This Row],[Denominazione]]&amp;" - "&amp;Tabella1[[#This Row],[Città]]</f>
        <v>SAN DOMENICO - URBINO</v>
      </c>
    </row>
    <row r="5708" spans="1:8" x14ac:dyDescent="0.25">
      <c r="A5708" s="1" t="s">
        <v>35</v>
      </c>
      <c r="B5708" s="1" t="s">
        <v>16150</v>
      </c>
      <c r="C5708" s="1" t="s">
        <v>16135</v>
      </c>
      <c r="D5708" s="1" t="s">
        <v>16083</v>
      </c>
      <c r="E5708" s="1" t="s">
        <v>16087</v>
      </c>
      <c r="F5708" s="1" t="s">
        <v>16137</v>
      </c>
      <c r="G5708" s="1" t="s">
        <v>16138</v>
      </c>
      <c r="H5708" s="2" t="str">
        <f>Tabella1[[#This Row],[Denominazione]]&amp;" - "&amp;Tabella1[[#This Row],[Città]]</f>
        <v>SAN FRANCESCO - MONTALTO DELLE MARCHE</v>
      </c>
    </row>
    <row r="5709" spans="1:8" x14ac:dyDescent="0.25">
      <c r="A5709" s="1" t="s">
        <v>20</v>
      </c>
      <c r="B5709" s="1" t="s">
        <v>7458</v>
      </c>
      <c r="C5709" s="1" t="s">
        <v>7459</v>
      </c>
      <c r="D5709" s="1" t="s">
        <v>7385</v>
      </c>
      <c r="E5709" s="1" t="s">
        <v>7385</v>
      </c>
      <c r="F5709" s="1" t="s">
        <v>7460</v>
      </c>
      <c r="G5709" s="1" t="s">
        <v>7461</v>
      </c>
      <c r="H5709" s="2" t="str">
        <f>Tabella1[[#This Row],[Denominazione]]&amp;" - "&amp;Tabella1[[#This Row],[Città]]</f>
        <v>SAN FRANCESCO HOTEL - LORETO</v>
      </c>
    </row>
    <row r="5710" spans="1:8" x14ac:dyDescent="0.25">
      <c r="A5710" s="1" t="s">
        <v>20</v>
      </c>
      <c r="B5710" s="1" t="s">
        <v>16423</v>
      </c>
      <c r="C5710" s="1" t="s">
        <v>16424</v>
      </c>
      <c r="D5710" s="1" t="s">
        <v>16396</v>
      </c>
      <c r="E5710" s="1" t="s">
        <v>16396</v>
      </c>
      <c r="G5710" s="1" t="s">
        <v>16425</v>
      </c>
      <c r="H5710" s="2" t="str">
        <f>Tabella1[[#This Row],[Denominazione]]&amp;" - "&amp;Tabella1[[#This Row],[Città]]</f>
        <v>SAN GIACOMO - MONTEPRANDONE</v>
      </c>
    </row>
    <row r="5711" spans="1:8" x14ac:dyDescent="0.25">
      <c r="A5711" s="1" t="s">
        <v>20</v>
      </c>
      <c r="B5711" s="1" t="s">
        <v>3007</v>
      </c>
      <c r="C5711" s="1" t="s">
        <v>18495</v>
      </c>
      <c r="D5711" s="1" t="s">
        <v>18489</v>
      </c>
      <c r="E5711" s="1" t="s">
        <v>18489</v>
      </c>
      <c r="G5711" s="1" t="s">
        <v>18496</v>
      </c>
      <c r="H5711" s="2" t="str">
        <f>Tabella1[[#This Row],[Denominazione]]&amp;" - "&amp;Tabella1[[#This Row],[Città]]</f>
        <v>SAN GIORGIO - MONTAPPONE</v>
      </c>
    </row>
    <row r="5712" spans="1:8" x14ac:dyDescent="0.25">
      <c r="A5712" s="1" t="s">
        <v>20</v>
      </c>
      <c r="B5712" s="1" t="s">
        <v>5112</v>
      </c>
      <c r="C5712" s="1" t="s">
        <v>5113</v>
      </c>
      <c r="D5712" s="1" t="s">
        <v>9</v>
      </c>
      <c r="E5712" s="1" t="s">
        <v>9</v>
      </c>
      <c r="F5712" s="1" t="s">
        <v>5114</v>
      </c>
      <c r="G5712" s="1" t="s">
        <v>5115</v>
      </c>
      <c r="H5712" s="2" t="str">
        <f>Tabella1[[#This Row],[Denominazione]]&amp;" - "&amp;Tabella1[[#This Row],[Città]]</f>
        <v>SAN GIOVANNI - URBINO</v>
      </c>
    </row>
    <row r="5713" spans="1:8" x14ac:dyDescent="0.25">
      <c r="A5713" s="1" t="s">
        <v>190</v>
      </c>
      <c r="B5713" s="1" t="s">
        <v>8558</v>
      </c>
      <c r="C5713" s="1" t="s">
        <v>8559</v>
      </c>
      <c r="D5713" s="1" t="s">
        <v>8454</v>
      </c>
      <c r="E5713" s="1" t="s">
        <v>8454</v>
      </c>
      <c r="F5713" s="1" t="s">
        <v>8560</v>
      </c>
      <c r="G5713" s="1" t="s">
        <v>8561</v>
      </c>
      <c r="H5713" s="2" t="str">
        <f>Tabella1[[#This Row],[Denominazione]]&amp;" - "&amp;Tabella1[[#This Row],[Città]]</f>
        <v>SAN GIUSEPPE DA COPERTINO - OSIMO</v>
      </c>
    </row>
    <row r="5714" spans="1:8" x14ac:dyDescent="0.25">
      <c r="A5714" s="1" t="s">
        <v>190</v>
      </c>
      <c r="B5714" s="1" t="s">
        <v>13440</v>
      </c>
      <c r="D5714" s="1" t="s">
        <v>6072</v>
      </c>
      <c r="E5714" s="1" t="s">
        <v>13440</v>
      </c>
      <c r="H5714" s="2" t="str">
        <f>Tabella1[[#This Row],[Denominazione]]&amp;" - "&amp;Tabella1[[#This Row],[Città]]</f>
        <v>SAN LIBERATO - SAN GINESIO</v>
      </c>
    </row>
    <row r="5715" spans="1:8" x14ac:dyDescent="0.25">
      <c r="A5715" s="1" t="s">
        <v>20</v>
      </c>
      <c r="B5715" s="1" t="s">
        <v>13440</v>
      </c>
      <c r="C5715" s="1" t="s">
        <v>13452</v>
      </c>
      <c r="D5715" s="1" t="s">
        <v>6072</v>
      </c>
      <c r="E5715" s="1" t="s">
        <v>6072</v>
      </c>
      <c r="H5715" s="2" t="str">
        <f>Tabella1[[#This Row],[Denominazione]]&amp;" - "&amp;Tabella1[[#This Row],[Città]]</f>
        <v>SAN LIBERATO - SAN GINESIO</v>
      </c>
    </row>
    <row r="5716" spans="1:8" x14ac:dyDescent="0.25">
      <c r="A5716" s="1" t="s">
        <v>35</v>
      </c>
      <c r="B5716" s="1" t="s">
        <v>6927</v>
      </c>
      <c r="C5716" s="1" t="s">
        <v>6928</v>
      </c>
      <c r="D5716" s="1" t="s">
        <v>6790</v>
      </c>
      <c r="E5716" s="1" t="s">
        <v>6790</v>
      </c>
      <c r="F5716" s="1" t="s">
        <v>6929</v>
      </c>
      <c r="G5716" s="1" t="s">
        <v>6930</v>
      </c>
      <c r="H5716" s="2" t="str">
        <f>Tabella1[[#This Row],[Denominazione]]&amp;" - "&amp;Tabella1[[#This Row],[Città]]</f>
        <v>SAN LORENZO - FABRIANO</v>
      </c>
    </row>
    <row r="5717" spans="1:8" x14ac:dyDescent="0.25">
      <c r="A5717" s="1" t="s">
        <v>190</v>
      </c>
      <c r="B5717" s="1" t="s">
        <v>6927</v>
      </c>
      <c r="D5717" s="1" t="s">
        <v>16312</v>
      </c>
      <c r="E5717" s="1" t="s">
        <v>6927</v>
      </c>
      <c r="H5717" s="2" t="str">
        <f>Tabella1[[#This Row],[Denominazione]]&amp;" - "&amp;Tabella1[[#This Row],[Città]]</f>
        <v>SAN LORENZO - MONTEMONACO</v>
      </c>
    </row>
    <row r="5718" spans="1:8" x14ac:dyDescent="0.25">
      <c r="A5718" s="1" t="s">
        <v>20</v>
      </c>
      <c r="B5718" s="1" t="s">
        <v>2268</v>
      </c>
      <c r="C5718" s="1" t="s">
        <v>2269</v>
      </c>
      <c r="D5718" s="1" t="s">
        <v>1907</v>
      </c>
      <c r="E5718" s="1" t="s">
        <v>1907</v>
      </c>
      <c r="F5718" s="1" t="s">
        <v>2270</v>
      </c>
      <c r="G5718" s="1" t="s">
        <v>2271</v>
      </c>
      <c r="H5718" s="2" t="str">
        <f>Tabella1[[#This Row],[Denominazione]]&amp;" - "&amp;Tabella1[[#This Row],[Città]]</f>
        <v>SAN MARCO - GABICCE MARE</v>
      </c>
    </row>
    <row r="5719" spans="1:8" x14ac:dyDescent="0.25">
      <c r="A5719" s="1" t="s">
        <v>20</v>
      </c>
      <c r="B5719" s="1" t="s">
        <v>2268</v>
      </c>
      <c r="C5719" s="1" t="s">
        <v>2915</v>
      </c>
      <c r="D5719" s="1" t="s">
        <v>1605</v>
      </c>
      <c r="E5719" s="1" t="s">
        <v>1605</v>
      </c>
      <c r="F5719" s="1" t="s">
        <v>2916</v>
      </c>
      <c r="G5719" s="1" t="s">
        <v>2917</v>
      </c>
      <c r="H5719" s="2" t="str">
        <f>Tabella1[[#This Row],[Denominazione]]&amp;" - "&amp;Tabella1[[#This Row],[Città]]</f>
        <v>SAN MARCO - MONDOLFO</v>
      </c>
    </row>
    <row r="5720" spans="1:8" x14ac:dyDescent="0.25">
      <c r="A5720" s="1" t="s">
        <v>20</v>
      </c>
      <c r="B5720" s="1" t="s">
        <v>2268</v>
      </c>
      <c r="C5720" s="1" t="s">
        <v>3692</v>
      </c>
      <c r="D5720" s="1" t="s">
        <v>2386</v>
      </c>
      <c r="E5720" s="1" t="s">
        <v>2386</v>
      </c>
      <c r="F5720" s="1" t="s">
        <v>3693</v>
      </c>
      <c r="G5720" s="1" t="s">
        <v>3694</v>
      </c>
      <c r="H5720" s="2" t="str">
        <f>Tabella1[[#This Row],[Denominazione]]&amp;" - "&amp;Tabella1[[#This Row],[Città]]</f>
        <v>SAN MARCO - PESARO</v>
      </c>
    </row>
    <row r="5721" spans="1:8" x14ac:dyDescent="0.25">
      <c r="A5721" s="1" t="s">
        <v>679</v>
      </c>
      <c r="B5721" s="1" t="s">
        <v>2268</v>
      </c>
      <c r="C5721" s="1" t="s">
        <v>11640</v>
      </c>
      <c r="D5721" s="1" t="s">
        <v>11244</v>
      </c>
      <c r="E5721" s="1" t="s">
        <v>11244</v>
      </c>
      <c r="H5721" s="2" t="str">
        <f>Tabella1[[#This Row],[Denominazione]]&amp;" - "&amp;Tabella1[[#This Row],[Città]]</f>
        <v>SAN MARCO - CIVITANOVA MARCHE</v>
      </c>
    </row>
    <row r="5722" spans="1:8" x14ac:dyDescent="0.25">
      <c r="A5722" s="1" t="s">
        <v>35</v>
      </c>
      <c r="B5722" s="1" t="s">
        <v>15292</v>
      </c>
      <c r="C5722" s="1" t="s">
        <v>15293</v>
      </c>
      <c r="D5722" s="1" t="s">
        <v>15282</v>
      </c>
      <c r="E5722" s="1" t="s">
        <v>15282</v>
      </c>
      <c r="F5722" s="1" t="s">
        <v>15294</v>
      </c>
      <c r="G5722" s="1" t="s">
        <v>15295</v>
      </c>
      <c r="H5722" s="2" t="str">
        <f>Tabella1[[#This Row],[Denominazione]]&amp;" - "&amp;Tabella1[[#This Row],[Città]]</f>
        <v>SAN MICHELE - COSSIGNANO</v>
      </c>
    </row>
    <row r="5723" spans="1:8" x14ac:dyDescent="0.25">
      <c r="A5723" s="1" t="s">
        <v>20</v>
      </c>
      <c r="B5723" s="1" t="s">
        <v>18643</v>
      </c>
      <c r="C5723" s="1" t="s">
        <v>18644</v>
      </c>
      <c r="D5723" s="1" t="s">
        <v>18618</v>
      </c>
      <c r="E5723" s="1" t="s">
        <v>18618</v>
      </c>
      <c r="F5723" s="1" t="s">
        <v>18645</v>
      </c>
      <c r="G5723" s="1" t="s">
        <v>18646</v>
      </c>
      <c r="H5723" s="2" t="str">
        <f>Tabella1[[#This Row],[Denominazione]]&amp;" - "&amp;Tabella1[[#This Row],[Città]]</f>
        <v>SAN PAOLO HOTEL - MONTEGIORGIO</v>
      </c>
    </row>
    <row r="5724" spans="1:8" x14ac:dyDescent="0.25">
      <c r="A5724" s="1" t="s">
        <v>35</v>
      </c>
      <c r="B5724" s="1" t="s">
        <v>6174</v>
      </c>
      <c r="C5724" s="1" t="s">
        <v>6175</v>
      </c>
      <c r="D5724" s="1" t="s">
        <v>6049</v>
      </c>
      <c r="E5724" s="1" t="s">
        <v>6176</v>
      </c>
      <c r="F5724" s="1" t="s">
        <v>6177</v>
      </c>
      <c r="G5724" s="1" t="s">
        <v>6178</v>
      </c>
      <c r="H5724" s="2" t="str">
        <f>Tabella1[[#This Row],[Denominazione]]&amp;" - "&amp;Tabella1[[#This Row],[Città]]</f>
        <v>SAN SETTIMIO RISERVA PRIVATA - ARCEVIA</v>
      </c>
    </row>
    <row r="5725" spans="1:8" x14ac:dyDescent="0.25">
      <c r="A5725" s="1" t="s">
        <v>35</v>
      </c>
      <c r="B5725" s="1" t="s">
        <v>3113</v>
      </c>
      <c r="C5725" s="1" t="s">
        <v>3114</v>
      </c>
      <c r="D5725" s="1" t="s">
        <v>3100</v>
      </c>
      <c r="E5725" s="1" t="s">
        <v>3100</v>
      </c>
      <c r="F5725" s="1" t="s">
        <v>3115</v>
      </c>
      <c r="H5725" s="2" t="str">
        <f>Tabella1[[#This Row],[Denominazione]]&amp;" - "&amp;Tabella1[[#This Row],[Città]]</f>
        <v>SAN SEVERO - MONTEFELCINO</v>
      </c>
    </row>
    <row r="5726" spans="1:8" x14ac:dyDescent="0.25">
      <c r="A5726" s="1" t="s">
        <v>35</v>
      </c>
      <c r="B5726" s="1" t="s">
        <v>389</v>
      </c>
      <c r="C5726" s="1" t="s">
        <v>390</v>
      </c>
      <c r="D5726" s="1" t="s">
        <v>316</v>
      </c>
      <c r="E5726" s="1" t="s">
        <v>316</v>
      </c>
      <c r="G5726" s="1" t="s">
        <v>391</v>
      </c>
      <c r="H5726" s="2" t="str">
        <f>Tabella1[[#This Row],[Denominazione]]&amp;" - "&amp;Tabella1[[#This Row],[Città]]</f>
        <v>SAN SILVESTRO - CAGLI</v>
      </c>
    </row>
    <row r="5727" spans="1:8" x14ac:dyDescent="0.25">
      <c r="A5727" s="1" t="s">
        <v>20</v>
      </c>
      <c r="B5727" s="1" t="s">
        <v>4404</v>
      </c>
      <c r="C5727" s="1" t="s">
        <v>4405</v>
      </c>
      <c r="D5727" s="1" t="s">
        <v>4397</v>
      </c>
      <c r="E5727" s="1" t="s">
        <v>4406</v>
      </c>
      <c r="F5727" s="1" t="s">
        <v>4407</v>
      </c>
      <c r="G5727" s="1" t="s">
        <v>4408</v>
      </c>
      <c r="H5727" s="2" t="str">
        <f>Tabella1[[#This Row],[Denominazione]]&amp;" - "&amp;Tabella1[[#This Row],[Città]]</f>
        <v>SANTA CHIARA - SANT'ANGELO IN VADO</v>
      </c>
    </row>
    <row r="5728" spans="1:8" x14ac:dyDescent="0.25">
      <c r="A5728" s="1" t="s">
        <v>35</v>
      </c>
      <c r="B5728" s="1" t="s">
        <v>1204</v>
      </c>
      <c r="C5728" s="1" t="s">
        <v>1205</v>
      </c>
      <c r="D5728" s="1" t="s">
        <v>682</v>
      </c>
      <c r="E5728" s="1" t="s">
        <v>682</v>
      </c>
      <c r="G5728" s="1" t="s">
        <v>1206</v>
      </c>
      <c r="H5728" s="2" t="str">
        <f>Tabella1[[#This Row],[Denominazione]]&amp;" - "&amp;Tabella1[[#This Row],[Città]]</f>
        <v>SANTA CRISTINA - FANO</v>
      </c>
    </row>
    <row r="5729" spans="1:8" x14ac:dyDescent="0.25">
      <c r="A5729" s="1" t="s">
        <v>29</v>
      </c>
      <c r="B5729" s="1" t="s">
        <v>7303</v>
      </c>
      <c r="C5729" s="1" t="s">
        <v>7304</v>
      </c>
      <c r="D5729" s="1" t="s">
        <v>7254</v>
      </c>
      <c r="E5729" s="1" t="s">
        <v>7254</v>
      </c>
      <c r="H5729" s="2" t="str">
        <f>Tabella1[[#This Row],[Denominazione]]&amp;" - "&amp;Tabella1[[#This Row],[Città]]</f>
        <v>SANTA LUCIA - JESI</v>
      </c>
    </row>
    <row r="5730" spans="1:8" x14ac:dyDescent="0.25">
      <c r="A5730" s="1" t="s">
        <v>35</v>
      </c>
      <c r="B5730" s="1" t="s">
        <v>18531</v>
      </c>
      <c r="C5730" s="1" t="s">
        <v>18532</v>
      </c>
      <c r="D5730" s="1" t="s">
        <v>18522</v>
      </c>
      <c r="E5730" s="1" t="s">
        <v>18533</v>
      </c>
      <c r="G5730" s="1" t="s">
        <v>18534</v>
      </c>
      <c r="H5730" s="2" t="str">
        <f>Tabella1[[#This Row],[Denominazione]]&amp;" - "&amp;Tabella1[[#This Row],[Città]]</f>
        <v>SANTA LUCIA DEI SIBILLINI - MONTEFORTINO</v>
      </c>
    </row>
    <row r="5731" spans="1:8" x14ac:dyDescent="0.25">
      <c r="A5731" s="1" t="s">
        <v>190</v>
      </c>
      <c r="B5731" s="1" t="s">
        <v>16603</v>
      </c>
      <c r="C5731" s="1" t="s">
        <v>16604</v>
      </c>
      <c r="D5731" s="1" t="s">
        <v>16585</v>
      </c>
      <c r="E5731" s="1" t="s">
        <v>16585</v>
      </c>
      <c r="G5731" s="1" t="s">
        <v>16605</v>
      </c>
      <c r="H5731" s="2" t="str">
        <f>Tabella1[[#This Row],[Denominazione]]&amp;" - "&amp;Tabella1[[#This Row],[Città]]</f>
        <v>SANTA TERESA - RIPATRANSONE</v>
      </c>
    </row>
    <row r="5732" spans="1:8" x14ac:dyDescent="0.25">
      <c r="A5732" s="1" t="s">
        <v>29</v>
      </c>
      <c r="B5732" s="1" t="s">
        <v>1735</v>
      </c>
      <c r="C5732" s="1" t="s">
        <v>1736</v>
      </c>
      <c r="D5732" s="1" t="s">
        <v>1724</v>
      </c>
      <c r="E5732" s="1" t="s">
        <v>1724</v>
      </c>
      <c r="F5732" s="1" t="s">
        <v>1737</v>
      </c>
      <c r="G5732" s="1" t="s">
        <v>1738</v>
      </c>
      <c r="H5732" s="2" t="str">
        <f>Tabella1[[#This Row],[Denominazione]]&amp;" - "&amp;Tabella1[[#This Row],[Città]]</f>
        <v>SANT'ALDEBRANDO BED&amp;BREAKFAST - FOSSOMBRONE</v>
      </c>
    </row>
    <row r="5733" spans="1:8" x14ac:dyDescent="0.25">
      <c r="A5733" s="1" t="s">
        <v>35</v>
      </c>
      <c r="B5733" s="1" t="s">
        <v>5132</v>
      </c>
      <c r="C5733" s="1" t="s">
        <v>5133</v>
      </c>
      <c r="D5733" s="1" t="s">
        <v>9</v>
      </c>
      <c r="E5733" s="1" t="s">
        <v>9</v>
      </c>
      <c r="G5733" s="1" t="s">
        <v>5134</v>
      </c>
      <c r="H5733" s="2" t="str">
        <f>Tabella1[[#This Row],[Denominazione]]&amp;" - "&amp;Tabella1[[#This Row],[Città]]</f>
        <v>SANT'ANTONIO - URBINO</v>
      </c>
    </row>
    <row r="5734" spans="1:8" x14ac:dyDescent="0.25">
      <c r="A5734" s="1" t="s">
        <v>6</v>
      </c>
      <c r="B5734" s="1" t="s">
        <v>563</v>
      </c>
      <c r="C5734" s="1" t="s">
        <v>564</v>
      </c>
      <c r="D5734" s="1" t="s">
        <v>535</v>
      </c>
      <c r="E5734" s="1" t="s">
        <v>565</v>
      </c>
      <c r="F5734" s="1" t="s">
        <v>566</v>
      </c>
      <c r="G5734" s="1" t="s">
        <v>567</v>
      </c>
      <c r="H5734" s="2" t="str">
        <f>Tabella1[[#This Row],[Denominazione]]&amp;" - "&amp;Tabella1[[#This Row],[Città]]</f>
        <v>SANT'APOLLINARE FARMHOUSE RESORT - CANTIANO</v>
      </c>
    </row>
    <row r="5735" spans="1:8" x14ac:dyDescent="0.25">
      <c r="A5735" s="1" t="s">
        <v>679</v>
      </c>
      <c r="B5735" s="1" t="s">
        <v>19114</v>
      </c>
      <c r="C5735" s="1" t="s">
        <v>19115</v>
      </c>
      <c r="D5735" s="1" t="s">
        <v>18082</v>
      </c>
      <c r="E5735" s="1" t="s">
        <v>18082</v>
      </c>
      <c r="H5735" s="2" t="str">
        <f>Tabella1[[#This Row],[Denominazione]]&amp;" - "&amp;Tabella1[[#This Row],[Città]]</f>
        <v>SANTARELLI MORENA - PORTO SAN GIORGIO</v>
      </c>
    </row>
    <row r="5736" spans="1:8" x14ac:dyDescent="0.25">
      <c r="A5736" s="1" t="s">
        <v>12</v>
      </c>
      <c r="B5736" s="1" t="s">
        <v>3220</v>
      </c>
      <c r="C5736" s="1" t="s">
        <v>3221</v>
      </c>
      <c r="D5736" s="1" t="s">
        <v>3222</v>
      </c>
      <c r="G5736" s="1" t="s">
        <v>2772</v>
      </c>
      <c r="H5736" s="2" t="str">
        <f>Tabella1[[#This Row],[Denominazione]]&amp;" - "&amp;Tabella1[[#This Row],[Città]]</f>
        <v>SANTINELLI ELENA - MONTE PORZIO</v>
      </c>
    </row>
    <row r="5737" spans="1:8" x14ac:dyDescent="0.25">
      <c r="A5737" s="1" t="s">
        <v>12</v>
      </c>
      <c r="B5737" s="1" t="s">
        <v>2770</v>
      </c>
      <c r="C5737" s="1" t="s">
        <v>2771</v>
      </c>
      <c r="D5737" s="1" t="s">
        <v>1605</v>
      </c>
      <c r="G5737" s="1" t="s">
        <v>2772</v>
      </c>
      <c r="H5737" s="2" t="str">
        <f>Tabella1[[#This Row],[Denominazione]]&amp;" - "&amp;Tabella1[[#This Row],[Città]]</f>
        <v>SANTINELLI PIETRO - MONDOLFO</v>
      </c>
    </row>
    <row r="5738" spans="1:8" x14ac:dyDescent="0.25">
      <c r="A5738" s="1" t="s">
        <v>12</v>
      </c>
      <c r="B5738" s="1" t="s">
        <v>2770</v>
      </c>
      <c r="C5738" s="1" t="s">
        <v>2787</v>
      </c>
      <c r="D5738" s="1" t="s">
        <v>1605</v>
      </c>
      <c r="H5738" s="2" t="str">
        <f>Tabella1[[#This Row],[Denominazione]]&amp;" - "&amp;Tabella1[[#This Row],[Città]]</f>
        <v>SANTINELLI PIETRO - MONDOLFO</v>
      </c>
    </row>
    <row r="5739" spans="1:8" x14ac:dyDescent="0.25">
      <c r="A5739" s="1" t="s">
        <v>12</v>
      </c>
      <c r="B5739" s="1" t="s">
        <v>9216</v>
      </c>
      <c r="C5739" s="1" t="s">
        <v>9217</v>
      </c>
      <c r="D5739" s="1" t="s">
        <v>8949</v>
      </c>
      <c r="E5739" s="1" t="s">
        <v>8949</v>
      </c>
      <c r="G5739" s="1" t="s">
        <v>9218</v>
      </c>
      <c r="H5739" s="2" t="str">
        <f>Tabella1[[#This Row],[Denominazione]]&amp;" - "&amp;Tabella1[[#This Row],[Città]]</f>
        <v>SANTINI PAOLO - SENIGALLIA</v>
      </c>
    </row>
    <row r="5740" spans="1:8" x14ac:dyDescent="0.25">
      <c r="A5740" s="1" t="s">
        <v>12</v>
      </c>
      <c r="B5740" s="1" t="s">
        <v>6325</v>
      </c>
      <c r="C5740" s="1" t="s">
        <v>6326</v>
      </c>
      <c r="D5740" s="1" t="s">
        <v>6290</v>
      </c>
      <c r="E5740" s="1" t="s">
        <v>6290</v>
      </c>
      <c r="H5740" s="2" t="str">
        <f>Tabella1[[#This Row],[Denominazione]]&amp;" - "&amp;Tabella1[[#This Row],[Città]]</f>
        <v>SANTINI PAOLO APP.TO 1 - CAMERANO</v>
      </c>
    </row>
    <row r="5741" spans="1:8" x14ac:dyDescent="0.25">
      <c r="A5741" s="1" t="s">
        <v>12</v>
      </c>
      <c r="B5741" s="1" t="s">
        <v>6327</v>
      </c>
      <c r="C5741" s="1" t="s">
        <v>6328</v>
      </c>
      <c r="D5741" s="1" t="s">
        <v>6290</v>
      </c>
      <c r="E5741" s="1" t="s">
        <v>6290</v>
      </c>
      <c r="H5741" s="2" t="str">
        <f>Tabella1[[#This Row],[Denominazione]]&amp;" - "&amp;Tabella1[[#This Row],[Città]]</f>
        <v>SANTINI PAOLO APP.TO 2 - CAMERANO</v>
      </c>
    </row>
    <row r="5742" spans="1:8" x14ac:dyDescent="0.25">
      <c r="A5742" s="1" t="s">
        <v>12</v>
      </c>
      <c r="B5742" s="1" t="s">
        <v>763</v>
      </c>
      <c r="C5742" s="1" t="s">
        <v>764</v>
      </c>
      <c r="D5742" s="1" t="s">
        <v>682</v>
      </c>
      <c r="E5742" s="1" t="s">
        <v>682</v>
      </c>
      <c r="H5742" s="2" t="str">
        <f>Tabella1[[#This Row],[Denominazione]]&amp;" - "&amp;Tabella1[[#This Row],[Città]]</f>
        <v>SANTINI SERENELLA APP.TO 210/A - FANO</v>
      </c>
    </row>
    <row r="5743" spans="1:8" x14ac:dyDescent="0.25">
      <c r="A5743" s="1" t="s">
        <v>12</v>
      </c>
      <c r="B5743" s="1" t="s">
        <v>765</v>
      </c>
      <c r="C5743" s="1" t="s">
        <v>766</v>
      </c>
      <c r="D5743" s="1" t="s">
        <v>682</v>
      </c>
      <c r="E5743" s="1" t="s">
        <v>682</v>
      </c>
      <c r="H5743" s="2" t="str">
        <f>Tabella1[[#This Row],[Denominazione]]&amp;" - "&amp;Tabella1[[#This Row],[Città]]</f>
        <v>SANTINI SERENELLA APP.TO 210/B - FANO</v>
      </c>
    </row>
    <row r="5744" spans="1:8" x14ac:dyDescent="0.25">
      <c r="A5744" s="1" t="s">
        <v>12</v>
      </c>
      <c r="B5744" s="1" t="s">
        <v>761</v>
      </c>
      <c r="C5744" s="1" t="s">
        <v>762</v>
      </c>
      <c r="D5744" s="1" t="s">
        <v>682</v>
      </c>
      <c r="E5744" s="1" t="s">
        <v>682</v>
      </c>
      <c r="H5744" s="2" t="str">
        <f>Tabella1[[#This Row],[Denominazione]]&amp;" - "&amp;Tabella1[[#This Row],[Città]]</f>
        <v>SANTINI SERENELLA APP.TO 210/C - FANO</v>
      </c>
    </row>
    <row r="5745" spans="1:8" x14ac:dyDescent="0.25">
      <c r="A5745" s="1" t="s">
        <v>12</v>
      </c>
      <c r="B5745" s="1" t="s">
        <v>771</v>
      </c>
      <c r="C5745" s="1" t="s">
        <v>772</v>
      </c>
      <c r="D5745" s="1" t="s">
        <v>682</v>
      </c>
      <c r="E5745" s="1" t="s">
        <v>682</v>
      </c>
      <c r="H5745" s="2" t="str">
        <f>Tabella1[[#This Row],[Denominazione]]&amp;" - "&amp;Tabella1[[#This Row],[Città]]</f>
        <v>SANTINI SERENELLA APP.TO 212/A - FANO</v>
      </c>
    </row>
    <row r="5746" spans="1:8" x14ac:dyDescent="0.25">
      <c r="A5746" s="1" t="s">
        <v>12</v>
      </c>
      <c r="B5746" s="1" t="s">
        <v>769</v>
      </c>
      <c r="C5746" s="1" t="s">
        <v>770</v>
      </c>
      <c r="D5746" s="1" t="s">
        <v>682</v>
      </c>
      <c r="E5746" s="1" t="s">
        <v>682</v>
      </c>
      <c r="H5746" s="2" t="str">
        <f>Tabella1[[#This Row],[Denominazione]]&amp;" - "&amp;Tabella1[[#This Row],[Città]]</f>
        <v>SANTINI SERENELLA APP.TO 212/B - FANO</v>
      </c>
    </row>
    <row r="5747" spans="1:8" x14ac:dyDescent="0.25">
      <c r="A5747" s="1" t="s">
        <v>12</v>
      </c>
      <c r="B5747" s="1" t="s">
        <v>767</v>
      </c>
      <c r="C5747" s="1" t="s">
        <v>768</v>
      </c>
      <c r="D5747" s="1" t="s">
        <v>682</v>
      </c>
      <c r="E5747" s="1" t="s">
        <v>682</v>
      </c>
      <c r="H5747" s="2" t="str">
        <f>Tabella1[[#This Row],[Denominazione]]&amp;" - "&amp;Tabella1[[#This Row],[Città]]</f>
        <v>SANTINI SERENELLA APP.TO 212/C - FANO</v>
      </c>
    </row>
    <row r="5748" spans="1:8" x14ac:dyDescent="0.25">
      <c r="A5748" s="1" t="s">
        <v>12</v>
      </c>
      <c r="B5748" s="1" t="s">
        <v>9078</v>
      </c>
      <c r="C5748" s="1" t="s">
        <v>9079</v>
      </c>
      <c r="D5748" s="1" t="s">
        <v>8949</v>
      </c>
      <c r="E5748" s="1" t="s">
        <v>8949</v>
      </c>
      <c r="G5748" s="1" t="s">
        <v>9037</v>
      </c>
      <c r="H5748" s="2" t="str">
        <f>Tabella1[[#This Row],[Denominazione]]&amp;" - "&amp;Tabella1[[#This Row],[Città]]</f>
        <v>SANTOLINI STEFANIA - SENIGALLIA</v>
      </c>
    </row>
    <row r="5749" spans="1:8" x14ac:dyDescent="0.25">
      <c r="A5749" s="1" t="s">
        <v>12</v>
      </c>
      <c r="B5749" s="1" t="s">
        <v>12573</v>
      </c>
      <c r="C5749" s="1" t="s">
        <v>12574</v>
      </c>
      <c r="D5749" s="1" t="s">
        <v>12546</v>
      </c>
      <c r="F5749" s="1" t="s">
        <v>11407</v>
      </c>
      <c r="G5749" s="1" t="s">
        <v>11408</v>
      </c>
      <c r="H5749" s="2" t="str">
        <f>Tabella1[[#This Row],[Denominazione]]&amp;" - "&amp;Tabella1[[#This Row],[Città]]</f>
        <v>SANTOMARO COUNTRY-LOFT - MORROVALLE</v>
      </c>
    </row>
    <row r="5750" spans="1:8" x14ac:dyDescent="0.25">
      <c r="A5750" s="1" t="s">
        <v>12</v>
      </c>
      <c r="B5750" s="1" t="s">
        <v>16885</v>
      </c>
      <c r="C5750" s="1" t="s">
        <v>16886</v>
      </c>
      <c r="D5750" s="1" t="s">
        <v>15819</v>
      </c>
      <c r="E5750" s="1" t="s">
        <v>15819</v>
      </c>
      <c r="G5750" s="1" t="s">
        <v>16887</v>
      </c>
      <c r="H5750" s="2" t="str">
        <f>Tabella1[[#This Row],[Denominazione]]&amp;" - "&amp;Tabella1[[#This Row],[Città]]</f>
        <v>SANTRONI EMIDIO APP.TO - SAN BENEDETTO DEL TRONTO</v>
      </c>
    </row>
    <row r="5751" spans="1:8" x14ac:dyDescent="0.25">
      <c r="A5751" s="1" t="s">
        <v>190</v>
      </c>
      <c r="B5751" s="1" t="s">
        <v>14310</v>
      </c>
      <c r="D5751" s="1" t="s">
        <v>14276</v>
      </c>
      <c r="E5751" s="1" t="s">
        <v>14311</v>
      </c>
      <c r="F5751" s="1" t="s">
        <v>14279</v>
      </c>
      <c r="G5751" s="1" t="s">
        <v>14280</v>
      </c>
      <c r="H5751" s="2" t="str">
        <f>Tabella1[[#This Row],[Denominazione]]&amp;" - "&amp;Tabella1[[#This Row],[Città]]</f>
        <v>SANTUARIO DI MACERETO (Locali Foresteria) - VISSO</v>
      </c>
    </row>
    <row r="5752" spans="1:8" x14ac:dyDescent="0.25">
      <c r="A5752" s="1" t="s">
        <v>190</v>
      </c>
      <c r="B5752" s="1" t="s">
        <v>14277</v>
      </c>
      <c r="C5752" s="1" t="s">
        <v>14278</v>
      </c>
      <c r="D5752" s="1" t="s">
        <v>14276</v>
      </c>
      <c r="E5752" s="1" t="s">
        <v>14276</v>
      </c>
      <c r="F5752" s="1" t="s">
        <v>14279</v>
      </c>
      <c r="G5752" s="1" t="s">
        <v>14280</v>
      </c>
      <c r="H5752" s="2" t="str">
        <f>Tabella1[[#This Row],[Denominazione]]&amp;" - "&amp;Tabella1[[#This Row],[Città]]</f>
        <v>SANTUARIO DI MACERETO (Locali Palazzo delle Guaite) - VISSO</v>
      </c>
    </row>
    <row r="5753" spans="1:8" x14ac:dyDescent="0.25">
      <c r="A5753" s="1" t="s">
        <v>679</v>
      </c>
      <c r="B5753" s="1" t="s">
        <v>17340</v>
      </c>
      <c r="C5753" s="1" t="s">
        <v>17341</v>
      </c>
      <c r="D5753" s="1" t="s">
        <v>15819</v>
      </c>
      <c r="H5753" s="2" t="str">
        <f>Tabella1[[#This Row],[Denominazione]]&amp;" - "&amp;Tabella1[[#This Row],[Città]]</f>
        <v>SAPORE DI MARE - SAN BENEDETTO DEL TRONTO</v>
      </c>
    </row>
    <row r="5754" spans="1:8" x14ac:dyDescent="0.25">
      <c r="A5754" s="1" t="s">
        <v>35</v>
      </c>
      <c r="B5754" s="1" t="s">
        <v>12700</v>
      </c>
      <c r="C5754" s="1" t="s">
        <v>12701</v>
      </c>
      <c r="D5754" s="1" t="s">
        <v>12694</v>
      </c>
      <c r="E5754" s="1" t="s">
        <v>12694</v>
      </c>
      <c r="F5754" s="1" t="s">
        <v>12702</v>
      </c>
      <c r="G5754" s="1" t="s">
        <v>12703</v>
      </c>
      <c r="H5754" s="2" t="str">
        <f>Tabella1[[#This Row],[Denominazione]]&amp;" - "&amp;Tabella1[[#This Row],[Città]]</f>
        <v>SAPORI DI CAMPAGNA - PIEVEBOVIGLIANA</v>
      </c>
    </row>
    <row r="5755" spans="1:8" x14ac:dyDescent="0.25">
      <c r="A5755" s="1" t="s">
        <v>12</v>
      </c>
      <c r="B5755" s="1" t="s">
        <v>7851</v>
      </c>
      <c r="C5755" s="1" t="s">
        <v>7852</v>
      </c>
      <c r="D5755" s="1" t="s">
        <v>7849</v>
      </c>
      <c r="F5755" s="1" t="s">
        <v>7853</v>
      </c>
      <c r="G5755" s="1" t="s">
        <v>7854</v>
      </c>
      <c r="H5755" s="2" t="str">
        <f>Tabella1[[#This Row],[Denominazione]]&amp;" - "&amp;Tabella1[[#This Row],[Città]]</f>
        <v>SARO' CASOLARE - MORRO D'ALBA</v>
      </c>
    </row>
    <row r="5756" spans="1:8" x14ac:dyDescent="0.25">
      <c r="A5756" s="1" t="s">
        <v>12</v>
      </c>
      <c r="B5756" s="1" t="s">
        <v>9280</v>
      </c>
      <c r="C5756" s="1" t="s">
        <v>9281</v>
      </c>
      <c r="D5756" s="1" t="s">
        <v>8949</v>
      </c>
      <c r="E5756" s="1" t="s">
        <v>8949</v>
      </c>
      <c r="G5756" s="1" t="s">
        <v>9282</v>
      </c>
      <c r="H5756" s="2" t="str">
        <f>Tabella1[[#This Row],[Denominazione]]&amp;" - "&amp;Tabella1[[#This Row],[Città]]</f>
        <v>SARTINI PINO - SENIGALLIA</v>
      </c>
    </row>
    <row r="5757" spans="1:8" x14ac:dyDescent="0.25">
      <c r="A5757" s="1" t="s">
        <v>12</v>
      </c>
      <c r="B5757" s="1" t="s">
        <v>1931</v>
      </c>
      <c r="C5757" s="1" t="s">
        <v>1932</v>
      </c>
      <c r="D5757" s="1" t="s">
        <v>1907</v>
      </c>
      <c r="H5757" s="2" t="str">
        <f>Tabella1[[#This Row],[Denominazione]]&amp;" - "&amp;Tabella1[[#This Row],[Città]]</f>
        <v>SARTORI SUSANNA - GABICCE MARE</v>
      </c>
    </row>
    <row r="5758" spans="1:8" x14ac:dyDescent="0.25">
      <c r="A5758" s="1" t="s">
        <v>20</v>
      </c>
      <c r="B5758" s="1" t="s">
        <v>1155</v>
      </c>
      <c r="C5758" s="1" t="s">
        <v>1156</v>
      </c>
      <c r="D5758" s="1" t="s">
        <v>682</v>
      </c>
      <c r="E5758" s="1" t="s">
        <v>682</v>
      </c>
      <c r="F5758" s="1" t="s">
        <v>1157</v>
      </c>
      <c r="G5758" s="1" t="s">
        <v>1158</v>
      </c>
      <c r="H5758" s="2" t="str">
        <f>Tabella1[[#This Row],[Denominazione]]&amp;" - "&amp;Tabella1[[#This Row],[Città]]</f>
        <v>SASSONIA - FANO</v>
      </c>
    </row>
    <row r="5759" spans="1:8" x14ac:dyDescent="0.25">
      <c r="A5759" s="1" t="s">
        <v>679</v>
      </c>
      <c r="B5759" s="1" t="s">
        <v>15890</v>
      </c>
      <c r="D5759" s="1" t="s">
        <v>15585</v>
      </c>
      <c r="F5759" s="1" t="s">
        <v>15891</v>
      </c>
      <c r="H5759" s="2" t="str">
        <f>Tabella1[[#This Row],[Denominazione]]&amp;" - "&amp;Tabella1[[#This Row],[Città]]</f>
        <v>SAVANA CLUB - GROTTAMMARE</v>
      </c>
    </row>
    <row r="5760" spans="1:8" x14ac:dyDescent="0.25">
      <c r="A5760" s="1" t="s">
        <v>12</v>
      </c>
      <c r="B5760" s="1" t="s">
        <v>13040</v>
      </c>
      <c r="C5760" s="1" t="s">
        <v>13041</v>
      </c>
      <c r="D5760" s="1" t="s">
        <v>13026</v>
      </c>
      <c r="E5760" s="1" t="s">
        <v>13026</v>
      </c>
      <c r="H5760" s="2" t="str">
        <f>Tabella1[[#This Row],[Denominazione]]&amp;" - "&amp;Tabella1[[#This Row],[Città]]</f>
        <v>SAVORETTI ADRIANA - POTENZA PICENA</v>
      </c>
    </row>
    <row r="5761" spans="1:8" x14ac:dyDescent="0.25">
      <c r="A5761" s="1" t="s">
        <v>20</v>
      </c>
      <c r="B5761" s="1" t="s">
        <v>3695</v>
      </c>
      <c r="C5761" s="1" t="s">
        <v>3696</v>
      </c>
      <c r="D5761" s="1" t="s">
        <v>2386</v>
      </c>
      <c r="E5761" s="1" t="s">
        <v>2386</v>
      </c>
      <c r="F5761" s="1" t="s">
        <v>3697</v>
      </c>
      <c r="G5761" s="1" t="s">
        <v>3698</v>
      </c>
      <c r="H5761" s="2" t="str">
        <f>Tabella1[[#This Row],[Denominazione]]&amp;" - "&amp;Tabella1[[#This Row],[Città]]</f>
        <v>SAVOY - PESARO</v>
      </c>
    </row>
    <row r="5762" spans="1:8" x14ac:dyDescent="0.25">
      <c r="A5762" s="1" t="s">
        <v>679</v>
      </c>
      <c r="B5762" s="1" t="s">
        <v>19389</v>
      </c>
      <c r="C5762" s="1" t="s">
        <v>19382</v>
      </c>
      <c r="D5762" s="1" t="s">
        <v>19283</v>
      </c>
      <c r="E5762" s="1" t="s">
        <v>19363</v>
      </c>
      <c r="H5762" s="2" t="str">
        <f>Tabella1[[#This Row],[Denominazione]]&amp;" - "&amp;Tabella1[[#This Row],[Città]]</f>
        <v>SAXA BEACH - PORTO SANT'ELPIDIO</v>
      </c>
    </row>
    <row r="5763" spans="1:8" x14ac:dyDescent="0.25">
      <c r="A5763" s="1" t="s">
        <v>20</v>
      </c>
      <c r="B5763" s="1" t="s">
        <v>9543</v>
      </c>
      <c r="C5763" s="1" t="s">
        <v>9544</v>
      </c>
      <c r="D5763" s="1" t="s">
        <v>8949</v>
      </c>
      <c r="E5763" s="1" t="s">
        <v>8949</v>
      </c>
      <c r="F5763" s="1" t="s">
        <v>9545</v>
      </c>
      <c r="G5763" s="1" t="s">
        <v>9546</v>
      </c>
      <c r="H5763" s="2" t="str">
        <f>Tabella1[[#This Row],[Denominazione]]&amp;" - "&amp;Tabella1[[#This Row],[Città]]</f>
        <v>SAYONARA - SENIGALLIA</v>
      </c>
    </row>
    <row r="5764" spans="1:8" x14ac:dyDescent="0.25">
      <c r="A5764" s="1" t="s">
        <v>20</v>
      </c>
      <c r="B5764" s="1" t="s">
        <v>9543</v>
      </c>
      <c r="C5764" s="1" t="s">
        <v>17568</v>
      </c>
      <c r="D5764" s="1" t="s">
        <v>15819</v>
      </c>
      <c r="E5764" s="1" t="s">
        <v>15819</v>
      </c>
      <c r="F5764" s="1" t="s">
        <v>17569</v>
      </c>
      <c r="G5764" s="1" t="s">
        <v>17570</v>
      </c>
      <c r="H5764" s="2" t="str">
        <f>Tabella1[[#This Row],[Denominazione]]&amp;" - "&amp;Tabella1[[#This Row],[Città]]</f>
        <v>SAYONARA - SAN BENEDETTO DEL TRONTO</v>
      </c>
    </row>
    <row r="5765" spans="1:8" x14ac:dyDescent="0.25">
      <c r="A5765" s="1" t="s">
        <v>12</v>
      </c>
      <c r="B5765" s="1" t="s">
        <v>9305</v>
      </c>
      <c r="C5765" s="1" t="s">
        <v>9306</v>
      </c>
      <c r="D5765" s="1" t="s">
        <v>8949</v>
      </c>
      <c r="E5765" s="1" t="s">
        <v>8949</v>
      </c>
      <c r="G5765" s="1" t="s">
        <v>9037</v>
      </c>
      <c r="H5765" s="2" t="str">
        <f>Tabella1[[#This Row],[Denominazione]]&amp;" - "&amp;Tabella1[[#This Row],[Città]]</f>
        <v>SBROZZI EMILIO - SENIGALLIA</v>
      </c>
    </row>
    <row r="5766" spans="1:8" x14ac:dyDescent="0.25">
      <c r="A5766" s="1" t="s">
        <v>12</v>
      </c>
      <c r="B5766" s="1" t="s">
        <v>10094</v>
      </c>
      <c r="C5766" s="1" t="s">
        <v>10095</v>
      </c>
      <c r="D5766" s="1" t="s">
        <v>10074</v>
      </c>
      <c r="E5766" s="1" t="s">
        <v>10074</v>
      </c>
      <c r="G5766" s="1" t="s">
        <v>10096</v>
      </c>
      <c r="H5766" s="2" t="str">
        <f>Tabella1[[#This Row],[Denominazione]]&amp;" - "&amp;Tabella1[[#This Row],[Città]]</f>
        <v>SCARPELLI ANDREA - SERRA DE' CONTI</v>
      </c>
    </row>
    <row r="5767" spans="1:8" x14ac:dyDescent="0.25">
      <c r="A5767" s="1" t="s">
        <v>12</v>
      </c>
      <c r="B5767" s="1" t="s">
        <v>9225</v>
      </c>
      <c r="C5767" s="1" t="s">
        <v>9226</v>
      </c>
      <c r="D5767" s="1" t="s">
        <v>8949</v>
      </c>
      <c r="E5767" s="1" t="s">
        <v>8949</v>
      </c>
      <c r="G5767" s="1" t="s">
        <v>9227</v>
      </c>
      <c r="H5767" s="2" t="str">
        <f>Tabella1[[#This Row],[Denominazione]]&amp;" - "&amp;Tabella1[[#This Row],[Città]]</f>
        <v>SCARPONE NICOLA - SENIGALLIA</v>
      </c>
    </row>
    <row r="5768" spans="1:8" x14ac:dyDescent="0.25">
      <c r="A5768" s="1" t="s">
        <v>12</v>
      </c>
      <c r="B5768" s="1" t="s">
        <v>2521</v>
      </c>
      <c r="C5768" s="1" t="s">
        <v>2522</v>
      </c>
      <c r="D5768" s="1" t="s">
        <v>2425</v>
      </c>
      <c r="E5768" s="1" t="s">
        <v>2425</v>
      </c>
      <c r="G5768" s="1" t="s">
        <v>2523</v>
      </c>
      <c r="H5768" s="2" t="str">
        <f>Tabella1[[#This Row],[Denominazione]]&amp;" - "&amp;Tabella1[[#This Row],[Città]]</f>
        <v>SCASSAMACCHIA PIETRO - GRADARA</v>
      </c>
    </row>
    <row r="5769" spans="1:8" x14ac:dyDescent="0.25">
      <c r="A5769" s="1" t="s">
        <v>12</v>
      </c>
      <c r="B5769" s="1" t="s">
        <v>9168</v>
      </c>
      <c r="C5769" s="1" t="s">
        <v>9169</v>
      </c>
      <c r="D5769" s="1" t="s">
        <v>8949</v>
      </c>
      <c r="E5769" s="1" t="s">
        <v>9170</v>
      </c>
      <c r="G5769" s="1" t="s">
        <v>9171</v>
      </c>
      <c r="H5769" s="2" t="str">
        <f>Tabella1[[#This Row],[Denominazione]]&amp;" - "&amp;Tabella1[[#This Row],[Città]]</f>
        <v>SCHIAROLI VALENTINA - SENIGALLIA</v>
      </c>
    </row>
    <row r="5770" spans="1:8" x14ac:dyDescent="0.25">
      <c r="A5770" s="1" t="s">
        <v>12</v>
      </c>
      <c r="B5770" s="1" t="s">
        <v>758</v>
      </c>
      <c r="C5770" s="1" t="s">
        <v>759</v>
      </c>
      <c r="D5770" s="1" t="s">
        <v>682</v>
      </c>
      <c r="E5770" s="1" t="s">
        <v>682</v>
      </c>
      <c r="G5770" s="1" t="s">
        <v>760</v>
      </c>
      <c r="H5770" s="2" t="str">
        <f>Tabella1[[#This Row],[Denominazione]]&amp;" - "&amp;Tabella1[[#This Row],[Città]]</f>
        <v>SCIPLINO MARIA TERESA - FANO</v>
      </c>
    </row>
    <row r="5771" spans="1:8" x14ac:dyDescent="0.25">
      <c r="A5771" s="1" t="s">
        <v>12</v>
      </c>
      <c r="B5771" s="1" t="s">
        <v>13586</v>
      </c>
      <c r="C5771" s="1" t="s">
        <v>13587</v>
      </c>
      <c r="D5771" s="1" t="s">
        <v>13548</v>
      </c>
      <c r="G5771" s="1" t="s">
        <v>13588</v>
      </c>
      <c r="H5771" s="2" t="str">
        <f>Tabella1[[#This Row],[Denominazione]]&amp;" - "&amp;Tabella1[[#This Row],[Città]]</f>
        <v>SCODERONI CRISTINA - SAN SEVERINO MARCHE</v>
      </c>
    </row>
    <row r="5772" spans="1:8" x14ac:dyDescent="0.25">
      <c r="A5772" s="1" t="s">
        <v>679</v>
      </c>
      <c r="B5772" s="1" t="s">
        <v>8212</v>
      </c>
      <c r="D5772" s="1" t="s">
        <v>7889</v>
      </c>
      <c r="F5772" s="1" t="s">
        <v>7927</v>
      </c>
      <c r="G5772" s="1" t="s">
        <v>7926</v>
      </c>
      <c r="H5772" s="2" t="str">
        <f>Tabella1[[#This Row],[Denominazione]]&amp;" - "&amp;Tabella1[[#This Row],[Città]]</f>
        <v>SCOGLIERA - NUMANA</v>
      </c>
    </row>
    <row r="5773" spans="1:8" x14ac:dyDescent="0.25">
      <c r="A5773" s="1" t="s">
        <v>679</v>
      </c>
      <c r="B5773" s="1" t="s">
        <v>8212</v>
      </c>
      <c r="C5773" s="1" t="s">
        <v>17128</v>
      </c>
      <c r="D5773" s="1" t="s">
        <v>15819</v>
      </c>
      <c r="H5773" s="2" t="str">
        <f>Tabella1[[#This Row],[Denominazione]]&amp;" - "&amp;Tabella1[[#This Row],[Città]]</f>
        <v>SCOGLIERA - SAN BENEDETTO DEL TRONTO</v>
      </c>
    </row>
    <row r="5774" spans="1:8" x14ac:dyDescent="0.25">
      <c r="A5774" s="1" t="s">
        <v>12</v>
      </c>
      <c r="B5774" s="1" t="s">
        <v>2042</v>
      </c>
      <c r="C5774" s="1" t="s">
        <v>2043</v>
      </c>
      <c r="D5774" s="1" t="s">
        <v>1907</v>
      </c>
      <c r="H5774" s="2" t="str">
        <f>Tabella1[[#This Row],[Denominazione]]&amp;" - "&amp;Tabella1[[#This Row],[Città]]</f>
        <v>SCOLA LUCIANO - GABICCE MARE</v>
      </c>
    </row>
    <row r="5775" spans="1:8" x14ac:dyDescent="0.25">
      <c r="A5775" s="1" t="s">
        <v>82</v>
      </c>
      <c r="B5775" s="1" t="s">
        <v>5207</v>
      </c>
      <c r="C5775" s="1" t="s">
        <v>5208</v>
      </c>
      <c r="D5775" s="1" t="s">
        <v>9</v>
      </c>
      <c r="E5775" s="1" t="s">
        <v>9</v>
      </c>
      <c r="H5775" s="2" t="str">
        <f>Tabella1[[#This Row],[Denominazione]]&amp;" - "&amp;Tabella1[[#This Row],[Città]]</f>
        <v>SCOPA ZEFFIRA - URBINO</v>
      </c>
    </row>
    <row r="5776" spans="1:8" x14ac:dyDescent="0.25">
      <c r="A5776" s="1" t="s">
        <v>679</v>
      </c>
      <c r="B5776" s="1" t="s">
        <v>17075</v>
      </c>
      <c r="C5776" s="1" t="s">
        <v>17076</v>
      </c>
      <c r="D5776" s="1" t="s">
        <v>15819</v>
      </c>
      <c r="E5776" s="1" t="s">
        <v>17077</v>
      </c>
      <c r="H5776" s="2" t="str">
        <f>Tabella1[[#This Row],[Denominazione]]&amp;" - "&amp;Tabella1[[#This Row],[Città]]</f>
        <v>SEA CLUB - VESUVIO - SAN BENEDETTO DEL TRONTO</v>
      </c>
    </row>
    <row r="5777" spans="1:8" x14ac:dyDescent="0.25">
      <c r="A5777" s="1" t="s">
        <v>12</v>
      </c>
      <c r="B5777" s="1" t="s">
        <v>10710</v>
      </c>
      <c r="C5777" s="1" t="s">
        <v>10711</v>
      </c>
      <c r="D5777" s="1" t="s">
        <v>10702</v>
      </c>
      <c r="E5777" s="1" t="s">
        <v>10702</v>
      </c>
      <c r="G5777" s="1" t="s">
        <v>10712</v>
      </c>
      <c r="H5777" s="2" t="str">
        <f>Tabella1[[#This Row],[Denominazione]]&amp;" - "&amp;Tabella1[[#This Row],[Città]]</f>
        <v>SEGALA BEATRICE - CALDAROLA</v>
      </c>
    </row>
    <row r="5778" spans="1:8" x14ac:dyDescent="0.25">
      <c r="A5778" s="1" t="s">
        <v>35</v>
      </c>
      <c r="B5778" s="1" t="s">
        <v>10499</v>
      </c>
      <c r="C5778" s="1" t="s">
        <v>10500</v>
      </c>
      <c r="D5778" s="1" t="s">
        <v>10488</v>
      </c>
      <c r="F5778" s="1" t="s">
        <v>10501</v>
      </c>
      <c r="H5778" s="2" t="str">
        <f>Tabella1[[#This Row],[Denominazione]]&amp;" - "&amp;Tabella1[[#This Row],[Città]]</f>
        <v>SEGNAVENTO - STAFFOLO</v>
      </c>
    </row>
    <row r="5779" spans="1:8" x14ac:dyDescent="0.25">
      <c r="A5779" s="1" t="s">
        <v>12</v>
      </c>
      <c r="B5779" s="1" t="s">
        <v>1628</v>
      </c>
      <c r="C5779" s="1" t="s">
        <v>1629</v>
      </c>
      <c r="D5779" s="1" t="s">
        <v>682</v>
      </c>
      <c r="G5779" s="1" t="s">
        <v>1616</v>
      </c>
      <c r="H5779" s="2" t="str">
        <f>Tabella1[[#This Row],[Denominazione]]&amp;" - "&amp;Tabella1[[#This Row],[Città]]</f>
        <v>SELIS GIOVANNA - FANO</v>
      </c>
    </row>
    <row r="5780" spans="1:8" x14ac:dyDescent="0.25">
      <c r="A5780" s="1" t="s">
        <v>6</v>
      </c>
      <c r="B5780" s="1" t="s">
        <v>10976</v>
      </c>
      <c r="C5780" s="1" t="s">
        <v>10977</v>
      </c>
      <c r="D5780" s="1" t="s">
        <v>10932</v>
      </c>
      <c r="E5780" s="1" t="s">
        <v>10978</v>
      </c>
      <c r="F5780" s="1" t="s">
        <v>10979</v>
      </c>
      <c r="G5780" s="1" t="s">
        <v>10980</v>
      </c>
      <c r="H5780" s="2" t="str">
        <f>Tabella1[[#This Row],[Denominazione]]&amp;" - "&amp;Tabella1[[#This Row],[Città]]</f>
        <v>SELVICOLLE COUNTRY HOUSE - CASTELRAIMONDO</v>
      </c>
    </row>
    <row r="5781" spans="1:8" x14ac:dyDescent="0.25">
      <c r="A5781" s="1" t="s">
        <v>20</v>
      </c>
      <c r="B5781" s="1" t="s">
        <v>9511</v>
      </c>
      <c r="C5781" s="1" t="s">
        <v>9512</v>
      </c>
      <c r="D5781" s="1" t="s">
        <v>8949</v>
      </c>
      <c r="E5781" s="1" t="s">
        <v>8949</v>
      </c>
      <c r="F5781" s="1" t="s">
        <v>8982</v>
      </c>
      <c r="G5781" s="1" t="s">
        <v>8983</v>
      </c>
      <c r="H5781" s="2" t="str">
        <f>Tabella1[[#This Row],[Denominazione]]&amp;" - "&amp;Tabella1[[#This Row],[Città]]</f>
        <v>SENBHOTEL - SENIGALLIA</v>
      </c>
    </row>
    <row r="5782" spans="1:8" x14ac:dyDescent="0.25">
      <c r="A5782" s="1" t="s">
        <v>20</v>
      </c>
      <c r="B5782" s="1" t="s">
        <v>8949</v>
      </c>
      <c r="C5782" s="1" t="s">
        <v>9666</v>
      </c>
      <c r="D5782" s="1" t="s">
        <v>8949</v>
      </c>
      <c r="E5782" s="1" t="s">
        <v>8949</v>
      </c>
      <c r="F5782" s="1" t="s">
        <v>9667</v>
      </c>
      <c r="G5782" s="1" t="s">
        <v>9668</v>
      </c>
      <c r="H5782" s="2" t="str">
        <f>Tabella1[[#This Row],[Denominazione]]&amp;" - "&amp;Tabella1[[#This Row],[Città]]</f>
        <v>SENIGALLIA - SENIGALLIA</v>
      </c>
    </row>
    <row r="5783" spans="1:8" x14ac:dyDescent="0.25">
      <c r="A5783" s="1" t="s">
        <v>679</v>
      </c>
      <c r="B5783" s="1" t="s">
        <v>9862</v>
      </c>
      <c r="C5783" s="1" t="s">
        <v>9863</v>
      </c>
      <c r="D5783" s="1" t="s">
        <v>8949</v>
      </c>
      <c r="E5783" s="1" t="s">
        <v>8949</v>
      </c>
      <c r="H5783" s="2" t="str">
        <f>Tabella1[[#This Row],[Denominazione]]&amp;" - "&amp;Tabella1[[#This Row],[Città]]</f>
        <v>SENIGALLIA BEACH BAGNI N° 63 - SENIGALLIA</v>
      </c>
    </row>
    <row r="5784" spans="1:8" x14ac:dyDescent="0.25">
      <c r="A5784" s="1" t="s">
        <v>35</v>
      </c>
      <c r="B5784" s="1" t="s">
        <v>6142</v>
      </c>
      <c r="C5784" s="1" t="s">
        <v>6143</v>
      </c>
      <c r="D5784" s="1" t="s">
        <v>6049</v>
      </c>
      <c r="E5784" s="1" t="s">
        <v>6144</v>
      </c>
      <c r="F5784" s="1" t="s">
        <v>6145</v>
      </c>
      <c r="G5784" s="1" t="s">
        <v>6146</v>
      </c>
      <c r="H5784" s="2" t="str">
        <f>Tabella1[[#This Row],[Denominazione]]&amp;" - "&amp;Tabella1[[#This Row],[Città]]</f>
        <v>SENSAZIONE - ARCEVIA</v>
      </c>
    </row>
    <row r="5785" spans="1:8" x14ac:dyDescent="0.25">
      <c r="A5785" s="1" t="s">
        <v>35</v>
      </c>
      <c r="B5785" s="1" t="s">
        <v>6386</v>
      </c>
      <c r="C5785" s="1" t="s">
        <v>6387</v>
      </c>
      <c r="D5785" s="1" t="s">
        <v>6371</v>
      </c>
      <c r="F5785" s="1" t="s">
        <v>6388</v>
      </c>
      <c r="G5785" s="1" t="s">
        <v>6389</v>
      </c>
      <c r="H5785" s="2" t="str">
        <f>Tabella1[[#This Row],[Denominazione]]&amp;" - "&amp;Tabella1[[#This Row],[Città]]</f>
        <v>SENTIERO DELLE FIABE - CASTELFIDARDO</v>
      </c>
    </row>
    <row r="5786" spans="1:8" x14ac:dyDescent="0.25">
      <c r="A5786" s="1" t="s">
        <v>35</v>
      </c>
      <c r="B5786" s="1" t="s">
        <v>6386</v>
      </c>
      <c r="C5786" s="1" t="s">
        <v>10387</v>
      </c>
      <c r="D5786" s="1" t="s">
        <v>10206</v>
      </c>
      <c r="F5786" s="1" t="s">
        <v>6388</v>
      </c>
      <c r="G5786" s="1" t="s">
        <v>6389</v>
      </c>
      <c r="H5786" s="2" t="str">
        <f>Tabella1[[#This Row],[Denominazione]]&amp;" - "&amp;Tabella1[[#This Row],[Città]]</f>
        <v>SENTIERO DELLE FIABE - SIROLO</v>
      </c>
    </row>
    <row r="5787" spans="1:8" x14ac:dyDescent="0.25">
      <c r="A5787" s="1" t="s">
        <v>12</v>
      </c>
      <c r="B5787" s="1" t="s">
        <v>13626</v>
      </c>
      <c r="C5787" s="1" t="s">
        <v>13627</v>
      </c>
      <c r="D5787" s="1" t="s">
        <v>13548</v>
      </c>
      <c r="E5787" s="1" t="s">
        <v>13628</v>
      </c>
      <c r="F5787" s="1" t="s">
        <v>13629</v>
      </c>
      <c r="G5787" s="1" t="s">
        <v>13630</v>
      </c>
      <c r="H5787" s="2" t="str">
        <f>Tabella1[[#This Row],[Denominazione]]&amp;" - "&amp;Tabella1[[#This Row],[Città]]</f>
        <v>SEPTEMPEDA HILLS - SAN SEVERINO MARCHE</v>
      </c>
    </row>
    <row r="5788" spans="1:8" x14ac:dyDescent="0.25">
      <c r="A5788" s="1" t="s">
        <v>12</v>
      </c>
      <c r="B5788" s="1" t="s">
        <v>79</v>
      </c>
      <c r="D5788" s="1" t="s">
        <v>15</v>
      </c>
      <c r="H5788" s="2" t="str">
        <f>Tabella1[[#This Row],[Denominazione]]&amp;" - "&amp;Tabella1[[#This Row],[Città]]</f>
        <v>SERAFINI GIORGIA - ACQUALAGNA</v>
      </c>
    </row>
    <row r="5789" spans="1:8" x14ac:dyDescent="0.25">
      <c r="A5789" s="1" t="s">
        <v>20</v>
      </c>
      <c r="B5789" s="1" t="s">
        <v>11714</v>
      </c>
      <c r="C5789" s="1" t="s">
        <v>11715</v>
      </c>
      <c r="D5789" s="1" t="s">
        <v>11716</v>
      </c>
      <c r="E5789" s="1" t="s">
        <v>11716</v>
      </c>
      <c r="F5789" s="1" t="s">
        <v>11717</v>
      </c>
      <c r="G5789" s="1" t="s">
        <v>11718</v>
      </c>
      <c r="H5789" s="2" t="str">
        <f>Tabella1[[#This Row],[Denominazione]]&amp;" - "&amp;Tabella1[[#This Row],[Città]]</f>
        <v>SERI GIUSEPPE - COLMURANO</v>
      </c>
    </row>
    <row r="5790" spans="1:8" x14ac:dyDescent="0.25">
      <c r="A5790" s="1" t="s">
        <v>12</v>
      </c>
      <c r="B5790" s="1" t="s">
        <v>2967</v>
      </c>
      <c r="C5790" s="1" t="s">
        <v>2968</v>
      </c>
      <c r="D5790" s="1" t="s">
        <v>1605</v>
      </c>
      <c r="G5790" s="1" t="s">
        <v>2969</v>
      </c>
      <c r="H5790" s="2" t="str">
        <f>Tabella1[[#This Row],[Denominazione]]&amp;" - "&amp;Tabella1[[#This Row],[Città]]</f>
        <v>SERI MARCO - MONDOLFO</v>
      </c>
    </row>
    <row r="5791" spans="1:8" x14ac:dyDescent="0.25">
      <c r="A5791" s="1" t="s">
        <v>35</v>
      </c>
      <c r="B5791" s="1" t="s">
        <v>13794</v>
      </c>
      <c r="C5791" s="1" t="s">
        <v>13795</v>
      </c>
      <c r="D5791" s="1" t="s">
        <v>13756</v>
      </c>
      <c r="E5791" s="1" t="s">
        <v>13792</v>
      </c>
      <c r="F5791" s="1" t="s">
        <v>13796</v>
      </c>
      <c r="G5791" s="1" t="s">
        <v>13797</v>
      </c>
      <c r="H5791" s="2" t="str">
        <f>Tabella1[[#This Row],[Denominazione]]&amp;" - "&amp;Tabella1[[#This Row],[Città]]</f>
        <v>SERPANERA - SARNANO</v>
      </c>
    </row>
    <row r="5792" spans="1:8" x14ac:dyDescent="0.25">
      <c r="A5792" s="1" t="s">
        <v>679</v>
      </c>
      <c r="B5792" s="1" t="s">
        <v>19340</v>
      </c>
      <c r="D5792" s="1" t="s">
        <v>19283</v>
      </c>
      <c r="H5792" s="2" t="str">
        <f>Tabella1[[#This Row],[Denominazione]]&amp;" - "&amp;Tabella1[[#This Row],[Città]]</f>
        <v>SETTEMARI - PORTO SANT'ELPIDIO</v>
      </c>
    </row>
    <row r="5793" spans="1:8" x14ac:dyDescent="0.25">
      <c r="A5793" s="1" t="s">
        <v>82</v>
      </c>
      <c r="B5793" s="1" t="s">
        <v>17081</v>
      </c>
      <c r="C5793" s="1" t="s">
        <v>17082</v>
      </c>
      <c r="D5793" s="1" t="s">
        <v>15819</v>
      </c>
      <c r="E5793" s="1" t="s">
        <v>15819</v>
      </c>
      <c r="F5793" s="1" t="s">
        <v>17083</v>
      </c>
      <c r="G5793" s="1" t="s">
        <v>17084</v>
      </c>
      <c r="H5793" s="2" t="str">
        <f>Tabella1[[#This Row],[Denominazione]]&amp;" - "&amp;Tabella1[[#This Row],[Città]]</f>
        <v>SEVEN ROOMS - SAN BENEDETTO DEL TRONTO</v>
      </c>
    </row>
    <row r="5794" spans="1:8" x14ac:dyDescent="0.25">
      <c r="A5794" s="1" t="s">
        <v>679</v>
      </c>
      <c r="B5794" s="1" t="s">
        <v>11272</v>
      </c>
      <c r="C5794" s="1" t="s">
        <v>11273</v>
      </c>
      <c r="D5794" s="1" t="s">
        <v>11244</v>
      </c>
      <c r="G5794" s="1" t="s">
        <v>11274</v>
      </c>
      <c r="H5794" s="2" t="str">
        <f>Tabella1[[#This Row],[Denominazione]]&amp;" - "&amp;Tabella1[[#This Row],[Città]]</f>
        <v>SHADA - CIVITANOVA MARCHE</v>
      </c>
    </row>
    <row r="5795" spans="1:8" x14ac:dyDescent="0.25">
      <c r="A5795" s="1" t="s">
        <v>6</v>
      </c>
      <c r="B5795" s="1" t="s">
        <v>13489</v>
      </c>
      <c r="C5795" s="1" t="s">
        <v>13490</v>
      </c>
      <c r="D5795" s="1" t="s">
        <v>6072</v>
      </c>
      <c r="E5795" s="1" t="s">
        <v>6072</v>
      </c>
      <c r="G5795" s="1" t="s">
        <v>13491</v>
      </c>
      <c r="H5795" s="2" t="str">
        <f>Tabella1[[#This Row],[Denominazione]]&amp;" - "&amp;Tabella1[[#This Row],[Città]]</f>
        <v>SHAMBALA COUNTRY HOUSE - SAN GINESIO</v>
      </c>
    </row>
    <row r="5796" spans="1:8" x14ac:dyDescent="0.25">
      <c r="A5796" s="1" t="s">
        <v>82</v>
      </c>
      <c r="B5796" s="1" t="s">
        <v>11230</v>
      </c>
      <c r="C5796" s="1" t="s">
        <v>11231</v>
      </c>
      <c r="D5796" s="1" t="s">
        <v>11058</v>
      </c>
      <c r="E5796" s="1" t="s">
        <v>11232</v>
      </c>
      <c r="H5796" s="2" t="str">
        <f>Tabella1[[#This Row],[Denominazione]]&amp;" - "&amp;Tabella1[[#This Row],[Città]]</f>
        <v>SIENAERT KOEN CASE ED APPARTAMENTI PER VACANZE - CINGOLI</v>
      </c>
    </row>
    <row r="5797" spans="1:8" x14ac:dyDescent="0.25">
      <c r="A5797" s="1" t="s">
        <v>679</v>
      </c>
      <c r="B5797" s="1" t="s">
        <v>7135</v>
      </c>
      <c r="C5797" s="1" t="s">
        <v>7136</v>
      </c>
      <c r="D5797" s="1" t="s">
        <v>5735</v>
      </c>
      <c r="F5797" s="1" t="s">
        <v>7137</v>
      </c>
      <c r="H5797" s="2" t="str">
        <f>Tabella1[[#This Row],[Denominazione]]&amp;" - "&amp;Tabella1[[#This Row],[Città]]</f>
        <v>SIESTA - FALCONARA MARITTIMA</v>
      </c>
    </row>
    <row r="5798" spans="1:8" x14ac:dyDescent="0.25">
      <c r="A5798" s="1" t="s">
        <v>12</v>
      </c>
      <c r="B5798" s="1" t="s">
        <v>5529</v>
      </c>
      <c r="C5798" s="1" t="s">
        <v>5530</v>
      </c>
      <c r="D5798" s="1" t="s">
        <v>1864</v>
      </c>
      <c r="E5798" s="1" t="s">
        <v>1864</v>
      </c>
      <c r="G5798" s="1" t="s">
        <v>5531</v>
      </c>
      <c r="H5798" s="2" t="str">
        <f>Tabella1[[#This Row],[Denominazione]]&amp;" - "&amp;Tabella1[[#This Row],[Città]]</f>
        <v>SIGNORINI SILVIA - ANCONA</v>
      </c>
    </row>
    <row r="5799" spans="1:8" x14ac:dyDescent="0.25">
      <c r="A5799" s="1" t="s">
        <v>12</v>
      </c>
      <c r="B5799" s="1" t="s">
        <v>9140</v>
      </c>
      <c r="C5799" s="1" t="s">
        <v>9141</v>
      </c>
      <c r="D5799" s="1" t="s">
        <v>8949</v>
      </c>
      <c r="E5799" s="1" t="s">
        <v>8949</v>
      </c>
      <c r="G5799" s="1" t="s">
        <v>7734</v>
      </c>
      <c r="H5799" s="2" t="str">
        <f>Tabella1[[#This Row],[Denominazione]]&amp;" - "&amp;Tabella1[[#This Row],[Città]]</f>
        <v>SILVESTRINI LIVIANA APP.TO VIA DEGLI ULIVI - SENIGALLIA</v>
      </c>
    </row>
    <row r="5800" spans="1:8" x14ac:dyDescent="0.25">
      <c r="A5800" s="1" t="s">
        <v>12</v>
      </c>
      <c r="B5800" s="1" t="s">
        <v>9138</v>
      </c>
      <c r="C5800" s="1" t="s">
        <v>9139</v>
      </c>
      <c r="D5800" s="1" t="s">
        <v>8949</v>
      </c>
      <c r="E5800" s="1" t="s">
        <v>9106</v>
      </c>
      <c r="G5800" s="1" t="s">
        <v>7734</v>
      </c>
      <c r="H5800" s="2" t="str">
        <f>Tabella1[[#This Row],[Denominazione]]&amp;" - "&amp;Tabella1[[#This Row],[Città]]</f>
        <v>SILVESTRINI LIVIANA APP.TO VIALE SORRENTO - SENIGALLIA</v>
      </c>
    </row>
    <row r="5801" spans="1:8" x14ac:dyDescent="0.25">
      <c r="A5801" s="1" t="s">
        <v>35</v>
      </c>
      <c r="B5801" s="1" t="s">
        <v>12022</v>
      </c>
      <c r="C5801" s="1" t="s">
        <v>12023</v>
      </c>
      <c r="D5801" s="1" t="s">
        <v>11981</v>
      </c>
      <c r="E5801" s="1" t="s">
        <v>11981</v>
      </c>
      <c r="G5801" s="1" t="s">
        <v>12024</v>
      </c>
      <c r="H5801" s="2" t="str">
        <f>Tabella1[[#This Row],[Denominazione]]&amp;" - "&amp;Tabella1[[#This Row],[Città]]</f>
        <v>SILVETTI GIANFRANCO E GAETANO - LORO PICENO</v>
      </c>
    </row>
    <row r="5802" spans="1:8" x14ac:dyDescent="0.25">
      <c r="A5802" s="1" t="s">
        <v>35</v>
      </c>
      <c r="B5802" s="1" t="s">
        <v>13454</v>
      </c>
      <c r="C5802" s="1" t="s">
        <v>13455</v>
      </c>
      <c r="D5802" s="1" t="s">
        <v>6072</v>
      </c>
      <c r="E5802" s="1" t="s">
        <v>6072</v>
      </c>
      <c r="G5802" s="1" t="s">
        <v>13456</v>
      </c>
      <c r="H5802" s="2" t="str">
        <f>Tabella1[[#This Row],[Denominazione]]&amp;" - "&amp;Tabella1[[#This Row],[Città]]</f>
        <v>SILVIA - SAN GINESIO</v>
      </c>
    </row>
    <row r="5803" spans="1:8" x14ac:dyDescent="0.25">
      <c r="A5803" s="1" t="s">
        <v>679</v>
      </c>
      <c r="B5803" s="1" t="s">
        <v>10216</v>
      </c>
      <c r="C5803" s="1" t="s">
        <v>10217</v>
      </c>
      <c r="D5803" s="1" t="s">
        <v>10206</v>
      </c>
      <c r="E5803" s="1" t="s">
        <v>10218</v>
      </c>
      <c r="F5803" s="1" t="s">
        <v>10219</v>
      </c>
      <c r="G5803" s="1" t="s">
        <v>10220</v>
      </c>
      <c r="H5803" s="2" t="str">
        <f>Tabella1[[#This Row],[Denominazione]]&amp;" - "&amp;Tabella1[[#This Row],[Città]]</f>
        <v>SILVIO SUD 1, 3 - SIROLO</v>
      </c>
    </row>
    <row r="5804" spans="1:8" x14ac:dyDescent="0.25">
      <c r="A5804" s="1" t="s">
        <v>20</v>
      </c>
      <c r="B5804" s="1" t="s">
        <v>9554</v>
      </c>
      <c r="C5804" s="1" t="s">
        <v>9555</v>
      </c>
      <c r="D5804" s="1" t="s">
        <v>8949</v>
      </c>
      <c r="E5804" s="1" t="s">
        <v>8949</v>
      </c>
      <c r="F5804" s="1" t="s">
        <v>9556</v>
      </c>
      <c r="G5804" s="1" t="s">
        <v>9557</v>
      </c>
      <c r="H5804" s="2" t="str">
        <f>Tabella1[[#This Row],[Denominazione]]&amp;" - "&amp;Tabella1[[#This Row],[Città]]</f>
        <v>SIMONA - SENIGALLIA</v>
      </c>
    </row>
    <row r="5805" spans="1:8" x14ac:dyDescent="0.25">
      <c r="A5805" s="1" t="s">
        <v>12</v>
      </c>
      <c r="B5805" s="1" t="s">
        <v>3583</v>
      </c>
      <c r="C5805" s="1" t="s">
        <v>3584</v>
      </c>
      <c r="D5805" s="1" t="s">
        <v>2386</v>
      </c>
      <c r="E5805" s="1" t="s">
        <v>2386</v>
      </c>
      <c r="H5805" s="2" t="str">
        <f>Tabella1[[#This Row],[Denominazione]]&amp;" - "&amp;Tabella1[[#This Row],[Città]]</f>
        <v>SIMONCELLI MATTEO - PESARO</v>
      </c>
    </row>
    <row r="5806" spans="1:8" x14ac:dyDescent="0.25">
      <c r="A5806" s="1" t="s">
        <v>12</v>
      </c>
      <c r="B5806" s="1" t="s">
        <v>9119</v>
      </c>
      <c r="C5806" s="1" t="s">
        <v>9120</v>
      </c>
      <c r="D5806" s="1" t="s">
        <v>8949</v>
      </c>
      <c r="E5806" s="1" t="s">
        <v>8949</v>
      </c>
      <c r="G5806" s="1" t="s">
        <v>9121</v>
      </c>
      <c r="H5806" s="2" t="str">
        <f>Tabella1[[#This Row],[Denominazione]]&amp;" - "&amp;Tabella1[[#This Row],[Città]]</f>
        <v>SIMONCELLI PAOLA - SENIGALLIA</v>
      </c>
    </row>
    <row r="5807" spans="1:8" x14ac:dyDescent="0.25">
      <c r="A5807" s="1" t="s">
        <v>12</v>
      </c>
      <c r="B5807" s="1" t="s">
        <v>1477</v>
      </c>
      <c r="C5807" s="1" t="s">
        <v>1478</v>
      </c>
      <c r="D5807" s="1" t="s">
        <v>682</v>
      </c>
      <c r="H5807" s="2" t="str">
        <f>Tabella1[[#This Row],[Denominazione]]&amp;" - "&amp;Tabella1[[#This Row],[Città]]</f>
        <v>SIMONCINI EUGENIO MARIA - FANO</v>
      </c>
    </row>
    <row r="5808" spans="1:8" x14ac:dyDescent="0.25">
      <c r="A5808" s="1" t="s">
        <v>12</v>
      </c>
      <c r="B5808" s="1" t="s">
        <v>1474</v>
      </c>
      <c r="C5808" s="1" t="s">
        <v>1475</v>
      </c>
      <c r="D5808" s="1" t="s">
        <v>682</v>
      </c>
      <c r="G5808" s="1" t="s">
        <v>1476</v>
      </c>
      <c r="H5808" s="2" t="str">
        <f>Tabella1[[#This Row],[Denominazione]]&amp;" - "&amp;Tabella1[[#This Row],[Città]]</f>
        <v>SIMONCINI RITA - FANO</v>
      </c>
    </row>
    <row r="5809" spans="1:8" x14ac:dyDescent="0.25">
      <c r="A5809" s="1" t="s">
        <v>12</v>
      </c>
      <c r="B5809" s="1" t="s">
        <v>9212</v>
      </c>
      <c r="C5809" s="1" t="s">
        <v>9213</v>
      </c>
      <c r="D5809" s="1" t="s">
        <v>8949</v>
      </c>
      <c r="E5809" s="1" t="s">
        <v>8949</v>
      </c>
      <c r="G5809" s="1" t="s">
        <v>9211</v>
      </c>
      <c r="H5809" s="2" t="str">
        <f>Tabella1[[#This Row],[Denominazione]]&amp;" - "&amp;Tabella1[[#This Row],[Città]]</f>
        <v>SIMONCIONI ROSSANA APP.TO 25 - SENIGALLIA</v>
      </c>
    </row>
    <row r="5810" spans="1:8" x14ac:dyDescent="0.25">
      <c r="A5810" s="1" t="s">
        <v>12</v>
      </c>
      <c r="B5810" s="1" t="s">
        <v>9209</v>
      </c>
      <c r="C5810" s="1" t="s">
        <v>9210</v>
      </c>
      <c r="D5810" s="1" t="s">
        <v>8949</v>
      </c>
      <c r="E5810" s="1" t="s">
        <v>8949</v>
      </c>
      <c r="G5810" s="1" t="s">
        <v>9211</v>
      </c>
      <c r="H5810" s="2" t="str">
        <f>Tabella1[[#This Row],[Denominazione]]&amp;" - "&amp;Tabella1[[#This Row],[Città]]</f>
        <v>SIMONCIONI ROSSANA APP.TO 27 - SENIGALLIA</v>
      </c>
    </row>
    <row r="5811" spans="1:8" x14ac:dyDescent="0.25">
      <c r="A5811" s="1" t="s">
        <v>82</v>
      </c>
      <c r="B5811" s="1" t="s">
        <v>5667</v>
      </c>
      <c r="C5811" s="1" t="s">
        <v>5668</v>
      </c>
      <c r="D5811" s="1" t="s">
        <v>1864</v>
      </c>
      <c r="E5811" s="1" t="s">
        <v>1864</v>
      </c>
      <c r="H5811" s="2" t="str">
        <f>Tabella1[[#This Row],[Denominazione]]&amp;" - "&amp;Tabella1[[#This Row],[Città]]</f>
        <v>SIMONETTI LEONDINA - ANCONA</v>
      </c>
    </row>
    <row r="5812" spans="1:8" x14ac:dyDescent="0.25">
      <c r="A5812" s="1" t="s">
        <v>82</v>
      </c>
      <c r="B5812" s="1" t="s">
        <v>5667</v>
      </c>
      <c r="C5812" s="1" t="s">
        <v>5669</v>
      </c>
      <c r="D5812" s="1" t="s">
        <v>1864</v>
      </c>
      <c r="E5812" s="1" t="s">
        <v>1864</v>
      </c>
      <c r="H5812" s="2" t="str">
        <f>Tabella1[[#This Row],[Denominazione]]&amp;" - "&amp;Tabella1[[#This Row],[Città]]</f>
        <v>SIMONETTI LEONDINA - ANCONA</v>
      </c>
    </row>
    <row r="5813" spans="1:8" x14ac:dyDescent="0.25">
      <c r="A5813" s="1" t="s">
        <v>12</v>
      </c>
      <c r="B5813" s="1" t="s">
        <v>9095</v>
      </c>
      <c r="C5813" s="1" t="s">
        <v>9096</v>
      </c>
      <c r="D5813" s="1" t="s">
        <v>8949</v>
      </c>
      <c r="E5813" s="1" t="s">
        <v>8949</v>
      </c>
      <c r="G5813" s="1" t="s">
        <v>9097</v>
      </c>
      <c r="H5813" s="2" t="str">
        <f>Tabella1[[#This Row],[Denominazione]]&amp;" - "&amp;Tabella1[[#This Row],[Città]]</f>
        <v>SIMONETTI LORELLA - SENIGALLIA</v>
      </c>
    </row>
    <row r="5814" spans="1:8" x14ac:dyDescent="0.25">
      <c r="A5814" s="1" t="s">
        <v>12</v>
      </c>
      <c r="B5814" s="1" t="s">
        <v>9072</v>
      </c>
      <c r="C5814" s="1" t="s">
        <v>9073</v>
      </c>
      <c r="D5814" s="1" t="s">
        <v>8949</v>
      </c>
      <c r="E5814" s="1" t="s">
        <v>9074</v>
      </c>
      <c r="G5814" s="1" t="s">
        <v>9037</v>
      </c>
      <c r="H5814" s="2" t="str">
        <f>Tabella1[[#This Row],[Denominazione]]&amp;" - "&amp;Tabella1[[#This Row],[Città]]</f>
        <v>SIMONETTI LUCIANA - SENIGALLIA</v>
      </c>
    </row>
    <row r="5815" spans="1:8" x14ac:dyDescent="0.25">
      <c r="A5815" s="1" t="s">
        <v>20</v>
      </c>
      <c r="B5815" s="1" t="s">
        <v>2276</v>
      </c>
      <c r="C5815" s="1" t="s">
        <v>2277</v>
      </c>
      <c r="D5815" s="1" t="s">
        <v>1907</v>
      </c>
      <c r="E5815" s="1" t="s">
        <v>1907</v>
      </c>
      <c r="F5815" s="1" t="s">
        <v>2278</v>
      </c>
      <c r="G5815" s="1" t="s">
        <v>2279</v>
      </c>
      <c r="H5815" s="2" t="str">
        <f>Tabella1[[#This Row],[Denominazione]]&amp;" - "&amp;Tabella1[[#This Row],[Città]]</f>
        <v>SIRENA - GABICCE MARE</v>
      </c>
    </row>
    <row r="5816" spans="1:8" x14ac:dyDescent="0.25">
      <c r="A5816" s="1" t="s">
        <v>679</v>
      </c>
      <c r="B5816" s="1" t="s">
        <v>2276</v>
      </c>
      <c r="C5816" s="1" t="s">
        <v>8162</v>
      </c>
      <c r="D5816" s="1" t="s">
        <v>7889</v>
      </c>
      <c r="E5816" s="1" t="s">
        <v>7889</v>
      </c>
      <c r="F5816" s="1" t="s">
        <v>8071</v>
      </c>
      <c r="H5816" s="2" t="str">
        <f>Tabella1[[#This Row],[Denominazione]]&amp;" - "&amp;Tabella1[[#This Row],[Città]]</f>
        <v>SIRENA - NUMANA</v>
      </c>
    </row>
    <row r="5817" spans="1:8" x14ac:dyDescent="0.25">
      <c r="A5817" s="1" t="s">
        <v>20</v>
      </c>
      <c r="B5817" s="1" t="s">
        <v>2276</v>
      </c>
      <c r="C5817" s="1" t="s">
        <v>9669</v>
      </c>
      <c r="D5817" s="1" t="s">
        <v>8949</v>
      </c>
      <c r="E5817" s="1" t="s">
        <v>8949</v>
      </c>
      <c r="F5817" s="1" t="s">
        <v>9670</v>
      </c>
      <c r="G5817" s="1" t="s">
        <v>9671</v>
      </c>
      <c r="H5817" s="2" t="str">
        <f>Tabella1[[#This Row],[Denominazione]]&amp;" - "&amp;Tabella1[[#This Row],[Città]]</f>
        <v>SIRENA - SENIGALLIA</v>
      </c>
    </row>
    <row r="5818" spans="1:8" x14ac:dyDescent="0.25">
      <c r="A5818" s="1" t="s">
        <v>679</v>
      </c>
      <c r="B5818" s="1" t="s">
        <v>15407</v>
      </c>
      <c r="C5818" s="1" t="s">
        <v>15408</v>
      </c>
      <c r="D5818" s="1" t="s">
        <v>15349</v>
      </c>
      <c r="E5818" s="1" t="s">
        <v>15349</v>
      </c>
      <c r="H5818" s="2" t="str">
        <f>Tabella1[[#This Row],[Denominazione]]&amp;" - "&amp;Tabella1[[#This Row],[Città]]</f>
        <v>SIRENELLA - CUPRA MARITTIMA</v>
      </c>
    </row>
    <row r="5819" spans="1:8" x14ac:dyDescent="0.25">
      <c r="A5819" s="1" t="s">
        <v>20</v>
      </c>
      <c r="B5819" s="1" t="s">
        <v>1144</v>
      </c>
      <c r="C5819" s="1" t="s">
        <v>1145</v>
      </c>
      <c r="D5819" s="1" t="s">
        <v>682</v>
      </c>
      <c r="E5819" s="1" t="s">
        <v>682</v>
      </c>
      <c r="F5819" s="1" t="s">
        <v>1146</v>
      </c>
      <c r="G5819" s="1" t="s">
        <v>1147</v>
      </c>
      <c r="H5819" s="2" t="str">
        <f>Tabella1[[#This Row],[Denominazione]]&amp;" - "&amp;Tabella1[[#This Row],[Città]]</f>
        <v>SIRI HOTEL - FANO</v>
      </c>
    </row>
    <row r="5820" spans="1:8" x14ac:dyDescent="0.25">
      <c r="A5820" s="1" t="s">
        <v>29</v>
      </c>
      <c r="B5820" s="1" t="s">
        <v>10433</v>
      </c>
      <c r="C5820" s="1" t="s">
        <v>10434</v>
      </c>
      <c r="D5820" s="1" t="s">
        <v>10206</v>
      </c>
      <c r="E5820" s="1" t="s">
        <v>10206</v>
      </c>
      <c r="G5820" s="1" t="s">
        <v>10435</v>
      </c>
      <c r="H5820" s="2" t="str">
        <f>Tabella1[[#This Row],[Denominazione]]&amp;" - "&amp;Tabella1[[#This Row],[Città]]</f>
        <v>SIROLO MY HOUSE - SIROLO</v>
      </c>
    </row>
    <row r="5821" spans="1:8" x14ac:dyDescent="0.25">
      <c r="A5821" s="1" t="s">
        <v>29</v>
      </c>
      <c r="B5821" s="1" t="s">
        <v>10436</v>
      </c>
      <c r="C5821" s="1" t="s">
        <v>10437</v>
      </c>
      <c r="D5821" s="1" t="s">
        <v>10206</v>
      </c>
      <c r="E5821" s="1" t="s">
        <v>10206</v>
      </c>
      <c r="G5821" s="1" t="s">
        <v>10438</v>
      </c>
      <c r="H5821" s="2" t="str">
        <f>Tabella1[[#This Row],[Denominazione]]&amp;" - "&amp;Tabella1[[#This Row],[Città]]</f>
        <v>SIROLO SUMMER - SIROLO</v>
      </c>
    </row>
    <row r="5822" spans="1:8" x14ac:dyDescent="0.25">
      <c r="A5822" s="1" t="s">
        <v>12</v>
      </c>
      <c r="B5822" s="1" t="s">
        <v>6229</v>
      </c>
      <c r="C5822" s="1" t="s">
        <v>6230</v>
      </c>
      <c r="D5822" s="1" t="s">
        <v>6049</v>
      </c>
      <c r="E5822" s="1" t="s">
        <v>6049</v>
      </c>
      <c r="H5822" s="2" t="str">
        <f>Tabella1[[#This Row],[Denominazione]]&amp;" - "&amp;Tabella1[[#This Row],[Città]]</f>
        <v>SLUIJS STEEN MARGARETHA - ARCEVIA</v>
      </c>
    </row>
    <row r="5823" spans="1:8" x14ac:dyDescent="0.25">
      <c r="A5823" s="1" t="s">
        <v>12</v>
      </c>
      <c r="B5823" s="1" t="s">
        <v>3603</v>
      </c>
      <c r="C5823" s="1" t="s">
        <v>3604</v>
      </c>
      <c r="D5823" s="1" t="s">
        <v>2386</v>
      </c>
      <c r="E5823" s="1" t="s">
        <v>2386</v>
      </c>
      <c r="G5823" s="1" t="s">
        <v>3605</v>
      </c>
      <c r="H5823" s="2" t="str">
        <f>Tabella1[[#This Row],[Denominazione]]&amp;" - "&amp;Tabella1[[#This Row],[Città]]</f>
        <v>SMALDINI ANNA SANTA - PESARO</v>
      </c>
    </row>
    <row r="5824" spans="1:8" x14ac:dyDescent="0.25">
      <c r="A5824" s="1" t="s">
        <v>571</v>
      </c>
      <c r="B5824" s="1" t="s">
        <v>9622</v>
      </c>
      <c r="C5824" s="1" t="s">
        <v>9623</v>
      </c>
      <c r="D5824" s="1" t="s">
        <v>8949</v>
      </c>
      <c r="E5824" s="1" t="s">
        <v>8949</v>
      </c>
      <c r="G5824" s="1" t="s">
        <v>9624</v>
      </c>
      <c r="H5824" s="2" t="str">
        <f>Tabella1[[#This Row],[Denominazione]]&amp;" - "&amp;Tabella1[[#This Row],[Città]]</f>
        <v>SMERALDO - SENIGALLIA</v>
      </c>
    </row>
    <row r="5825" spans="1:8" x14ac:dyDescent="0.25">
      <c r="A5825" s="1" t="s">
        <v>403</v>
      </c>
      <c r="B5825" s="1" t="s">
        <v>16904</v>
      </c>
      <c r="C5825" s="1" t="s">
        <v>16905</v>
      </c>
      <c r="D5825" s="1" t="s">
        <v>15819</v>
      </c>
      <c r="F5825" s="1" t="s">
        <v>16906</v>
      </c>
      <c r="G5825" s="1" t="s">
        <v>16907</v>
      </c>
      <c r="H5825" s="2" t="str">
        <f>Tabella1[[#This Row],[Denominazione]]&amp;" - "&amp;Tabella1[[#This Row],[Città]]</f>
        <v>SMERALDO SUITES &amp; SPA - SAN BENEDETTO DEL TRONTO</v>
      </c>
    </row>
    <row r="5826" spans="1:8" x14ac:dyDescent="0.25">
      <c r="A5826" s="1" t="s">
        <v>35</v>
      </c>
      <c r="B5826" s="1" t="s">
        <v>13345</v>
      </c>
      <c r="C5826" s="1" t="s">
        <v>13346</v>
      </c>
      <c r="D5826" s="1" t="s">
        <v>13298</v>
      </c>
      <c r="E5826" s="1" t="s">
        <v>13298</v>
      </c>
      <c r="F5826" s="1" t="s">
        <v>13347</v>
      </c>
      <c r="G5826" s="1" t="s">
        <v>13348</v>
      </c>
      <c r="H5826" s="2" t="str">
        <f>Tabella1[[#This Row],[Denominazione]]&amp;" - "&amp;Tabella1[[#This Row],[Città]]</f>
        <v>SOC. AG., RAGGIO VERDE DI PAOLINI GIANMARIO, SANDRO E C. - RECANATI</v>
      </c>
    </row>
    <row r="5827" spans="1:8" x14ac:dyDescent="0.25">
      <c r="A5827" s="1" t="s">
        <v>35</v>
      </c>
      <c r="B5827" s="1" t="s">
        <v>1794</v>
      </c>
      <c r="C5827" s="1" t="s">
        <v>1795</v>
      </c>
      <c r="D5827" s="1" t="s">
        <v>1796</v>
      </c>
      <c r="G5827" s="1" t="s">
        <v>1797</v>
      </c>
      <c r="H5827" s="2" t="str">
        <f>Tabella1[[#This Row],[Denominazione]]&amp;" - "&amp;Tabella1[[#This Row],[Città]]</f>
        <v>SOCIETA' AGRICOLA FRATTE ROSA - FRATTE ROSA</v>
      </c>
    </row>
    <row r="5828" spans="1:8" x14ac:dyDescent="0.25">
      <c r="A5828" s="1" t="s">
        <v>35</v>
      </c>
      <c r="B5828" s="1" t="s">
        <v>19593</v>
      </c>
      <c r="C5828" s="1" t="s">
        <v>19594</v>
      </c>
      <c r="D5828" s="1" t="s">
        <v>19541</v>
      </c>
      <c r="G5828" s="1" t="s">
        <v>19595</v>
      </c>
      <c r="H5828" s="2" t="str">
        <f>Tabella1[[#This Row],[Denominazione]]&amp;" - "&amp;Tabella1[[#This Row],[Città]]</f>
        <v>SOCIETA' AGRICOLA GIRONACCI LUCREZIA E C. - S.S. - SANT'ELPIDIO A MARE</v>
      </c>
    </row>
    <row r="5829" spans="1:8" x14ac:dyDescent="0.25">
      <c r="A5829" s="1" t="s">
        <v>35</v>
      </c>
      <c r="B5829" s="1" t="s">
        <v>14050</v>
      </c>
      <c r="C5829" s="1" t="s">
        <v>14051</v>
      </c>
      <c r="D5829" s="1" t="s">
        <v>13946</v>
      </c>
      <c r="E5829" s="1" t="s">
        <v>13946</v>
      </c>
      <c r="F5829" s="1" t="s">
        <v>14052</v>
      </c>
      <c r="G5829" s="1" t="s">
        <v>14053</v>
      </c>
      <c r="H5829" s="2" t="str">
        <f>Tabella1[[#This Row],[Denominazione]]&amp;" - "&amp;Tabella1[[#This Row],[Città]]</f>
        <v>SOCIETA' AGRICOLA PASCUCCI - TOLENTINO</v>
      </c>
    </row>
    <row r="5830" spans="1:8" x14ac:dyDescent="0.25">
      <c r="A5830" s="1" t="s">
        <v>82</v>
      </c>
      <c r="B5830" s="1" t="s">
        <v>12527</v>
      </c>
      <c r="C5830" s="1" t="s">
        <v>12528</v>
      </c>
      <c r="D5830" s="1" t="s">
        <v>12519</v>
      </c>
      <c r="E5830" s="1" t="s">
        <v>12519</v>
      </c>
      <c r="F5830" s="1" t="s">
        <v>12529</v>
      </c>
      <c r="G5830" s="1" t="s">
        <v>12530</v>
      </c>
      <c r="H5830" s="2" t="str">
        <f>Tabella1[[#This Row],[Denominazione]]&amp;" - "&amp;Tabella1[[#This Row],[Città]]</f>
        <v>SOCIETA' AGROFORESTALE MARCHIGIANA SAN RUFFINO SRL - MONTE SAN MARTINO</v>
      </c>
    </row>
    <row r="5831" spans="1:8" x14ac:dyDescent="0.25">
      <c r="A5831" s="1" t="s">
        <v>82</v>
      </c>
      <c r="B5831" s="1" t="s">
        <v>12527</v>
      </c>
      <c r="D5831" s="1" t="s">
        <v>17745</v>
      </c>
      <c r="E5831" s="1" t="s">
        <v>17745</v>
      </c>
      <c r="F5831" s="1" t="s">
        <v>12529</v>
      </c>
      <c r="G5831" s="1" t="s">
        <v>12530</v>
      </c>
      <c r="H5831" s="2" t="str">
        <f>Tabella1[[#This Row],[Denominazione]]&amp;" - "&amp;Tabella1[[#This Row],[Città]]</f>
        <v>SOCIETA' AGROFORESTALE MARCHIGIANA SAN RUFFINO SRL - AMANDOLA</v>
      </c>
    </row>
    <row r="5832" spans="1:8" x14ac:dyDescent="0.25">
      <c r="A5832" s="1" t="s">
        <v>82</v>
      </c>
      <c r="B5832" s="1" t="s">
        <v>12527</v>
      </c>
      <c r="C5832" s="1" t="s">
        <v>18504</v>
      </c>
      <c r="D5832" s="1" t="s">
        <v>18499</v>
      </c>
      <c r="E5832" s="1" t="s">
        <v>18499</v>
      </c>
      <c r="F5832" s="1" t="s">
        <v>12529</v>
      </c>
      <c r="G5832" s="1" t="s">
        <v>12530</v>
      </c>
      <c r="H5832" s="2" t="str">
        <f>Tabella1[[#This Row],[Denominazione]]&amp;" - "&amp;Tabella1[[#This Row],[Città]]</f>
        <v>SOCIETA' AGROFORESTALE MARCHIGIANA SAN RUFFINO SRL - MONTEFALCONE APPENNINO</v>
      </c>
    </row>
    <row r="5833" spans="1:8" x14ac:dyDescent="0.25">
      <c r="A5833" s="1" t="s">
        <v>82</v>
      </c>
      <c r="B5833" s="1" t="s">
        <v>12527</v>
      </c>
      <c r="C5833" s="1" t="s">
        <v>19531</v>
      </c>
      <c r="D5833" s="1" t="s">
        <v>19500</v>
      </c>
      <c r="E5833" s="1" t="s">
        <v>19500</v>
      </c>
      <c r="F5833" s="1" t="s">
        <v>12529</v>
      </c>
      <c r="G5833" s="1" t="s">
        <v>12530</v>
      </c>
      <c r="H5833" s="2" t="str">
        <f>Tabella1[[#This Row],[Denominazione]]&amp;" - "&amp;Tabella1[[#This Row],[Città]]</f>
        <v>SOCIETA' AGROFORESTALE MARCHIGIANA SAN RUFFINO SRL - SANTA VITTORIA IN MATENANO</v>
      </c>
    </row>
    <row r="5834" spans="1:8" x14ac:dyDescent="0.25">
      <c r="A5834" s="1" t="s">
        <v>29</v>
      </c>
      <c r="B5834" s="1" t="s">
        <v>13013</v>
      </c>
      <c r="C5834" s="1" t="s">
        <v>13014</v>
      </c>
      <c r="D5834" s="1" t="s">
        <v>12801</v>
      </c>
      <c r="E5834" s="1" t="s">
        <v>12801</v>
      </c>
      <c r="G5834" s="1" t="s">
        <v>13015</v>
      </c>
      <c r="H5834" s="2" t="str">
        <f>Tabella1[[#This Row],[Denominazione]]&amp;" - "&amp;Tabella1[[#This Row],[Città]]</f>
        <v>SOFFIO DI MARE - PORTO RECANATI</v>
      </c>
    </row>
    <row r="5835" spans="1:8" x14ac:dyDescent="0.25">
      <c r="A5835" s="1" t="s">
        <v>190</v>
      </c>
      <c r="B5835" s="1" t="s">
        <v>14256</v>
      </c>
      <c r="D5835" s="1" t="s">
        <v>14213</v>
      </c>
      <c r="E5835" s="1" t="s">
        <v>14257</v>
      </c>
      <c r="G5835" s="1" t="s">
        <v>14258</v>
      </c>
      <c r="H5835" s="2" t="str">
        <f>Tabella1[[#This Row],[Denominazione]]&amp;" - "&amp;Tabella1[[#This Row],[Città]]</f>
        <v>SOGGIORNO DON BOSCO - USSITA</v>
      </c>
    </row>
    <row r="5836" spans="1:8" x14ac:dyDescent="0.25">
      <c r="A5836" s="1" t="s">
        <v>679</v>
      </c>
      <c r="B5836" s="1" t="s">
        <v>7063</v>
      </c>
      <c r="C5836" s="1" t="s">
        <v>7064</v>
      </c>
      <c r="D5836" s="1" t="s">
        <v>5735</v>
      </c>
      <c r="E5836" s="1" t="s">
        <v>5735</v>
      </c>
      <c r="F5836" s="1" t="s">
        <v>7065</v>
      </c>
      <c r="G5836" s="1" t="s">
        <v>7066</v>
      </c>
      <c r="H5836" s="2" t="str">
        <f>Tabella1[[#This Row],[Denominazione]]&amp;" - "&amp;Tabella1[[#This Row],[Città]]</f>
        <v>SOLARIA BEACH VILLAGE - BAGNI 22 E 23 - FALCONARA MARITTIMA</v>
      </c>
    </row>
    <row r="5837" spans="1:8" x14ac:dyDescent="0.25">
      <c r="A5837" s="1" t="s">
        <v>20</v>
      </c>
      <c r="B5837" s="1" t="s">
        <v>11564</v>
      </c>
      <c r="C5837" s="1" t="s">
        <v>11565</v>
      </c>
      <c r="D5837" s="1" t="s">
        <v>11244</v>
      </c>
      <c r="E5837" s="1" t="s">
        <v>11244</v>
      </c>
      <c r="F5837" s="1" t="s">
        <v>11566</v>
      </c>
      <c r="G5837" s="1" t="s">
        <v>11567</v>
      </c>
      <c r="H5837" s="2" t="str">
        <f>Tabella1[[#This Row],[Denominazione]]&amp;" - "&amp;Tabella1[[#This Row],[Città]]</f>
        <v>SOLARIUM - CIVITANOVA MARCHE</v>
      </c>
    </row>
    <row r="5838" spans="1:8" x14ac:dyDescent="0.25">
      <c r="A5838" s="1" t="s">
        <v>20</v>
      </c>
      <c r="B5838" s="1" t="s">
        <v>11564</v>
      </c>
      <c r="C5838" s="1" t="s">
        <v>17455</v>
      </c>
      <c r="D5838" s="1" t="s">
        <v>15819</v>
      </c>
      <c r="E5838" s="1" t="s">
        <v>15819</v>
      </c>
      <c r="F5838" s="1" t="s">
        <v>17194</v>
      </c>
      <c r="G5838" s="1" t="s">
        <v>17193</v>
      </c>
      <c r="H5838" s="2" t="str">
        <f>Tabella1[[#This Row],[Denominazione]]&amp;" - "&amp;Tabella1[[#This Row],[Città]]</f>
        <v>SOLARIUM - SAN BENEDETTO DEL TRONTO</v>
      </c>
    </row>
    <row r="5839" spans="1:8" x14ac:dyDescent="0.25">
      <c r="A5839" s="1" t="s">
        <v>82</v>
      </c>
      <c r="B5839" s="1" t="s">
        <v>16807</v>
      </c>
      <c r="C5839" s="1" t="s">
        <v>16808</v>
      </c>
      <c r="D5839" s="1" t="s">
        <v>15819</v>
      </c>
      <c r="G5839" s="1" t="s">
        <v>16809</v>
      </c>
      <c r="H5839" s="2" t="str">
        <f>Tabella1[[#This Row],[Denominazione]]&amp;" - "&amp;Tabella1[[#This Row],[Città]]</f>
        <v>SOLE &amp; SALE - SAN BENEDETTO DEL TRONTO</v>
      </c>
    </row>
    <row r="5840" spans="1:8" x14ac:dyDescent="0.25">
      <c r="A5840" s="1" t="s">
        <v>679</v>
      </c>
      <c r="B5840" s="1" t="s">
        <v>10036</v>
      </c>
      <c r="C5840" s="1" t="s">
        <v>9910</v>
      </c>
      <c r="D5840" s="1" t="s">
        <v>8949</v>
      </c>
      <c r="E5840" s="1" t="s">
        <v>8949</v>
      </c>
      <c r="H5840" s="2" t="str">
        <f>Tabella1[[#This Row],[Denominazione]]&amp;" - "&amp;Tabella1[[#This Row],[Città]]</f>
        <v>SOLE 2000 - BAGNI N° 134 - SENIGALLIA</v>
      </c>
    </row>
    <row r="5841" spans="1:8" x14ac:dyDescent="0.25">
      <c r="A5841" s="1" t="s">
        <v>6</v>
      </c>
      <c r="B5841" s="1" t="s">
        <v>7867</v>
      </c>
      <c r="C5841" s="1" t="s">
        <v>7868</v>
      </c>
      <c r="D5841" s="1" t="s">
        <v>7849</v>
      </c>
      <c r="E5841" s="1" t="s">
        <v>7857</v>
      </c>
      <c r="F5841" s="1" t="s">
        <v>7869</v>
      </c>
      <c r="G5841" s="1" t="s">
        <v>7870</v>
      </c>
      <c r="H5841" s="2" t="str">
        <f>Tabella1[[#This Row],[Denominazione]]&amp;" - "&amp;Tabella1[[#This Row],[Città]]</f>
        <v>SOLE BELLO RESIDENCE DI CAMPONI ENRICO - MORRO D'ALBA</v>
      </c>
    </row>
    <row r="5842" spans="1:8" x14ac:dyDescent="0.25">
      <c r="A5842" s="1" t="s">
        <v>679</v>
      </c>
      <c r="B5842" s="1" t="s">
        <v>15432</v>
      </c>
      <c r="C5842" s="1" t="s">
        <v>15433</v>
      </c>
      <c r="D5842" s="1" t="s">
        <v>15349</v>
      </c>
      <c r="E5842" s="1" t="s">
        <v>15349</v>
      </c>
      <c r="H5842" s="2" t="str">
        <f>Tabella1[[#This Row],[Denominazione]]&amp;" - "&amp;Tabella1[[#This Row],[Città]]</f>
        <v>SOLE E MARE - CUPRA MARITTIMA</v>
      </c>
    </row>
    <row r="5843" spans="1:8" x14ac:dyDescent="0.25">
      <c r="A5843" s="1" t="s">
        <v>29</v>
      </c>
      <c r="B5843" s="1" t="s">
        <v>16394</v>
      </c>
      <c r="C5843" s="1" t="s">
        <v>16395</v>
      </c>
      <c r="D5843" s="1" t="s">
        <v>16396</v>
      </c>
      <c r="E5843" s="1" t="s">
        <v>16396</v>
      </c>
      <c r="G5843" s="1" t="s">
        <v>16397</v>
      </c>
      <c r="H5843" s="2" t="str">
        <f>Tabella1[[#This Row],[Denominazione]]&amp;" - "&amp;Tabella1[[#This Row],[Città]]</f>
        <v>SOLE LUNA - MONTEPRANDONE</v>
      </c>
    </row>
    <row r="5844" spans="1:8" x14ac:dyDescent="0.25">
      <c r="A5844" s="1" t="s">
        <v>6</v>
      </c>
      <c r="B5844" s="1" t="s">
        <v>10562</v>
      </c>
      <c r="C5844" s="1" t="s">
        <v>10563</v>
      </c>
      <c r="D5844" s="1" t="s">
        <v>10519</v>
      </c>
      <c r="E5844" s="1" t="s">
        <v>3174</v>
      </c>
      <c r="F5844" s="1" t="s">
        <v>10564</v>
      </c>
      <c r="G5844" s="1" t="s">
        <v>10565</v>
      </c>
      <c r="H5844" s="2" t="str">
        <f>Tabella1[[#This Row],[Denominazione]]&amp;" - "&amp;Tabella1[[#This Row],[Città]]</f>
        <v>SOLEA - TRECASTELLI</v>
      </c>
    </row>
    <row r="5845" spans="1:8" x14ac:dyDescent="0.25">
      <c r="A5845" s="1" t="s">
        <v>679</v>
      </c>
      <c r="B5845" s="1" t="s">
        <v>9981</v>
      </c>
      <c r="C5845" s="1" t="s">
        <v>9910</v>
      </c>
      <c r="D5845" s="1" t="s">
        <v>8949</v>
      </c>
      <c r="E5845" s="1" t="s">
        <v>8949</v>
      </c>
      <c r="H5845" s="2" t="str">
        <f>Tabella1[[#This Row],[Denominazione]]&amp;" - "&amp;Tabella1[[#This Row],[Città]]</f>
        <v>SOLEADO - BAGNI N 146 - SENIGALLIA</v>
      </c>
    </row>
    <row r="5846" spans="1:8" x14ac:dyDescent="0.25">
      <c r="A5846" s="1" t="s">
        <v>679</v>
      </c>
      <c r="B5846" s="1" t="s">
        <v>11593</v>
      </c>
      <c r="C5846" s="1" t="s">
        <v>11594</v>
      </c>
      <c r="D5846" s="1" t="s">
        <v>11244</v>
      </c>
      <c r="E5846" s="1" t="s">
        <v>11244</v>
      </c>
      <c r="H5846" s="2" t="str">
        <f>Tabella1[[#This Row],[Denominazione]]&amp;" - "&amp;Tabella1[[#This Row],[Città]]</f>
        <v>SOLEMAR - CIVITANOVA MARCHE</v>
      </c>
    </row>
    <row r="5847" spans="1:8" x14ac:dyDescent="0.25">
      <c r="A5847" s="1" t="s">
        <v>679</v>
      </c>
      <c r="B5847" s="1" t="s">
        <v>13282</v>
      </c>
      <c r="D5847" s="1" t="s">
        <v>13026</v>
      </c>
      <c r="E5847" s="1" t="s">
        <v>13105</v>
      </c>
      <c r="F5847" s="1" t="s">
        <v>13283</v>
      </c>
      <c r="G5847" s="1" t="s">
        <v>13284</v>
      </c>
      <c r="H5847" s="2" t="str">
        <f>Tabella1[[#This Row],[Denominazione]]&amp;" - "&amp;Tabella1[[#This Row],[Città]]</f>
        <v>SOLERO - POTENZA PICENA</v>
      </c>
    </row>
    <row r="5848" spans="1:8" x14ac:dyDescent="0.25">
      <c r="A5848" s="1" t="s">
        <v>679</v>
      </c>
      <c r="B5848" s="1" t="s">
        <v>19116</v>
      </c>
      <c r="C5848" s="1" t="s">
        <v>19117</v>
      </c>
      <c r="D5848" s="1" t="s">
        <v>18082</v>
      </c>
      <c r="E5848" s="1" t="s">
        <v>18082</v>
      </c>
      <c r="H5848" s="2" t="str">
        <f>Tabella1[[#This Row],[Denominazione]]&amp;" - "&amp;Tabella1[[#This Row],[Città]]</f>
        <v>SOLLEONE - PORTO SAN GIORGIO</v>
      </c>
    </row>
    <row r="5849" spans="1:8" x14ac:dyDescent="0.25">
      <c r="A5849" s="1" t="s">
        <v>679</v>
      </c>
      <c r="B5849" s="1" t="s">
        <v>18096</v>
      </c>
      <c r="C5849" s="1" t="s">
        <v>18081</v>
      </c>
      <c r="D5849" s="1" t="s">
        <v>17932</v>
      </c>
      <c r="E5849" s="1" t="s">
        <v>18082</v>
      </c>
      <c r="H5849" s="2" t="str">
        <f>Tabella1[[#This Row],[Denominazione]]&amp;" - "&amp;Tabella1[[#This Row],[Città]]</f>
        <v>SOMBRERO - FERMO</v>
      </c>
    </row>
    <row r="5850" spans="1:8" x14ac:dyDescent="0.25">
      <c r="A5850" s="1" t="s">
        <v>679</v>
      </c>
      <c r="B5850" s="1" t="s">
        <v>11589</v>
      </c>
      <c r="C5850" s="1" t="s">
        <v>11590</v>
      </c>
      <c r="D5850" s="1" t="s">
        <v>11244</v>
      </c>
      <c r="E5850" s="1" t="s">
        <v>11244</v>
      </c>
      <c r="H5850" s="2" t="str">
        <f>Tabella1[[#This Row],[Denominazione]]&amp;" - "&amp;Tabella1[[#This Row],[Città]]</f>
        <v>SONAMAR - CIVITANOVA MARCHE</v>
      </c>
    </row>
    <row r="5851" spans="1:8" x14ac:dyDescent="0.25">
      <c r="A5851" s="1" t="s">
        <v>35</v>
      </c>
      <c r="B5851" s="1" t="s">
        <v>18714</v>
      </c>
      <c r="C5851" s="1" t="s">
        <v>18715</v>
      </c>
      <c r="D5851" s="1" t="s">
        <v>18702</v>
      </c>
      <c r="E5851" s="1" t="s">
        <v>18702</v>
      </c>
      <c r="F5851" s="1" t="s">
        <v>18716</v>
      </c>
      <c r="G5851" s="1" t="s">
        <v>18717</v>
      </c>
      <c r="H5851" s="2" t="str">
        <f>Tabella1[[#This Row],[Denominazione]]&amp;" - "&amp;Tabella1[[#This Row],[Città]]</f>
        <v>SOPRA E SOTTO - MONTELPARO</v>
      </c>
    </row>
    <row r="5852" spans="1:8" x14ac:dyDescent="0.25">
      <c r="A5852" s="1" t="s">
        <v>679</v>
      </c>
      <c r="B5852" s="1" t="s">
        <v>17180</v>
      </c>
      <c r="C5852" s="1" t="s">
        <v>17181</v>
      </c>
      <c r="D5852" s="1" t="s">
        <v>15819</v>
      </c>
      <c r="E5852" s="1" t="s">
        <v>14582</v>
      </c>
      <c r="F5852" s="1" t="s">
        <v>17182</v>
      </c>
      <c r="G5852" s="1" t="s">
        <v>17183</v>
      </c>
      <c r="H5852" s="2" t="str">
        <f>Tabella1[[#This Row],[Denominazione]]&amp;" - "&amp;Tabella1[[#This Row],[Città]]</f>
        <v>SORAYA - SAN BENEDETTO DEL TRONTO</v>
      </c>
    </row>
    <row r="5853" spans="1:8" x14ac:dyDescent="0.25">
      <c r="A5853" s="1" t="s">
        <v>190</v>
      </c>
      <c r="B5853" s="1" t="s">
        <v>13711</v>
      </c>
      <c r="C5853" s="1" t="s">
        <v>13712</v>
      </c>
      <c r="D5853" s="1" t="s">
        <v>13548</v>
      </c>
      <c r="E5853" s="1" t="s">
        <v>13548</v>
      </c>
      <c r="F5853" s="1" t="s">
        <v>13713</v>
      </c>
      <c r="G5853" s="1" t="s">
        <v>13714</v>
      </c>
      <c r="H5853" s="2" t="str">
        <f>Tabella1[[#This Row],[Denominazione]]&amp;" - "&amp;Tabella1[[#This Row],[Città]]</f>
        <v>SORGENTE VERDE SILENZIO - SAN SEVERINO MARCHE</v>
      </c>
    </row>
    <row r="5854" spans="1:8" x14ac:dyDescent="0.25">
      <c r="A5854" s="1" t="s">
        <v>82</v>
      </c>
      <c r="B5854" s="1" t="s">
        <v>7265</v>
      </c>
      <c r="C5854" s="1" t="s">
        <v>7266</v>
      </c>
      <c r="D5854" s="1" t="s">
        <v>7254</v>
      </c>
      <c r="F5854" s="1" t="s">
        <v>7267</v>
      </c>
      <c r="G5854" s="1" t="s">
        <v>7268</v>
      </c>
      <c r="H5854" s="2" t="str">
        <f>Tabella1[[#This Row],[Denominazione]]&amp;" - "&amp;Tabella1[[#This Row],[Città]]</f>
        <v>SOTTO IL BORGO - JESI</v>
      </c>
    </row>
    <row r="5855" spans="1:8" x14ac:dyDescent="0.25">
      <c r="A5855" s="1" t="s">
        <v>82</v>
      </c>
      <c r="B5855" s="1" t="s">
        <v>8627</v>
      </c>
      <c r="C5855" s="1" t="s">
        <v>8628</v>
      </c>
      <c r="D5855" s="1" t="s">
        <v>8608</v>
      </c>
      <c r="E5855" s="1" t="s">
        <v>8608</v>
      </c>
      <c r="F5855" s="1" t="s">
        <v>8629</v>
      </c>
      <c r="G5855" s="1" t="s">
        <v>8630</v>
      </c>
      <c r="H5855" s="2" t="str">
        <f>Tabella1[[#This Row],[Denominazione]]&amp;" - "&amp;Tabella1[[#This Row],[Città]]</f>
        <v>SOTTO LA QUERCIA - OSTRA</v>
      </c>
    </row>
    <row r="5856" spans="1:8" x14ac:dyDescent="0.25">
      <c r="A5856" s="1" t="s">
        <v>29</v>
      </c>
      <c r="B5856" s="1" t="s">
        <v>1814</v>
      </c>
      <c r="C5856" s="1" t="s">
        <v>1815</v>
      </c>
      <c r="D5856" s="1" t="s">
        <v>1810</v>
      </c>
      <c r="E5856" s="1" t="s">
        <v>1810</v>
      </c>
      <c r="G5856" s="1" t="s">
        <v>1816</v>
      </c>
      <c r="H5856" s="2" t="str">
        <f>Tabella1[[#This Row],[Denominazione]]&amp;" - "&amp;Tabella1[[#This Row],[Città]]</f>
        <v>SOTTO LA TORRE - FRONTINO</v>
      </c>
    </row>
    <row r="5857" spans="1:8" x14ac:dyDescent="0.25">
      <c r="A5857" s="1" t="s">
        <v>29</v>
      </c>
      <c r="B5857" s="1" t="s">
        <v>916</v>
      </c>
      <c r="C5857" s="1" t="s">
        <v>917</v>
      </c>
      <c r="D5857" s="1" t="s">
        <v>682</v>
      </c>
      <c r="E5857" s="1" t="s">
        <v>918</v>
      </c>
      <c r="G5857" s="1" t="s">
        <v>919</v>
      </c>
      <c r="H5857" s="2" t="str">
        <f>Tabella1[[#This Row],[Denominazione]]&amp;" - "&amp;Tabella1[[#This Row],[Città]]</f>
        <v>SOTTO LE STELLE - FANO</v>
      </c>
    </row>
    <row r="5858" spans="1:8" x14ac:dyDescent="0.25">
      <c r="A5858" s="1" t="s">
        <v>82</v>
      </c>
      <c r="B5858" s="1" t="s">
        <v>10353</v>
      </c>
      <c r="C5858" s="1" t="s">
        <v>10354</v>
      </c>
      <c r="D5858" s="1" t="s">
        <v>10206</v>
      </c>
      <c r="F5858" s="1" t="s">
        <v>10355</v>
      </c>
      <c r="G5858" s="1" t="s">
        <v>10356</v>
      </c>
      <c r="H5858" s="2" t="str">
        <f>Tabella1[[#This Row],[Denominazione]]&amp;" - "&amp;Tabella1[[#This Row],[Città]]</f>
        <v>SOTTOVOCE - SIROLO</v>
      </c>
    </row>
    <row r="5859" spans="1:8" x14ac:dyDescent="0.25">
      <c r="A5859" s="1" t="s">
        <v>12</v>
      </c>
      <c r="B5859" s="1" t="s">
        <v>3525</v>
      </c>
      <c r="C5859" s="1" t="s">
        <v>3526</v>
      </c>
      <c r="D5859" s="1" t="s">
        <v>2386</v>
      </c>
      <c r="E5859" s="1" t="s">
        <v>2386</v>
      </c>
      <c r="G5859" s="1" t="s">
        <v>3527</v>
      </c>
      <c r="H5859" s="2" t="str">
        <f>Tabella1[[#This Row],[Denominazione]]&amp;" - "&amp;Tabella1[[#This Row],[Città]]</f>
        <v>SPADA DOMENICO - PESARO</v>
      </c>
    </row>
    <row r="5860" spans="1:8" x14ac:dyDescent="0.25">
      <c r="A5860" s="1" t="s">
        <v>12</v>
      </c>
      <c r="B5860" s="1" t="s">
        <v>9050</v>
      </c>
      <c r="C5860" s="1" t="s">
        <v>9051</v>
      </c>
      <c r="D5860" s="1" t="s">
        <v>8949</v>
      </c>
      <c r="E5860" s="1" t="s">
        <v>8949</v>
      </c>
      <c r="G5860" s="1" t="s">
        <v>9052</v>
      </c>
      <c r="H5860" s="2" t="str">
        <f>Tabella1[[#This Row],[Denominazione]]&amp;" - "&amp;Tabella1[[#This Row],[Città]]</f>
        <v>SPADINI ALICE APP.TO PIANO SECONDO - SENIGALLIA</v>
      </c>
    </row>
    <row r="5861" spans="1:8" x14ac:dyDescent="0.25">
      <c r="A5861" s="1" t="s">
        <v>12</v>
      </c>
      <c r="B5861" s="1" t="s">
        <v>9053</v>
      </c>
      <c r="C5861" s="1" t="s">
        <v>9054</v>
      </c>
      <c r="D5861" s="1" t="s">
        <v>8949</v>
      </c>
      <c r="E5861" s="1" t="s">
        <v>8949</v>
      </c>
      <c r="G5861" s="1" t="s">
        <v>9052</v>
      </c>
      <c r="H5861" s="2" t="str">
        <f>Tabella1[[#This Row],[Denominazione]]&amp;" - "&amp;Tabella1[[#This Row],[Città]]</f>
        <v>SPADINI ALICE APP.TO PIANO TERRA - SENIGALLIA</v>
      </c>
    </row>
    <row r="5862" spans="1:8" x14ac:dyDescent="0.25">
      <c r="A5862" s="1" t="s">
        <v>20</v>
      </c>
      <c r="B5862" s="1" t="s">
        <v>3699</v>
      </c>
      <c r="C5862" s="1" t="s">
        <v>3700</v>
      </c>
      <c r="D5862" s="1" t="s">
        <v>2386</v>
      </c>
      <c r="E5862" s="1" t="s">
        <v>2386</v>
      </c>
      <c r="F5862" s="1" t="s">
        <v>3701</v>
      </c>
      <c r="G5862" s="1" t="s">
        <v>3702</v>
      </c>
      <c r="H5862" s="2" t="str">
        <f>Tabella1[[#This Row],[Denominazione]]&amp;" - "&amp;Tabella1[[#This Row],[Città]]</f>
        <v>SPIAGGIA - PESARO</v>
      </c>
    </row>
    <row r="5863" spans="1:8" x14ac:dyDescent="0.25">
      <c r="A5863" s="1" t="s">
        <v>679</v>
      </c>
      <c r="B5863" s="1" t="s">
        <v>17314</v>
      </c>
      <c r="C5863" s="1" t="s">
        <v>15837</v>
      </c>
      <c r="D5863" s="1" t="s">
        <v>15819</v>
      </c>
      <c r="E5863" s="1" t="s">
        <v>15819</v>
      </c>
      <c r="H5863" s="2" t="str">
        <f>Tabella1[[#This Row],[Denominazione]]&amp;" - "&amp;Tabella1[[#This Row],[Città]]</f>
        <v>SPIAGGIA 75 - SAN BENEDETTO DEL TRONTO</v>
      </c>
    </row>
    <row r="5864" spans="1:8" x14ac:dyDescent="0.25">
      <c r="A5864" s="1" t="s">
        <v>679</v>
      </c>
      <c r="B5864" s="1" t="s">
        <v>3590</v>
      </c>
      <c r="D5864" s="1" t="s">
        <v>2386</v>
      </c>
      <c r="G5864" s="1" t="s">
        <v>3591</v>
      </c>
      <c r="H5864" s="2" t="str">
        <f>Tabella1[[#This Row],[Denominazione]]&amp;" - "&amp;Tabella1[[#This Row],[Città]]</f>
        <v>SPIAGGIA CAMPING MARINELLA - PESARO</v>
      </c>
    </row>
    <row r="5865" spans="1:8" x14ac:dyDescent="0.25">
      <c r="A5865" s="1" t="s">
        <v>679</v>
      </c>
      <c r="B5865" s="1" t="s">
        <v>1050</v>
      </c>
      <c r="C5865" s="1" t="s">
        <v>1051</v>
      </c>
      <c r="D5865" s="1" t="s">
        <v>682</v>
      </c>
      <c r="E5865" s="1" t="s">
        <v>682</v>
      </c>
      <c r="H5865" s="2" t="str">
        <f>Tabella1[[#This Row],[Denominazione]]&amp;" - "&amp;Tabella1[[#This Row],[Città]]</f>
        <v>SPIAGGIA DEI GABBIANI DI STAFOGGIA WALTER - FANO</v>
      </c>
    </row>
    <row r="5866" spans="1:8" x14ac:dyDescent="0.25">
      <c r="A5866" s="1" t="s">
        <v>679</v>
      </c>
      <c r="B5866" s="1" t="s">
        <v>776</v>
      </c>
      <c r="D5866" s="1" t="s">
        <v>682</v>
      </c>
      <c r="E5866" s="1" t="s">
        <v>682</v>
      </c>
      <c r="G5866" s="1" t="s">
        <v>777</v>
      </c>
      <c r="H5866" s="2" t="str">
        <f>Tabella1[[#This Row],[Denominazione]]&amp;" - "&amp;Tabella1[[#This Row],[Città]]</f>
        <v>SPIAGGIA DEI TALENTI - FANO</v>
      </c>
    </row>
    <row r="5867" spans="1:8" x14ac:dyDescent="0.25">
      <c r="A5867" s="1" t="s">
        <v>571</v>
      </c>
      <c r="B5867" s="1" t="s">
        <v>9610</v>
      </c>
      <c r="D5867" s="1" t="s">
        <v>8949</v>
      </c>
      <c r="E5867" s="1" t="s">
        <v>8949</v>
      </c>
      <c r="F5867" s="1" t="s">
        <v>9611</v>
      </c>
      <c r="G5867" s="1" t="s">
        <v>9612</v>
      </c>
      <c r="H5867" s="2" t="str">
        <f>Tabella1[[#This Row],[Denominazione]]&amp;" - "&amp;Tabella1[[#This Row],[Città]]</f>
        <v>SPIAGGIA DI VELLUTO - SENIGALLIA</v>
      </c>
    </row>
    <row r="5868" spans="1:8" x14ac:dyDescent="0.25">
      <c r="A5868" s="1" t="s">
        <v>679</v>
      </c>
      <c r="B5868" s="1" t="s">
        <v>5737</v>
      </c>
      <c r="C5868" s="1" t="s">
        <v>5722</v>
      </c>
      <c r="D5868" s="1" t="s">
        <v>1864</v>
      </c>
      <c r="E5868" s="1" t="s">
        <v>5597</v>
      </c>
      <c r="F5868" s="1" t="s">
        <v>5738</v>
      </c>
      <c r="G5868" s="1" t="s">
        <v>5739</v>
      </c>
      <c r="H5868" s="2" t="str">
        <f>Tabella1[[#This Row],[Denominazione]]&amp;" - "&amp;Tabella1[[#This Row],[Città]]</f>
        <v>SPIAGGIABONETTI - ANCONA</v>
      </c>
    </row>
    <row r="5869" spans="1:8" x14ac:dyDescent="0.25">
      <c r="A5869" s="1" t="s">
        <v>20</v>
      </c>
      <c r="B5869" s="1" t="s">
        <v>7601</v>
      </c>
      <c r="C5869" s="1" t="s">
        <v>7602</v>
      </c>
      <c r="D5869" s="1" t="s">
        <v>7571</v>
      </c>
      <c r="E5869" s="1" t="s">
        <v>7571</v>
      </c>
      <c r="H5869" s="2" t="str">
        <f>Tabella1[[#This Row],[Denominazione]]&amp;" - "&amp;Tabella1[[#This Row],[Città]]</f>
        <v>SPONTINI - MAIOLATI SPONTINI</v>
      </c>
    </row>
    <row r="5870" spans="1:8" x14ac:dyDescent="0.25">
      <c r="A5870" s="1" t="s">
        <v>20</v>
      </c>
      <c r="B5870" s="1" t="s">
        <v>2057</v>
      </c>
      <c r="C5870" s="1" t="s">
        <v>2058</v>
      </c>
      <c r="D5870" s="1" t="s">
        <v>1907</v>
      </c>
      <c r="E5870" s="1" t="s">
        <v>1907</v>
      </c>
      <c r="G5870" s="1" t="s">
        <v>2059</v>
      </c>
      <c r="H5870" s="2" t="str">
        <f>Tabella1[[#This Row],[Denominazione]]&amp;" - "&amp;Tabella1[[#This Row],[Città]]</f>
        <v>SPORTING - GABICCE MARE</v>
      </c>
    </row>
    <row r="5871" spans="1:8" x14ac:dyDescent="0.25">
      <c r="A5871" s="1" t="s">
        <v>20</v>
      </c>
      <c r="B5871" s="1" t="s">
        <v>2057</v>
      </c>
      <c r="C5871" s="1" t="s">
        <v>17456</v>
      </c>
      <c r="D5871" s="1" t="s">
        <v>15819</v>
      </c>
      <c r="E5871" s="1" t="s">
        <v>15819</v>
      </c>
      <c r="F5871" s="1" t="s">
        <v>17457</v>
      </c>
      <c r="G5871" s="1" t="s">
        <v>17458</v>
      </c>
      <c r="H5871" s="2" t="str">
        <f>Tabella1[[#This Row],[Denominazione]]&amp;" - "&amp;Tabella1[[#This Row],[Città]]</f>
        <v>SPORTING - SAN BENEDETTO DEL TRONTO</v>
      </c>
    </row>
    <row r="5872" spans="1:8" x14ac:dyDescent="0.25">
      <c r="A5872" s="1" t="s">
        <v>679</v>
      </c>
      <c r="B5872" s="1" t="s">
        <v>9851</v>
      </c>
      <c r="C5872" s="1" t="s">
        <v>9845</v>
      </c>
      <c r="D5872" s="1" t="s">
        <v>8949</v>
      </c>
      <c r="E5872" s="1" t="s">
        <v>8949</v>
      </c>
      <c r="F5872" s="1" t="s">
        <v>9852</v>
      </c>
      <c r="H5872" s="2" t="str">
        <f>Tabella1[[#This Row],[Denominazione]]&amp;" - "&amp;Tabella1[[#This Row],[Città]]</f>
        <v>SPRITZ BEACH - SENIGALLIA</v>
      </c>
    </row>
    <row r="5873" spans="1:8" x14ac:dyDescent="0.25">
      <c r="A5873" s="1" t="s">
        <v>679</v>
      </c>
      <c r="B5873" s="1" t="s">
        <v>11643</v>
      </c>
      <c r="C5873" s="1" t="s">
        <v>11644</v>
      </c>
      <c r="D5873" s="1" t="s">
        <v>11244</v>
      </c>
      <c r="E5873" s="1" t="s">
        <v>11244</v>
      </c>
      <c r="H5873" s="2" t="str">
        <f>Tabella1[[#This Row],[Denominazione]]&amp;" - "&amp;Tabella1[[#This Row],[Città]]</f>
        <v>STAB.BALNEARE CIMA - CIVITANOVA MARCHE</v>
      </c>
    </row>
    <row r="5874" spans="1:8" x14ac:dyDescent="0.25">
      <c r="A5874" s="1" t="s">
        <v>679</v>
      </c>
      <c r="B5874" s="1" t="s">
        <v>1379</v>
      </c>
      <c r="C5874" s="1" t="s">
        <v>1380</v>
      </c>
      <c r="D5874" s="1" t="s">
        <v>682</v>
      </c>
      <c r="E5874" s="1" t="s">
        <v>682</v>
      </c>
      <c r="H5874" s="2" t="str">
        <f>Tabella1[[#This Row],[Denominazione]]&amp;" - "&amp;Tabella1[[#This Row],[Città]]</f>
        <v>STABILIMENTO "BAR RENZONI" di RENZONI ROBERTO - FANO</v>
      </c>
    </row>
    <row r="5875" spans="1:8" x14ac:dyDescent="0.25">
      <c r="A5875" s="1" t="s">
        <v>679</v>
      </c>
      <c r="B5875" s="1" t="s">
        <v>11641</v>
      </c>
      <c r="C5875" s="1" t="s">
        <v>11642</v>
      </c>
      <c r="D5875" s="1" t="s">
        <v>11244</v>
      </c>
      <c r="E5875" s="1" t="s">
        <v>11244</v>
      </c>
      <c r="G5875" s="1" t="s">
        <v>11435</v>
      </c>
      <c r="H5875" s="2" t="str">
        <f>Tabella1[[#This Row],[Denominazione]]&amp;" - "&amp;Tabella1[[#This Row],[Città]]</f>
        <v>STABILIMENTO BALNEARE ANTONIO - CIVITANOVA MARCHE</v>
      </c>
    </row>
    <row r="5876" spans="1:8" x14ac:dyDescent="0.25">
      <c r="A5876" s="1" t="s">
        <v>679</v>
      </c>
      <c r="B5876" s="1" t="s">
        <v>11626</v>
      </c>
      <c r="C5876" s="1" t="s">
        <v>11627</v>
      </c>
      <c r="D5876" s="1" t="s">
        <v>11244</v>
      </c>
      <c r="E5876" s="1" t="s">
        <v>11244</v>
      </c>
      <c r="H5876" s="2" t="str">
        <f>Tabella1[[#This Row],[Denominazione]]&amp;" - "&amp;Tabella1[[#This Row],[Città]]</f>
        <v>STABILIMENTO BALNEARE FILIPPO - CIVITANOVA MARCHE</v>
      </c>
    </row>
    <row r="5877" spans="1:8" x14ac:dyDescent="0.25">
      <c r="A5877" s="1" t="s">
        <v>679</v>
      </c>
      <c r="B5877" s="1" t="s">
        <v>11607</v>
      </c>
      <c r="C5877" s="1" t="s">
        <v>11608</v>
      </c>
      <c r="D5877" s="1" t="s">
        <v>11244</v>
      </c>
      <c r="E5877" s="1" t="s">
        <v>11244</v>
      </c>
      <c r="H5877" s="2" t="str">
        <f>Tabella1[[#This Row],[Denominazione]]&amp;" - "&amp;Tabella1[[#This Row],[Città]]</f>
        <v>STABILIMENTO BALNEARE G7 - CIVITANOVA MARCHE</v>
      </c>
    </row>
    <row r="5878" spans="1:8" x14ac:dyDescent="0.25">
      <c r="A5878" s="1" t="s">
        <v>679</v>
      </c>
      <c r="B5878" s="1" t="s">
        <v>11636</v>
      </c>
      <c r="C5878" s="1" t="s">
        <v>11637</v>
      </c>
      <c r="D5878" s="1" t="s">
        <v>11244</v>
      </c>
      <c r="E5878" s="1" t="s">
        <v>11244</v>
      </c>
      <c r="H5878" s="2" t="str">
        <f>Tabella1[[#This Row],[Denominazione]]&amp;" - "&amp;Tabella1[[#This Row],[Città]]</f>
        <v>STABILIMENTO BALNEARE GOLDEN BEACH - CIVITANOVA MARCHE</v>
      </c>
    </row>
    <row r="5879" spans="1:8" x14ac:dyDescent="0.25">
      <c r="A5879" s="1" t="s">
        <v>679</v>
      </c>
      <c r="B5879" s="1" t="s">
        <v>11653</v>
      </c>
      <c r="C5879" s="1" t="s">
        <v>11614</v>
      </c>
      <c r="D5879" s="1" t="s">
        <v>11244</v>
      </c>
      <c r="E5879" s="1" t="s">
        <v>11244</v>
      </c>
      <c r="H5879" s="2" t="str">
        <f>Tabella1[[#This Row],[Denominazione]]&amp;" - "&amp;Tabella1[[#This Row],[Città]]</f>
        <v>STABILIMENTO BALNEARE MARIA GABRIELLA - CIVITANOVA MARCHE</v>
      </c>
    </row>
    <row r="5880" spans="1:8" x14ac:dyDescent="0.25">
      <c r="A5880" s="1" t="s">
        <v>679</v>
      </c>
      <c r="B5880" s="1" t="s">
        <v>5721</v>
      </c>
      <c r="C5880" s="1" t="s">
        <v>5722</v>
      </c>
      <c r="D5880" s="1" t="s">
        <v>1864</v>
      </c>
      <c r="E5880" s="1" t="s">
        <v>5597</v>
      </c>
      <c r="F5880" s="1" t="s">
        <v>5723</v>
      </c>
      <c r="G5880" s="1" t="s">
        <v>5724</v>
      </c>
      <c r="H5880" s="2" t="str">
        <f>Tabella1[[#This Row],[Denominazione]]&amp;" - "&amp;Tabella1[[#This Row],[Città]]</f>
        <v>Stabilimento da Emilia di Edoardo Rubini - ANCONA</v>
      </c>
    </row>
    <row r="5881" spans="1:8" x14ac:dyDescent="0.25">
      <c r="A5881" s="1" t="s">
        <v>679</v>
      </c>
      <c r="B5881" s="1" t="s">
        <v>5730</v>
      </c>
      <c r="D5881" s="1" t="s">
        <v>1864</v>
      </c>
      <c r="E5881" s="1" t="s">
        <v>5704</v>
      </c>
      <c r="F5881" s="1" t="s">
        <v>5731</v>
      </c>
      <c r="G5881" s="1" t="s">
        <v>5732</v>
      </c>
      <c r="H5881" s="2" t="str">
        <f>Tabella1[[#This Row],[Denominazione]]&amp;" - "&amp;Tabella1[[#This Row],[Città]]</f>
        <v>STABILIMENTO PLAYA SOLERO - ANCONA</v>
      </c>
    </row>
    <row r="5882" spans="1:8" x14ac:dyDescent="0.25">
      <c r="A5882" s="1" t="s">
        <v>12</v>
      </c>
      <c r="B5882" s="1" t="s">
        <v>13</v>
      </c>
      <c r="C5882" s="1" t="s">
        <v>14</v>
      </c>
      <c r="D5882" s="1" t="s">
        <v>15</v>
      </c>
      <c r="E5882" s="1" t="s">
        <v>15</v>
      </c>
      <c r="G5882" s="1" t="s">
        <v>16</v>
      </c>
      <c r="H5882" s="2" t="str">
        <f>Tabella1[[#This Row],[Denominazione]]&amp;" - "&amp;Tabella1[[#This Row],[Città]]</f>
        <v>STAGNOZZI STEFANIA - ACQUALAGNA</v>
      </c>
    </row>
    <row r="5883" spans="1:8" x14ac:dyDescent="0.25">
      <c r="A5883" s="1" t="s">
        <v>12</v>
      </c>
      <c r="B5883" s="1" t="s">
        <v>1512</v>
      </c>
      <c r="C5883" s="1" t="s">
        <v>1509</v>
      </c>
      <c r="D5883" s="1" t="s">
        <v>682</v>
      </c>
      <c r="G5883" s="1" t="s">
        <v>1510</v>
      </c>
      <c r="H5883" s="2" t="str">
        <f>Tabella1[[#This Row],[Denominazione]]&amp;" - "&amp;Tabella1[[#This Row],[Città]]</f>
        <v>STANGONI IDA - FANO</v>
      </c>
    </row>
    <row r="5884" spans="1:8" x14ac:dyDescent="0.25">
      <c r="A5884" s="1" t="s">
        <v>35</v>
      </c>
      <c r="B5884" s="1" t="s">
        <v>6074</v>
      </c>
      <c r="C5884" s="1" t="s">
        <v>6075</v>
      </c>
      <c r="D5884" s="1" t="s">
        <v>6049</v>
      </c>
      <c r="E5884" s="1" t="s">
        <v>6076</v>
      </c>
      <c r="G5884" s="1" t="s">
        <v>6077</v>
      </c>
      <c r="H5884" s="2" t="str">
        <f>Tabella1[[#This Row],[Denominazione]]&amp;" - "&amp;Tabella1[[#This Row],[Città]]</f>
        <v>STAZIONE DI POSTA - ARCEVIA</v>
      </c>
    </row>
    <row r="5885" spans="1:8" x14ac:dyDescent="0.25">
      <c r="A5885" s="1" t="s">
        <v>679</v>
      </c>
      <c r="B5885" s="1" t="s">
        <v>17262</v>
      </c>
      <c r="C5885" s="1" t="s">
        <v>17263</v>
      </c>
      <c r="D5885" s="1" t="s">
        <v>15819</v>
      </c>
      <c r="E5885" s="1" t="s">
        <v>15819</v>
      </c>
      <c r="F5885" s="1" t="s">
        <v>17264</v>
      </c>
      <c r="G5885" s="1" t="s">
        <v>17265</v>
      </c>
      <c r="H5885" s="2" t="str">
        <f>Tabella1[[#This Row],[Denominazione]]&amp;" - "&amp;Tabella1[[#This Row],[Città]]</f>
        <v>STELLA - SAN BENEDETTO DEL TRONTO</v>
      </c>
    </row>
    <row r="5886" spans="1:8" x14ac:dyDescent="0.25">
      <c r="A5886" s="1" t="s">
        <v>679</v>
      </c>
      <c r="B5886" s="1" t="s">
        <v>19059</v>
      </c>
      <c r="C5886" s="1" t="s">
        <v>19048</v>
      </c>
      <c r="D5886" s="1" t="s">
        <v>18082</v>
      </c>
      <c r="E5886" s="1" t="s">
        <v>18082</v>
      </c>
      <c r="H5886" s="2" t="str">
        <f>Tabella1[[#This Row],[Denominazione]]&amp;" - "&amp;Tabella1[[#This Row],[Città]]</f>
        <v>STELLA ADRIATICA - PORTO SAN GIORGIO</v>
      </c>
    </row>
    <row r="5887" spans="1:8" x14ac:dyDescent="0.25">
      <c r="A5887" s="1" t="s">
        <v>82</v>
      </c>
      <c r="B5887" s="1" t="s">
        <v>16390</v>
      </c>
      <c r="C5887" s="1" t="s">
        <v>16391</v>
      </c>
      <c r="D5887" s="1" t="s">
        <v>16312</v>
      </c>
      <c r="E5887" s="1" t="s">
        <v>16312</v>
      </c>
      <c r="F5887" s="1" t="s">
        <v>16392</v>
      </c>
      <c r="G5887" s="1" t="s">
        <v>16393</v>
      </c>
      <c r="H5887" s="2" t="str">
        <f>Tabella1[[#This Row],[Denominazione]]&amp;" - "&amp;Tabella1[[#This Row],[Città]]</f>
        <v>STELLA ALPINA - MONTEMONACO</v>
      </c>
    </row>
    <row r="5888" spans="1:8" x14ac:dyDescent="0.25">
      <c r="A5888" s="1" t="s">
        <v>20</v>
      </c>
      <c r="B5888" s="1" t="s">
        <v>16050</v>
      </c>
      <c r="C5888" s="1" t="s">
        <v>16051</v>
      </c>
      <c r="D5888" s="1" t="s">
        <v>16040</v>
      </c>
      <c r="E5888" s="1" t="s">
        <v>16040</v>
      </c>
      <c r="H5888" s="2" t="str">
        <f>Tabella1[[#This Row],[Denominazione]]&amp;" - "&amp;Tabella1[[#This Row],[Città]]</f>
        <v>STELLA GEMELLA S.R.L. - MONSAMPOLO DEL TRONTO</v>
      </c>
    </row>
    <row r="5889" spans="1:8" x14ac:dyDescent="0.25">
      <c r="A5889" s="1" t="s">
        <v>679</v>
      </c>
      <c r="B5889" s="1" t="s">
        <v>8232</v>
      </c>
      <c r="C5889" s="1" t="s">
        <v>8233</v>
      </c>
      <c r="D5889" s="1" t="s">
        <v>7889</v>
      </c>
      <c r="F5889" s="1" t="s">
        <v>8234</v>
      </c>
      <c r="G5889" s="1" t="s">
        <v>8235</v>
      </c>
      <c r="H5889" s="2" t="str">
        <f>Tabella1[[#This Row],[Denominazione]]&amp;" - "&amp;Tabella1[[#This Row],[Città]]</f>
        <v>STELLA MARINA - NUMANA</v>
      </c>
    </row>
    <row r="5890" spans="1:8" x14ac:dyDescent="0.25">
      <c r="A5890" s="1" t="s">
        <v>82</v>
      </c>
      <c r="B5890" s="1" t="s">
        <v>8232</v>
      </c>
      <c r="C5890" s="1" t="s">
        <v>15384</v>
      </c>
      <c r="D5890" s="1" t="s">
        <v>15349</v>
      </c>
      <c r="E5890" s="1" t="s">
        <v>15349</v>
      </c>
      <c r="F5890" s="1" t="s">
        <v>15385</v>
      </c>
      <c r="G5890" s="1" t="s">
        <v>15386</v>
      </c>
      <c r="H5890" s="2" t="str">
        <f>Tabella1[[#This Row],[Denominazione]]&amp;" - "&amp;Tabella1[[#This Row],[Città]]</f>
        <v>STELLA MARINA - CUPRA MARITTIMA</v>
      </c>
    </row>
    <row r="5891" spans="1:8" x14ac:dyDescent="0.25">
      <c r="A5891" s="1" t="s">
        <v>679</v>
      </c>
      <c r="B5891" s="1" t="s">
        <v>8232</v>
      </c>
      <c r="C5891" s="1" t="s">
        <v>15874</v>
      </c>
      <c r="D5891" s="1" t="s">
        <v>15585</v>
      </c>
      <c r="H5891" s="2" t="str">
        <f>Tabella1[[#This Row],[Denominazione]]&amp;" - "&amp;Tabella1[[#This Row],[Città]]</f>
        <v>STELLA MARINA - GROTTAMMARE</v>
      </c>
    </row>
    <row r="5892" spans="1:8" x14ac:dyDescent="0.25">
      <c r="A5892" s="1" t="s">
        <v>679</v>
      </c>
      <c r="B5892" s="1" t="s">
        <v>8232</v>
      </c>
      <c r="C5892" s="1" t="s">
        <v>17122</v>
      </c>
      <c r="D5892" s="1" t="s">
        <v>15819</v>
      </c>
      <c r="F5892" s="1" t="s">
        <v>17123</v>
      </c>
      <c r="H5892" s="2" t="str">
        <f>Tabella1[[#This Row],[Denominazione]]&amp;" - "&amp;Tabella1[[#This Row],[Città]]</f>
        <v>STELLA MARINA - SAN BENEDETTO DEL TRONTO</v>
      </c>
    </row>
    <row r="5893" spans="1:8" x14ac:dyDescent="0.25">
      <c r="A5893" s="1" t="s">
        <v>679</v>
      </c>
      <c r="B5893" s="1" t="s">
        <v>9853</v>
      </c>
      <c r="C5893" s="1" t="s">
        <v>9854</v>
      </c>
      <c r="D5893" s="1" t="s">
        <v>8949</v>
      </c>
      <c r="E5893" s="1" t="s">
        <v>8949</v>
      </c>
      <c r="H5893" s="2" t="str">
        <f>Tabella1[[#This Row],[Denominazione]]&amp;" - "&amp;Tabella1[[#This Row],[Città]]</f>
        <v>STELLA MARINA N 65 - SENIGALLIA</v>
      </c>
    </row>
    <row r="5894" spans="1:8" x14ac:dyDescent="0.25">
      <c r="A5894" s="1" t="s">
        <v>571</v>
      </c>
      <c r="B5894" s="1" t="s">
        <v>1229</v>
      </c>
      <c r="C5894" s="1" t="s">
        <v>1230</v>
      </c>
      <c r="D5894" s="1" t="s">
        <v>682</v>
      </c>
      <c r="E5894" s="1" t="s">
        <v>1231</v>
      </c>
      <c r="F5894" s="1" t="s">
        <v>1232</v>
      </c>
      <c r="G5894" s="1" t="s">
        <v>1233</v>
      </c>
      <c r="H5894" s="2" t="str">
        <f>Tabella1[[#This Row],[Denominazione]]&amp;" - "&amp;Tabella1[[#This Row],[Città]]</f>
        <v>STELLA MARIS - FANO</v>
      </c>
    </row>
    <row r="5895" spans="1:8" x14ac:dyDescent="0.25">
      <c r="A5895" s="1" t="s">
        <v>190</v>
      </c>
      <c r="B5895" s="1" t="s">
        <v>1229</v>
      </c>
      <c r="C5895" s="1" t="s">
        <v>5657</v>
      </c>
      <c r="D5895" s="1" t="s">
        <v>1864</v>
      </c>
      <c r="E5895" s="1" t="s">
        <v>1040</v>
      </c>
      <c r="F5895" s="1" t="s">
        <v>5658</v>
      </c>
      <c r="G5895" s="1" t="s">
        <v>5659</v>
      </c>
      <c r="H5895" s="2" t="str">
        <f>Tabella1[[#This Row],[Denominazione]]&amp;" - "&amp;Tabella1[[#This Row],[Città]]</f>
        <v>STELLA MARIS - ANCONA</v>
      </c>
    </row>
    <row r="5896" spans="1:8" x14ac:dyDescent="0.25">
      <c r="A5896" s="1" t="s">
        <v>12</v>
      </c>
      <c r="B5896" s="1" t="s">
        <v>6226</v>
      </c>
      <c r="C5896" s="1" t="s">
        <v>6227</v>
      </c>
      <c r="D5896" s="1" t="s">
        <v>6049</v>
      </c>
      <c r="E5896" s="1" t="s">
        <v>6228</v>
      </c>
      <c r="H5896" s="2" t="str">
        <f>Tabella1[[#This Row],[Denominazione]]&amp;" - "&amp;Tabella1[[#This Row],[Città]]</f>
        <v>STEPHANY ROBERT KEITH - ARCEVIA</v>
      </c>
    </row>
    <row r="5897" spans="1:8" x14ac:dyDescent="0.25">
      <c r="A5897" s="1" t="s">
        <v>679</v>
      </c>
      <c r="B5897" s="1" t="s">
        <v>2851</v>
      </c>
      <c r="C5897" s="1" t="s">
        <v>2804</v>
      </c>
      <c r="D5897" s="1" t="s">
        <v>1605</v>
      </c>
      <c r="E5897" s="1" t="s">
        <v>1456</v>
      </c>
      <c r="F5897" s="1" t="s">
        <v>2852</v>
      </c>
      <c r="H5897" s="2" t="str">
        <f>Tabella1[[#This Row],[Denominazione]]&amp;" - "&amp;Tabella1[[#This Row],[Città]]</f>
        <v>STONE BEACH - MONDOLFO</v>
      </c>
    </row>
    <row r="5898" spans="1:8" x14ac:dyDescent="0.25">
      <c r="A5898" s="1" t="s">
        <v>20</v>
      </c>
      <c r="B5898" s="1" t="s">
        <v>13254</v>
      </c>
      <c r="C5898" s="1" t="s">
        <v>13255</v>
      </c>
      <c r="D5898" s="1" t="s">
        <v>13026</v>
      </c>
      <c r="E5898" s="1" t="s">
        <v>13026</v>
      </c>
      <c r="G5898" s="1" t="s">
        <v>13256</v>
      </c>
      <c r="H5898" s="2" t="str">
        <f>Tabella1[[#This Row],[Denominazione]]&amp;" - "&amp;Tabella1[[#This Row],[Città]]</f>
        <v>STORK - POTENZA PICENA</v>
      </c>
    </row>
    <row r="5899" spans="1:8" x14ac:dyDescent="0.25">
      <c r="A5899" s="1" t="s">
        <v>12</v>
      </c>
      <c r="B5899" s="1" t="s">
        <v>1438</v>
      </c>
      <c r="C5899" s="1" t="s">
        <v>1439</v>
      </c>
      <c r="D5899" s="1" t="s">
        <v>682</v>
      </c>
      <c r="H5899" s="2" t="str">
        <f>Tabella1[[#This Row],[Denominazione]]&amp;" - "&amp;Tabella1[[#This Row],[Città]]</f>
        <v>STORONI VANDA - FANO</v>
      </c>
    </row>
    <row r="5900" spans="1:8" x14ac:dyDescent="0.25">
      <c r="A5900" s="1" t="s">
        <v>12</v>
      </c>
      <c r="B5900" s="1" t="s">
        <v>15008</v>
      </c>
      <c r="C5900" s="1" t="s">
        <v>15009</v>
      </c>
      <c r="D5900" s="1" t="s">
        <v>14576</v>
      </c>
      <c r="G5900" s="1" t="s">
        <v>15010</v>
      </c>
      <c r="H5900" s="2" t="str">
        <f>Tabella1[[#This Row],[Denominazione]]&amp;" - "&amp;Tabella1[[#This Row],[Città]]</f>
        <v>STRACCI GIANLUCA - ASCOLI PICENO</v>
      </c>
    </row>
    <row r="5901" spans="1:8" x14ac:dyDescent="0.25">
      <c r="A5901" s="1" t="s">
        <v>20</v>
      </c>
      <c r="B5901" s="1" t="s">
        <v>2284</v>
      </c>
      <c r="C5901" s="1" t="s">
        <v>2285</v>
      </c>
      <c r="D5901" s="1" t="s">
        <v>1907</v>
      </c>
      <c r="E5901" s="1" t="s">
        <v>1907</v>
      </c>
      <c r="F5901" s="1" t="s">
        <v>2286</v>
      </c>
      <c r="G5901" s="1" t="s">
        <v>2287</v>
      </c>
      <c r="H5901" s="2" t="str">
        <f>Tabella1[[#This Row],[Denominazione]]&amp;" - "&amp;Tabella1[[#This Row],[Città]]</f>
        <v>STRAND HOTEL - GABICCE MARE</v>
      </c>
    </row>
    <row r="5902" spans="1:8" x14ac:dyDescent="0.25">
      <c r="A5902" s="1" t="s">
        <v>12</v>
      </c>
      <c r="B5902" s="1" t="s">
        <v>74</v>
      </c>
      <c r="C5902" s="1" t="s">
        <v>75</v>
      </c>
      <c r="D5902" s="1" t="s">
        <v>15</v>
      </c>
      <c r="E5902" s="1" t="s">
        <v>76</v>
      </c>
      <c r="F5902" s="1" t="s">
        <v>77</v>
      </c>
      <c r="G5902" s="1" t="s">
        <v>78</v>
      </c>
      <c r="H5902" s="2" t="str">
        <f>Tabella1[[#This Row],[Denominazione]]&amp;" - "&amp;Tabella1[[#This Row],[Città]]</f>
        <v>STROPPA GIUSEPPE - ACQUALAGNA</v>
      </c>
    </row>
    <row r="5903" spans="1:8" x14ac:dyDescent="0.25">
      <c r="A5903" s="1" t="s">
        <v>29</v>
      </c>
      <c r="B5903" s="1" t="s">
        <v>10127</v>
      </c>
      <c r="C5903" s="1" t="s">
        <v>10128</v>
      </c>
      <c r="D5903" s="1" t="s">
        <v>10117</v>
      </c>
      <c r="E5903" s="1" t="s">
        <v>10117</v>
      </c>
      <c r="H5903" s="2" t="str">
        <f>Tabella1[[#This Row],[Denominazione]]&amp;" - "&amp;Tabella1[[#This Row],[Città]]</f>
        <v>SU NURAGHE - SERRA SAN QUIRICO</v>
      </c>
    </row>
    <row r="5904" spans="1:8" x14ac:dyDescent="0.25">
      <c r="A5904" s="1" t="s">
        <v>679</v>
      </c>
      <c r="B5904" s="1" t="s">
        <v>17139</v>
      </c>
      <c r="C5904" s="1" t="s">
        <v>17140</v>
      </c>
      <c r="D5904" s="1" t="s">
        <v>15819</v>
      </c>
      <c r="H5904" s="2" t="str">
        <f>Tabella1[[#This Row],[Denominazione]]&amp;" - "&amp;Tabella1[[#This Row],[Città]]</f>
        <v>SUD-EST - SAN BENEDETTO DEL TRONTO</v>
      </c>
    </row>
    <row r="5905" spans="1:8" x14ac:dyDescent="0.25">
      <c r="A5905" s="1" t="s">
        <v>679</v>
      </c>
      <c r="B5905" s="1" t="s">
        <v>19473</v>
      </c>
      <c r="C5905" s="1" t="s">
        <v>19382</v>
      </c>
      <c r="D5905" s="1" t="s">
        <v>19283</v>
      </c>
      <c r="E5905" s="1" t="s">
        <v>19363</v>
      </c>
      <c r="F5905" s="1" t="s">
        <v>19474</v>
      </c>
      <c r="G5905" s="1" t="s">
        <v>19475</v>
      </c>
      <c r="H5905" s="2" t="str">
        <f>Tabella1[[#This Row],[Denominazione]]&amp;" - "&amp;Tabella1[[#This Row],[Città]]</f>
        <v>SUDOMAGODO - PORTO SANT'ELPIDIO</v>
      </c>
    </row>
    <row r="5906" spans="1:8" x14ac:dyDescent="0.25">
      <c r="A5906" s="1" t="s">
        <v>679</v>
      </c>
      <c r="B5906" s="1" t="s">
        <v>12834</v>
      </c>
      <c r="D5906" s="1" t="s">
        <v>12801</v>
      </c>
      <c r="H5906" s="2" t="str">
        <f>Tabella1[[#This Row],[Denominazione]]&amp;" - "&amp;Tabella1[[#This Row],[Città]]</f>
        <v>SULLA CRESTA DELL'ONDA - PORTO RECANATI</v>
      </c>
    </row>
    <row r="5907" spans="1:8" x14ac:dyDescent="0.25">
      <c r="A5907" s="1" t="s">
        <v>29</v>
      </c>
      <c r="B5907" s="1" t="s">
        <v>6342</v>
      </c>
      <c r="C5907" s="1" t="s">
        <v>6343</v>
      </c>
      <c r="D5907" s="1" t="s">
        <v>6344</v>
      </c>
      <c r="E5907" s="1" t="s">
        <v>6344</v>
      </c>
      <c r="F5907" s="1" t="s">
        <v>6345</v>
      </c>
      <c r="G5907" s="1" t="s">
        <v>6346</v>
      </c>
      <c r="H5907" s="2" t="str">
        <f>Tabella1[[#This Row],[Denominazione]]&amp;" - "&amp;Tabella1[[#This Row],[Città]]</f>
        <v>SUMI COTTAGE BED AND BREAKFAST - CAMERATA PICENA</v>
      </c>
    </row>
    <row r="5908" spans="1:8" x14ac:dyDescent="0.25">
      <c r="A5908" s="1" t="s">
        <v>679</v>
      </c>
      <c r="B5908" s="1" t="s">
        <v>5742</v>
      </c>
      <c r="D5908" s="1" t="s">
        <v>1864</v>
      </c>
      <c r="F5908" s="1" t="s">
        <v>5743</v>
      </c>
      <c r="H5908" s="2" t="str">
        <f>Tabella1[[#This Row],[Denominazione]]&amp;" - "&amp;Tabella1[[#This Row],[Città]]</f>
        <v>SUMMER DREAM MARCELLI MAURIZIO - ANCONA</v>
      </c>
    </row>
    <row r="5909" spans="1:8" x14ac:dyDescent="0.25">
      <c r="A5909" s="1" t="s">
        <v>571</v>
      </c>
      <c r="B5909" s="1" t="s">
        <v>9613</v>
      </c>
      <c r="C5909" s="1" t="s">
        <v>9614</v>
      </c>
      <c r="D5909" s="1" t="s">
        <v>8949</v>
      </c>
      <c r="E5909" s="1" t="s">
        <v>8949</v>
      </c>
      <c r="F5909" s="1" t="s">
        <v>9615</v>
      </c>
      <c r="G5909" s="1" t="s">
        <v>9616</v>
      </c>
      <c r="H5909" s="2" t="str">
        <f>Tabella1[[#This Row],[Denominazione]]&amp;" - "&amp;Tabella1[[#This Row],[Città]]</f>
        <v>SUMMERLAND - SENIGALLIA</v>
      </c>
    </row>
    <row r="5910" spans="1:8" x14ac:dyDescent="0.25">
      <c r="A5910" s="1" t="s">
        <v>29</v>
      </c>
      <c r="B5910" s="1" t="s">
        <v>2989</v>
      </c>
      <c r="C5910" s="1" t="s">
        <v>2990</v>
      </c>
      <c r="D5910" s="1" t="s">
        <v>1605</v>
      </c>
      <c r="E5910" s="1" t="s">
        <v>1456</v>
      </c>
      <c r="G5910" s="1" t="s">
        <v>2991</v>
      </c>
      <c r="H5910" s="2" t="str">
        <f>Tabella1[[#This Row],[Denominazione]]&amp;" - "&amp;Tabella1[[#This Row],[Città]]</f>
        <v>SUN CITY B&amp;B - MONDOLFO</v>
      </c>
    </row>
    <row r="5911" spans="1:8" x14ac:dyDescent="0.25">
      <c r="A5911" s="1" t="s">
        <v>20</v>
      </c>
      <c r="B5911" s="1" t="s">
        <v>17573</v>
      </c>
      <c r="C5911" s="1" t="s">
        <v>17574</v>
      </c>
      <c r="D5911" s="1" t="s">
        <v>15819</v>
      </c>
      <c r="E5911" s="1" t="s">
        <v>15819</v>
      </c>
      <c r="F5911" s="1" t="s">
        <v>17257</v>
      </c>
      <c r="G5911" s="1" t="s">
        <v>17575</v>
      </c>
      <c r="H5911" s="2" t="str">
        <f>Tabella1[[#This Row],[Denominazione]]&amp;" - "&amp;Tabella1[[#This Row],[Città]]</f>
        <v>SUNRISE - SAN BENEDETTO DEL TRONTO</v>
      </c>
    </row>
    <row r="5912" spans="1:8" x14ac:dyDescent="0.25">
      <c r="A5912" s="1" t="s">
        <v>679</v>
      </c>
      <c r="B5912" s="1" t="s">
        <v>17573</v>
      </c>
      <c r="C5912" s="1" t="s">
        <v>19399</v>
      </c>
      <c r="D5912" s="1" t="s">
        <v>19283</v>
      </c>
      <c r="E5912" s="1" t="s">
        <v>19363</v>
      </c>
      <c r="H5912" s="2" t="str">
        <f>Tabella1[[#This Row],[Denominazione]]&amp;" - "&amp;Tabella1[[#This Row],[Città]]</f>
        <v>SUNRISE - PORTO SANT'ELPIDIO</v>
      </c>
    </row>
    <row r="5913" spans="1:8" x14ac:dyDescent="0.25">
      <c r="A5913" s="1" t="s">
        <v>679</v>
      </c>
      <c r="B5913" s="1" t="s">
        <v>5897</v>
      </c>
      <c r="C5913" s="1" t="s">
        <v>5708</v>
      </c>
      <c r="D5913" s="1" t="s">
        <v>1864</v>
      </c>
      <c r="E5913" s="1" t="s">
        <v>1864</v>
      </c>
      <c r="G5913" s="1" t="s">
        <v>5898</v>
      </c>
      <c r="H5913" s="2" t="str">
        <f>Tabella1[[#This Row],[Denominazione]]&amp;" - "&amp;Tabella1[[#This Row],[Città]]</f>
        <v>SUNSET BEACH - ANCONA</v>
      </c>
    </row>
    <row r="5914" spans="1:8" x14ac:dyDescent="0.25">
      <c r="A5914" s="1" t="s">
        <v>29</v>
      </c>
      <c r="B5914" s="1" t="s">
        <v>3628</v>
      </c>
      <c r="C5914" s="1" t="s">
        <v>3629</v>
      </c>
      <c r="D5914" s="1" t="s">
        <v>2386</v>
      </c>
      <c r="E5914" s="1" t="s">
        <v>2386</v>
      </c>
      <c r="G5914" s="1" t="s">
        <v>3630</v>
      </c>
      <c r="H5914" s="2" t="str">
        <f>Tabella1[[#This Row],[Denominazione]]&amp;" - "&amp;Tabella1[[#This Row],[Città]]</f>
        <v>SWEET HARBOUR - PESARO</v>
      </c>
    </row>
    <row r="5915" spans="1:8" x14ac:dyDescent="0.25">
      <c r="A5915" s="1" t="s">
        <v>12</v>
      </c>
      <c r="B5915" s="1" t="s">
        <v>14137</v>
      </c>
      <c r="C5915" s="1" t="s">
        <v>14138</v>
      </c>
      <c r="D5915" s="1" t="s">
        <v>14065</v>
      </c>
      <c r="G5915" s="1" t="s">
        <v>14139</v>
      </c>
      <c r="H5915" s="2" t="str">
        <f>Tabella1[[#This Row],[Denominazione]]&amp;" - "&amp;Tabella1[[#This Row],[Città]]</f>
        <v>SWEET HOME - TREIA</v>
      </c>
    </row>
    <row r="5916" spans="1:8" x14ac:dyDescent="0.25">
      <c r="A5916" s="1" t="s">
        <v>20</v>
      </c>
      <c r="B5916" s="1" t="s">
        <v>17292</v>
      </c>
      <c r="C5916" s="1" t="s">
        <v>17293</v>
      </c>
      <c r="D5916" s="1" t="s">
        <v>15819</v>
      </c>
      <c r="E5916" s="1" t="s">
        <v>15819</v>
      </c>
      <c r="F5916" s="1" t="s">
        <v>17294</v>
      </c>
      <c r="G5916" s="1" t="s">
        <v>17295</v>
      </c>
      <c r="H5916" s="2" t="str">
        <f>Tabella1[[#This Row],[Denominazione]]&amp;" - "&amp;Tabella1[[#This Row],[Città]]</f>
        <v>SYDNEY - SAN BENEDETTO DEL TRONTO</v>
      </c>
    </row>
    <row r="5917" spans="1:8" x14ac:dyDescent="0.25">
      <c r="A5917" s="1" t="s">
        <v>20</v>
      </c>
      <c r="B5917" s="1" t="s">
        <v>3703</v>
      </c>
      <c r="C5917" s="1" t="s">
        <v>3704</v>
      </c>
      <c r="D5917" s="1" t="s">
        <v>2386</v>
      </c>
      <c r="E5917" s="1" t="s">
        <v>2386</v>
      </c>
      <c r="F5917" s="1" t="s">
        <v>3705</v>
      </c>
      <c r="G5917" s="1" t="s">
        <v>3706</v>
      </c>
      <c r="H5917" s="2" t="str">
        <f>Tabella1[[#This Row],[Denominazione]]&amp;" - "&amp;Tabella1[[#This Row],[Città]]</f>
        <v>SYLVIA - PESARO</v>
      </c>
    </row>
    <row r="5918" spans="1:8" x14ac:dyDescent="0.25">
      <c r="A5918" s="1" t="s">
        <v>20</v>
      </c>
      <c r="B5918" s="1" t="s">
        <v>3703</v>
      </c>
      <c r="C5918" s="1" t="s">
        <v>15753</v>
      </c>
      <c r="D5918" s="1" t="s">
        <v>15585</v>
      </c>
      <c r="E5918" s="1" t="s">
        <v>15585</v>
      </c>
      <c r="F5918" s="1" t="s">
        <v>15754</v>
      </c>
      <c r="G5918" s="1" t="s">
        <v>15755</v>
      </c>
      <c r="H5918" s="2" t="str">
        <f>Tabella1[[#This Row],[Denominazione]]&amp;" - "&amp;Tabella1[[#This Row],[Città]]</f>
        <v>SYLVIA - GROTTAMMARE</v>
      </c>
    </row>
    <row r="5919" spans="1:8" x14ac:dyDescent="0.25">
      <c r="A5919" s="1" t="s">
        <v>20</v>
      </c>
      <c r="B5919" s="1" t="s">
        <v>4624</v>
      </c>
      <c r="C5919" s="1" t="s">
        <v>4625</v>
      </c>
      <c r="D5919" s="1" t="s">
        <v>4578</v>
      </c>
      <c r="F5919" s="1" t="s">
        <v>4626</v>
      </c>
      <c r="G5919" s="1" t="s">
        <v>4627</v>
      </c>
      <c r="H5919" s="2" t="str">
        <f>Tabella1[[#This Row],[Denominazione]]&amp;" - "&amp;Tabella1[[#This Row],[Città]]</f>
        <v>SYMPOSIUM RESORT - SERRUNGARINA</v>
      </c>
    </row>
    <row r="5920" spans="1:8" x14ac:dyDescent="0.25">
      <c r="A5920" s="1" t="s">
        <v>20</v>
      </c>
      <c r="B5920" s="1" t="s">
        <v>1463</v>
      </c>
      <c r="C5920" s="1" t="s">
        <v>1464</v>
      </c>
      <c r="D5920" s="1" t="s">
        <v>682</v>
      </c>
      <c r="E5920" s="1" t="s">
        <v>828</v>
      </c>
      <c r="F5920" s="1" t="s">
        <v>1465</v>
      </c>
      <c r="G5920" s="1" t="s">
        <v>1466</v>
      </c>
      <c r="H5920" s="2" t="str">
        <f>Tabella1[[#This Row],[Denominazione]]&amp;" - "&amp;Tabella1[[#This Row],[Città]]</f>
        <v>TAG HOTEL - FANO</v>
      </c>
    </row>
    <row r="5921" spans="1:8" x14ac:dyDescent="0.25">
      <c r="A5921" s="1" t="s">
        <v>6</v>
      </c>
      <c r="B5921" s="1" t="s">
        <v>2527</v>
      </c>
      <c r="C5921" s="1" t="s">
        <v>2528</v>
      </c>
      <c r="D5921" s="1" t="s">
        <v>2529</v>
      </c>
      <c r="E5921" s="1" t="s">
        <v>2529</v>
      </c>
      <c r="G5921" s="1" t="s">
        <v>2530</v>
      </c>
      <c r="H5921" s="2" t="str">
        <f>Tabella1[[#This Row],[Denominazione]]&amp;" - "&amp;Tabella1[[#This Row],[Città]]</f>
        <v>TAGLIABRACCI NORMA - ISOLA DEL PIANO</v>
      </c>
    </row>
    <row r="5922" spans="1:8" x14ac:dyDescent="0.25">
      <c r="A5922" s="1" t="s">
        <v>20</v>
      </c>
      <c r="B5922" s="1" t="s">
        <v>17576</v>
      </c>
      <c r="C5922" s="1" t="s">
        <v>17577</v>
      </c>
      <c r="D5922" s="1" t="s">
        <v>15819</v>
      </c>
      <c r="E5922" s="1" t="s">
        <v>15819</v>
      </c>
      <c r="G5922" s="1" t="s">
        <v>17578</v>
      </c>
      <c r="H5922" s="2" t="str">
        <f>Tabella1[[#This Row],[Denominazione]]&amp;" - "&amp;Tabella1[[#This Row],[Città]]</f>
        <v>TAMANACO - SAN BENEDETTO DEL TRONTO</v>
      </c>
    </row>
    <row r="5923" spans="1:8" x14ac:dyDescent="0.25">
      <c r="A5923" s="1" t="s">
        <v>12</v>
      </c>
      <c r="B5923" s="1" t="s">
        <v>12312</v>
      </c>
      <c r="C5923" s="1" t="s">
        <v>12313</v>
      </c>
      <c r="D5923" s="1" t="s">
        <v>12290</v>
      </c>
      <c r="G5923" s="1" t="s">
        <v>12314</v>
      </c>
      <c r="H5923" s="2" t="str">
        <f>Tabella1[[#This Row],[Denominazione]]&amp;" - "&amp;Tabella1[[#This Row],[Città]]</f>
        <v>TAMSIN ANNE HICKSON - MOGLIANO</v>
      </c>
    </row>
    <row r="5924" spans="1:8" x14ac:dyDescent="0.25">
      <c r="A5924" s="1" t="s">
        <v>82</v>
      </c>
      <c r="B5924" s="1" t="s">
        <v>17036</v>
      </c>
      <c r="C5924" s="1" t="s">
        <v>17037</v>
      </c>
      <c r="D5924" s="1" t="s">
        <v>15819</v>
      </c>
      <c r="F5924" s="1" t="s">
        <v>17031</v>
      </c>
      <c r="G5924" s="1" t="s">
        <v>17032</v>
      </c>
      <c r="H5924" s="2" t="str">
        <f>Tabella1[[#This Row],[Denominazione]]&amp;" - "&amp;Tabella1[[#This Row],[Città]]</f>
        <v>TAORMINA - SAN BENEDETTO DEL TRONTO</v>
      </c>
    </row>
    <row r="5925" spans="1:8" x14ac:dyDescent="0.25">
      <c r="A5925" s="1" t="s">
        <v>29</v>
      </c>
      <c r="B5925" s="1" t="s">
        <v>4692</v>
      </c>
      <c r="C5925" s="1" t="s">
        <v>4693</v>
      </c>
      <c r="D5925" s="1" t="s">
        <v>4657</v>
      </c>
      <c r="E5925" s="1" t="s">
        <v>4657</v>
      </c>
      <c r="F5925" s="1" t="s">
        <v>4694</v>
      </c>
      <c r="G5925" s="1" t="s">
        <v>4695</v>
      </c>
      <c r="H5925" s="2" t="str">
        <f>Tabella1[[#This Row],[Denominazione]]&amp;" - "&amp;Tabella1[[#This Row],[Città]]</f>
        <v>TARCISIO B&amp;B - TAVULLIA</v>
      </c>
    </row>
    <row r="5926" spans="1:8" x14ac:dyDescent="0.25">
      <c r="A5926" s="1" t="s">
        <v>679</v>
      </c>
      <c r="B5926" s="1" t="s">
        <v>13123</v>
      </c>
      <c r="D5926" s="1" t="s">
        <v>13026</v>
      </c>
      <c r="G5926" s="1" t="s">
        <v>13124</v>
      </c>
      <c r="H5926" s="2" t="str">
        <f>Tabella1[[#This Row],[Denominazione]]&amp;" - "&amp;Tabella1[[#This Row],[Città]]</f>
        <v>TARIFA - POTENZA PICENA</v>
      </c>
    </row>
    <row r="5927" spans="1:8" x14ac:dyDescent="0.25">
      <c r="A5927" s="1" t="s">
        <v>82</v>
      </c>
      <c r="B5927" s="1" t="s">
        <v>15265</v>
      </c>
      <c r="C5927" s="1" t="s">
        <v>15266</v>
      </c>
      <c r="D5927" s="1" t="s">
        <v>15249</v>
      </c>
      <c r="E5927" s="1" t="s">
        <v>15249</v>
      </c>
      <c r="G5927" s="1" t="s">
        <v>15267</v>
      </c>
      <c r="H5927" s="2" t="str">
        <f>Tabella1[[#This Row],[Denominazione]]&amp;" - "&amp;Tabella1[[#This Row],[Città]]</f>
        <v>TASSI di Lorella De Luca - COMUNANZA</v>
      </c>
    </row>
    <row r="5928" spans="1:8" x14ac:dyDescent="0.25">
      <c r="A5928" s="1" t="s">
        <v>35</v>
      </c>
      <c r="B5928" s="1" t="s">
        <v>18721</v>
      </c>
      <c r="C5928" s="1" t="s">
        <v>18722</v>
      </c>
      <c r="D5928" s="1" t="s">
        <v>18702</v>
      </c>
      <c r="F5928" s="1" t="s">
        <v>18723</v>
      </c>
      <c r="G5928" s="1" t="s">
        <v>18724</v>
      </c>
      <c r="H5928" s="2" t="str">
        <f>Tabella1[[#This Row],[Denominazione]]&amp;" - "&amp;Tabella1[[#This Row],[Città]]</f>
        <v>T'ASTERIA - MONTELPARO</v>
      </c>
    </row>
    <row r="5929" spans="1:8" x14ac:dyDescent="0.25">
      <c r="A5929" s="1" t="s">
        <v>679</v>
      </c>
      <c r="B5929" s="1" t="s">
        <v>8147</v>
      </c>
      <c r="C5929" s="1" t="s">
        <v>8148</v>
      </c>
      <c r="D5929" s="1" t="s">
        <v>7889</v>
      </c>
      <c r="E5929" s="1" t="s">
        <v>7890</v>
      </c>
      <c r="H5929" s="2" t="str">
        <f>Tabella1[[#This Row],[Denominazione]]&amp;" - "&amp;Tabella1[[#This Row],[Città]]</f>
        <v>TAUNUS - NUMANA</v>
      </c>
    </row>
    <row r="5930" spans="1:8" x14ac:dyDescent="0.25">
      <c r="A5930" s="1" t="s">
        <v>82</v>
      </c>
      <c r="B5930" s="1" t="s">
        <v>8345</v>
      </c>
      <c r="C5930" s="1" t="s">
        <v>8346</v>
      </c>
      <c r="D5930" s="1" t="s">
        <v>7889</v>
      </c>
      <c r="E5930" s="1" t="s">
        <v>7889</v>
      </c>
      <c r="G5930" s="1" t="s">
        <v>8347</v>
      </c>
      <c r="H5930" s="2" t="str">
        <f>Tabella1[[#This Row],[Denominazione]]&amp;" - "&amp;Tabella1[[#This Row],[Città]]</f>
        <v>TAUNUS VACANZE - NUMANA</v>
      </c>
    </row>
    <row r="5931" spans="1:8" x14ac:dyDescent="0.25">
      <c r="A5931" s="1" t="s">
        <v>82</v>
      </c>
      <c r="B5931" s="1" t="s">
        <v>8345</v>
      </c>
      <c r="C5931" s="1" t="s">
        <v>8381</v>
      </c>
      <c r="D5931" s="1" t="s">
        <v>7889</v>
      </c>
      <c r="E5931" s="1" t="s">
        <v>7889</v>
      </c>
      <c r="G5931" s="1" t="s">
        <v>8382</v>
      </c>
      <c r="H5931" s="2" t="str">
        <f>Tabella1[[#This Row],[Denominazione]]&amp;" - "&amp;Tabella1[[#This Row],[Città]]</f>
        <v>TAUNUS VACANZE - NUMANA</v>
      </c>
    </row>
    <row r="5932" spans="1:8" x14ac:dyDescent="0.25">
      <c r="A5932" s="1" t="s">
        <v>35</v>
      </c>
      <c r="B5932" s="1" t="s">
        <v>169</v>
      </c>
      <c r="C5932" s="1" t="s">
        <v>170</v>
      </c>
      <c r="D5932" s="1" t="s">
        <v>102</v>
      </c>
      <c r="E5932" s="1" t="s">
        <v>102</v>
      </c>
      <c r="G5932" s="1" t="s">
        <v>171</v>
      </c>
      <c r="H5932" s="2" t="str">
        <f>Tabella1[[#This Row],[Denominazione]]&amp;" - "&amp;Tabella1[[#This Row],[Città]]</f>
        <v>TAVERNA - APECCHIO</v>
      </c>
    </row>
    <row r="5933" spans="1:8" x14ac:dyDescent="0.25">
      <c r="A5933" s="1" t="s">
        <v>6</v>
      </c>
      <c r="B5933" s="1" t="s">
        <v>9418</v>
      </c>
      <c r="C5933" s="1" t="s">
        <v>9419</v>
      </c>
      <c r="D5933" s="1" t="s">
        <v>8949</v>
      </c>
      <c r="E5933" s="1" t="s">
        <v>8949</v>
      </c>
      <c r="G5933" s="1" t="s">
        <v>9420</v>
      </c>
      <c r="H5933" s="2" t="str">
        <f>Tabella1[[#This Row],[Denominazione]]&amp;" - "&amp;Tabella1[[#This Row],[Città]]</f>
        <v>TAVERNA DEI GUELFI - SENIGALLIA</v>
      </c>
    </row>
    <row r="5934" spans="1:8" x14ac:dyDescent="0.25">
      <c r="A5934" s="1" t="s">
        <v>20</v>
      </c>
      <c r="B5934" s="1" t="s">
        <v>16352</v>
      </c>
      <c r="C5934" s="1" t="s">
        <v>16353</v>
      </c>
      <c r="D5934" s="1" t="s">
        <v>16312</v>
      </c>
      <c r="E5934" s="1" t="s">
        <v>16312</v>
      </c>
      <c r="F5934" s="1" t="s">
        <v>16354</v>
      </c>
      <c r="G5934" s="1" t="s">
        <v>16355</v>
      </c>
      <c r="H5934" s="2" t="str">
        <f>Tabella1[[#This Row],[Denominazione]]&amp;" - "&amp;Tabella1[[#This Row],[Città]]</f>
        <v>TAVERNA DELLA MONTAGNA - MONTEMONACO</v>
      </c>
    </row>
    <row r="5935" spans="1:8" x14ac:dyDescent="0.25">
      <c r="A5935" s="1" t="s">
        <v>82</v>
      </c>
      <c r="B5935" s="1" t="s">
        <v>13556</v>
      </c>
      <c r="C5935" s="1" t="s">
        <v>13557</v>
      </c>
      <c r="D5935" s="1" t="s">
        <v>13548</v>
      </c>
      <c r="E5935" s="1" t="s">
        <v>13548</v>
      </c>
      <c r="G5935" s="1" t="s">
        <v>13558</v>
      </c>
      <c r="H5935" s="2" t="str">
        <f>Tabella1[[#This Row],[Denominazione]]&amp;" - "&amp;Tabella1[[#This Row],[Città]]</f>
        <v>TELONI SANDRO - SAN SEVERINO MARCHE</v>
      </c>
    </row>
    <row r="5936" spans="1:8" x14ac:dyDescent="0.25">
      <c r="A5936" s="1" t="s">
        <v>12</v>
      </c>
      <c r="B5936" s="1" t="s">
        <v>15038</v>
      </c>
      <c r="C5936" s="1" t="s">
        <v>15039</v>
      </c>
      <c r="D5936" s="1" t="s">
        <v>14576</v>
      </c>
      <c r="E5936" s="1" t="s">
        <v>15040</v>
      </c>
      <c r="G5936" s="1" t="s">
        <v>15041</v>
      </c>
      <c r="H5936" s="2" t="str">
        <f>Tabella1[[#This Row],[Denominazione]]&amp;" - "&amp;Tabella1[[#This Row],[Città]]</f>
        <v>TEMPERA ANNA MARIA - ASCOLI PICENO</v>
      </c>
    </row>
    <row r="5937" spans="1:8" x14ac:dyDescent="0.25">
      <c r="A5937" s="1" t="s">
        <v>82</v>
      </c>
      <c r="B5937" s="1" t="s">
        <v>7997</v>
      </c>
      <c r="C5937" s="1" t="s">
        <v>7998</v>
      </c>
      <c r="D5937" s="1" t="s">
        <v>7889</v>
      </c>
      <c r="F5937" s="1" t="s">
        <v>7999</v>
      </c>
      <c r="G5937" s="1" t="s">
        <v>8000</v>
      </c>
      <c r="H5937" s="2" t="str">
        <f>Tabella1[[#This Row],[Denominazione]]&amp;" - "&amp;Tabella1[[#This Row],[Città]]</f>
        <v>TEMPOCASA - NUMANA</v>
      </c>
    </row>
    <row r="5938" spans="1:8" x14ac:dyDescent="0.25">
      <c r="A5938" s="1" t="s">
        <v>20</v>
      </c>
      <c r="B5938" s="1" t="s">
        <v>7044</v>
      </c>
      <c r="C5938" s="1" t="s">
        <v>7045</v>
      </c>
      <c r="D5938" s="1" t="s">
        <v>5735</v>
      </c>
      <c r="E5938" s="1" t="s">
        <v>5735</v>
      </c>
      <c r="F5938" s="1" t="s">
        <v>7046</v>
      </c>
      <c r="G5938" s="1" t="s">
        <v>7047</v>
      </c>
      <c r="H5938" s="2" t="str">
        <f>Tabella1[[#This Row],[Denominazione]]&amp;" - "&amp;Tabella1[[#This Row],[Città]]</f>
        <v>TENDA VERDE - FALCONARA MARITTIMA</v>
      </c>
    </row>
    <row r="5939" spans="1:8" x14ac:dyDescent="0.25">
      <c r="A5939" s="1" t="s">
        <v>679</v>
      </c>
      <c r="B5939" s="1" t="s">
        <v>15875</v>
      </c>
      <c r="C5939" s="1" t="s">
        <v>15876</v>
      </c>
      <c r="D5939" s="1" t="s">
        <v>15585</v>
      </c>
      <c r="H5939" s="2" t="str">
        <f>Tabella1[[#This Row],[Denominazione]]&amp;" - "&amp;Tabella1[[#This Row],[Città]]</f>
        <v>TENENTE - GROTTAMMARE</v>
      </c>
    </row>
    <row r="5940" spans="1:8" x14ac:dyDescent="0.25">
      <c r="A5940" s="1" t="s">
        <v>82</v>
      </c>
      <c r="B5940" s="1" t="s">
        <v>9359</v>
      </c>
      <c r="C5940" s="1" t="s">
        <v>9360</v>
      </c>
      <c r="D5940" s="1" t="s">
        <v>8949</v>
      </c>
      <c r="G5940" s="1" t="s">
        <v>9358</v>
      </c>
      <c r="H5940" s="2" t="str">
        <f>Tabella1[[#This Row],[Denominazione]]&amp;" - "&amp;Tabella1[[#This Row],[Città]]</f>
        <v>TENENTI ROSANNA - SENIGALLIA</v>
      </c>
    </row>
    <row r="5941" spans="1:8" x14ac:dyDescent="0.25">
      <c r="A5941" s="1" t="s">
        <v>29</v>
      </c>
      <c r="B5941" s="1" t="s">
        <v>17738</v>
      </c>
      <c r="C5941" s="1" t="s">
        <v>17739</v>
      </c>
      <c r="D5941" s="1" t="s">
        <v>17703</v>
      </c>
      <c r="E5941" s="1" t="s">
        <v>17740</v>
      </c>
      <c r="F5941" s="1" t="s">
        <v>17741</v>
      </c>
      <c r="G5941" s="1" t="s">
        <v>17742</v>
      </c>
      <c r="H5941" s="2" t="str">
        <f>Tabella1[[#This Row],[Denominazione]]&amp;" - "&amp;Tabella1[[#This Row],[Città]]</f>
        <v>TENUTA BARBOLANO B&amp;B - ALTIDONA</v>
      </c>
    </row>
    <row r="5942" spans="1:8" x14ac:dyDescent="0.25">
      <c r="A5942" s="1" t="s">
        <v>35</v>
      </c>
      <c r="B5942" s="1" t="s">
        <v>2535</v>
      </c>
      <c r="C5942" s="1" t="s">
        <v>2536</v>
      </c>
      <c r="D5942" s="1" t="s">
        <v>2529</v>
      </c>
      <c r="E5942" s="1" t="s">
        <v>2529</v>
      </c>
      <c r="F5942" s="1" t="s">
        <v>2537</v>
      </c>
      <c r="G5942" s="1" t="s">
        <v>2538</v>
      </c>
      <c r="H5942" s="2" t="str">
        <f>Tabella1[[#This Row],[Denominazione]]&amp;" - "&amp;Tabella1[[#This Row],[Città]]</f>
        <v>TENUTA DI MONTEBELLO - ISOLA DEL PIANO</v>
      </c>
    </row>
    <row r="5943" spans="1:8" x14ac:dyDescent="0.25">
      <c r="A5943" s="1" t="s">
        <v>20</v>
      </c>
      <c r="B5943" s="1" t="s">
        <v>10517</v>
      </c>
      <c r="C5943" s="1" t="s">
        <v>10518</v>
      </c>
      <c r="D5943" s="1" t="s">
        <v>10519</v>
      </c>
      <c r="E5943" s="1" t="s">
        <v>10520</v>
      </c>
      <c r="F5943" s="1" t="s">
        <v>10521</v>
      </c>
      <c r="G5943" s="1" t="s">
        <v>10522</v>
      </c>
      <c r="H5943" s="2" t="str">
        <f>Tabella1[[#This Row],[Denominazione]]&amp;" - "&amp;Tabella1[[#This Row],[Città]]</f>
        <v>TENUTA IL GIOGO - TRECASTELLI</v>
      </c>
    </row>
    <row r="5944" spans="1:8" x14ac:dyDescent="0.25">
      <c r="A5944" s="1" t="s">
        <v>35</v>
      </c>
      <c r="B5944" s="1" t="s">
        <v>17781</v>
      </c>
      <c r="C5944" s="1" t="s">
        <v>17782</v>
      </c>
      <c r="D5944" s="1" t="s">
        <v>17745</v>
      </c>
      <c r="E5944" s="1" t="s">
        <v>17745</v>
      </c>
      <c r="F5944" s="1" t="s">
        <v>17783</v>
      </c>
      <c r="G5944" s="1" t="s">
        <v>17784</v>
      </c>
      <c r="H5944" s="2" t="str">
        <f>Tabella1[[#This Row],[Denominazione]]&amp;" - "&amp;Tabella1[[#This Row],[Città]]</f>
        <v>TENUTA LE PIANE - AMANDOLA</v>
      </c>
    </row>
    <row r="5945" spans="1:8" x14ac:dyDescent="0.25">
      <c r="A5945" s="1" t="s">
        <v>6</v>
      </c>
      <c r="B5945" s="1" t="s">
        <v>6825</v>
      </c>
      <c r="C5945" s="1" t="s">
        <v>6826</v>
      </c>
      <c r="D5945" s="1" t="s">
        <v>6790</v>
      </c>
      <c r="E5945" s="1" t="s">
        <v>6827</v>
      </c>
      <c r="F5945" s="1" t="s">
        <v>6828</v>
      </c>
      <c r="G5945" s="1" t="s">
        <v>6829</v>
      </c>
      <c r="H5945" s="2" t="str">
        <f>Tabella1[[#This Row],[Denominazione]]&amp;" - "&amp;Tabella1[[#This Row],[Città]]</f>
        <v>TENUTA SAN CASSIANO - FABRIANO</v>
      </c>
    </row>
    <row r="5946" spans="1:8" x14ac:dyDescent="0.25">
      <c r="A5946" s="1" t="s">
        <v>6</v>
      </c>
      <c r="B5946" s="1" t="s">
        <v>6825</v>
      </c>
      <c r="C5946" s="1" t="s">
        <v>7006</v>
      </c>
      <c r="D5946" s="1" t="s">
        <v>6790</v>
      </c>
      <c r="E5946" s="1" t="s">
        <v>6827</v>
      </c>
      <c r="F5946" s="1" t="s">
        <v>6828</v>
      </c>
      <c r="G5946" s="1" t="s">
        <v>6829</v>
      </c>
      <c r="H5946" s="2" t="str">
        <f>Tabella1[[#This Row],[Denominazione]]&amp;" - "&amp;Tabella1[[#This Row],[Città]]</f>
        <v>TENUTA SAN CASSIANO - FABRIANO</v>
      </c>
    </row>
    <row r="5947" spans="1:8" x14ac:dyDescent="0.25">
      <c r="A5947" s="1" t="s">
        <v>35</v>
      </c>
      <c r="B5947" s="1" t="s">
        <v>8806</v>
      </c>
      <c r="C5947" s="1" t="s">
        <v>8807</v>
      </c>
      <c r="D5947" s="1" t="s">
        <v>8801</v>
      </c>
      <c r="F5947" s="1" t="s">
        <v>8808</v>
      </c>
      <c r="G5947" s="1" t="s">
        <v>8809</v>
      </c>
      <c r="H5947" s="2" t="str">
        <f>Tabella1[[#This Row],[Denominazione]]&amp;" - "&amp;Tabella1[[#This Row],[Città]]</f>
        <v>TENUTA SAN MARCELLO - SAN MARCELLO</v>
      </c>
    </row>
    <row r="5948" spans="1:8" x14ac:dyDescent="0.25">
      <c r="A5948" s="1" t="s">
        <v>12</v>
      </c>
      <c r="B5948" s="1" t="s">
        <v>1539</v>
      </c>
      <c r="C5948" s="1" t="s">
        <v>1540</v>
      </c>
      <c r="D5948" s="1" t="s">
        <v>682</v>
      </c>
      <c r="E5948" s="1" t="s">
        <v>682</v>
      </c>
      <c r="G5948" s="1" t="s">
        <v>1541</v>
      </c>
      <c r="H5948" s="2" t="str">
        <f>Tabella1[[#This Row],[Denominazione]]&amp;" - "&amp;Tabella1[[#This Row],[Città]]</f>
        <v>TEODORI PAOLO - FANO</v>
      </c>
    </row>
    <row r="5949" spans="1:8" x14ac:dyDescent="0.25">
      <c r="A5949" s="1" t="s">
        <v>12</v>
      </c>
      <c r="B5949" s="1" t="s">
        <v>2524</v>
      </c>
      <c r="C5949" s="1" t="s">
        <v>2525</v>
      </c>
      <c r="D5949" s="1" t="s">
        <v>2425</v>
      </c>
      <c r="E5949" s="1" t="s">
        <v>2425</v>
      </c>
      <c r="G5949" s="1" t="s">
        <v>2526</v>
      </c>
      <c r="H5949" s="2" t="str">
        <f>Tabella1[[#This Row],[Denominazione]]&amp;" - "&amp;Tabella1[[#This Row],[Città]]</f>
        <v>TERENZI ELISA - GRADARA</v>
      </c>
    </row>
    <row r="5950" spans="1:8" x14ac:dyDescent="0.25">
      <c r="A5950" s="1" t="s">
        <v>12</v>
      </c>
      <c r="B5950" s="1" t="s">
        <v>2033</v>
      </c>
      <c r="C5950" s="1" t="s">
        <v>2034</v>
      </c>
      <c r="D5950" s="1" t="s">
        <v>1907</v>
      </c>
      <c r="H5950" s="2" t="str">
        <f>Tabella1[[#This Row],[Denominazione]]&amp;" - "&amp;Tabella1[[#This Row],[Città]]</f>
        <v>TERENZI GIORGIO - GABICCE MARE</v>
      </c>
    </row>
    <row r="5951" spans="1:8" x14ac:dyDescent="0.25">
      <c r="A5951" s="1" t="s">
        <v>20</v>
      </c>
      <c r="B5951" s="1" t="s">
        <v>8252</v>
      </c>
      <c r="C5951" s="1" t="s">
        <v>8253</v>
      </c>
      <c r="D5951" s="1" t="s">
        <v>7889</v>
      </c>
      <c r="E5951" s="1" t="s">
        <v>7889</v>
      </c>
      <c r="F5951" s="1" t="s">
        <v>8254</v>
      </c>
      <c r="G5951" s="1" t="s">
        <v>8255</v>
      </c>
      <c r="H5951" s="2" t="str">
        <f>Tabella1[[#This Row],[Denominazione]]&amp;" - "&amp;Tabella1[[#This Row],[Città]]</f>
        <v>TERESA A MARE - NUMANA</v>
      </c>
    </row>
    <row r="5952" spans="1:8" x14ac:dyDescent="0.25">
      <c r="A5952" s="1" t="s">
        <v>679</v>
      </c>
      <c r="B5952" s="1" t="s">
        <v>9995</v>
      </c>
      <c r="C5952" s="1" t="s">
        <v>9996</v>
      </c>
      <c r="D5952" s="1" t="s">
        <v>8949</v>
      </c>
      <c r="E5952" s="1" t="s">
        <v>8949</v>
      </c>
      <c r="H5952" s="2" t="str">
        <f>Tabella1[[#This Row],[Denominazione]]&amp;" - "&amp;Tabella1[[#This Row],[Città]]</f>
        <v>TERESA BAGNI N° 142 - SENIGALLIA</v>
      </c>
    </row>
    <row r="5953" spans="1:8" x14ac:dyDescent="0.25">
      <c r="A5953" s="1" t="s">
        <v>20</v>
      </c>
      <c r="B5953" s="1" t="s">
        <v>13850</v>
      </c>
      <c r="C5953" s="1" t="s">
        <v>13851</v>
      </c>
      <c r="D5953" s="1" t="s">
        <v>13756</v>
      </c>
      <c r="E5953" s="1" t="s">
        <v>13756</v>
      </c>
      <c r="F5953" s="1" t="s">
        <v>13852</v>
      </c>
      <c r="G5953" s="1" t="s">
        <v>13853</v>
      </c>
      <c r="H5953" s="2" t="str">
        <f>Tabella1[[#This Row],[Denominazione]]&amp;" - "&amp;Tabella1[[#This Row],[Città]]</f>
        <v>TERME - SARNANO</v>
      </c>
    </row>
    <row r="5954" spans="1:8" x14ac:dyDescent="0.25">
      <c r="A5954" s="1" t="s">
        <v>6</v>
      </c>
      <c r="B5954" s="1" t="s">
        <v>18651</v>
      </c>
      <c r="C5954" s="1" t="s">
        <v>18652</v>
      </c>
      <c r="D5954" s="1" t="s">
        <v>18653</v>
      </c>
      <c r="E5954" s="1" t="s">
        <v>18653</v>
      </c>
      <c r="F5954" s="1" t="s">
        <v>18654</v>
      </c>
      <c r="G5954" s="1" t="s">
        <v>18655</v>
      </c>
      <c r="H5954" s="2" t="str">
        <f>Tabella1[[#This Row],[Denominazione]]&amp;" - "&amp;Tabella1[[#This Row],[Città]]</f>
        <v>TERRA &amp; SOLE S.R.L. - MONTEGRANARO</v>
      </c>
    </row>
    <row r="5955" spans="1:8" x14ac:dyDescent="0.25">
      <c r="A5955" s="1" t="s">
        <v>190</v>
      </c>
      <c r="B5955" s="1" t="s">
        <v>7518</v>
      </c>
      <c r="C5955" s="1" t="s">
        <v>7519</v>
      </c>
      <c r="D5955" s="1" t="s">
        <v>7385</v>
      </c>
      <c r="G5955" s="1" t="s">
        <v>7520</v>
      </c>
      <c r="H5955" s="2" t="str">
        <f>Tabella1[[#This Row],[Denominazione]]&amp;" - "&amp;Tabella1[[#This Row],[Città]]</f>
        <v>TERRA DEI FIORETTI - LORETO</v>
      </c>
    </row>
    <row r="5956" spans="1:8" x14ac:dyDescent="0.25">
      <c r="A5956" s="1" t="s">
        <v>35</v>
      </c>
      <c r="B5956" s="1" t="s">
        <v>13398</v>
      </c>
      <c r="C5956" s="1" t="s">
        <v>13399</v>
      </c>
      <c r="D5956" s="1" t="s">
        <v>13298</v>
      </c>
      <c r="G5956" s="1" t="s">
        <v>13400</v>
      </c>
      <c r="H5956" s="2" t="str">
        <f>Tabella1[[#This Row],[Denominazione]]&amp;" - "&amp;Tabella1[[#This Row],[Città]]</f>
        <v>TERRA DEL SOLE - RECANATI</v>
      </c>
    </row>
    <row r="5957" spans="1:8" x14ac:dyDescent="0.25">
      <c r="A5957" s="1" t="s">
        <v>29</v>
      </c>
      <c r="B5957" s="1" t="s">
        <v>3462</v>
      </c>
      <c r="C5957" s="1" t="s">
        <v>3463</v>
      </c>
      <c r="D5957" s="1" t="s">
        <v>2386</v>
      </c>
      <c r="E5957" s="1" t="s">
        <v>3464</v>
      </c>
      <c r="G5957" s="1" t="s">
        <v>3465</v>
      </c>
      <c r="H5957" s="2" t="str">
        <f>Tabella1[[#This Row],[Denominazione]]&amp;" - "&amp;Tabella1[[#This Row],[Città]]</f>
        <v>TERRACHIARA AZ.AGRICOLA E B&amp;B - PESARO</v>
      </c>
    </row>
    <row r="5958" spans="1:8" x14ac:dyDescent="0.25">
      <c r="A5958" s="1" t="s">
        <v>20</v>
      </c>
      <c r="B5958" s="1" t="s">
        <v>9815</v>
      </c>
      <c r="C5958" s="1" t="s">
        <v>9816</v>
      </c>
      <c r="D5958" s="1" t="s">
        <v>8949</v>
      </c>
      <c r="E5958" s="1" t="s">
        <v>8949</v>
      </c>
      <c r="F5958" s="1" t="s">
        <v>9817</v>
      </c>
      <c r="G5958" s="1" t="s">
        <v>9818</v>
      </c>
      <c r="H5958" s="2" t="str">
        <f>Tabella1[[#This Row],[Denominazione]]&amp;" - "&amp;Tabella1[[#This Row],[Città]]</f>
        <v>TERRAZZA MARCONI - SENIGALLIA</v>
      </c>
    </row>
    <row r="5959" spans="1:8" x14ac:dyDescent="0.25">
      <c r="A5959" s="1" t="s">
        <v>20</v>
      </c>
      <c r="B5959" s="1" t="s">
        <v>10347</v>
      </c>
      <c r="C5959" s="1" t="s">
        <v>10348</v>
      </c>
      <c r="D5959" s="1" t="s">
        <v>10206</v>
      </c>
      <c r="G5959" s="1" t="s">
        <v>10349</v>
      </c>
      <c r="H5959" s="2" t="str">
        <f>Tabella1[[#This Row],[Denominazione]]&amp;" - "&amp;Tabella1[[#This Row],[Città]]</f>
        <v>TERRAZZAMARE - SIROLO</v>
      </c>
    </row>
    <row r="5960" spans="1:8" x14ac:dyDescent="0.25">
      <c r="A5960" s="1" t="s">
        <v>571</v>
      </c>
      <c r="B5960" s="1" t="s">
        <v>15488</v>
      </c>
      <c r="C5960" s="1" t="s">
        <v>15489</v>
      </c>
      <c r="D5960" s="1" t="s">
        <v>15349</v>
      </c>
      <c r="E5960" s="1" t="s">
        <v>15349</v>
      </c>
      <c r="F5960" s="1" t="s">
        <v>15490</v>
      </c>
      <c r="G5960" s="1" t="s">
        <v>15491</v>
      </c>
      <c r="H5960" s="2" t="str">
        <f>Tabella1[[#This Row],[Denominazione]]&amp;" - "&amp;Tabella1[[#This Row],[Città]]</f>
        <v>TERRAZZO SUL MARE - CUPRA MARITTIMA</v>
      </c>
    </row>
    <row r="5961" spans="1:8" x14ac:dyDescent="0.25">
      <c r="A5961" s="1" t="s">
        <v>35</v>
      </c>
      <c r="B5961" s="1" t="s">
        <v>12697</v>
      </c>
      <c r="D5961" s="1" t="s">
        <v>12694</v>
      </c>
      <c r="F5961" s="1" t="s">
        <v>12698</v>
      </c>
      <c r="G5961" s="1" t="s">
        <v>12699</v>
      </c>
      <c r="H5961" s="2" t="str">
        <f>Tabella1[[#This Row],[Denominazione]]&amp;" - "&amp;Tabella1[[#This Row],[Città]]</f>
        <v>TERRE DELLA SIBILLA - PIEVEBOVIGLIANA</v>
      </c>
    </row>
    <row r="5962" spans="1:8" x14ac:dyDescent="0.25">
      <c r="A5962" s="1" t="s">
        <v>6</v>
      </c>
      <c r="B5962" s="1" t="s">
        <v>13681</v>
      </c>
      <c r="C5962" s="1" t="s">
        <v>13682</v>
      </c>
      <c r="D5962" s="1" t="s">
        <v>13548</v>
      </c>
      <c r="E5962" s="1" t="s">
        <v>13548</v>
      </c>
      <c r="F5962" s="1" t="s">
        <v>13683</v>
      </c>
      <c r="G5962" s="1" t="s">
        <v>13684</v>
      </c>
      <c r="H5962" s="2" t="str">
        <f>Tabella1[[#This Row],[Denominazione]]&amp;" - "&amp;Tabella1[[#This Row],[Città]]</f>
        <v>TERRE DI ORPIANO - SAN SEVERINO MARCHE</v>
      </c>
    </row>
    <row r="5963" spans="1:8" x14ac:dyDescent="0.25">
      <c r="A5963" s="1" t="s">
        <v>35</v>
      </c>
      <c r="B5963" s="1" t="s">
        <v>16094</v>
      </c>
      <c r="C5963" s="1" t="s">
        <v>16095</v>
      </c>
      <c r="D5963" s="1" t="s">
        <v>16083</v>
      </c>
      <c r="E5963" s="1" t="s">
        <v>16083</v>
      </c>
      <c r="F5963" s="1" t="s">
        <v>16096</v>
      </c>
      <c r="G5963" s="1" t="s">
        <v>16097</v>
      </c>
      <c r="H5963" s="2" t="str">
        <f>Tabella1[[#This Row],[Denominazione]]&amp;" - "&amp;Tabella1[[#This Row],[Città]]</f>
        <v>TERRE VINEATE - MONTALTO DELLE MARCHE</v>
      </c>
    </row>
    <row r="5964" spans="1:8" x14ac:dyDescent="0.25">
      <c r="A5964" s="1" t="s">
        <v>35</v>
      </c>
      <c r="B5964" s="1" t="s">
        <v>13819</v>
      </c>
      <c r="C5964" s="1" t="s">
        <v>13820</v>
      </c>
      <c r="D5964" s="1" t="s">
        <v>13756</v>
      </c>
      <c r="E5964" s="1" t="s">
        <v>13756</v>
      </c>
      <c r="F5964" s="1" t="s">
        <v>13821</v>
      </c>
      <c r="G5964" s="1" t="s">
        <v>13822</v>
      </c>
      <c r="H5964" s="2" t="str">
        <f>Tabella1[[#This Row],[Denominazione]]&amp;" - "&amp;Tabella1[[#This Row],[Città]]</f>
        <v>TERRO - SARNANO</v>
      </c>
    </row>
    <row r="5965" spans="1:8" x14ac:dyDescent="0.25">
      <c r="A5965" s="1" t="s">
        <v>12</v>
      </c>
      <c r="B5965" s="1" t="s">
        <v>18827</v>
      </c>
      <c r="C5965" s="1" t="s">
        <v>18828</v>
      </c>
      <c r="D5965" s="1" t="s">
        <v>18829</v>
      </c>
      <c r="E5965" s="1" t="s">
        <v>18829</v>
      </c>
      <c r="H5965" s="2" t="str">
        <f>Tabella1[[#This Row],[Denominazione]]&amp;" - "&amp;Tabella1[[#This Row],[Città]]</f>
        <v>TESEI DELIA - MONTE SAN PIETRANGELI</v>
      </c>
    </row>
    <row r="5966" spans="1:8" x14ac:dyDescent="0.25">
      <c r="A5966" s="1" t="s">
        <v>20</v>
      </c>
      <c r="B5966" s="1" t="s">
        <v>10719</v>
      </c>
      <c r="C5966" s="1" t="s">
        <v>10720</v>
      </c>
      <c r="D5966" s="1" t="s">
        <v>10702</v>
      </c>
      <c r="E5966" s="1" t="s">
        <v>10702</v>
      </c>
      <c r="F5966" s="1" t="s">
        <v>10721</v>
      </c>
      <c r="G5966" s="1" t="s">
        <v>10722</v>
      </c>
      <c r="H5966" s="2" t="str">
        <f>Tabella1[[#This Row],[Denominazione]]&amp;" - "&amp;Tabella1[[#This Row],[Città]]</f>
        <v>TESORO - CALDAROLA</v>
      </c>
    </row>
    <row r="5967" spans="1:8" x14ac:dyDescent="0.25">
      <c r="A5967" s="1" t="s">
        <v>20</v>
      </c>
      <c r="B5967" s="1" t="s">
        <v>15188</v>
      </c>
      <c r="C5967" s="1" t="s">
        <v>15189</v>
      </c>
      <c r="D5967" s="1" t="s">
        <v>15151</v>
      </c>
      <c r="E5967" s="1" t="s">
        <v>15151</v>
      </c>
      <c r="F5967" s="1" t="s">
        <v>15190</v>
      </c>
      <c r="G5967" s="1" t="s">
        <v>15191</v>
      </c>
      <c r="H5967" s="2" t="str">
        <f>Tabella1[[#This Row],[Denominazione]]&amp;" - "&amp;Tabella1[[#This Row],[Città]]</f>
        <v>TETA - CASTIGNANO</v>
      </c>
    </row>
    <row r="5968" spans="1:8" x14ac:dyDescent="0.25">
      <c r="A5968" s="1" t="s">
        <v>20</v>
      </c>
      <c r="B5968" s="1" t="s">
        <v>11131</v>
      </c>
      <c r="C5968" s="1" t="s">
        <v>11132</v>
      </c>
      <c r="D5968" s="1" t="s">
        <v>11058</v>
      </c>
      <c r="E5968" s="1" t="s">
        <v>11058</v>
      </c>
      <c r="F5968" s="1" t="s">
        <v>11133</v>
      </c>
      <c r="G5968" s="1" t="s">
        <v>11134</v>
      </c>
      <c r="H5968" s="2" t="str">
        <f>Tabella1[[#This Row],[Denominazione]]&amp;" - "&amp;Tabella1[[#This Row],[Città]]</f>
        <v>TETTO DELLE MARCHE - CINGOLI</v>
      </c>
    </row>
    <row r="5969" spans="1:8" x14ac:dyDescent="0.25">
      <c r="A5969" s="1" t="s">
        <v>82</v>
      </c>
      <c r="B5969" s="1" t="s">
        <v>12659</v>
      </c>
      <c r="C5969" s="1" t="s">
        <v>12660</v>
      </c>
      <c r="D5969" s="1" t="s">
        <v>12635</v>
      </c>
      <c r="E5969" s="1" t="s">
        <v>12635</v>
      </c>
      <c r="H5969" s="2" t="str">
        <f>Tabella1[[#This Row],[Denominazione]]&amp;" - "&amp;Tabella1[[#This Row],[Città]]</f>
        <v>THE METTA CENTRE - PENNA SAN GIOVANNI</v>
      </c>
    </row>
    <row r="5970" spans="1:8" x14ac:dyDescent="0.25">
      <c r="A5970" s="1" t="s">
        <v>82</v>
      </c>
      <c r="B5970" s="1" t="s">
        <v>9356</v>
      </c>
      <c r="C5970" s="1" t="s">
        <v>9357</v>
      </c>
      <c r="D5970" s="1" t="s">
        <v>8949</v>
      </c>
      <c r="G5970" s="1" t="s">
        <v>9358</v>
      </c>
      <c r="H5970" s="2" t="str">
        <f>Tabella1[[#This Row],[Denominazione]]&amp;" - "&amp;Tabella1[[#This Row],[Città]]</f>
        <v>THE NELLO'S HOLIDAY HOUSES - SENIGALLIA</v>
      </c>
    </row>
    <row r="5971" spans="1:8" x14ac:dyDescent="0.25">
      <c r="A5971" s="1" t="s">
        <v>20</v>
      </c>
      <c r="B5971" s="1" t="s">
        <v>3145</v>
      </c>
      <c r="C5971" s="1" t="s">
        <v>3146</v>
      </c>
      <c r="D5971" s="1" t="s">
        <v>3131</v>
      </c>
      <c r="E5971" s="1" t="s">
        <v>3131</v>
      </c>
      <c r="F5971" s="1" t="s">
        <v>3147</v>
      </c>
      <c r="G5971" s="1" t="s">
        <v>3148</v>
      </c>
      <c r="H5971" s="2" t="str">
        <f>Tabella1[[#This Row],[Denominazione]]&amp;" - "&amp;Tabella1[[#This Row],[Città]]</f>
        <v>THERMAL RESIDENCE - MONTE GRIMANO TERME</v>
      </c>
    </row>
    <row r="5972" spans="1:8" x14ac:dyDescent="0.25">
      <c r="A5972" s="1" t="s">
        <v>679</v>
      </c>
      <c r="B5972" s="1" t="s">
        <v>19449</v>
      </c>
      <c r="C5972" s="1" t="s">
        <v>3805</v>
      </c>
      <c r="D5972" s="1" t="s">
        <v>19283</v>
      </c>
      <c r="E5972" s="1" t="s">
        <v>2386</v>
      </c>
      <c r="H5972" s="2" t="str">
        <f>Tabella1[[#This Row],[Denominazione]]&amp;" - "&amp;Tabella1[[#This Row],[Città]]</f>
        <v>TI: ORO - PORTO SANT'ELPIDIO</v>
      </c>
    </row>
    <row r="5973" spans="1:8" x14ac:dyDescent="0.25">
      <c r="A5973" s="1" t="s">
        <v>6092</v>
      </c>
      <c r="B5973" s="1" t="s">
        <v>18959</v>
      </c>
      <c r="C5973" s="1" t="s">
        <v>18960</v>
      </c>
      <c r="D5973" s="1" t="s">
        <v>18944</v>
      </c>
      <c r="E5973" s="1" t="s">
        <v>18944</v>
      </c>
      <c r="F5973" s="1" t="s">
        <v>18961</v>
      </c>
      <c r="G5973" s="1" t="s">
        <v>18962</v>
      </c>
      <c r="H5973" s="2" t="str">
        <f>Tabella1[[#This Row],[Denominazione]]&amp;" - "&amp;Tabella1[[#This Row],[Città]]</f>
        <v>TIBICECO - PEDASO</v>
      </c>
    </row>
    <row r="5974" spans="1:8" x14ac:dyDescent="0.25">
      <c r="A5974" s="1" t="s">
        <v>82</v>
      </c>
      <c r="B5974" s="1" t="s">
        <v>2342</v>
      </c>
      <c r="C5974" s="1" t="s">
        <v>2343</v>
      </c>
      <c r="D5974" s="1" t="s">
        <v>1907</v>
      </c>
      <c r="E5974" s="1" t="s">
        <v>1907</v>
      </c>
      <c r="G5974" s="1" t="s">
        <v>2344</v>
      </c>
      <c r="H5974" s="2" t="str">
        <f>Tabella1[[#This Row],[Denominazione]]&amp;" - "&amp;Tabella1[[#This Row],[Città]]</f>
        <v>TIC TAC - GABICCE MARE</v>
      </c>
    </row>
    <row r="5975" spans="1:8" x14ac:dyDescent="0.25">
      <c r="A5975" s="1" t="s">
        <v>29</v>
      </c>
      <c r="B5975" s="1" t="s">
        <v>18151</v>
      </c>
      <c r="C5975" s="1" t="s">
        <v>18152</v>
      </c>
      <c r="D5975" s="1" t="s">
        <v>17932</v>
      </c>
      <c r="E5975" s="1" t="s">
        <v>17932</v>
      </c>
      <c r="G5975" s="1" t="s">
        <v>18153</v>
      </c>
      <c r="H5975" s="2" t="str">
        <f>Tabella1[[#This Row],[Denominazione]]&amp;" - "&amp;Tabella1[[#This Row],[Città]]</f>
        <v>TIDEI MARIO - FERMO</v>
      </c>
    </row>
    <row r="5976" spans="1:8" x14ac:dyDescent="0.25">
      <c r="A5976" s="1" t="s">
        <v>12</v>
      </c>
      <c r="B5976" s="1" t="s">
        <v>2784</v>
      </c>
      <c r="C5976" s="1" t="s">
        <v>2785</v>
      </c>
      <c r="D5976" s="1" t="s">
        <v>1605</v>
      </c>
      <c r="G5976" s="1" t="s">
        <v>2786</v>
      </c>
      <c r="H5976" s="2" t="str">
        <f>Tabella1[[#This Row],[Denominazione]]&amp;" - "&amp;Tabella1[[#This Row],[Città]]</f>
        <v>TINTI ALESSANDRO - MONDOLFO</v>
      </c>
    </row>
    <row r="5977" spans="1:8" x14ac:dyDescent="0.25">
      <c r="A5977" s="1" t="s">
        <v>20</v>
      </c>
      <c r="B5977" s="1" t="s">
        <v>17632</v>
      </c>
      <c r="C5977" s="1" t="s">
        <v>17633</v>
      </c>
      <c r="D5977" s="1" t="s">
        <v>15819</v>
      </c>
      <c r="E5977" s="1" t="s">
        <v>15819</v>
      </c>
      <c r="H5977" s="2" t="str">
        <f>Tabella1[[#This Row],[Denominazione]]&amp;" - "&amp;Tabella1[[#This Row],[Città]]</f>
        <v>TIZIANA - SAN BENEDETTO DEL TRONTO</v>
      </c>
    </row>
    <row r="5978" spans="1:8" x14ac:dyDescent="0.25">
      <c r="A5978" s="1" t="s">
        <v>571</v>
      </c>
      <c r="B5978" s="1" t="s">
        <v>10362</v>
      </c>
      <c r="C5978" s="1" t="s">
        <v>10363</v>
      </c>
      <c r="D5978" s="1" t="s">
        <v>10206</v>
      </c>
      <c r="G5978" s="1" t="s">
        <v>10364</v>
      </c>
      <c r="H5978" s="2" t="str">
        <f>Tabella1[[#This Row],[Denominazione]]&amp;" - "&amp;Tabella1[[#This Row],[Città]]</f>
        <v>TOBACCO ROAD MUSIC CLUB - SIROLO</v>
      </c>
    </row>
    <row r="5979" spans="1:8" x14ac:dyDescent="0.25">
      <c r="A5979" s="1" t="s">
        <v>12</v>
      </c>
      <c r="B5979" s="1" t="s">
        <v>9146</v>
      </c>
      <c r="C5979" s="1" t="s">
        <v>9147</v>
      </c>
      <c r="D5979" s="1" t="s">
        <v>8949</v>
      </c>
      <c r="E5979" s="1" t="s">
        <v>8949</v>
      </c>
      <c r="G5979" s="1" t="s">
        <v>9148</v>
      </c>
      <c r="H5979" s="2" t="str">
        <f>Tabella1[[#This Row],[Denominazione]]&amp;" - "&amp;Tabella1[[#This Row],[Città]]</f>
        <v>TOMASSONI GIULIANA - SENIGALLIA</v>
      </c>
    </row>
    <row r="5980" spans="1:8" x14ac:dyDescent="0.25">
      <c r="A5980" s="1" t="s">
        <v>12</v>
      </c>
      <c r="B5980" s="1" t="s">
        <v>1542</v>
      </c>
      <c r="C5980" s="1" t="s">
        <v>1543</v>
      </c>
      <c r="D5980" s="1" t="s">
        <v>682</v>
      </c>
      <c r="E5980" s="1" t="s">
        <v>682</v>
      </c>
      <c r="G5980" s="1" t="s">
        <v>1544</v>
      </c>
      <c r="H5980" s="2" t="str">
        <f>Tabella1[[#This Row],[Denominazione]]&amp;" - "&amp;Tabella1[[#This Row],[Città]]</f>
        <v>TOMASSONI LUIGINO - FANO</v>
      </c>
    </row>
    <row r="5981" spans="1:8" x14ac:dyDescent="0.25">
      <c r="A5981" s="1" t="s">
        <v>679</v>
      </c>
      <c r="B5981" s="1" t="s">
        <v>9905</v>
      </c>
      <c r="C5981" s="1" t="s">
        <v>9906</v>
      </c>
      <c r="D5981" s="1" t="s">
        <v>8949</v>
      </c>
      <c r="E5981" s="1" t="s">
        <v>8949</v>
      </c>
      <c r="F5981" s="1" t="s">
        <v>9907</v>
      </c>
      <c r="G5981" s="1" t="s">
        <v>9908</v>
      </c>
      <c r="H5981" s="2" t="str">
        <f>Tabella1[[#This Row],[Denominazione]]&amp;" - "&amp;Tabella1[[#This Row],[Città]]</f>
        <v>TOMMI  38 - SENIGALLIA</v>
      </c>
    </row>
    <row r="5982" spans="1:8" x14ac:dyDescent="0.25">
      <c r="A5982" s="1" t="s">
        <v>20</v>
      </c>
      <c r="B5982" s="1" t="s">
        <v>13313</v>
      </c>
      <c r="C5982" s="1" t="s">
        <v>13314</v>
      </c>
      <c r="D5982" s="1" t="s">
        <v>13298</v>
      </c>
      <c r="E5982" s="1" t="s">
        <v>13298</v>
      </c>
      <c r="F5982" s="1" t="s">
        <v>13315</v>
      </c>
      <c r="G5982" s="1" t="s">
        <v>13316</v>
      </c>
      <c r="H5982" s="2" t="str">
        <f>Tabella1[[#This Row],[Denominazione]]&amp;" - "&amp;Tabella1[[#This Row],[Città]]</f>
        <v>TONINO - RECANATI</v>
      </c>
    </row>
    <row r="5983" spans="1:8" x14ac:dyDescent="0.25">
      <c r="A5983" s="1" t="s">
        <v>12</v>
      </c>
      <c r="B5983" s="1" t="s">
        <v>1483</v>
      </c>
      <c r="C5983" s="1" t="s">
        <v>1484</v>
      </c>
      <c r="D5983" s="1" t="s">
        <v>682</v>
      </c>
      <c r="G5983" s="1" t="s">
        <v>1485</v>
      </c>
      <c r="H5983" s="2" t="str">
        <f>Tabella1[[#This Row],[Denominazione]]&amp;" - "&amp;Tabella1[[#This Row],[Città]]</f>
        <v>TONNINI TATIANA - FANO</v>
      </c>
    </row>
    <row r="5984" spans="1:8" x14ac:dyDescent="0.25">
      <c r="A5984" s="1" t="s">
        <v>82</v>
      </c>
      <c r="B5984" s="1" t="s">
        <v>5670</v>
      </c>
      <c r="C5984" s="1" t="s">
        <v>5671</v>
      </c>
      <c r="D5984" s="1" t="s">
        <v>1864</v>
      </c>
      <c r="E5984" s="1" t="s">
        <v>1864</v>
      </c>
      <c r="G5984" s="1" t="s">
        <v>5672</v>
      </c>
      <c r="H5984" s="2" t="str">
        <f>Tabella1[[#This Row],[Denominazione]]&amp;" - "&amp;Tabella1[[#This Row],[Città]]</f>
        <v>TONTI ELSA - ANCONA</v>
      </c>
    </row>
    <row r="5985" spans="1:8" x14ac:dyDescent="0.25">
      <c r="A5985" s="1" t="s">
        <v>35</v>
      </c>
      <c r="B5985" s="1" t="s">
        <v>4734</v>
      </c>
      <c r="D5985" s="1" t="s">
        <v>4735</v>
      </c>
      <c r="E5985" s="1" t="s">
        <v>4736</v>
      </c>
      <c r="G5985" s="1" t="s">
        <v>853</v>
      </c>
      <c r="H5985" s="2" t="str">
        <f>Tabella1[[#This Row],[Denominazione]]&amp;" - "&amp;Tabella1[[#This Row],[Città]]</f>
        <v>TOPI MARIA - URBANIA</v>
      </c>
    </row>
    <row r="5986" spans="1:8" x14ac:dyDescent="0.25">
      <c r="A5986" s="1" t="s">
        <v>12</v>
      </c>
      <c r="B5986" s="1" t="s">
        <v>26</v>
      </c>
      <c r="C5986" s="1" t="s">
        <v>27</v>
      </c>
      <c r="D5986" s="1" t="s">
        <v>15</v>
      </c>
      <c r="E5986" s="1" t="s">
        <v>15</v>
      </c>
      <c r="G5986" s="1" t="s">
        <v>28</v>
      </c>
      <c r="H5986" s="2" t="str">
        <f>Tabella1[[#This Row],[Denominazione]]&amp;" - "&amp;Tabella1[[#This Row],[Città]]</f>
        <v>TORRE COLOMBARA DI FRONTINO - ACQUALAGNA</v>
      </c>
    </row>
    <row r="5987" spans="1:8" x14ac:dyDescent="0.25">
      <c r="A5987" s="1" t="s">
        <v>20</v>
      </c>
      <c r="B5987" s="1" t="s">
        <v>5116</v>
      </c>
      <c r="C5987" s="1" t="s">
        <v>5117</v>
      </c>
      <c r="D5987" s="1" t="s">
        <v>9</v>
      </c>
      <c r="E5987" s="1" t="s">
        <v>9</v>
      </c>
      <c r="F5987" s="1" t="s">
        <v>5118</v>
      </c>
      <c r="G5987" s="1" t="s">
        <v>5119</v>
      </c>
      <c r="H5987" s="2" t="str">
        <f>Tabella1[[#This Row],[Denominazione]]&amp;" - "&amp;Tabella1[[#This Row],[Città]]</f>
        <v>TORTORINA - URBINO</v>
      </c>
    </row>
    <row r="5988" spans="1:8" x14ac:dyDescent="0.25">
      <c r="A5988" s="1" t="s">
        <v>20</v>
      </c>
      <c r="B5988" s="1" t="s">
        <v>2918</v>
      </c>
      <c r="C5988" s="1" t="s">
        <v>2919</v>
      </c>
      <c r="D5988" s="1" t="s">
        <v>1605</v>
      </c>
      <c r="E5988" s="1" t="s">
        <v>1605</v>
      </c>
      <c r="F5988" s="1" t="s">
        <v>2920</v>
      </c>
      <c r="G5988" s="1" t="s">
        <v>2921</v>
      </c>
      <c r="H5988" s="2" t="str">
        <f>Tabella1[[#This Row],[Denominazione]]&amp;" - "&amp;Tabella1[[#This Row],[Città]]</f>
        <v>TOSCANA - MONDOLFO</v>
      </c>
    </row>
    <row r="5989" spans="1:8" x14ac:dyDescent="0.25">
      <c r="A5989" s="1" t="s">
        <v>679</v>
      </c>
      <c r="B5989" s="1" t="s">
        <v>19472</v>
      </c>
      <c r="C5989" s="1" t="s">
        <v>3805</v>
      </c>
      <c r="D5989" s="1" t="s">
        <v>19283</v>
      </c>
      <c r="E5989" s="1" t="s">
        <v>2386</v>
      </c>
      <c r="H5989" s="2" t="str">
        <f>Tabella1[[#This Row],[Denominazione]]&amp;" - "&amp;Tabella1[[#This Row],[Città]]</f>
        <v>TOUCH - PORTO SANT'ELPIDIO</v>
      </c>
    </row>
    <row r="5990" spans="1:8" x14ac:dyDescent="0.25">
      <c r="A5990" s="1" t="s">
        <v>679</v>
      </c>
      <c r="B5990" s="1" t="s">
        <v>17258</v>
      </c>
      <c r="C5990" s="1" t="s">
        <v>17259</v>
      </c>
      <c r="D5990" s="1" t="s">
        <v>15819</v>
      </c>
      <c r="E5990" s="1" t="s">
        <v>17056</v>
      </c>
      <c r="F5990" s="1" t="s">
        <v>17260</v>
      </c>
      <c r="G5990" s="1" t="s">
        <v>17261</v>
      </c>
      <c r="H5990" s="2" t="str">
        <f>Tabella1[[#This Row],[Denominazione]]&amp;" - "&amp;Tabella1[[#This Row],[Città]]</f>
        <v>TOURIST RESIDENCE - SAN BENEDETTO DEL TRONTO</v>
      </c>
    </row>
    <row r="5991" spans="1:8" x14ac:dyDescent="0.25">
      <c r="A5991" s="1" t="s">
        <v>82</v>
      </c>
      <c r="B5991" s="1" t="s">
        <v>17258</v>
      </c>
      <c r="C5991" s="1" t="s">
        <v>17391</v>
      </c>
      <c r="D5991" s="1" t="s">
        <v>15819</v>
      </c>
      <c r="E5991" s="1" t="s">
        <v>15819</v>
      </c>
      <c r="F5991" s="1" t="s">
        <v>17261</v>
      </c>
      <c r="G5991" s="1" t="s">
        <v>17260</v>
      </c>
      <c r="H5991" s="2" t="str">
        <f>Tabella1[[#This Row],[Denominazione]]&amp;" - "&amp;Tabella1[[#This Row],[Città]]</f>
        <v>TOURIST RESIDENCE - SAN BENEDETTO DEL TRONTO</v>
      </c>
    </row>
    <row r="5992" spans="1:8" x14ac:dyDescent="0.25">
      <c r="A5992" s="1" t="s">
        <v>29</v>
      </c>
      <c r="B5992" s="1" t="s">
        <v>10483</v>
      </c>
      <c r="C5992" s="1" t="s">
        <v>10484</v>
      </c>
      <c r="D5992" s="1" t="s">
        <v>10206</v>
      </c>
      <c r="E5992" s="1" t="s">
        <v>10206</v>
      </c>
      <c r="G5992" s="1" t="s">
        <v>10485</v>
      </c>
      <c r="H5992" s="2" t="str">
        <f>Tabella1[[#This Row],[Denominazione]]&amp;" - "&amp;Tabella1[[#This Row],[Città]]</f>
        <v>TRA GLI ALBERI E IL MARE - SIROLO</v>
      </c>
    </row>
    <row r="5993" spans="1:8" x14ac:dyDescent="0.25">
      <c r="A5993" s="1" t="s">
        <v>1200</v>
      </c>
      <c r="B5993" s="1" t="s">
        <v>18335</v>
      </c>
      <c r="C5993" s="1" t="s">
        <v>18336</v>
      </c>
      <c r="D5993" s="1" t="s">
        <v>17932</v>
      </c>
      <c r="F5993" s="1" t="s">
        <v>18337</v>
      </c>
      <c r="G5993" s="1" t="s">
        <v>18338</v>
      </c>
      <c r="H5993" s="2" t="str">
        <f>Tabella1[[#This Row],[Denominazione]]&amp;" - "&amp;Tabella1[[#This Row],[Città]]</f>
        <v>TRAMONTO ROSSO - FERMO</v>
      </c>
    </row>
    <row r="5994" spans="1:8" x14ac:dyDescent="0.25">
      <c r="A5994" s="1" t="s">
        <v>679</v>
      </c>
      <c r="B5994" s="1" t="s">
        <v>5725</v>
      </c>
      <c r="C5994" s="1" t="s">
        <v>5722</v>
      </c>
      <c r="D5994" s="1" t="s">
        <v>1864</v>
      </c>
      <c r="E5994" s="1" t="s">
        <v>1864</v>
      </c>
      <c r="H5994" s="2" t="str">
        <f>Tabella1[[#This Row],[Denominazione]]&amp;" - "&amp;Tabella1[[#This Row],[Città]]</f>
        <v>TRATTORIA "DA ANNA" - ANCONA</v>
      </c>
    </row>
    <row r="5995" spans="1:8" x14ac:dyDescent="0.25">
      <c r="A5995" s="1" t="s">
        <v>82</v>
      </c>
      <c r="B5995" s="1" t="s">
        <v>16956</v>
      </c>
      <c r="C5995" s="1" t="s">
        <v>16957</v>
      </c>
      <c r="D5995" s="1" t="s">
        <v>15819</v>
      </c>
      <c r="E5995" s="1" t="s">
        <v>15819</v>
      </c>
      <c r="G5995" s="1" t="s">
        <v>16958</v>
      </c>
      <c r="H5995" s="2" t="str">
        <f>Tabella1[[#This Row],[Denominazione]]&amp;" - "&amp;Tabella1[[#This Row],[Città]]</f>
        <v>TRATTORIA DEL MARE - SAN BENEDETTO DEL TRONTO</v>
      </c>
    </row>
    <row r="5996" spans="1:8" x14ac:dyDescent="0.25">
      <c r="A5996" s="1" t="s">
        <v>82</v>
      </c>
      <c r="B5996" s="1" t="s">
        <v>5853</v>
      </c>
      <c r="C5996" s="1" t="s">
        <v>5854</v>
      </c>
      <c r="D5996" s="1" t="s">
        <v>1864</v>
      </c>
      <c r="E5996" s="1" t="s">
        <v>5712</v>
      </c>
      <c r="G5996" s="1" t="s">
        <v>5781</v>
      </c>
      <c r="H5996" s="2" t="str">
        <f>Tabella1[[#This Row],[Denominazione]]&amp;" - "&amp;Tabella1[[#This Row],[Città]]</f>
        <v>TRATTORIA PENSIONE CANTIANI di AUGUSTA &amp; C. S.N.C. - ANCONA</v>
      </c>
    </row>
    <row r="5997" spans="1:8" x14ac:dyDescent="0.25">
      <c r="A5997" s="1" t="s">
        <v>82</v>
      </c>
      <c r="B5997" s="1" t="s">
        <v>1659</v>
      </c>
      <c r="C5997" s="1" t="s">
        <v>1660</v>
      </c>
      <c r="D5997" s="1" t="s">
        <v>1653</v>
      </c>
      <c r="G5997" s="1" t="s">
        <v>1661</v>
      </c>
      <c r="H5997" s="2" t="str">
        <f>Tabella1[[#This Row],[Denominazione]]&amp;" - "&amp;Tabella1[[#This Row],[Città]]</f>
        <v>TRATTOSTERIA DI DE MARCHI ROMINA - FERMIGNANO</v>
      </c>
    </row>
    <row r="5998" spans="1:8" x14ac:dyDescent="0.25">
      <c r="A5998" s="1" t="s">
        <v>12</v>
      </c>
      <c r="B5998" s="1" t="s">
        <v>15042</v>
      </c>
      <c r="C5998" s="1" t="s">
        <v>15043</v>
      </c>
      <c r="D5998" s="1" t="s">
        <v>14576</v>
      </c>
      <c r="E5998" s="1" t="s">
        <v>14576</v>
      </c>
      <c r="H5998" s="2" t="str">
        <f>Tabella1[[#This Row],[Denominazione]]&amp;" - "&amp;Tabella1[[#This Row],[Città]]</f>
        <v>TRAVAGLIA MARIA ANTONIETTA - ASCOLI PICENO</v>
      </c>
    </row>
    <row r="5999" spans="1:8" x14ac:dyDescent="0.25">
      <c r="A5999" s="1" t="s">
        <v>571</v>
      </c>
      <c r="B5999" s="1" t="s">
        <v>18113</v>
      </c>
      <c r="C5999" s="1" t="s">
        <v>18114</v>
      </c>
      <c r="D5999" s="1" t="s">
        <v>17932</v>
      </c>
      <c r="E5999" s="1" t="s">
        <v>17932</v>
      </c>
      <c r="F5999" s="1" t="s">
        <v>18115</v>
      </c>
      <c r="G5999" s="1" t="s">
        <v>18116</v>
      </c>
      <c r="H5999" s="2" t="str">
        <f>Tabella1[[#This Row],[Denominazione]]&amp;" - "&amp;Tabella1[[#This Row],[Città]]</f>
        <v>TRE ARCHI - FERMO</v>
      </c>
    </row>
    <row r="6000" spans="1:8" x14ac:dyDescent="0.25">
      <c r="A6000" s="1" t="s">
        <v>82</v>
      </c>
      <c r="B6000" s="1" t="s">
        <v>14324</v>
      </c>
      <c r="C6000" s="1" t="s">
        <v>14325</v>
      </c>
      <c r="D6000" s="1" t="s">
        <v>14276</v>
      </c>
      <c r="E6000" s="1" t="s">
        <v>14276</v>
      </c>
      <c r="H6000" s="2" t="str">
        <f>Tabella1[[#This Row],[Denominazione]]&amp;" - "&amp;Tabella1[[#This Row],[Città]]</f>
        <v>TRE MONTI - VISSO</v>
      </c>
    </row>
    <row r="6001" spans="1:8" x14ac:dyDescent="0.25">
      <c r="A6001" s="1" t="s">
        <v>20</v>
      </c>
      <c r="B6001" s="1" t="s">
        <v>6310</v>
      </c>
      <c r="C6001" s="1" t="s">
        <v>6311</v>
      </c>
      <c r="D6001" s="1" t="s">
        <v>6290</v>
      </c>
      <c r="E6001" s="1" t="s">
        <v>6290</v>
      </c>
      <c r="F6001" s="1" t="s">
        <v>6312</v>
      </c>
      <c r="G6001" s="1" t="s">
        <v>6313</v>
      </c>
      <c r="H6001" s="2" t="str">
        <f>Tabella1[[#This Row],[Denominazione]]&amp;" - "&amp;Tabella1[[#This Row],[Città]]</f>
        <v>TRE QUERCE - CAMERANO</v>
      </c>
    </row>
    <row r="6002" spans="1:8" x14ac:dyDescent="0.25">
      <c r="A6002" s="1" t="s">
        <v>35</v>
      </c>
      <c r="B6002" s="1" t="s">
        <v>6310</v>
      </c>
      <c r="C6002" s="1" t="s">
        <v>12642</v>
      </c>
      <c r="D6002" s="1" t="s">
        <v>12635</v>
      </c>
      <c r="E6002" s="1" t="s">
        <v>12635</v>
      </c>
      <c r="F6002" s="1" t="s">
        <v>12643</v>
      </c>
      <c r="G6002" s="1" t="s">
        <v>12644</v>
      </c>
      <c r="H6002" s="2" t="str">
        <f>Tabella1[[#This Row],[Denominazione]]&amp;" - "&amp;Tabella1[[#This Row],[Città]]</f>
        <v>TRE QUERCE - PENNA SAN GIOVANNI</v>
      </c>
    </row>
    <row r="6003" spans="1:8" x14ac:dyDescent="0.25">
      <c r="A6003" s="1" t="s">
        <v>20</v>
      </c>
      <c r="B6003" s="1" t="s">
        <v>2294</v>
      </c>
      <c r="C6003" s="1" t="s">
        <v>2295</v>
      </c>
      <c r="D6003" s="1" t="s">
        <v>1907</v>
      </c>
      <c r="E6003" s="1" t="s">
        <v>1907</v>
      </c>
      <c r="F6003" s="1" t="s">
        <v>2296</v>
      </c>
      <c r="G6003" s="1" t="s">
        <v>2297</v>
      </c>
      <c r="H6003" s="2" t="str">
        <f>Tabella1[[#This Row],[Denominazione]]&amp;" - "&amp;Tabella1[[#This Row],[Città]]</f>
        <v>TRE STELLE - GABICCE MARE</v>
      </c>
    </row>
    <row r="6004" spans="1:8" x14ac:dyDescent="0.25">
      <c r="A6004" s="1" t="s">
        <v>29</v>
      </c>
      <c r="B6004" s="1" t="s">
        <v>9266</v>
      </c>
      <c r="C6004" s="1" t="s">
        <v>9267</v>
      </c>
      <c r="D6004" s="1" t="s">
        <v>8949</v>
      </c>
      <c r="E6004" s="1" t="s">
        <v>8949</v>
      </c>
      <c r="G6004" s="1" t="s">
        <v>9268</v>
      </c>
      <c r="H6004" s="2" t="str">
        <f>Tabella1[[#This Row],[Denominazione]]&amp;" - "&amp;Tabella1[[#This Row],[Città]]</f>
        <v>TRECENTOLIVI - SENIGALLIA</v>
      </c>
    </row>
    <row r="6005" spans="1:8" x14ac:dyDescent="0.25">
      <c r="A6005" s="1" t="s">
        <v>20</v>
      </c>
      <c r="B6005" s="1" t="s">
        <v>7048</v>
      </c>
      <c r="C6005" s="1" t="s">
        <v>7049</v>
      </c>
      <c r="D6005" s="1" t="s">
        <v>5735</v>
      </c>
      <c r="E6005" s="1" t="s">
        <v>5735</v>
      </c>
      <c r="G6005" s="1" t="s">
        <v>7050</v>
      </c>
      <c r="H6005" s="2" t="str">
        <f>Tabella1[[#This Row],[Denominazione]]&amp;" - "&amp;Tabella1[[#This Row],[Città]]</f>
        <v>TRENTO-TRIESTE - FALCONARA MARITTIMA</v>
      </c>
    </row>
    <row r="6006" spans="1:8" x14ac:dyDescent="0.25">
      <c r="A6006" s="1" t="s">
        <v>12</v>
      </c>
      <c r="B6006" s="1" t="s">
        <v>16847</v>
      </c>
      <c r="C6006" s="1" t="s">
        <v>16848</v>
      </c>
      <c r="D6006" s="1" t="s">
        <v>15819</v>
      </c>
      <c r="E6006" s="1" t="s">
        <v>15819</v>
      </c>
      <c r="G6006" s="1" t="s">
        <v>16849</v>
      </c>
      <c r="H6006" s="2" t="str">
        <f>Tabella1[[#This Row],[Denominazione]]&amp;" - "&amp;Tabella1[[#This Row],[Città]]</f>
        <v>TREVISANI GIUSEPPE - SAN BENEDETTO DEL TRONTO</v>
      </c>
    </row>
    <row r="6007" spans="1:8" x14ac:dyDescent="0.25">
      <c r="A6007" s="1" t="s">
        <v>20</v>
      </c>
      <c r="B6007" s="1" t="s">
        <v>2907</v>
      </c>
      <c r="C6007" s="1" t="s">
        <v>2908</v>
      </c>
      <c r="D6007" s="1" t="s">
        <v>1605</v>
      </c>
      <c r="E6007" s="1" t="s">
        <v>1605</v>
      </c>
      <c r="F6007" s="1" t="s">
        <v>2909</v>
      </c>
      <c r="G6007" s="1" t="s">
        <v>2910</v>
      </c>
      <c r="H6007" s="2" t="str">
        <f>Tabella1[[#This Row],[Denominazione]]&amp;" - "&amp;Tabella1[[#This Row],[Città]]</f>
        <v>TRIESTE - MONDOLFO</v>
      </c>
    </row>
    <row r="6008" spans="1:8" x14ac:dyDescent="0.25">
      <c r="A6008" s="1" t="s">
        <v>82</v>
      </c>
      <c r="B6008" s="1" t="s">
        <v>18546</v>
      </c>
      <c r="D6008" s="1" t="s">
        <v>18522</v>
      </c>
      <c r="E6008" s="1" t="s">
        <v>18547</v>
      </c>
      <c r="F6008" s="1" t="s">
        <v>18548</v>
      </c>
      <c r="G6008" s="1" t="s">
        <v>18549</v>
      </c>
      <c r="H6008" s="2" t="str">
        <f>Tabella1[[#This Row],[Denominazione]]&amp;" - "&amp;Tabella1[[#This Row],[Città]]</f>
        <v>TRINACRIA - MONTEFORTINO</v>
      </c>
    </row>
    <row r="6009" spans="1:8" x14ac:dyDescent="0.25">
      <c r="A6009" s="1" t="s">
        <v>20</v>
      </c>
      <c r="B6009" s="1" t="s">
        <v>9672</v>
      </c>
      <c r="C6009" s="1" t="s">
        <v>9673</v>
      </c>
      <c r="D6009" s="1" t="s">
        <v>8949</v>
      </c>
      <c r="E6009" s="1" t="s">
        <v>8949</v>
      </c>
      <c r="F6009" s="1" t="s">
        <v>9674</v>
      </c>
      <c r="G6009" s="1" t="s">
        <v>9675</v>
      </c>
      <c r="H6009" s="2" t="str">
        <f>Tabella1[[#This Row],[Denominazione]]&amp;" - "&amp;Tabella1[[#This Row],[Città]]</f>
        <v>TRITONE - SENIGALLIA</v>
      </c>
    </row>
    <row r="6010" spans="1:8" x14ac:dyDescent="0.25">
      <c r="A6010" s="1" t="s">
        <v>20</v>
      </c>
      <c r="B6010" s="1" t="s">
        <v>9672</v>
      </c>
      <c r="C6010" s="1" t="s">
        <v>19153</v>
      </c>
      <c r="D6010" s="1" t="s">
        <v>18082</v>
      </c>
      <c r="E6010" s="1" t="s">
        <v>18082</v>
      </c>
      <c r="F6010" s="1" t="s">
        <v>19073</v>
      </c>
      <c r="G6010" s="1" t="s">
        <v>19072</v>
      </c>
      <c r="H6010" s="2" t="str">
        <f>Tabella1[[#This Row],[Denominazione]]&amp;" - "&amp;Tabella1[[#This Row],[Città]]</f>
        <v>TRITONE - PORTO SAN GIORGIO</v>
      </c>
    </row>
    <row r="6011" spans="1:8" x14ac:dyDescent="0.25">
      <c r="A6011" s="1" t="s">
        <v>20</v>
      </c>
      <c r="B6011" s="1" t="s">
        <v>9547</v>
      </c>
      <c r="C6011" s="1" t="s">
        <v>9548</v>
      </c>
      <c r="D6011" s="1" t="s">
        <v>8949</v>
      </c>
      <c r="E6011" s="1" t="s">
        <v>8949</v>
      </c>
      <c r="G6011" s="1" t="s">
        <v>9549</v>
      </c>
      <c r="H6011" s="2" t="str">
        <f>Tabella1[[#This Row],[Denominazione]]&amp;" - "&amp;Tabella1[[#This Row],[Città]]</f>
        <v>TROCADERO - SENIGALLIA</v>
      </c>
    </row>
    <row r="6012" spans="1:8" x14ac:dyDescent="0.25">
      <c r="A6012" s="1" t="s">
        <v>679</v>
      </c>
      <c r="B6012" s="1" t="s">
        <v>5710</v>
      </c>
      <c r="C6012" s="1" t="s">
        <v>5711</v>
      </c>
      <c r="D6012" s="1" t="s">
        <v>1864</v>
      </c>
      <c r="E6012" s="1" t="s">
        <v>5712</v>
      </c>
      <c r="F6012" s="1" t="s">
        <v>5713</v>
      </c>
      <c r="H6012" s="2" t="str">
        <f>Tabella1[[#This Row],[Denominazione]]&amp;" - "&amp;Tabella1[[#This Row],[Città]]</f>
        <v>TROPICAL - ANCONA</v>
      </c>
    </row>
    <row r="6013" spans="1:8" x14ac:dyDescent="0.25">
      <c r="A6013" s="1" t="s">
        <v>679</v>
      </c>
      <c r="B6013" s="1" t="s">
        <v>5710</v>
      </c>
      <c r="C6013" s="1" t="s">
        <v>15826</v>
      </c>
      <c r="D6013" s="1" t="s">
        <v>15585</v>
      </c>
      <c r="F6013" s="1" t="s">
        <v>15827</v>
      </c>
      <c r="G6013" s="1" t="s">
        <v>15828</v>
      </c>
      <c r="H6013" s="2" t="str">
        <f>Tabella1[[#This Row],[Denominazione]]&amp;" - "&amp;Tabella1[[#This Row],[Città]]</f>
        <v>TROPICAL - GROTTAMMARE</v>
      </c>
    </row>
    <row r="6014" spans="1:8" x14ac:dyDescent="0.25">
      <c r="A6014" s="1" t="s">
        <v>679</v>
      </c>
      <c r="B6014" s="1" t="s">
        <v>5710</v>
      </c>
      <c r="C6014" s="1" t="s">
        <v>19048</v>
      </c>
      <c r="D6014" s="1" t="s">
        <v>18082</v>
      </c>
      <c r="E6014" s="1" t="s">
        <v>18082</v>
      </c>
      <c r="F6014" s="1" t="s">
        <v>19105</v>
      </c>
      <c r="H6014" s="2" t="str">
        <f>Tabella1[[#This Row],[Denominazione]]&amp;" - "&amp;Tabella1[[#This Row],[Città]]</f>
        <v>TROPICAL - PORTO SAN GIORGIO</v>
      </c>
    </row>
    <row r="6015" spans="1:8" x14ac:dyDescent="0.25">
      <c r="A6015" s="1" t="s">
        <v>679</v>
      </c>
      <c r="B6015" s="1" t="s">
        <v>5710</v>
      </c>
      <c r="C6015" s="1" t="s">
        <v>9845</v>
      </c>
      <c r="D6015" s="1" t="s">
        <v>19283</v>
      </c>
      <c r="E6015" s="1" t="s">
        <v>8949</v>
      </c>
      <c r="H6015" s="2" t="str">
        <f>Tabella1[[#This Row],[Denominazione]]&amp;" - "&amp;Tabella1[[#This Row],[Città]]</f>
        <v>TROPICAL - PORTO SANT'ELPIDIO</v>
      </c>
    </row>
    <row r="6016" spans="1:8" x14ac:dyDescent="0.25">
      <c r="A6016" s="1" t="s">
        <v>679</v>
      </c>
      <c r="B6016" s="1" t="s">
        <v>19056</v>
      </c>
      <c r="C6016" s="1" t="s">
        <v>19048</v>
      </c>
      <c r="D6016" s="1" t="s">
        <v>18082</v>
      </c>
      <c r="E6016" s="1" t="s">
        <v>18082</v>
      </c>
      <c r="H6016" s="2" t="str">
        <f>Tabella1[[#This Row],[Denominazione]]&amp;" - "&amp;Tabella1[[#This Row],[Città]]</f>
        <v>TUCANO BEACH - PORTO SAN GIORGIO</v>
      </c>
    </row>
    <row r="6017" spans="1:8" x14ac:dyDescent="0.25">
      <c r="A6017" s="1" t="s">
        <v>12</v>
      </c>
      <c r="B6017" s="1" t="s">
        <v>13028</v>
      </c>
      <c r="C6017" s="1" t="s">
        <v>13029</v>
      </c>
      <c r="D6017" s="1" t="s">
        <v>13026</v>
      </c>
      <c r="E6017" s="1" t="s">
        <v>13026</v>
      </c>
      <c r="H6017" s="2" t="str">
        <f>Tabella1[[#This Row],[Denominazione]]&amp;" - "&amp;Tabella1[[#This Row],[Città]]</f>
        <v>TURCHI DINO - POTENZA PICENA</v>
      </c>
    </row>
    <row r="6018" spans="1:8" x14ac:dyDescent="0.25">
      <c r="A6018" s="1" t="s">
        <v>35</v>
      </c>
      <c r="B6018" s="1" t="s">
        <v>17653</v>
      </c>
      <c r="C6018" s="1" t="s">
        <v>17654</v>
      </c>
      <c r="D6018" s="1" t="s">
        <v>15819</v>
      </c>
      <c r="E6018" s="1" t="s">
        <v>15819</v>
      </c>
      <c r="F6018" s="1" t="s">
        <v>17655</v>
      </c>
      <c r="G6018" s="1" t="s">
        <v>17656</v>
      </c>
      <c r="H6018" s="2" t="str">
        <f>Tabella1[[#This Row],[Denominazione]]&amp;" - "&amp;Tabella1[[#This Row],[Città]]</f>
        <v>TURISMO RURALE LA PANORAMICA - SAN BENEDETTO DEL TRONTO</v>
      </c>
    </row>
    <row r="6019" spans="1:8" x14ac:dyDescent="0.25">
      <c r="A6019" s="1" t="s">
        <v>20</v>
      </c>
      <c r="B6019" s="1" t="s">
        <v>9779</v>
      </c>
      <c r="C6019" s="1" t="s">
        <v>9780</v>
      </c>
      <c r="D6019" s="1" t="s">
        <v>8949</v>
      </c>
      <c r="E6019" s="1" t="s">
        <v>8949</v>
      </c>
      <c r="F6019" s="1" t="s">
        <v>9781</v>
      </c>
      <c r="G6019" s="1" t="s">
        <v>9782</v>
      </c>
      <c r="H6019" s="2" t="str">
        <f>Tabella1[[#This Row],[Denominazione]]&amp;" - "&amp;Tabella1[[#This Row],[Città]]</f>
        <v>TURISTICA - SENIGALLIA</v>
      </c>
    </row>
    <row r="6020" spans="1:8" x14ac:dyDescent="0.25">
      <c r="A6020" s="1" t="s">
        <v>679</v>
      </c>
      <c r="B6020" s="1" t="s">
        <v>19479</v>
      </c>
      <c r="C6020" s="1" t="s">
        <v>3805</v>
      </c>
      <c r="D6020" s="1" t="s">
        <v>19283</v>
      </c>
      <c r="E6020" s="1" t="s">
        <v>2386</v>
      </c>
      <c r="H6020" s="2" t="str">
        <f>Tabella1[[#This Row],[Denominazione]]&amp;" - "&amp;Tabella1[[#This Row],[Città]]</f>
        <v>UKYSOE - PORTO SANT'ELPIDIO</v>
      </c>
    </row>
    <row r="6021" spans="1:8" x14ac:dyDescent="0.25">
      <c r="A6021" s="1" t="s">
        <v>20</v>
      </c>
      <c r="B6021" s="1" t="s">
        <v>603</v>
      </c>
      <c r="C6021" s="1" t="s">
        <v>604</v>
      </c>
      <c r="D6021" s="1" t="s">
        <v>579</v>
      </c>
      <c r="E6021" s="1" t="s">
        <v>579</v>
      </c>
      <c r="F6021" s="1" t="s">
        <v>605</v>
      </c>
      <c r="G6021" s="1" t="s">
        <v>606</v>
      </c>
      <c r="H6021" s="2" t="str">
        <f>Tabella1[[#This Row],[Denominazione]]&amp;" - "&amp;Tabella1[[#This Row],[Città]]</f>
        <v>ULISSE - CARPEGNA</v>
      </c>
    </row>
    <row r="6022" spans="1:8" x14ac:dyDescent="0.25">
      <c r="A6022" s="1" t="s">
        <v>35</v>
      </c>
      <c r="B6022" s="1" t="s">
        <v>18018</v>
      </c>
      <c r="C6022" s="1" t="s">
        <v>18019</v>
      </c>
      <c r="D6022" s="1" t="s">
        <v>17932</v>
      </c>
      <c r="E6022" s="1" t="s">
        <v>17932</v>
      </c>
      <c r="H6022" s="2" t="str">
        <f>Tabella1[[#This Row],[Denominazione]]&amp;" - "&amp;Tabella1[[#This Row],[Città]]</f>
        <v>ULIVETO - FERMO</v>
      </c>
    </row>
    <row r="6023" spans="1:8" x14ac:dyDescent="0.25">
      <c r="A6023" s="1" t="s">
        <v>29</v>
      </c>
      <c r="B6023" s="1" t="s">
        <v>4726</v>
      </c>
      <c r="C6023" s="1" t="s">
        <v>4727</v>
      </c>
      <c r="D6023" s="1" t="s">
        <v>4657</v>
      </c>
      <c r="E6023" s="1" t="s">
        <v>4728</v>
      </c>
      <c r="G6023" s="1" t="s">
        <v>4729</v>
      </c>
      <c r="H6023" s="2" t="str">
        <f>Tabella1[[#This Row],[Denominazione]]&amp;" - "&amp;Tabella1[[#This Row],[Città]]</f>
        <v>ULIVETO DEL TESORO - TAVULLIA</v>
      </c>
    </row>
    <row r="6024" spans="1:8" x14ac:dyDescent="0.25">
      <c r="A6024" s="1" t="s">
        <v>20</v>
      </c>
      <c r="B6024" s="1" t="s">
        <v>9532</v>
      </c>
      <c r="C6024" s="1" t="s">
        <v>9533</v>
      </c>
      <c r="D6024" s="1" t="s">
        <v>8949</v>
      </c>
      <c r="E6024" s="1" t="s">
        <v>8949</v>
      </c>
      <c r="F6024" s="1" t="s">
        <v>9534</v>
      </c>
      <c r="G6024" s="1" t="s">
        <v>9535</v>
      </c>
      <c r="H6024" s="2" t="str">
        <f>Tabella1[[#This Row],[Denominazione]]&amp;" - "&amp;Tabella1[[#This Row],[Città]]</f>
        <v>UNIVERSAL - SENIGALLIA</v>
      </c>
    </row>
    <row r="6025" spans="1:8" x14ac:dyDescent="0.25">
      <c r="A6025" s="1" t="s">
        <v>6</v>
      </c>
      <c r="B6025" s="1" t="s">
        <v>5252</v>
      </c>
      <c r="C6025" s="1" t="s">
        <v>5253</v>
      </c>
      <c r="D6025" s="1" t="s">
        <v>9</v>
      </c>
      <c r="E6025" s="1" t="s">
        <v>5254</v>
      </c>
      <c r="F6025" s="1" t="s">
        <v>5255</v>
      </c>
      <c r="G6025" s="1" t="s">
        <v>5028</v>
      </c>
      <c r="H6025" s="2" t="str">
        <f>Tabella1[[#This Row],[Denominazione]]&amp;" - "&amp;Tabella1[[#This Row],[Città]]</f>
        <v>URBINO RESORT - SANTI GIACOMO E FILIPPO - URBINO</v>
      </c>
    </row>
    <row r="6026" spans="1:8" x14ac:dyDescent="0.25">
      <c r="A6026" s="1" t="s">
        <v>12</v>
      </c>
      <c r="B6026" s="1" t="s">
        <v>13598</v>
      </c>
      <c r="C6026" s="1" t="s">
        <v>13599</v>
      </c>
      <c r="D6026" s="1" t="s">
        <v>13548</v>
      </c>
      <c r="H6026" s="2" t="str">
        <f>Tabella1[[#This Row],[Denominazione]]&amp;" - "&amp;Tabella1[[#This Row],[Città]]</f>
        <v>VACANZE AL CASTELLO - SAN SEVERINO MARCHE</v>
      </c>
    </row>
    <row r="6027" spans="1:8" x14ac:dyDescent="0.25">
      <c r="A6027" s="1" t="s">
        <v>12</v>
      </c>
      <c r="B6027" s="1" t="s">
        <v>15083</v>
      </c>
      <c r="C6027" s="1" t="s">
        <v>15084</v>
      </c>
      <c r="D6027" s="1" t="s">
        <v>14576</v>
      </c>
      <c r="E6027" s="1" t="s">
        <v>14576</v>
      </c>
      <c r="H6027" s="2" t="str">
        <f>Tabella1[[#This Row],[Denominazione]]&amp;" - "&amp;Tabella1[[#This Row],[Città]]</f>
        <v>VAGNONI ALVARO - ASCOLI PICENO</v>
      </c>
    </row>
    <row r="6028" spans="1:8" x14ac:dyDescent="0.25">
      <c r="A6028" s="1" t="s">
        <v>20</v>
      </c>
      <c r="B6028" s="1" t="s">
        <v>15767</v>
      </c>
      <c r="C6028" s="1" t="s">
        <v>15768</v>
      </c>
      <c r="D6028" s="1" t="s">
        <v>15585</v>
      </c>
      <c r="E6028" s="1" t="s">
        <v>15585</v>
      </c>
      <c r="F6028" s="1" t="s">
        <v>15769</v>
      </c>
      <c r="G6028" s="1" t="s">
        <v>15770</v>
      </c>
      <c r="H6028" s="2" t="str">
        <f>Tabella1[[#This Row],[Denominazione]]&amp;" - "&amp;Tabella1[[#This Row],[Città]]</f>
        <v>VAGNOZZI - GROTTAMMARE</v>
      </c>
    </row>
    <row r="6029" spans="1:8" x14ac:dyDescent="0.25">
      <c r="A6029" s="1" t="s">
        <v>35</v>
      </c>
      <c r="B6029" s="1" t="s">
        <v>181</v>
      </c>
      <c r="C6029" s="1" t="s">
        <v>182</v>
      </c>
      <c r="D6029" s="1" t="s">
        <v>102</v>
      </c>
      <c r="E6029" s="1" t="s">
        <v>183</v>
      </c>
      <c r="G6029" s="1" t="s">
        <v>160</v>
      </c>
      <c r="H6029" s="2" t="str">
        <f>Tabella1[[#This Row],[Denominazione]]&amp;" - "&amp;Tabella1[[#This Row],[Città]]</f>
        <v>VAL DEL LAGO - APECCHIO</v>
      </c>
    </row>
    <row r="6030" spans="1:8" x14ac:dyDescent="0.25">
      <c r="A6030" s="1" t="s">
        <v>12</v>
      </c>
      <c r="B6030" s="1" t="s">
        <v>2644</v>
      </c>
      <c r="C6030" s="1" t="s">
        <v>2645</v>
      </c>
      <c r="D6030" s="1" t="s">
        <v>2594</v>
      </c>
      <c r="H6030" s="2" t="str">
        <f>Tabella1[[#This Row],[Denominazione]]&amp;" - "&amp;Tabella1[[#This Row],[Città]]</f>
        <v>VAL DELLA PETRA - MERCATELLO SUL METAURO</v>
      </c>
    </row>
    <row r="6031" spans="1:8" x14ac:dyDescent="0.25">
      <c r="A6031" s="1" t="s">
        <v>35</v>
      </c>
      <c r="B6031" s="1" t="s">
        <v>14109</v>
      </c>
      <c r="C6031" s="1" t="s">
        <v>14110</v>
      </c>
      <c r="D6031" s="1" t="s">
        <v>14065</v>
      </c>
      <c r="E6031" s="1" t="s">
        <v>14065</v>
      </c>
      <c r="H6031" s="2" t="str">
        <f>Tabella1[[#This Row],[Denominazione]]&amp;" - "&amp;Tabella1[[#This Row],[Città]]</f>
        <v>VALCAMPANA di MANCINELLI LUCIANA - TREIA</v>
      </c>
    </row>
    <row r="6032" spans="1:8" x14ac:dyDescent="0.25">
      <c r="A6032" s="1" t="s">
        <v>82</v>
      </c>
      <c r="B6032" s="1" t="s">
        <v>10295</v>
      </c>
      <c r="C6032" s="1" t="s">
        <v>10296</v>
      </c>
      <c r="D6032" s="1" t="s">
        <v>10206</v>
      </c>
      <c r="E6032" s="1" t="s">
        <v>10206</v>
      </c>
      <c r="F6032" s="1" t="s">
        <v>10236</v>
      </c>
      <c r="G6032" s="1" t="s">
        <v>10237</v>
      </c>
      <c r="H6032" s="2" t="str">
        <f>Tabella1[[#This Row],[Denominazione]]&amp;" - "&amp;Tabella1[[#This Row],[Città]]</f>
        <v>VALCASTAGNO RESIDENCE - SIROLO</v>
      </c>
    </row>
    <row r="6033" spans="1:8" x14ac:dyDescent="0.25">
      <c r="A6033" s="1" t="s">
        <v>35</v>
      </c>
      <c r="B6033" s="1" t="s">
        <v>5147</v>
      </c>
      <c r="C6033" s="1" t="s">
        <v>5148</v>
      </c>
      <c r="D6033" s="1" t="s">
        <v>9</v>
      </c>
      <c r="E6033" s="1" t="s">
        <v>9</v>
      </c>
      <c r="F6033" s="1" t="s">
        <v>5149</v>
      </c>
      <c r="G6033" s="1" t="s">
        <v>5150</v>
      </c>
      <c r="H6033" s="2" t="str">
        <f>Tabella1[[#This Row],[Denominazione]]&amp;" - "&amp;Tabella1[[#This Row],[Città]]</f>
        <v>VALDAPPIO - URBINO</v>
      </c>
    </row>
    <row r="6034" spans="1:8" x14ac:dyDescent="0.25">
      <c r="A6034" s="1" t="s">
        <v>20</v>
      </c>
      <c r="B6034" s="1" t="s">
        <v>18967</v>
      </c>
      <c r="C6034" s="1" t="s">
        <v>18968</v>
      </c>
      <c r="D6034" s="1" t="s">
        <v>18944</v>
      </c>
      <c r="E6034" s="1" t="s">
        <v>18944</v>
      </c>
      <c r="F6034" s="1" t="s">
        <v>16812</v>
      </c>
      <c r="G6034" s="1" t="s">
        <v>18969</v>
      </c>
      <c r="H6034" s="2" t="str">
        <f>Tabella1[[#This Row],[Denominazione]]&amp;" - "&amp;Tabella1[[#This Row],[Città]]</f>
        <v>VALDASO HOTEL - PEDASO</v>
      </c>
    </row>
    <row r="6035" spans="1:8" x14ac:dyDescent="0.25">
      <c r="A6035" s="1" t="s">
        <v>571</v>
      </c>
      <c r="B6035" s="1" t="s">
        <v>18129</v>
      </c>
      <c r="C6035" s="1" t="s">
        <v>18130</v>
      </c>
      <c r="D6035" s="1" t="s">
        <v>17932</v>
      </c>
      <c r="E6035" s="1" t="s">
        <v>17932</v>
      </c>
      <c r="G6035" s="1" t="s">
        <v>18131</v>
      </c>
      <c r="H6035" s="2" t="str">
        <f>Tabella1[[#This Row],[Denominazione]]&amp;" - "&amp;Tabella1[[#This Row],[Città]]</f>
        <v>VALENTINA - FERMO</v>
      </c>
    </row>
    <row r="6036" spans="1:8" x14ac:dyDescent="0.25">
      <c r="A6036" s="1" t="s">
        <v>29</v>
      </c>
      <c r="B6036" s="1" t="s">
        <v>17042</v>
      </c>
      <c r="C6036" s="1" t="s">
        <v>17043</v>
      </c>
      <c r="D6036" s="1" t="s">
        <v>15819</v>
      </c>
      <c r="E6036" s="1" t="s">
        <v>17044</v>
      </c>
      <c r="G6036" s="1" t="s">
        <v>17045</v>
      </c>
      <c r="H6036" s="2" t="str">
        <f>Tabella1[[#This Row],[Denominazione]]&amp;" - "&amp;Tabella1[[#This Row],[Città]]</f>
        <v>VALENTINA B&amp;B di SPALETRA FRANCO - SAN BENEDETTO DEL TRONTO</v>
      </c>
    </row>
    <row r="6037" spans="1:8" x14ac:dyDescent="0.25">
      <c r="A6037" s="1" t="s">
        <v>403</v>
      </c>
      <c r="B6037" s="1" t="s">
        <v>15803</v>
      </c>
      <c r="C6037" s="1" t="s">
        <v>15804</v>
      </c>
      <c r="D6037" s="1" t="s">
        <v>15585</v>
      </c>
      <c r="E6037" s="1" t="s">
        <v>15585</v>
      </c>
      <c r="F6037" s="1" t="s">
        <v>15805</v>
      </c>
      <c r="G6037" s="1" t="s">
        <v>15806</v>
      </c>
      <c r="H6037" s="2" t="str">
        <f>Tabella1[[#This Row],[Denominazione]]&amp;" - "&amp;Tabella1[[#This Row],[Città]]</f>
        <v>VALENTINO RESORT - GROTTAMMARE</v>
      </c>
    </row>
    <row r="6038" spans="1:8" x14ac:dyDescent="0.25">
      <c r="A6038" s="1" t="s">
        <v>82</v>
      </c>
      <c r="B6038" s="1" t="s">
        <v>13499</v>
      </c>
      <c r="C6038" s="1" t="s">
        <v>13500</v>
      </c>
      <c r="D6038" s="1" t="s">
        <v>6072</v>
      </c>
      <c r="E6038" s="1" t="s">
        <v>6072</v>
      </c>
      <c r="F6038" s="1" t="s">
        <v>13501</v>
      </c>
      <c r="G6038" s="1" t="s">
        <v>13502</v>
      </c>
      <c r="H6038" s="2" t="str">
        <f>Tabella1[[#This Row],[Denominazione]]&amp;" - "&amp;Tabella1[[#This Row],[Città]]</f>
        <v>VALLE DEL LUPO - SAN GINESIO</v>
      </c>
    </row>
    <row r="6039" spans="1:8" x14ac:dyDescent="0.25">
      <c r="A6039" s="1" t="s">
        <v>6</v>
      </c>
      <c r="B6039" s="1" t="s">
        <v>3195</v>
      </c>
      <c r="D6039" s="1" t="s">
        <v>3182</v>
      </c>
      <c r="E6039" s="1" t="s">
        <v>3182</v>
      </c>
      <c r="F6039" s="1" t="s">
        <v>3196</v>
      </c>
      <c r="G6039" s="1" t="s">
        <v>3197</v>
      </c>
      <c r="H6039" s="2" t="str">
        <f>Tabella1[[#This Row],[Denominazione]]&amp;" - "&amp;Tabella1[[#This Row],[Città]]</f>
        <v>VALLE DEL METAURO COUNTRY HOUSE - MONTEMAGGIORE AL METAURO</v>
      </c>
    </row>
    <row r="6040" spans="1:8" x14ac:dyDescent="0.25">
      <c r="A6040" s="1" t="s">
        <v>29</v>
      </c>
      <c r="B6040" s="1" t="s">
        <v>2496</v>
      </c>
      <c r="C6040" s="1" t="s">
        <v>2497</v>
      </c>
      <c r="D6040" s="1" t="s">
        <v>2425</v>
      </c>
      <c r="E6040" s="1" t="s">
        <v>2425</v>
      </c>
      <c r="G6040" s="1" t="s">
        <v>2498</v>
      </c>
      <c r="H6040" s="2" t="str">
        <f>Tabella1[[#This Row],[Denominazione]]&amp;" - "&amp;Tabella1[[#This Row],[Città]]</f>
        <v>VALLE DEL PICCHIO - GRADARA</v>
      </c>
    </row>
    <row r="6041" spans="1:8" x14ac:dyDescent="0.25">
      <c r="A6041" s="1" t="s">
        <v>29</v>
      </c>
      <c r="B6041" s="1" t="s">
        <v>3020</v>
      </c>
      <c r="C6041" s="1" t="s">
        <v>3021</v>
      </c>
      <c r="D6041" s="1" t="s">
        <v>3022</v>
      </c>
      <c r="E6041" s="1" t="s">
        <v>3022</v>
      </c>
      <c r="G6041" s="1" t="s">
        <v>3023</v>
      </c>
      <c r="H6041" s="2" t="str">
        <f>Tabella1[[#This Row],[Denominazione]]&amp;" - "&amp;Tabella1[[#This Row],[Città]]</f>
        <v>VALLE MAGNONE di GIORGINI DAVIDE GIORGIO - MONTE CERIGNONE</v>
      </c>
    </row>
    <row r="6042" spans="1:8" x14ac:dyDescent="0.25">
      <c r="A6042" s="1" t="s">
        <v>35</v>
      </c>
      <c r="B6042" s="1" t="s">
        <v>14506</v>
      </c>
      <c r="C6042" s="1" t="s">
        <v>14507</v>
      </c>
      <c r="D6042" s="1" t="s">
        <v>14497</v>
      </c>
      <c r="E6042" s="1" t="s">
        <v>14497</v>
      </c>
      <c r="G6042" s="1" t="s">
        <v>14508</v>
      </c>
      <c r="H6042" s="2" t="str">
        <f>Tabella1[[#This Row],[Denominazione]]&amp;" - "&amp;Tabella1[[#This Row],[Città]]</f>
        <v>VALLE SAN MARTINO (4) - APPIGNANO DEL TRONTO</v>
      </c>
    </row>
    <row r="6043" spans="1:8" x14ac:dyDescent="0.25">
      <c r="A6043" s="1" t="s">
        <v>82</v>
      </c>
      <c r="B6043" s="1" t="s">
        <v>13634</v>
      </c>
      <c r="C6043" s="1" t="s">
        <v>13635</v>
      </c>
      <c r="D6043" s="1" t="s">
        <v>13548</v>
      </c>
      <c r="G6043" s="1" t="s">
        <v>13636</v>
      </c>
      <c r="H6043" s="2" t="str">
        <f>Tabella1[[#This Row],[Denominazione]]&amp;" - "&amp;Tabella1[[#This Row],[Città]]</f>
        <v>VALLESI ENRICO - SAN SEVERINO MARCHE</v>
      </c>
    </row>
    <row r="6044" spans="1:8" x14ac:dyDescent="0.25">
      <c r="A6044" s="1" t="s">
        <v>35</v>
      </c>
      <c r="B6044" s="1" t="s">
        <v>1750</v>
      </c>
      <c r="C6044" s="1" t="s">
        <v>1751</v>
      </c>
      <c r="D6044" s="1" t="s">
        <v>1724</v>
      </c>
      <c r="E6044" s="1" t="s">
        <v>1724</v>
      </c>
      <c r="F6044" s="1" t="s">
        <v>1752</v>
      </c>
      <c r="G6044" s="1" t="s">
        <v>1753</v>
      </c>
      <c r="H6044" s="2" t="str">
        <f>Tabella1[[#This Row],[Denominazione]]&amp;" - "&amp;Tabella1[[#This Row],[Città]]</f>
        <v>VALLETARUGO DI PARADISI TERENZIO - FOSSOMBRONE</v>
      </c>
    </row>
    <row r="6045" spans="1:8" x14ac:dyDescent="0.25">
      <c r="A6045" s="1" t="s">
        <v>12</v>
      </c>
      <c r="B6045" s="1" t="s">
        <v>17789</v>
      </c>
      <c r="C6045" s="1" t="s">
        <v>17790</v>
      </c>
      <c r="D6045" s="1" t="s">
        <v>17745</v>
      </c>
      <c r="E6045" s="1" t="s">
        <v>17791</v>
      </c>
      <c r="G6045" s="1" t="s">
        <v>17792</v>
      </c>
      <c r="H6045" s="2" t="str">
        <f>Tabella1[[#This Row],[Denominazione]]&amp;" - "&amp;Tabella1[[#This Row],[Città]]</f>
        <v>VAN EGMOND JOHANNES - AMANDOLA</v>
      </c>
    </row>
    <row r="6046" spans="1:8" x14ac:dyDescent="0.25">
      <c r="A6046" s="1" t="s">
        <v>12</v>
      </c>
      <c r="B6046" s="1" t="s">
        <v>1935</v>
      </c>
      <c r="C6046" s="1" t="s">
        <v>1936</v>
      </c>
      <c r="D6046" s="1" t="s">
        <v>1907</v>
      </c>
      <c r="H6046" s="2" t="str">
        <f>Tabella1[[#This Row],[Denominazione]]&amp;" - "&amp;Tabella1[[#This Row],[Città]]</f>
        <v>VANZOLINI GIULIANO - GABICCE MARE</v>
      </c>
    </row>
    <row r="6047" spans="1:8" x14ac:dyDescent="0.25">
      <c r="A6047" s="1" t="s">
        <v>12</v>
      </c>
      <c r="B6047" s="1" t="s">
        <v>11844</v>
      </c>
      <c r="C6047" s="1" t="s">
        <v>11845</v>
      </c>
      <c r="D6047" s="1" t="s">
        <v>11792</v>
      </c>
      <c r="F6047" s="1" t="s">
        <v>11846</v>
      </c>
      <c r="G6047" s="1" t="s">
        <v>11847</v>
      </c>
      <c r="H6047" s="2" t="str">
        <f>Tabella1[[#This Row],[Denominazione]]&amp;" - "&amp;Tabella1[[#This Row],[Città]]</f>
        <v>VARAGONA MARIA - FIASTRA</v>
      </c>
    </row>
    <row r="6048" spans="1:8" x14ac:dyDescent="0.25">
      <c r="A6048" s="1" t="s">
        <v>35</v>
      </c>
      <c r="B6048" s="1" t="s">
        <v>5165</v>
      </c>
      <c r="C6048" s="1" t="s">
        <v>5166</v>
      </c>
      <c r="D6048" s="1" t="s">
        <v>9</v>
      </c>
      <c r="E6048" s="1" t="s">
        <v>9</v>
      </c>
      <c r="G6048" s="1" t="s">
        <v>5167</v>
      </c>
      <c r="H6048" s="2" t="str">
        <f>Tabella1[[#This Row],[Denominazione]]&amp;" - "&amp;Tabella1[[#This Row],[Città]]</f>
        <v>VAREA/LECOSTE - URBINO</v>
      </c>
    </row>
    <row r="6049" spans="1:8" x14ac:dyDescent="0.25">
      <c r="A6049" s="1" t="s">
        <v>82</v>
      </c>
      <c r="B6049" s="1" t="s">
        <v>148</v>
      </c>
      <c r="C6049" s="1" t="s">
        <v>149</v>
      </c>
      <c r="D6049" s="1" t="s">
        <v>102</v>
      </c>
      <c r="E6049" s="1" t="s">
        <v>102</v>
      </c>
      <c r="F6049" s="1" t="s">
        <v>146</v>
      </c>
      <c r="G6049" s="1" t="s">
        <v>147</v>
      </c>
      <c r="H6049" s="2" t="str">
        <f>Tabella1[[#This Row],[Denominazione]]&amp;" - "&amp;Tabella1[[#This Row],[Città]]</f>
        <v>VECCHIA FORNACE - APECCHIO</v>
      </c>
    </row>
    <row r="6050" spans="1:8" x14ac:dyDescent="0.25">
      <c r="A6050" s="1" t="s">
        <v>6</v>
      </c>
      <c r="B6050" s="1" t="s">
        <v>19507</v>
      </c>
      <c r="C6050" s="1" t="s">
        <v>19508</v>
      </c>
      <c r="D6050" s="1" t="s">
        <v>19500</v>
      </c>
      <c r="E6050" s="1" t="s">
        <v>17932</v>
      </c>
      <c r="F6050" s="1" t="s">
        <v>19509</v>
      </c>
      <c r="G6050" s="1" t="s">
        <v>19510</v>
      </c>
      <c r="H6050" s="2" t="str">
        <f>Tabella1[[#This Row],[Denominazione]]&amp;" - "&amp;Tabella1[[#This Row],[Città]]</f>
        <v>VECCHIA FORNACE PARADISO - SANTA VITTORIA IN MATENANO</v>
      </c>
    </row>
    <row r="6051" spans="1:8" x14ac:dyDescent="0.25">
      <c r="A6051" s="1" t="s">
        <v>35</v>
      </c>
      <c r="B6051" s="1" t="s">
        <v>17848</v>
      </c>
      <c r="C6051" s="1" t="s">
        <v>17849</v>
      </c>
      <c r="D6051" s="1" t="s">
        <v>17839</v>
      </c>
      <c r="E6051" s="1" t="s">
        <v>17839</v>
      </c>
      <c r="F6051" s="1" t="s">
        <v>17850</v>
      </c>
      <c r="G6051" s="1" t="s">
        <v>17851</v>
      </c>
      <c r="H6051" s="2" t="str">
        <f>Tabella1[[#This Row],[Denominazione]]&amp;" - "&amp;Tabella1[[#This Row],[Città]]</f>
        <v>VECCHIA MONTA - CAMPOFILONE</v>
      </c>
    </row>
    <row r="6052" spans="1:8" x14ac:dyDescent="0.25">
      <c r="A6052" s="1" t="s">
        <v>20</v>
      </c>
      <c r="B6052" s="1" t="s">
        <v>12273</v>
      </c>
      <c r="C6052" s="1" t="s">
        <v>12274</v>
      </c>
      <c r="D6052" s="1" t="s">
        <v>12208</v>
      </c>
      <c r="E6052" s="1" t="s">
        <v>12208</v>
      </c>
      <c r="F6052" s="1" t="s">
        <v>12275</v>
      </c>
      <c r="G6052" s="1" t="s">
        <v>12276</v>
      </c>
      <c r="H6052" s="2" t="str">
        <f>Tabella1[[#This Row],[Denominazione]]&amp;" - "&amp;Tabella1[[#This Row],[Città]]</f>
        <v>VECCHIA PORTA - MATELICA</v>
      </c>
    </row>
    <row r="6053" spans="1:8" x14ac:dyDescent="0.25">
      <c r="A6053" s="1" t="s">
        <v>29</v>
      </c>
      <c r="B6053" s="1" t="s">
        <v>15127</v>
      </c>
      <c r="C6053" s="1" t="s">
        <v>15128</v>
      </c>
      <c r="D6053" s="1" t="s">
        <v>15129</v>
      </c>
      <c r="E6053" s="1" t="s">
        <v>15129</v>
      </c>
      <c r="H6053" s="2" t="str">
        <f>Tabella1[[#This Row],[Denominazione]]&amp;" - "&amp;Tabella1[[#This Row],[Città]]</f>
        <v>VECCHIA SALARIA - CASTEL DI LAMA</v>
      </c>
    </row>
    <row r="6054" spans="1:8" x14ac:dyDescent="0.25">
      <c r="A6054" s="1" t="s">
        <v>35</v>
      </c>
      <c r="B6054" s="1" t="s">
        <v>18912</v>
      </c>
      <c r="C6054" s="1" t="s">
        <v>18913</v>
      </c>
      <c r="D6054" s="1" t="s">
        <v>18909</v>
      </c>
      <c r="E6054" s="1" t="s">
        <v>18909</v>
      </c>
      <c r="F6054" s="1" t="s">
        <v>18914</v>
      </c>
      <c r="G6054" s="1" t="s">
        <v>18915</v>
      </c>
      <c r="H6054" s="2" t="str">
        <f>Tabella1[[#This Row],[Denominazione]]&amp;" - "&amp;Tabella1[[#This Row],[Città]]</f>
        <v>VECCHIO GELSO - ORTEZZANO</v>
      </c>
    </row>
    <row r="6055" spans="1:8" x14ac:dyDescent="0.25">
      <c r="A6055" s="1" t="s">
        <v>679</v>
      </c>
      <c r="B6055" s="1" t="s">
        <v>15845</v>
      </c>
      <c r="C6055" s="1" t="s">
        <v>15846</v>
      </c>
      <c r="D6055" s="1" t="s">
        <v>15585</v>
      </c>
      <c r="H6055" s="2" t="str">
        <f>Tabella1[[#This Row],[Denominazione]]&amp;" - "&amp;Tabella1[[#This Row],[Città]]</f>
        <v>VELA - GROTTAMMARE</v>
      </c>
    </row>
    <row r="6056" spans="1:8" x14ac:dyDescent="0.25">
      <c r="A6056" s="1" t="s">
        <v>679</v>
      </c>
      <c r="B6056" s="1" t="s">
        <v>17369</v>
      </c>
      <c r="D6056" s="1" t="s">
        <v>15819</v>
      </c>
      <c r="E6056" s="1" t="s">
        <v>15819</v>
      </c>
      <c r="F6056" s="1" t="s">
        <v>17370</v>
      </c>
      <c r="H6056" s="2" t="str">
        <f>Tabella1[[#This Row],[Denominazione]]&amp;" - "&amp;Tabella1[[#This Row],[Città]]</f>
        <v>VELA CLUB - SAN BENEDETTO DEL TRONTO</v>
      </c>
    </row>
    <row r="6057" spans="1:8" x14ac:dyDescent="0.25">
      <c r="A6057" s="1" t="s">
        <v>20</v>
      </c>
      <c r="B6057" s="1" t="s">
        <v>15739</v>
      </c>
      <c r="C6057" s="1" t="s">
        <v>15740</v>
      </c>
      <c r="D6057" s="1" t="s">
        <v>15585</v>
      </c>
      <c r="E6057" s="1" t="s">
        <v>15585</v>
      </c>
      <c r="F6057" s="1" t="s">
        <v>15741</v>
      </c>
      <c r="G6057" s="1" t="s">
        <v>15742</v>
      </c>
      <c r="H6057" s="2" t="str">
        <f>Tabella1[[#This Row],[Denominazione]]&amp;" - "&amp;Tabella1[[#This Row],[Città]]</f>
        <v>VELIA - GROTTAMMARE</v>
      </c>
    </row>
    <row r="6058" spans="1:8" x14ac:dyDescent="0.25">
      <c r="A6058" s="1" t="s">
        <v>82</v>
      </c>
      <c r="B6058" s="1" t="s">
        <v>8278</v>
      </c>
      <c r="C6058" s="1" t="s">
        <v>8279</v>
      </c>
      <c r="D6058" s="1" t="s">
        <v>7889</v>
      </c>
      <c r="E6058" s="1" t="s">
        <v>7889</v>
      </c>
      <c r="F6058" s="1" t="s">
        <v>8060</v>
      </c>
      <c r="G6058" s="1" t="s">
        <v>8061</v>
      </c>
      <c r="H6058" s="2" t="str">
        <f>Tabella1[[#This Row],[Denominazione]]&amp;" - "&amp;Tabella1[[#This Row],[Città]]</f>
        <v>VELIA MARE (BACCHELLI BIANCA MARIA) - NUMANA</v>
      </c>
    </row>
    <row r="6059" spans="1:8" x14ac:dyDescent="0.25">
      <c r="A6059" s="1" t="s">
        <v>82</v>
      </c>
      <c r="B6059" s="1" t="s">
        <v>8278</v>
      </c>
      <c r="C6059" s="1" t="s">
        <v>8280</v>
      </c>
      <c r="D6059" s="1" t="s">
        <v>7889</v>
      </c>
      <c r="E6059" s="1" t="s">
        <v>7889</v>
      </c>
      <c r="F6059" s="1" t="s">
        <v>8060</v>
      </c>
      <c r="G6059" s="1" t="s">
        <v>8061</v>
      </c>
      <c r="H6059" s="2" t="str">
        <f>Tabella1[[#This Row],[Denominazione]]&amp;" - "&amp;Tabella1[[#This Row],[Città]]</f>
        <v>VELIA MARE (BACCHELLI BIANCA MARIA) - NUMANA</v>
      </c>
    </row>
    <row r="6060" spans="1:8" x14ac:dyDescent="0.25">
      <c r="A6060" s="1" t="s">
        <v>35</v>
      </c>
      <c r="B6060" s="1" t="s">
        <v>461</v>
      </c>
      <c r="C6060" s="1" t="s">
        <v>462</v>
      </c>
      <c r="D6060" s="1" t="s">
        <v>316</v>
      </c>
      <c r="E6060" s="1" t="s">
        <v>316</v>
      </c>
      <c r="F6060" s="1" t="s">
        <v>463</v>
      </c>
      <c r="G6060" s="1" t="s">
        <v>464</v>
      </c>
      <c r="H6060" s="2" t="str">
        <f>Tabella1[[#This Row],[Denominazione]]&amp;" - "&amp;Tabella1[[#This Row],[Città]]</f>
        <v>VELLANETA - CAGLI</v>
      </c>
    </row>
    <row r="6061" spans="1:8" x14ac:dyDescent="0.25">
      <c r="A6061" s="1" t="s">
        <v>20</v>
      </c>
      <c r="B6061" s="1" t="s">
        <v>11570</v>
      </c>
      <c r="C6061" s="1" t="s">
        <v>11571</v>
      </c>
      <c r="D6061" s="1" t="s">
        <v>11244</v>
      </c>
      <c r="E6061" s="1" t="s">
        <v>11244</v>
      </c>
      <c r="F6061" s="1" t="s">
        <v>11572</v>
      </c>
      <c r="G6061" s="1" t="s">
        <v>11573</v>
      </c>
      <c r="H6061" s="2" t="str">
        <f>Tabella1[[#This Row],[Denominazione]]&amp;" - "&amp;Tabella1[[#This Row],[Città]]</f>
        <v>VELUS - CIVITANOVA MARCHE</v>
      </c>
    </row>
    <row r="6062" spans="1:8" x14ac:dyDescent="0.25">
      <c r="A6062" s="1" t="s">
        <v>12</v>
      </c>
      <c r="B6062" s="1" t="s">
        <v>3062</v>
      </c>
      <c r="C6062" s="1" t="s">
        <v>3063</v>
      </c>
      <c r="D6062" s="1" t="s">
        <v>3038</v>
      </c>
      <c r="G6062" s="1" t="s">
        <v>3064</v>
      </c>
      <c r="H6062" s="2" t="str">
        <f>Tabella1[[#This Row],[Denominazione]]&amp;" - "&amp;Tabella1[[#This Row],[Città]]</f>
        <v>VENDROSELLA - MONTECICCARDO</v>
      </c>
    </row>
    <row r="6063" spans="1:8" x14ac:dyDescent="0.25">
      <c r="A6063" s="1" t="s">
        <v>20</v>
      </c>
      <c r="B6063" s="1" t="s">
        <v>9771</v>
      </c>
      <c r="C6063" s="1" t="s">
        <v>9772</v>
      </c>
      <c r="D6063" s="1" t="s">
        <v>8949</v>
      </c>
      <c r="E6063" s="1" t="s">
        <v>8949</v>
      </c>
      <c r="F6063" s="1" t="s">
        <v>9773</v>
      </c>
      <c r="G6063" s="1" t="s">
        <v>9774</v>
      </c>
      <c r="H6063" s="2" t="str">
        <f>Tabella1[[#This Row],[Denominazione]]&amp;" - "&amp;Tabella1[[#This Row],[Città]]</f>
        <v>VENEZIA - SENIGALLIA</v>
      </c>
    </row>
    <row r="6064" spans="1:8" x14ac:dyDescent="0.25">
      <c r="A6064" s="1" t="s">
        <v>35</v>
      </c>
      <c r="B6064" s="1" t="s">
        <v>5512</v>
      </c>
      <c r="C6064" s="1" t="s">
        <v>5513</v>
      </c>
      <c r="D6064" s="1" t="s">
        <v>1864</v>
      </c>
      <c r="E6064" s="1" t="s">
        <v>5514</v>
      </c>
      <c r="G6064" s="1" t="s">
        <v>5515</v>
      </c>
      <c r="H6064" s="2" t="str">
        <f>Tabella1[[#This Row],[Denominazione]]&amp;" - "&amp;Tabella1[[#This Row],[Città]]</f>
        <v>VENTICELLO DEL CONERO - ANCONA</v>
      </c>
    </row>
    <row r="6065" spans="1:8" x14ac:dyDescent="0.25">
      <c r="A6065" s="1" t="s">
        <v>12</v>
      </c>
      <c r="B6065" s="1" t="s">
        <v>18663</v>
      </c>
      <c r="C6065" s="1" t="s">
        <v>18664</v>
      </c>
      <c r="D6065" s="1" t="s">
        <v>18653</v>
      </c>
      <c r="E6065" s="1" t="s">
        <v>18665</v>
      </c>
      <c r="G6065" s="1" t="s">
        <v>18666</v>
      </c>
      <c r="H6065" s="2" t="str">
        <f>Tabella1[[#This Row],[Denominazione]]&amp;" - "&amp;Tabella1[[#This Row],[Città]]</f>
        <v>VENTURINI MASSIMO - MONTEGRANARO</v>
      </c>
    </row>
    <row r="6066" spans="1:8" x14ac:dyDescent="0.25">
      <c r="A6066" s="1" t="s">
        <v>20</v>
      </c>
      <c r="B6066" s="1" t="s">
        <v>1976</v>
      </c>
      <c r="C6066" s="1" t="s">
        <v>1977</v>
      </c>
      <c r="D6066" s="1" t="s">
        <v>1907</v>
      </c>
      <c r="E6066" s="1" t="s">
        <v>1907</v>
      </c>
      <c r="F6066" s="1" t="s">
        <v>1978</v>
      </c>
      <c r="G6066" s="1" t="s">
        <v>1979</v>
      </c>
      <c r="H6066" s="2" t="str">
        <f>Tabella1[[#This Row],[Denominazione]]&amp;" - "&amp;Tabella1[[#This Row],[Città]]</f>
        <v>VENUS - GABICCE MARE</v>
      </c>
    </row>
    <row r="6067" spans="1:8" x14ac:dyDescent="0.25">
      <c r="A6067" s="1" t="s">
        <v>20</v>
      </c>
      <c r="B6067" s="1" t="s">
        <v>1980</v>
      </c>
      <c r="C6067" s="1" t="s">
        <v>1981</v>
      </c>
      <c r="D6067" s="1" t="s">
        <v>1907</v>
      </c>
      <c r="E6067" s="1" t="s">
        <v>1907</v>
      </c>
      <c r="F6067" s="1" t="s">
        <v>1978</v>
      </c>
      <c r="G6067" s="1" t="s">
        <v>1979</v>
      </c>
      <c r="H6067" s="2" t="str">
        <f>Tabella1[[#This Row],[Denominazione]]&amp;" - "&amp;Tabella1[[#This Row],[Città]]</f>
        <v>VENUS DIPENDENZA - GABICCE MARE</v>
      </c>
    </row>
    <row r="6068" spans="1:8" x14ac:dyDescent="0.25">
      <c r="A6068" s="1" t="s">
        <v>20</v>
      </c>
      <c r="B6068" s="1" t="s">
        <v>19182</v>
      </c>
      <c r="C6068" s="1" t="s">
        <v>19183</v>
      </c>
      <c r="D6068" s="1" t="s">
        <v>18082</v>
      </c>
      <c r="E6068" s="1" t="s">
        <v>18082</v>
      </c>
      <c r="H6068" s="2" t="str">
        <f>Tabella1[[#This Row],[Denominazione]]&amp;" - "&amp;Tabella1[[#This Row],[Città]]</f>
        <v>VERA - PORTO SAN GIORGIO</v>
      </c>
    </row>
    <row r="6069" spans="1:8" x14ac:dyDescent="0.25">
      <c r="A6069" s="1" t="s">
        <v>35</v>
      </c>
      <c r="B6069" s="1" t="s">
        <v>19026</v>
      </c>
      <c r="D6069" s="1" t="s">
        <v>19027</v>
      </c>
      <c r="E6069" s="1" t="s">
        <v>19027</v>
      </c>
      <c r="F6069" s="1" t="s">
        <v>19028</v>
      </c>
      <c r="G6069" s="1" t="s">
        <v>19029</v>
      </c>
      <c r="H6069" s="2" t="str">
        <f>Tabella1[[#This Row],[Denominazione]]&amp;" - "&amp;Tabella1[[#This Row],[Città]]</f>
        <v>VERDE BENESSERE VILLAGGIO AGRITURISTICO - PONZANO DI FERMO</v>
      </c>
    </row>
    <row r="6070" spans="1:8" x14ac:dyDescent="0.25">
      <c r="A6070" s="1" t="s">
        <v>82</v>
      </c>
      <c r="B6070" s="1" t="s">
        <v>8236</v>
      </c>
      <c r="C6070" s="1" t="s">
        <v>8237</v>
      </c>
      <c r="D6070" s="1" t="s">
        <v>7889</v>
      </c>
      <c r="E6070" s="1" t="s">
        <v>7889</v>
      </c>
      <c r="G6070" s="1" t="s">
        <v>8238</v>
      </c>
      <c r="H6070" s="2" t="str">
        <f>Tabella1[[#This Row],[Denominazione]]&amp;" - "&amp;Tabella1[[#This Row],[Città]]</f>
        <v>VERDE GIADA - NUMANA</v>
      </c>
    </row>
    <row r="6071" spans="1:8" x14ac:dyDescent="0.25">
      <c r="A6071" s="1" t="s">
        <v>6</v>
      </c>
      <c r="B6071" s="1" t="s">
        <v>9901</v>
      </c>
      <c r="C6071" s="1" t="s">
        <v>9902</v>
      </c>
      <c r="D6071" s="1" t="s">
        <v>8949</v>
      </c>
      <c r="E6071" s="1" t="s">
        <v>9903</v>
      </c>
      <c r="G6071" s="1" t="s">
        <v>9904</v>
      </c>
      <c r="H6071" s="2" t="str">
        <f>Tabella1[[#This Row],[Denominazione]]&amp;" - "&amp;Tabella1[[#This Row],[Città]]</f>
        <v>VERDE MARE - SENIGALLIA</v>
      </c>
    </row>
    <row r="6072" spans="1:8" x14ac:dyDescent="0.25">
      <c r="A6072" s="1" t="s">
        <v>571</v>
      </c>
      <c r="B6072" s="1" t="s">
        <v>9901</v>
      </c>
      <c r="D6072" s="1" t="s">
        <v>17932</v>
      </c>
      <c r="E6072" s="1" t="s">
        <v>17932</v>
      </c>
      <c r="F6072" s="1" t="s">
        <v>18107</v>
      </c>
      <c r="G6072" s="1" t="s">
        <v>18108</v>
      </c>
      <c r="H6072" s="2" t="str">
        <f>Tabella1[[#This Row],[Denominazione]]&amp;" - "&amp;Tabella1[[#This Row],[Città]]</f>
        <v>VERDE MARE - FERMO</v>
      </c>
    </row>
    <row r="6073" spans="1:8" x14ac:dyDescent="0.25">
      <c r="A6073" s="1" t="s">
        <v>35</v>
      </c>
      <c r="B6073" s="1" t="s">
        <v>19543</v>
      </c>
      <c r="C6073" s="1" t="s">
        <v>19544</v>
      </c>
      <c r="D6073" s="1" t="s">
        <v>19541</v>
      </c>
      <c r="E6073" s="1" t="s">
        <v>19545</v>
      </c>
      <c r="G6073" s="1" t="s">
        <v>19546</v>
      </c>
      <c r="H6073" s="2" t="str">
        <f>Tabella1[[#This Row],[Denominazione]]&amp;" - "&amp;Tabella1[[#This Row],[Città]]</f>
        <v>VERDE PIANURA - SANT'ELPIDIO A MARE</v>
      </c>
    </row>
    <row r="6074" spans="1:8" x14ac:dyDescent="0.25">
      <c r="A6074" s="1" t="s">
        <v>35</v>
      </c>
      <c r="B6074" s="1" t="s">
        <v>18907</v>
      </c>
      <c r="C6074" s="1" t="s">
        <v>18908</v>
      </c>
      <c r="D6074" s="1" t="s">
        <v>18909</v>
      </c>
      <c r="E6074" s="1" t="s">
        <v>18909</v>
      </c>
      <c r="F6074" s="1" t="s">
        <v>18910</v>
      </c>
      <c r="G6074" s="1" t="s">
        <v>18911</v>
      </c>
      <c r="H6074" s="2" t="str">
        <f>Tabella1[[#This Row],[Denominazione]]&amp;" - "&amp;Tabella1[[#This Row],[Città]]</f>
        <v>VERDI COLLINE - ORTEZZANO</v>
      </c>
    </row>
    <row r="6075" spans="1:8" x14ac:dyDescent="0.25">
      <c r="A6075" s="1" t="s">
        <v>12</v>
      </c>
      <c r="B6075" s="1" t="s">
        <v>2775</v>
      </c>
      <c r="C6075" s="1" t="s">
        <v>2776</v>
      </c>
      <c r="D6075" s="1" t="s">
        <v>1605</v>
      </c>
      <c r="G6075" s="1" t="s">
        <v>2777</v>
      </c>
      <c r="H6075" s="2" t="str">
        <f>Tabella1[[#This Row],[Denominazione]]&amp;" - "&amp;Tabella1[[#This Row],[Città]]</f>
        <v>VERGARI GAETANO - MONDOLFO</v>
      </c>
    </row>
    <row r="6076" spans="1:8" x14ac:dyDescent="0.25">
      <c r="A6076" s="1" t="s">
        <v>12</v>
      </c>
      <c r="B6076" s="1" t="s">
        <v>1526</v>
      </c>
      <c r="C6076" s="1" t="s">
        <v>1527</v>
      </c>
      <c r="D6076" s="1" t="s">
        <v>682</v>
      </c>
      <c r="G6076" s="1" t="s">
        <v>1525</v>
      </c>
      <c r="H6076" s="2" t="str">
        <f>Tabella1[[#This Row],[Denominazione]]&amp;" - "&amp;Tabella1[[#This Row],[Città]]</f>
        <v>VERNA GIOVANNI - FANO</v>
      </c>
    </row>
    <row r="6077" spans="1:8" x14ac:dyDescent="0.25">
      <c r="A6077" s="1" t="s">
        <v>12</v>
      </c>
      <c r="B6077" s="1" t="s">
        <v>1530</v>
      </c>
      <c r="C6077" s="1" t="s">
        <v>1531</v>
      </c>
      <c r="D6077" s="1" t="s">
        <v>682</v>
      </c>
      <c r="E6077" s="1" t="s">
        <v>682</v>
      </c>
      <c r="G6077" s="1" t="s">
        <v>1525</v>
      </c>
      <c r="H6077" s="2" t="str">
        <f>Tabella1[[#This Row],[Denominazione]]&amp;" - "&amp;Tabella1[[#This Row],[Città]]</f>
        <v>VERNA LUCIA - FANO</v>
      </c>
    </row>
    <row r="6078" spans="1:8" x14ac:dyDescent="0.25">
      <c r="A6078" s="1" t="s">
        <v>12</v>
      </c>
      <c r="B6078" s="1" t="s">
        <v>745</v>
      </c>
      <c r="C6078" s="1" t="s">
        <v>746</v>
      </c>
      <c r="D6078" s="1" t="s">
        <v>682</v>
      </c>
      <c r="E6078" s="1" t="s">
        <v>682</v>
      </c>
      <c r="H6078" s="2" t="str">
        <f>Tabella1[[#This Row],[Denominazione]]&amp;" - "&amp;Tabella1[[#This Row],[Città]]</f>
        <v>VERNA STEFANO - FANO</v>
      </c>
    </row>
    <row r="6079" spans="1:8" x14ac:dyDescent="0.25">
      <c r="A6079" s="1" t="s">
        <v>82</v>
      </c>
      <c r="B6079" s="1" t="s">
        <v>933</v>
      </c>
      <c r="C6079" s="1" t="s">
        <v>934</v>
      </c>
      <c r="D6079" s="1" t="s">
        <v>682</v>
      </c>
      <c r="E6079" s="1" t="s">
        <v>682</v>
      </c>
      <c r="H6079" s="2" t="str">
        <f>Tabella1[[#This Row],[Denominazione]]&amp;" - "&amp;Tabella1[[#This Row],[Città]]</f>
        <v>VERNELLI ALESSIA - FANO</v>
      </c>
    </row>
    <row r="6080" spans="1:8" x14ac:dyDescent="0.25">
      <c r="A6080" s="1" t="s">
        <v>82</v>
      </c>
      <c r="B6080" s="1" t="s">
        <v>1086</v>
      </c>
      <c r="C6080" s="1" t="s">
        <v>934</v>
      </c>
      <c r="D6080" s="1" t="s">
        <v>682</v>
      </c>
      <c r="E6080" s="1" t="s">
        <v>682</v>
      </c>
      <c r="H6080" s="2" t="str">
        <f>Tabella1[[#This Row],[Denominazione]]&amp;" - "&amp;Tabella1[[#This Row],[Città]]</f>
        <v>VERNELLI ANDREA - FANO</v>
      </c>
    </row>
    <row r="6081" spans="1:8" x14ac:dyDescent="0.25">
      <c r="A6081" s="1" t="s">
        <v>679</v>
      </c>
      <c r="B6081" s="1" t="s">
        <v>1076</v>
      </c>
      <c r="C6081" s="1" t="s">
        <v>1036</v>
      </c>
      <c r="D6081" s="1" t="s">
        <v>682</v>
      </c>
      <c r="E6081" s="1" t="s">
        <v>682</v>
      </c>
      <c r="H6081" s="2" t="str">
        <f>Tabella1[[#This Row],[Denominazione]]&amp;" - "&amp;Tabella1[[#This Row],[Città]]</f>
        <v>VERNI MARIO - FANO</v>
      </c>
    </row>
    <row r="6082" spans="1:8" x14ac:dyDescent="0.25">
      <c r="A6082" s="1" t="s">
        <v>29</v>
      </c>
      <c r="B6082" s="1" t="s">
        <v>7336</v>
      </c>
      <c r="C6082" s="1" t="s">
        <v>7337</v>
      </c>
      <c r="D6082" s="1" t="s">
        <v>7254</v>
      </c>
      <c r="F6082" s="1" t="s">
        <v>7338</v>
      </c>
      <c r="G6082" s="1" t="s">
        <v>7339</v>
      </c>
      <c r="H6082" s="2" t="str">
        <f>Tabella1[[#This Row],[Denominazione]]&amp;" - "&amp;Tabella1[[#This Row],[Città]]</f>
        <v>VERZIERE - JESI</v>
      </c>
    </row>
    <row r="6083" spans="1:8" x14ac:dyDescent="0.25">
      <c r="A6083" s="1" t="s">
        <v>571</v>
      </c>
      <c r="B6083" s="1" t="s">
        <v>16283</v>
      </c>
      <c r="C6083" s="1" t="s">
        <v>16284</v>
      </c>
      <c r="D6083" s="1" t="s">
        <v>16281</v>
      </c>
      <c r="E6083" s="1" t="s">
        <v>16285</v>
      </c>
      <c r="F6083" s="1" t="s">
        <v>16286</v>
      </c>
      <c r="G6083" s="1" t="s">
        <v>16287</v>
      </c>
      <c r="H6083" s="2" t="str">
        <f>Tabella1[[#This Row],[Denominazione]]&amp;" - "&amp;Tabella1[[#This Row],[Città]]</f>
        <v>VETTORE - MONTEGALLO</v>
      </c>
    </row>
    <row r="6084" spans="1:8" x14ac:dyDescent="0.25">
      <c r="A6084" s="1" t="s">
        <v>20</v>
      </c>
      <c r="B6084" s="1" t="s">
        <v>16283</v>
      </c>
      <c r="C6084" s="1" t="s">
        <v>16288</v>
      </c>
      <c r="D6084" s="1" t="s">
        <v>16281</v>
      </c>
      <c r="E6084" s="1" t="s">
        <v>16281</v>
      </c>
      <c r="F6084" s="1" t="s">
        <v>16289</v>
      </c>
      <c r="G6084" s="1" t="s">
        <v>16290</v>
      </c>
      <c r="H6084" s="2" t="str">
        <f>Tabella1[[#This Row],[Denominazione]]&amp;" - "&amp;Tabella1[[#This Row],[Città]]</f>
        <v>VETTORE - MONTEGALLO</v>
      </c>
    </row>
    <row r="6085" spans="1:8" x14ac:dyDescent="0.25">
      <c r="A6085" s="1" t="s">
        <v>29</v>
      </c>
      <c r="B6085" s="1" t="s">
        <v>14326</v>
      </c>
      <c r="C6085" s="1" t="s">
        <v>14327</v>
      </c>
      <c r="D6085" s="1" t="s">
        <v>14276</v>
      </c>
      <c r="E6085" s="1" t="s">
        <v>14276</v>
      </c>
      <c r="H6085" s="2" t="str">
        <f>Tabella1[[#This Row],[Denominazione]]&amp;" - "&amp;Tabella1[[#This Row],[Città]]</f>
        <v>VIA DEL BORGO - VISSO</v>
      </c>
    </row>
    <row r="6086" spans="1:8" x14ac:dyDescent="0.25">
      <c r="A6086" s="1" t="s">
        <v>29</v>
      </c>
      <c r="B6086" s="1" t="s">
        <v>6749</v>
      </c>
      <c r="C6086" s="1" t="s">
        <v>6750</v>
      </c>
      <c r="D6086" s="1" t="s">
        <v>6652</v>
      </c>
      <c r="F6086" s="1" t="s">
        <v>6751</v>
      </c>
      <c r="G6086" s="1" t="s">
        <v>6752</v>
      </c>
      <c r="H6086" s="2" t="str">
        <f>Tabella1[[#This Row],[Denominazione]]&amp;" - "&amp;Tabella1[[#This Row],[Città]]</f>
        <v>VIA LEOPARDI 82 - CUPRAMONTANA</v>
      </c>
    </row>
    <row r="6087" spans="1:8" x14ac:dyDescent="0.25">
      <c r="A6087" s="1" t="s">
        <v>29</v>
      </c>
      <c r="B6087" s="1" t="s">
        <v>7842</v>
      </c>
      <c r="C6087" s="1" t="s">
        <v>7843</v>
      </c>
      <c r="D6087" s="1" t="s">
        <v>7824</v>
      </c>
      <c r="E6087" s="1" t="s">
        <v>7824</v>
      </c>
      <c r="F6087" s="1" t="s">
        <v>7844</v>
      </c>
      <c r="G6087" s="1" t="s">
        <v>7845</v>
      </c>
      <c r="H6087" s="2" t="str">
        <f>Tabella1[[#This Row],[Denominazione]]&amp;" - "&amp;Tabella1[[#This Row],[Città]]</f>
        <v>VIADELCAMPO di  SERRANI SILVIA - MONTE SAN VITO</v>
      </c>
    </row>
    <row r="6088" spans="1:8" x14ac:dyDescent="0.25">
      <c r="A6088" s="1" t="s">
        <v>12</v>
      </c>
      <c r="B6088" s="1" t="s">
        <v>1925</v>
      </c>
      <c r="C6088" s="1" t="s">
        <v>1926</v>
      </c>
      <c r="D6088" s="1" t="s">
        <v>1907</v>
      </c>
      <c r="H6088" s="2" t="str">
        <f>Tabella1[[#This Row],[Denominazione]]&amp;" - "&amp;Tabella1[[#This Row],[Città]]</f>
        <v>VICHI MALVINA - GABICCE MARE</v>
      </c>
    </row>
    <row r="6089" spans="1:8" x14ac:dyDescent="0.25">
      <c r="A6089" s="1" t="s">
        <v>12</v>
      </c>
      <c r="B6089" s="1" t="s">
        <v>5572</v>
      </c>
      <c r="C6089" s="1" t="s">
        <v>5573</v>
      </c>
      <c r="D6089" s="1" t="s">
        <v>1864</v>
      </c>
      <c r="E6089" s="1" t="s">
        <v>1864</v>
      </c>
      <c r="G6089" s="1" t="s">
        <v>5574</v>
      </c>
      <c r="H6089" s="2" t="str">
        <f>Tabella1[[#This Row],[Denominazione]]&amp;" - "&amp;Tabella1[[#This Row],[Città]]</f>
        <v>VICI FABRIZIO - ANCONA</v>
      </c>
    </row>
    <row r="6090" spans="1:8" x14ac:dyDescent="0.25">
      <c r="A6090" s="1" t="s">
        <v>12</v>
      </c>
      <c r="B6090" s="1" t="s">
        <v>9257</v>
      </c>
      <c r="C6090" s="1" t="s">
        <v>9258</v>
      </c>
      <c r="D6090" s="1" t="s">
        <v>8949</v>
      </c>
      <c r="E6090" s="1" t="s">
        <v>8949</v>
      </c>
      <c r="G6090" s="1" t="s">
        <v>9259</v>
      </c>
      <c r="H6090" s="2" t="str">
        <f>Tabella1[[#This Row],[Denominazione]]&amp;" - "&amp;Tabella1[[#This Row],[Città]]</f>
        <v>VICI MAURO - SENIGALLIA</v>
      </c>
    </row>
    <row r="6091" spans="1:8" x14ac:dyDescent="0.25">
      <c r="A6091" s="1" t="s">
        <v>12</v>
      </c>
      <c r="B6091" s="1" t="s">
        <v>8916</v>
      </c>
      <c r="C6091" s="1" t="s">
        <v>8917</v>
      </c>
      <c r="D6091" s="1" t="s">
        <v>8849</v>
      </c>
      <c r="G6091" s="1" t="s">
        <v>8918</v>
      </c>
      <c r="H6091" s="2" t="str">
        <f>Tabella1[[#This Row],[Denominazione]]&amp;" - "&amp;Tabella1[[#This Row],[Città]]</f>
        <v>VICOLO SANTA CHIARA - SASSOFERRATO</v>
      </c>
    </row>
    <row r="6092" spans="1:8" x14ac:dyDescent="0.25">
      <c r="A6092" s="1" t="s">
        <v>20</v>
      </c>
      <c r="B6092" s="1" t="s">
        <v>19173</v>
      </c>
      <c r="C6092" s="1" t="s">
        <v>19174</v>
      </c>
      <c r="D6092" s="1" t="s">
        <v>18082</v>
      </c>
      <c r="E6092" s="1" t="s">
        <v>18082</v>
      </c>
      <c r="F6092" s="1" t="s">
        <v>19175</v>
      </c>
      <c r="G6092" s="1" t="s">
        <v>19176</v>
      </c>
      <c r="H6092" s="2" t="str">
        <f>Tabella1[[#This Row],[Denominazione]]&amp;" - "&amp;Tabella1[[#This Row],[Città]]</f>
        <v>VICTORIA - PORTO SAN GIORGIO</v>
      </c>
    </row>
    <row r="6093" spans="1:8" x14ac:dyDescent="0.25">
      <c r="A6093" s="1" t="s">
        <v>20</v>
      </c>
      <c r="B6093" s="1" t="s">
        <v>2338</v>
      </c>
      <c r="C6093" s="1" t="s">
        <v>2339</v>
      </c>
      <c r="D6093" s="1" t="s">
        <v>1907</v>
      </c>
      <c r="E6093" s="1" t="s">
        <v>1907</v>
      </c>
      <c r="F6093" s="1" t="s">
        <v>2340</v>
      </c>
      <c r="G6093" s="1" t="s">
        <v>2341</v>
      </c>
      <c r="H6093" s="2" t="str">
        <f>Tabella1[[#This Row],[Denominazione]]&amp;" - "&amp;Tabella1[[#This Row],[Città]]</f>
        <v>VIENNA - GABICCE MARE</v>
      </c>
    </row>
    <row r="6094" spans="1:8" x14ac:dyDescent="0.25">
      <c r="A6094" s="1" t="s">
        <v>82</v>
      </c>
      <c r="B6094" s="1" t="s">
        <v>7860</v>
      </c>
      <c r="C6094" s="1" t="s">
        <v>7861</v>
      </c>
      <c r="D6094" s="1" t="s">
        <v>7849</v>
      </c>
      <c r="E6094" s="1" t="s">
        <v>7857</v>
      </c>
      <c r="F6094" s="1" t="s">
        <v>7862</v>
      </c>
      <c r="G6094" s="1" t="s">
        <v>7863</v>
      </c>
      <c r="H6094" s="2" t="str">
        <f>Tabella1[[#This Row],[Denominazione]]&amp;" - "&amp;Tabella1[[#This Row],[Città]]</f>
        <v>VIGNA S. AMICO COUNTRY HOUSE - MORRO D'ALBA</v>
      </c>
    </row>
    <row r="6095" spans="1:8" x14ac:dyDescent="0.25">
      <c r="A6095" s="1" t="s">
        <v>20</v>
      </c>
      <c r="B6095" s="1" t="s">
        <v>8118</v>
      </c>
      <c r="C6095" s="1" t="s">
        <v>8119</v>
      </c>
      <c r="D6095" s="1" t="s">
        <v>7889</v>
      </c>
      <c r="E6095" s="1" t="s">
        <v>7889</v>
      </c>
      <c r="F6095" s="1" t="s">
        <v>8120</v>
      </c>
      <c r="G6095" s="1" t="s">
        <v>8121</v>
      </c>
      <c r="H6095" s="2" t="str">
        <f>Tabella1[[#This Row],[Denominazione]]&amp;" - "&amp;Tabella1[[#This Row],[Città]]</f>
        <v>VILA BAHIA - NUMANA</v>
      </c>
    </row>
    <row r="6096" spans="1:8" x14ac:dyDescent="0.25">
      <c r="A6096" s="1" t="s">
        <v>12</v>
      </c>
      <c r="B6096" s="1" t="s">
        <v>238</v>
      </c>
      <c r="C6096" s="1" t="s">
        <v>239</v>
      </c>
      <c r="D6096" s="1" t="s">
        <v>227</v>
      </c>
      <c r="G6096" s="1" t="s">
        <v>240</v>
      </c>
      <c r="H6096" s="2" t="str">
        <f>Tabella1[[#This Row],[Denominazione]]&amp;" - "&amp;Tabella1[[#This Row],[Città]]</f>
        <v>VILLA AGAPANTUS - BARCHI</v>
      </c>
    </row>
    <row r="6097" spans="1:8" x14ac:dyDescent="0.25">
      <c r="A6097" s="1" t="s">
        <v>29</v>
      </c>
      <c r="B6097" s="1" t="s">
        <v>18688</v>
      </c>
      <c r="C6097" s="1" t="s">
        <v>18689</v>
      </c>
      <c r="D6097" s="1" t="s">
        <v>18653</v>
      </c>
      <c r="E6097" s="1" t="s">
        <v>18653</v>
      </c>
      <c r="G6097" s="1" t="s">
        <v>18690</v>
      </c>
      <c r="H6097" s="2" t="str">
        <f>Tabella1[[#This Row],[Denominazione]]&amp;" - "&amp;Tabella1[[#This Row],[Città]]</f>
        <v>VILLA ALESSANDRA - MONTEGRANARO</v>
      </c>
    </row>
    <row r="6098" spans="1:8" x14ac:dyDescent="0.25">
      <c r="A6098" s="1" t="s">
        <v>190</v>
      </c>
      <c r="B6098" s="1" t="s">
        <v>1246</v>
      </c>
      <c r="C6098" s="1" t="s">
        <v>1247</v>
      </c>
      <c r="D6098" s="1" t="s">
        <v>682</v>
      </c>
      <c r="E6098" s="1" t="s">
        <v>682</v>
      </c>
      <c r="G6098" s="1" t="s">
        <v>1248</v>
      </c>
      <c r="H6098" s="2" t="str">
        <f>Tabella1[[#This Row],[Denominazione]]&amp;" - "&amp;Tabella1[[#This Row],[Città]]</f>
        <v>VILLA ALTA PRELATO - FANO</v>
      </c>
    </row>
    <row r="6099" spans="1:8" x14ac:dyDescent="0.25">
      <c r="A6099" s="1" t="s">
        <v>20</v>
      </c>
      <c r="B6099" s="1" t="s">
        <v>16025</v>
      </c>
      <c r="C6099" s="1" t="s">
        <v>16026</v>
      </c>
      <c r="D6099" s="1" t="s">
        <v>5692</v>
      </c>
      <c r="E6099" s="1" t="s">
        <v>5692</v>
      </c>
      <c r="F6099" s="1" t="s">
        <v>16027</v>
      </c>
      <c r="G6099" s="1" t="s">
        <v>16028</v>
      </c>
      <c r="H6099" s="2" t="str">
        <f>Tabella1[[#This Row],[Denominazione]]&amp;" - "&amp;Tabella1[[#This Row],[Città]]</f>
        <v>VILLA ANIANA - MASSIGNANO</v>
      </c>
    </row>
    <row r="6100" spans="1:8" x14ac:dyDescent="0.25">
      <c r="A6100" s="1" t="s">
        <v>6</v>
      </c>
      <c r="B6100" s="1" t="s">
        <v>12045</v>
      </c>
      <c r="C6100" s="1" t="s">
        <v>12046</v>
      </c>
      <c r="D6100" s="1" t="s">
        <v>11981</v>
      </c>
      <c r="E6100" s="1" t="s">
        <v>11981</v>
      </c>
      <c r="G6100" s="1" t="s">
        <v>12047</v>
      </c>
      <c r="H6100" s="2" t="str">
        <f>Tabella1[[#This Row],[Denominazione]]&amp;" - "&amp;Tabella1[[#This Row],[Città]]</f>
        <v>VILLA ANITORI - LORO PICENO</v>
      </c>
    </row>
    <row r="6101" spans="1:8" x14ac:dyDescent="0.25">
      <c r="A6101" s="1" t="s">
        <v>12</v>
      </c>
      <c r="B6101" s="1" t="s">
        <v>539</v>
      </c>
      <c r="C6101" s="1" t="s">
        <v>540</v>
      </c>
      <c r="D6101" s="1" t="s">
        <v>535</v>
      </c>
      <c r="E6101" s="1" t="s">
        <v>541</v>
      </c>
      <c r="F6101" s="1" t="s">
        <v>542</v>
      </c>
      <c r="G6101" s="1" t="s">
        <v>543</v>
      </c>
      <c r="H6101" s="2" t="str">
        <f>Tabella1[[#This Row],[Denominazione]]&amp;" - "&amp;Tabella1[[#This Row],[Città]]</f>
        <v>VILLA ANTICA - CANTIANO</v>
      </c>
    </row>
    <row r="6102" spans="1:8" x14ac:dyDescent="0.25">
      <c r="A6102" s="1" t="s">
        <v>12</v>
      </c>
      <c r="B6102" s="1" t="s">
        <v>15615</v>
      </c>
      <c r="C6102" s="1" t="s">
        <v>15616</v>
      </c>
      <c r="D6102" s="1" t="s">
        <v>15585</v>
      </c>
      <c r="G6102" s="1" t="s">
        <v>15617</v>
      </c>
      <c r="H6102" s="2" t="str">
        <f>Tabella1[[#This Row],[Denominazione]]&amp;" - "&amp;Tabella1[[#This Row],[Città]]</f>
        <v>VILLA ARIETE - GROTTAMMARE</v>
      </c>
    </row>
    <row r="6103" spans="1:8" x14ac:dyDescent="0.25">
      <c r="A6103" s="1" t="s">
        <v>35</v>
      </c>
      <c r="B6103" s="1" t="s">
        <v>10592</v>
      </c>
      <c r="C6103" s="1" t="s">
        <v>10593</v>
      </c>
      <c r="D6103" s="1" t="s">
        <v>10589</v>
      </c>
      <c r="F6103" s="1" t="s">
        <v>10594</v>
      </c>
      <c r="G6103" s="1" t="s">
        <v>10595</v>
      </c>
      <c r="H6103" s="2" t="str">
        <f>Tabella1[[#This Row],[Denominazione]]&amp;" - "&amp;Tabella1[[#This Row],[Città]]</f>
        <v>VILLA ARSICCI - APIRO</v>
      </c>
    </row>
    <row r="6104" spans="1:8" x14ac:dyDescent="0.25">
      <c r="A6104" s="1" t="s">
        <v>12</v>
      </c>
      <c r="B6104" s="1" t="s">
        <v>807</v>
      </c>
      <c r="C6104" s="1" t="s">
        <v>808</v>
      </c>
      <c r="D6104" s="1" t="s">
        <v>682</v>
      </c>
      <c r="E6104" s="1" t="s">
        <v>809</v>
      </c>
      <c r="G6104" s="1" t="s">
        <v>810</v>
      </c>
      <c r="H6104" s="2" t="str">
        <f>Tabella1[[#This Row],[Denominazione]]&amp;" - "&amp;Tabella1[[#This Row],[Città]]</f>
        <v>VILLA AUGUSTA - FANO</v>
      </c>
    </row>
    <row r="6105" spans="1:8" x14ac:dyDescent="0.25">
      <c r="A6105" s="1" t="s">
        <v>29</v>
      </c>
      <c r="B6105" s="1" t="s">
        <v>19316</v>
      </c>
      <c r="C6105" s="1" t="s">
        <v>19317</v>
      </c>
      <c r="D6105" s="1" t="s">
        <v>19283</v>
      </c>
      <c r="E6105" s="1" t="s">
        <v>19318</v>
      </c>
      <c r="G6105" s="1" t="s">
        <v>19319</v>
      </c>
      <c r="H6105" s="2" t="str">
        <f>Tabella1[[#This Row],[Denominazione]]&amp;" - "&amp;Tabella1[[#This Row],[Città]]</f>
        <v>VILLA AZZURRA - PORTO SANT'ELPIDIO</v>
      </c>
    </row>
    <row r="6106" spans="1:8" x14ac:dyDescent="0.25">
      <c r="A6106" s="1" t="s">
        <v>12</v>
      </c>
      <c r="B6106" s="1" t="s">
        <v>4323</v>
      </c>
      <c r="C6106" s="1" t="s">
        <v>4324</v>
      </c>
      <c r="D6106" s="1" t="s">
        <v>4272</v>
      </c>
      <c r="E6106" s="1" t="s">
        <v>4272</v>
      </c>
      <c r="F6106" s="1" t="s">
        <v>4325</v>
      </c>
      <c r="G6106" s="1" t="s">
        <v>4326</v>
      </c>
      <c r="H6106" s="2" t="str">
        <f>Tabella1[[#This Row],[Denominazione]]&amp;" - "&amp;Tabella1[[#This Row],[Città]]</f>
        <v>VILLA BEATUS - SAN COSTANZO</v>
      </c>
    </row>
    <row r="6107" spans="1:8" x14ac:dyDescent="0.25">
      <c r="A6107" s="1" t="s">
        <v>29</v>
      </c>
      <c r="B6107" s="1" t="s">
        <v>12151</v>
      </c>
      <c r="C6107" s="1" t="s">
        <v>12152</v>
      </c>
      <c r="D6107" s="1" t="s">
        <v>12050</v>
      </c>
      <c r="G6107" s="1" t="s">
        <v>12153</v>
      </c>
      <c r="H6107" s="2" t="str">
        <f>Tabella1[[#This Row],[Denominazione]]&amp;" - "&amp;Tabella1[[#This Row],[Città]]</f>
        <v>VILLA BELO HORIZONTE - MACERATA</v>
      </c>
    </row>
    <row r="6108" spans="1:8" x14ac:dyDescent="0.25">
      <c r="A6108" s="1" t="s">
        <v>6</v>
      </c>
      <c r="B6108" s="1" t="s">
        <v>16618</v>
      </c>
      <c r="C6108" s="1" t="s">
        <v>16619</v>
      </c>
      <c r="D6108" s="1" t="s">
        <v>16585</v>
      </c>
      <c r="E6108" s="1" t="s">
        <v>16585</v>
      </c>
      <c r="F6108" s="1" t="s">
        <v>16620</v>
      </c>
      <c r="G6108" s="1" t="s">
        <v>16621</v>
      </c>
      <c r="H6108" s="2" t="str">
        <f>Tabella1[[#This Row],[Denominazione]]&amp;" - "&amp;Tabella1[[#This Row],[Città]]</f>
        <v>VILLA BELSITO - RIPATRANSONE</v>
      </c>
    </row>
    <row r="6109" spans="1:8" x14ac:dyDescent="0.25">
      <c r="A6109" s="1" t="s">
        <v>29</v>
      </c>
      <c r="B6109" s="1" t="s">
        <v>8501</v>
      </c>
      <c r="C6109" s="1" t="s">
        <v>8502</v>
      </c>
      <c r="D6109" s="1" t="s">
        <v>8454</v>
      </c>
      <c r="E6109" s="1" t="s">
        <v>8454</v>
      </c>
      <c r="F6109" s="1" t="s">
        <v>8503</v>
      </c>
      <c r="G6109" s="1" t="s">
        <v>8504</v>
      </c>
      <c r="H6109" s="2" t="str">
        <f>Tabella1[[#This Row],[Denominazione]]&amp;" - "&amp;Tabella1[[#This Row],[Città]]</f>
        <v>VILLA BELVEDERE DEGLI ULIVI DI CAPRIONI CARLO - OSIMO</v>
      </c>
    </row>
    <row r="6110" spans="1:8" x14ac:dyDescent="0.25">
      <c r="A6110" s="1" t="s">
        <v>6</v>
      </c>
      <c r="B6110" s="1" t="s">
        <v>12119</v>
      </c>
      <c r="C6110" s="1" t="s">
        <v>12120</v>
      </c>
      <c r="D6110" s="1" t="s">
        <v>12050</v>
      </c>
      <c r="E6110" s="1" t="s">
        <v>12121</v>
      </c>
      <c r="F6110" s="1" t="s">
        <v>12122</v>
      </c>
      <c r="G6110" s="1" t="s">
        <v>12123</v>
      </c>
      <c r="H6110" s="2" t="str">
        <f>Tabella1[[#This Row],[Denominazione]]&amp;" - "&amp;Tabella1[[#This Row],[Città]]</f>
        <v>VILLA BIANCA CICCOLINI RESIDENZA D'EPOCA - MACERATA</v>
      </c>
    </row>
    <row r="6111" spans="1:8" x14ac:dyDescent="0.25">
      <c r="A6111" s="1" t="s">
        <v>82</v>
      </c>
      <c r="B6111" s="1" t="s">
        <v>15368</v>
      </c>
      <c r="C6111" s="1" t="s">
        <v>15369</v>
      </c>
      <c r="D6111" s="1" t="s">
        <v>15349</v>
      </c>
      <c r="E6111" s="1" t="s">
        <v>15370</v>
      </c>
      <c r="F6111" s="1" t="s">
        <v>15371</v>
      </c>
      <c r="G6111" s="1" t="s">
        <v>15372</v>
      </c>
      <c r="H6111" s="2" t="str">
        <f>Tabella1[[#This Row],[Denominazione]]&amp;" - "&amp;Tabella1[[#This Row],[Città]]</f>
        <v>VILLA BOCCABIANCA - CUPRA MARITTIMA</v>
      </c>
    </row>
    <row r="6112" spans="1:8" x14ac:dyDescent="0.25">
      <c r="A6112" s="1" t="s">
        <v>190</v>
      </c>
      <c r="B6112" s="1" t="s">
        <v>3772</v>
      </c>
      <c r="C6112" s="1" t="s">
        <v>3773</v>
      </c>
      <c r="D6112" s="1" t="s">
        <v>2386</v>
      </c>
      <c r="E6112" s="1" t="s">
        <v>2386</v>
      </c>
      <c r="F6112" s="1" t="s">
        <v>3774</v>
      </c>
      <c r="G6112" s="1" t="s">
        <v>3775</v>
      </c>
      <c r="H6112" s="2" t="str">
        <f>Tabella1[[#This Row],[Denominazione]]&amp;" - "&amp;Tabella1[[#This Row],[Città]]</f>
        <v>VILLA BORROMEO - PESARO</v>
      </c>
    </row>
    <row r="6113" spans="1:8" x14ac:dyDescent="0.25">
      <c r="A6113" s="1" t="s">
        <v>6</v>
      </c>
      <c r="B6113" s="1" t="s">
        <v>10930</v>
      </c>
      <c r="C6113" s="1" t="s">
        <v>10931</v>
      </c>
      <c r="D6113" s="1" t="s">
        <v>10932</v>
      </c>
      <c r="E6113" s="1" t="s">
        <v>10932</v>
      </c>
      <c r="F6113" s="1" t="s">
        <v>10933</v>
      </c>
      <c r="G6113" s="1" t="s">
        <v>10934</v>
      </c>
      <c r="H6113" s="2" t="str">
        <f>Tabella1[[#This Row],[Denominazione]]&amp;" - "&amp;Tabella1[[#This Row],[Città]]</f>
        <v>VILLA CASABIANCA - CASTELRAIMONDO</v>
      </c>
    </row>
    <row r="6114" spans="1:8" x14ac:dyDescent="0.25">
      <c r="A6114" s="1" t="s">
        <v>20</v>
      </c>
      <c r="B6114" s="1" t="s">
        <v>12328</v>
      </c>
      <c r="C6114" s="1" t="s">
        <v>12329</v>
      </c>
      <c r="D6114" s="1" t="s">
        <v>12290</v>
      </c>
      <c r="E6114" s="1" t="s">
        <v>12290</v>
      </c>
      <c r="F6114" s="1" t="s">
        <v>12330</v>
      </c>
      <c r="G6114" s="1" t="s">
        <v>12331</v>
      </c>
      <c r="H6114" s="2" t="str">
        <f>Tabella1[[#This Row],[Denominazione]]&amp;" - "&amp;Tabella1[[#This Row],[Città]]</f>
        <v>VILLA CASTELLANI - MOGLIANO</v>
      </c>
    </row>
    <row r="6115" spans="1:8" x14ac:dyDescent="0.25">
      <c r="A6115" s="1" t="s">
        <v>29</v>
      </c>
      <c r="B6115" s="1" t="s">
        <v>11217</v>
      </c>
      <c r="C6115" s="1" t="s">
        <v>11218</v>
      </c>
      <c r="D6115" s="1" t="s">
        <v>11058</v>
      </c>
      <c r="E6115" s="1" t="s">
        <v>11058</v>
      </c>
      <c r="G6115" s="1" t="s">
        <v>11219</v>
      </c>
      <c r="H6115" s="2" t="str">
        <f>Tabella1[[#This Row],[Denominazione]]&amp;" - "&amp;Tabella1[[#This Row],[Città]]</f>
        <v>VILLA CASTELLETTA - CINGOLI</v>
      </c>
    </row>
    <row r="6116" spans="1:8" x14ac:dyDescent="0.25">
      <c r="A6116" s="1" t="s">
        <v>20</v>
      </c>
      <c r="B6116" s="1" t="s">
        <v>3784</v>
      </c>
      <c r="C6116" s="1" t="s">
        <v>3785</v>
      </c>
      <c r="D6116" s="1" t="s">
        <v>2386</v>
      </c>
      <c r="E6116" s="1" t="s">
        <v>2386</v>
      </c>
      <c r="F6116" s="1" t="s">
        <v>3786</v>
      </c>
      <c r="G6116" s="1" t="s">
        <v>3787</v>
      </c>
      <c r="H6116" s="2" t="str">
        <f>Tabella1[[#This Row],[Denominazione]]&amp;" - "&amp;Tabella1[[#This Row],[Città]]</f>
        <v>VILLA CATTANI STUART - PESARO</v>
      </c>
    </row>
    <row r="6117" spans="1:8" x14ac:dyDescent="0.25">
      <c r="A6117" s="1" t="s">
        <v>29</v>
      </c>
      <c r="B6117" s="1" t="s">
        <v>6830</v>
      </c>
      <c r="C6117" s="1" t="s">
        <v>6831</v>
      </c>
      <c r="D6117" s="1" t="s">
        <v>6790</v>
      </c>
      <c r="E6117" s="1" t="s">
        <v>6832</v>
      </c>
      <c r="F6117" s="1" t="s">
        <v>6833</v>
      </c>
      <c r="G6117" s="1" t="s">
        <v>6834</v>
      </c>
      <c r="H6117" s="2" t="str">
        <f>Tabella1[[#This Row],[Denominazione]]&amp;" - "&amp;Tabella1[[#This Row],[Città]]</f>
        <v>VILLA CENSI MANCIA - FABRIANO</v>
      </c>
    </row>
    <row r="6118" spans="1:8" x14ac:dyDescent="0.25">
      <c r="A6118" s="1" t="s">
        <v>6</v>
      </c>
      <c r="B6118" s="1" t="s">
        <v>1767</v>
      </c>
      <c r="C6118" s="1" t="s">
        <v>1768</v>
      </c>
      <c r="D6118" s="1" t="s">
        <v>1724</v>
      </c>
      <c r="G6118" s="1" t="s">
        <v>1769</v>
      </c>
      <c r="H6118" s="2" t="str">
        <f>Tabella1[[#This Row],[Denominazione]]&amp;" - "&amp;Tabella1[[#This Row],[Città]]</f>
        <v>VILLA CERBARA - FOSSOMBRONE</v>
      </c>
    </row>
    <row r="6119" spans="1:8" x14ac:dyDescent="0.25">
      <c r="A6119" s="1" t="s">
        <v>12</v>
      </c>
      <c r="B6119" s="1" t="s">
        <v>16151</v>
      </c>
      <c r="C6119" s="1" t="s">
        <v>16152</v>
      </c>
      <c r="D6119" s="1" t="s">
        <v>16083</v>
      </c>
      <c r="E6119" s="1" t="s">
        <v>16153</v>
      </c>
      <c r="G6119" s="1" t="s">
        <v>16154</v>
      </c>
      <c r="H6119" s="2" t="str">
        <f>Tabella1[[#This Row],[Denominazione]]&amp;" - "&amp;Tabella1[[#This Row],[Città]]</f>
        <v>VILLA CERQUETO di CAUCCI MARIA PIA - MONTALTO DELLE MARCHE</v>
      </c>
    </row>
    <row r="6120" spans="1:8" x14ac:dyDescent="0.25">
      <c r="A6120" s="1" t="s">
        <v>29</v>
      </c>
      <c r="B6120" s="1" t="s">
        <v>16706</v>
      </c>
      <c r="C6120" s="1" t="s">
        <v>16707</v>
      </c>
      <c r="D6120" s="1" t="s">
        <v>16585</v>
      </c>
      <c r="E6120" s="1" t="s">
        <v>16585</v>
      </c>
      <c r="F6120" s="1" t="s">
        <v>16708</v>
      </c>
      <c r="G6120" s="1" t="s">
        <v>16709</v>
      </c>
      <c r="H6120" s="2" t="str">
        <f>Tabella1[[#This Row],[Denominazione]]&amp;" - "&amp;Tabella1[[#This Row],[Città]]</f>
        <v>VILLA CHATOE' - RIPATRANSONE</v>
      </c>
    </row>
    <row r="6121" spans="1:8" x14ac:dyDescent="0.25">
      <c r="A6121" s="1" t="s">
        <v>29</v>
      </c>
      <c r="B6121" s="1" t="s">
        <v>16402</v>
      </c>
      <c r="C6121" s="1" t="s">
        <v>16403</v>
      </c>
      <c r="D6121" s="1" t="s">
        <v>16396</v>
      </c>
      <c r="E6121" s="1" t="s">
        <v>16396</v>
      </c>
      <c r="F6121" s="1" t="s">
        <v>16404</v>
      </c>
      <c r="G6121" s="1" t="s">
        <v>16405</v>
      </c>
      <c r="H6121" s="2" t="str">
        <f>Tabella1[[#This Row],[Denominazione]]&amp;" - "&amp;Tabella1[[#This Row],[Città]]</f>
        <v>VILLA CICCHI - MONTEPRANDONE</v>
      </c>
    </row>
    <row r="6122" spans="1:8" x14ac:dyDescent="0.25">
      <c r="A6122" s="1" t="s">
        <v>6</v>
      </c>
      <c r="B6122" s="1" t="s">
        <v>10892</v>
      </c>
      <c r="C6122" s="1" t="s">
        <v>10893</v>
      </c>
      <c r="D6122" s="1" t="s">
        <v>10737</v>
      </c>
      <c r="E6122" s="1" t="s">
        <v>10894</v>
      </c>
      <c r="F6122" s="1" t="s">
        <v>10895</v>
      </c>
      <c r="G6122" s="1" t="s">
        <v>10896</v>
      </c>
      <c r="H6122" s="2" t="str">
        <f>Tabella1[[#This Row],[Denominazione]]&amp;" - "&amp;Tabella1[[#This Row],[Città]]</f>
        <v>VILLA CLAUDI - CAMERINO</v>
      </c>
    </row>
    <row r="6123" spans="1:8" x14ac:dyDescent="0.25">
      <c r="A6123" s="1" t="s">
        <v>20</v>
      </c>
      <c r="B6123" s="1" t="s">
        <v>4688</v>
      </c>
      <c r="C6123" s="1" t="s">
        <v>4689</v>
      </c>
      <c r="D6123" s="1" t="s">
        <v>4657</v>
      </c>
      <c r="E6123" s="1" t="s">
        <v>4657</v>
      </c>
      <c r="F6123" s="1" t="s">
        <v>4690</v>
      </c>
      <c r="G6123" s="1" t="s">
        <v>4691</v>
      </c>
      <c r="H6123" s="2" t="str">
        <f>Tabella1[[#This Row],[Denominazione]]&amp;" - "&amp;Tabella1[[#This Row],[Città]]</f>
        <v>VILLA CLAUDIA RESORT - TAVULLIA</v>
      </c>
    </row>
    <row r="6124" spans="1:8" x14ac:dyDescent="0.25">
      <c r="A6124" s="1" t="s">
        <v>6</v>
      </c>
      <c r="B6124" s="1" t="s">
        <v>12215</v>
      </c>
      <c r="C6124" s="1" t="s">
        <v>12216</v>
      </c>
      <c r="D6124" s="1" t="s">
        <v>12208</v>
      </c>
      <c r="E6124" s="1" t="s">
        <v>12208</v>
      </c>
      <c r="F6124" s="1" t="s">
        <v>12217</v>
      </c>
      <c r="G6124" s="1" t="s">
        <v>12218</v>
      </c>
      <c r="H6124" s="2" t="str">
        <f>Tabella1[[#This Row],[Denominazione]]&amp;" - "&amp;Tabella1[[#This Row],[Città]]</f>
        <v>VILLA COLLEPERE - MATELICA</v>
      </c>
    </row>
    <row r="6125" spans="1:8" x14ac:dyDescent="0.25">
      <c r="A6125" s="1" t="s">
        <v>6</v>
      </c>
      <c r="B6125" s="1" t="s">
        <v>8470</v>
      </c>
      <c r="C6125" s="1" t="s">
        <v>8471</v>
      </c>
      <c r="D6125" s="1" t="s">
        <v>8454</v>
      </c>
      <c r="G6125" s="1" t="s">
        <v>8472</v>
      </c>
      <c r="H6125" s="2" t="str">
        <f>Tabella1[[#This Row],[Denominazione]]&amp;" - "&amp;Tabella1[[#This Row],[Città]]</f>
        <v>VILLA CORALIA - OSIMO</v>
      </c>
    </row>
    <row r="6126" spans="1:8" x14ac:dyDescent="0.25">
      <c r="A6126" s="1" t="s">
        <v>20</v>
      </c>
      <c r="B6126" s="1" t="s">
        <v>17459</v>
      </c>
      <c r="C6126" s="1" t="s">
        <v>17460</v>
      </c>
      <c r="D6126" s="1" t="s">
        <v>15819</v>
      </c>
      <c r="E6126" s="1" t="s">
        <v>15819</v>
      </c>
      <c r="F6126" s="1" t="s">
        <v>17461</v>
      </c>
      <c r="G6126" s="1" t="s">
        <v>17462</v>
      </c>
      <c r="H6126" s="2" t="str">
        <f>Tabella1[[#This Row],[Denominazione]]&amp;" - "&amp;Tabella1[[#This Row],[Città]]</f>
        <v>VILLA CORALLO - SAN BENEDETTO DEL TRONTO</v>
      </c>
    </row>
    <row r="6127" spans="1:8" x14ac:dyDescent="0.25">
      <c r="A6127" s="1" t="s">
        <v>35</v>
      </c>
      <c r="B6127" s="1" t="s">
        <v>18933</v>
      </c>
      <c r="C6127" s="1" t="s">
        <v>18934</v>
      </c>
      <c r="D6127" s="1" t="s">
        <v>18909</v>
      </c>
      <c r="G6127" s="1" t="s">
        <v>18935</v>
      </c>
      <c r="H6127" s="2" t="str">
        <f>Tabella1[[#This Row],[Denominazione]]&amp;" - "&amp;Tabella1[[#This Row],[Città]]</f>
        <v>VILLA CRU - ORTEZZANO</v>
      </c>
    </row>
    <row r="6128" spans="1:8" x14ac:dyDescent="0.25">
      <c r="A6128" s="1" t="s">
        <v>82</v>
      </c>
      <c r="B6128" s="1" t="s">
        <v>8396</v>
      </c>
      <c r="C6128" s="1" t="s">
        <v>8397</v>
      </c>
      <c r="D6128" s="1" t="s">
        <v>7889</v>
      </c>
      <c r="E6128" s="1" t="s">
        <v>7889</v>
      </c>
      <c r="G6128" s="1" t="s">
        <v>8277</v>
      </c>
      <c r="H6128" s="2" t="str">
        <f>Tabella1[[#This Row],[Denominazione]]&amp;" - "&amp;Tabella1[[#This Row],[Città]]</f>
        <v>VILLA DEA AFFITTACAMERE - NUMANA</v>
      </c>
    </row>
    <row r="6129" spans="1:8" x14ac:dyDescent="0.25">
      <c r="A6129" s="1" t="s">
        <v>6</v>
      </c>
      <c r="B6129" s="1" t="s">
        <v>338</v>
      </c>
      <c r="C6129" s="1" t="s">
        <v>339</v>
      </c>
      <c r="D6129" s="1" t="s">
        <v>316</v>
      </c>
      <c r="G6129" s="1" t="s">
        <v>340</v>
      </c>
      <c r="H6129" s="2" t="str">
        <f>Tabella1[[#This Row],[Denominazione]]&amp;" - "&amp;Tabella1[[#This Row],[Città]]</f>
        <v>VILLA DEGLI ORTI - CAGLI</v>
      </c>
    </row>
    <row r="6130" spans="1:8" x14ac:dyDescent="0.25">
      <c r="A6130" s="1" t="s">
        <v>82</v>
      </c>
      <c r="B6130" s="1" t="s">
        <v>13583</v>
      </c>
      <c r="C6130" s="1" t="s">
        <v>13584</v>
      </c>
      <c r="D6130" s="1" t="s">
        <v>13548</v>
      </c>
      <c r="E6130" s="1" t="s">
        <v>13548</v>
      </c>
      <c r="G6130" s="1" t="s">
        <v>13585</v>
      </c>
      <c r="H6130" s="2" t="str">
        <f>Tabella1[[#This Row],[Denominazione]]&amp;" - "&amp;Tabella1[[#This Row],[Città]]</f>
        <v>VILLA DEL CAVALIERE - SAN SEVERINO MARCHE</v>
      </c>
    </row>
    <row r="6131" spans="1:8" x14ac:dyDescent="0.25">
      <c r="A6131" s="1" t="s">
        <v>35</v>
      </c>
      <c r="B6131" s="1" t="s">
        <v>4413</v>
      </c>
      <c r="C6131" s="1" t="s">
        <v>4414</v>
      </c>
      <c r="D6131" s="1" t="s">
        <v>4397</v>
      </c>
      <c r="E6131" s="1" t="s">
        <v>4415</v>
      </c>
      <c r="F6131" s="1" t="s">
        <v>4416</v>
      </c>
      <c r="G6131" s="1" t="s">
        <v>4417</v>
      </c>
      <c r="H6131" s="2" t="str">
        <f>Tabella1[[#This Row],[Denominazione]]&amp;" - "&amp;Tabella1[[#This Row],[Città]]</f>
        <v>VILLA DELL' AGATA - SANT'ANGELO IN VADO</v>
      </c>
    </row>
    <row r="6132" spans="1:8" x14ac:dyDescent="0.25">
      <c r="A6132" s="1" t="s">
        <v>6</v>
      </c>
      <c r="B6132" s="1" t="s">
        <v>8898</v>
      </c>
      <c r="C6132" s="1" t="s">
        <v>8899</v>
      </c>
      <c r="D6132" s="1" t="s">
        <v>8849</v>
      </c>
      <c r="E6132" s="1" t="s">
        <v>8900</v>
      </c>
      <c r="F6132" s="1" t="s">
        <v>8901</v>
      </c>
      <c r="G6132" s="1" t="s">
        <v>8902</v>
      </c>
      <c r="H6132" s="2" t="str">
        <f>Tabella1[[#This Row],[Denominazione]]&amp;" - "&amp;Tabella1[[#This Row],[Città]]</f>
        <v>VILLA DI MONTEROSSO - SASSOFERRATO</v>
      </c>
    </row>
    <row r="6133" spans="1:8" x14ac:dyDescent="0.25">
      <c r="A6133" s="1" t="s">
        <v>6</v>
      </c>
      <c r="B6133" s="1" t="s">
        <v>2712</v>
      </c>
      <c r="C6133" s="1" t="s">
        <v>2713</v>
      </c>
      <c r="D6133" s="1" t="s">
        <v>2678</v>
      </c>
      <c r="E6133" s="1" t="s">
        <v>2678</v>
      </c>
      <c r="G6133" s="1" t="s">
        <v>2714</v>
      </c>
      <c r="H6133" s="2" t="str">
        <f>Tabella1[[#This Row],[Denominazione]]&amp;" - "&amp;Tabella1[[#This Row],[Città]]</f>
        <v>VILLA DIANA - MOMBAROCCIO</v>
      </c>
    </row>
    <row r="6134" spans="1:8" x14ac:dyDescent="0.25">
      <c r="A6134" s="1" t="s">
        <v>35</v>
      </c>
      <c r="B6134" s="1" t="s">
        <v>4748</v>
      </c>
      <c r="D6134" s="1" t="s">
        <v>4735</v>
      </c>
      <c r="G6134" s="1" t="s">
        <v>4749</v>
      </c>
      <c r="H6134" s="2" t="str">
        <f>Tabella1[[#This Row],[Denominazione]]&amp;" - "&amp;Tabella1[[#This Row],[Città]]</f>
        <v>VILLA ENRICO - URBANIA</v>
      </c>
    </row>
    <row r="6135" spans="1:8" x14ac:dyDescent="0.25">
      <c r="A6135" s="1" t="s">
        <v>82</v>
      </c>
      <c r="B6135" s="1" t="s">
        <v>10230</v>
      </c>
      <c r="C6135" s="1" t="s">
        <v>10231</v>
      </c>
      <c r="D6135" s="1" t="s">
        <v>10206</v>
      </c>
      <c r="E6135" s="1" t="s">
        <v>10206</v>
      </c>
      <c r="F6135" s="1" t="s">
        <v>10232</v>
      </c>
      <c r="G6135" s="1" t="s">
        <v>10233</v>
      </c>
      <c r="H6135" s="2" t="str">
        <f>Tabella1[[#This Row],[Denominazione]]&amp;" - "&amp;Tabella1[[#This Row],[Città]]</f>
        <v>VILLA EVA - SIROLO</v>
      </c>
    </row>
    <row r="6136" spans="1:8" x14ac:dyDescent="0.25">
      <c r="A6136" s="1" t="s">
        <v>35</v>
      </c>
      <c r="B6136" s="1" t="s">
        <v>7622</v>
      </c>
      <c r="C6136" s="1" t="s">
        <v>7623</v>
      </c>
      <c r="D6136" s="1" t="s">
        <v>7611</v>
      </c>
      <c r="E6136" s="1" t="s">
        <v>7611</v>
      </c>
      <c r="F6136" s="1" t="s">
        <v>7624</v>
      </c>
      <c r="G6136" s="1" t="s">
        <v>7625</v>
      </c>
      <c r="H6136" s="2" t="str">
        <f>Tabella1[[#This Row],[Denominazione]]&amp;" - "&amp;Tabella1[[#This Row],[Città]]</f>
        <v>VILLA FEDERICA AGRITURISMO - MERGO</v>
      </c>
    </row>
    <row r="6137" spans="1:8" x14ac:dyDescent="0.25">
      <c r="A6137" s="1" t="s">
        <v>29</v>
      </c>
      <c r="B6137" s="1" t="s">
        <v>16386</v>
      </c>
      <c r="C6137" s="1" t="s">
        <v>16387</v>
      </c>
      <c r="D6137" s="1" t="s">
        <v>16312</v>
      </c>
      <c r="E6137" s="1" t="s">
        <v>16312</v>
      </c>
      <c r="F6137" s="1" t="s">
        <v>16388</v>
      </c>
      <c r="G6137" s="1" t="s">
        <v>16389</v>
      </c>
      <c r="H6137" s="2" t="str">
        <f>Tabella1[[#This Row],[Denominazione]]&amp;" - "&amp;Tabella1[[#This Row],[Città]]</f>
        <v>VILLA FIOR - MONTEMONACO</v>
      </c>
    </row>
    <row r="6138" spans="1:8" x14ac:dyDescent="0.25">
      <c r="A6138" s="1" t="s">
        <v>35</v>
      </c>
      <c r="B6138" s="1" t="s">
        <v>14106</v>
      </c>
      <c r="C6138" s="1" t="s">
        <v>14107</v>
      </c>
      <c r="D6138" s="1" t="s">
        <v>14065</v>
      </c>
      <c r="E6138" s="1" t="s">
        <v>14065</v>
      </c>
      <c r="G6138" s="1" t="s">
        <v>14108</v>
      </c>
      <c r="H6138" s="2" t="str">
        <f>Tabella1[[#This Row],[Denominazione]]&amp;" - "&amp;Tabella1[[#This Row],[Città]]</f>
        <v>VILLA FIORITA di RAPACCINI PASQUALE - TREIA</v>
      </c>
    </row>
    <row r="6139" spans="1:8" x14ac:dyDescent="0.25">
      <c r="A6139" s="1" t="s">
        <v>82</v>
      </c>
      <c r="B6139" s="1" t="s">
        <v>17798</v>
      </c>
      <c r="C6139" s="1" t="s">
        <v>5520</v>
      </c>
      <c r="D6139" s="1" t="s">
        <v>17745</v>
      </c>
      <c r="G6139" s="1" t="s">
        <v>17799</v>
      </c>
      <c r="H6139" s="2" t="str">
        <f>Tabella1[[#This Row],[Denominazione]]&amp;" - "&amp;Tabella1[[#This Row],[Città]]</f>
        <v>VILLA FLO - AMANDOLA</v>
      </c>
    </row>
    <row r="6140" spans="1:8" x14ac:dyDescent="0.25">
      <c r="A6140" s="1" t="s">
        <v>6</v>
      </c>
      <c r="B6140" s="1" t="s">
        <v>416</v>
      </c>
      <c r="C6140" s="1" t="s">
        <v>417</v>
      </c>
      <c r="D6140" s="1" t="s">
        <v>316</v>
      </c>
      <c r="E6140" s="1" t="s">
        <v>316</v>
      </c>
      <c r="F6140" s="1" t="s">
        <v>418</v>
      </c>
      <c r="G6140" s="1" t="s">
        <v>419</v>
      </c>
      <c r="H6140" s="2" t="str">
        <f>Tabella1[[#This Row],[Denominazione]]&amp;" - "&amp;Tabella1[[#This Row],[Città]]</f>
        <v>VILLA FONTALBA - CAGLI</v>
      </c>
    </row>
    <row r="6141" spans="1:8" x14ac:dyDescent="0.25">
      <c r="A6141" s="1" t="s">
        <v>6</v>
      </c>
      <c r="B6141" s="1" t="s">
        <v>3277</v>
      </c>
      <c r="C6141" s="1" t="s">
        <v>3278</v>
      </c>
      <c r="D6141" s="1" t="s">
        <v>3257</v>
      </c>
      <c r="G6141" s="1" t="s">
        <v>3279</v>
      </c>
      <c r="H6141" s="2" t="str">
        <f>Tabella1[[#This Row],[Denominazione]]&amp;" - "&amp;Tabella1[[#This Row],[Città]]</f>
        <v>VILLA FONTI - ORCIANO DI PESARO</v>
      </c>
    </row>
    <row r="6142" spans="1:8" x14ac:dyDescent="0.25">
      <c r="A6142" s="1" t="s">
        <v>29</v>
      </c>
      <c r="B6142" s="1" t="s">
        <v>3625</v>
      </c>
      <c r="C6142" s="1" t="s">
        <v>3626</v>
      </c>
      <c r="D6142" s="1" t="s">
        <v>2386</v>
      </c>
      <c r="E6142" s="1" t="s">
        <v>2386</v>
      </c>
      <c r="G6142" s="1" t="s">
        <v>3627</v>
      </c>
      <c r="H6142" s="2" t="str">
        <f>Tabella1[[#This Row],[Denominazione]]&amp;" - "&amp;Tabella1[[#This Row],[Città]]</f>
        <v>VILLA FRANCA - PESARO</v>
      </c>
    </row>
    <row r="6143" spans="1:8" x14ac:dyDescent="0.25">
      <c r="A6143" s="1" t="s">
        <v>6</v>
      </c>
      <c r="B6143" s="1" t="s">
        <v>19632</v>
      </c>
      <c r="C6143" s="1" t="s">
        <v>19633</v>
      </c>
      <c r="D6143" s="1" t="s">
        <v>19628</v>
      </c>
      <c r="E6143" s="1" t="s">
        <v>19628</v>
      </c>
      <c r="F6143" s="1" t="s">
        <v>19634</v>
      </c>
      <c r="G6143" s="1" t="s">
        <v>19635</v>
      </c>
      <c r="H6143" s="2" t="str">
        <f>Tabella1[[#This Row],[Denominazione]]&amp;" - "&amp;Tabella1[[#This Row],[Città]]</f>
        <v>VILLA FUNARI COUNTRY HOUSE - SERVIGLIANO</v>
      </c>
    </row>
    <row r="6144" spans="1:8" x14ac:dyDescent="0.25">
      <c r="A6144" s="1" t="s">
        <v>6</v>
      </c>
      <c r="B6144" s="1" t="s">
        <v>16159</v>
      </c>
      <c r="C6144" s="1" t="s">
        <v>16104</v>
      </c>
      <c r="D6144" s="1" t="s">
        <v>16083</v>
      </c>
      <c r="E6144" s="1" t="s">
        <v>16083</v>
      </c>
      <c r="F6144" s="1" t="s">
        <v>16105</v>
      </c>
      <c r="G6144" s="1" t="s">
        <v>16102</v>
      </c>
      <c r="H6144" s="2" t="str">
        <f>Tabella1[[#This Row],[Denominazione]]&amp;" - "&amp;Tabella1[[#This Row],[Città]]</f>
        <v>VILLA GEMINIANI - MONTALTO DELLE MARCHE</v>
      </c>
    </row>
    <row r="6145" spans="1:8" x14ac:dyDescent="0.25">
      <c r="A6145" s="1" t="s">
        <v>6</v>
      </c>
      <c r="B6145" s="1" t="s">
        <v>16103</v>
      </c>
      <c r="C6145" s="1" t="s">
        <v>16104</v>
      </c>
      <c r="D6145" s="1" t="s">
        <v>16083</v>
      </c>
      <c r="E6145" s="1" t="s">
        <v>16083</v>
      </c>
      <c r="F6145" s="1" t="s">
        <v>16105</v>
      </c>
      <c r="G6145" s="1" t="s">
        <v>16102</v>
      </c>
      <c r="H6145" s="2" t="str">
        <f>Tabella1[[#This Row],[Denominazione]]&amp;" - "&amp;Tabella1[[#This Row],[Città]]</f>
        <v>VILLA GEMINIANI DEPENDANCE - MONTALTO DELLE MARCHE</v>
      </c>
    </row>
    <row r="6146" spans="1:8" x14ac:dyDescent="0.25">
      <c r="A6146" s="1" t="s">
        <v>35</v>
      </c>
      <c r="B6146" s="1" t="s">
        <v>6329</v>
      </c>
      <c r="C6146" s="1" t="s">
        <v>6330</v>
      </c>
      <c r="D6146" s="1" t="s">
        <v>6290</v>
      </c>
      <c r="E6146" s="1" t="s">
        <v>6290</v>
      </c>
      <c r="F6146" s="1" t="s">
        <v>6331</v>
      </c>
      <c r="G6146" s="1" t="s">
        <v>6332</v>
      </c>
      <c r="H6146" s="2" t="str">
        <f>Tabella1[[#This Row],[Denominazione]]&amp;" - "&amp;Tabella1[[#This Row],[Città]]</f>
        <v>VILLA GENS CAMURIA - CAMERANO</v>
      </c>
    </row>
    <row r="6147" spans="1:8" x14ac:dyDescent="0.25">
      <c r="A6147" s="1" t="s">
        <v>82</v>
      </c>
      <c r="B6147" s="1" t="s">
        <v>10340</v>
      </c>
      <c r="C6147" s="1" t="s">
        <v>10341</v>
      </c>
      <c r="D6147" s="1" t="s">
        <v>10206</v>
      </c>
      <c r="G6147" s="1" t="s">
        <v>10342</v>
      </c>
      <c r="H6147" s="2" t="str">
        <f>Tabella1[[#This Row],[Denominazione]]&amp;" - "&amp;Tabella1[[#This Row],[Città]]</f>
        <v>VILLA GIGLI - SIROLO</v>
      </c>
    </row>
    <row r="6148" spans="1:8" x14ac:dyDescent="0.25">
      <c r="A6148" s="1" t="s">
        <v>12</v>
      </c>
      <c r="B6148" s="1" t="s">
        <v>3442</v>
      </c>
      <c r="C6148" s="1" t="s">
        <v>3443</v>
      </c>
      <c r="D6148" s="1" t="s">
        <v>2386</v>
      </c>
      <c r="F6148" s="1" t="s">
        <v>3444</v>
      </c>
      <c r="G6148" s="1" t="s">
        <v>3445</v>
      </c>
      <c r="H6148" s="2" t="str">
        <f>Tabella1[[#This Row],[Denominazione]]&amp;" - "&amp;Tabella1[[#This Row],[Città]]</f>
        <v>VILLA GIRASOLE - PESARO</v>
      </c>
    </row>
    <row r="6149" spans="1:8" x14ac:dyDescent="0.25">
      <c r="A6149" s="1" t="s">
        <v>6</v>
      </c>
      <c r="B6149" s="1" t="s">
        <v>842</v>
      </c>
      <c r="D6149" s="1" t="s">
        <v>682</v>
      </c>
      <c r="F6149" s="1" t="s">
        <v>843</v>
      </c>
      <c r="G6149" s="1" t="s">
        <v>844</v>
      </c>
      <c r="H6149" s="2" t="str">
        <f>Tabella1[[#This Row],[Denominazione]]&amp;" - "&amp;Tabella1[[#This Row],[Città]]</f>
        <v>VILLA GIULIA - FANO</v>
      </c>
    </row>
    <row r="6150" spans="1:8" x14ac:dyDescent="0.25">
      <c r="A6150" s="1" t="s">
        <v>20</v>
      </c>
      <c r="B6150" s="1" t="s">
        <v>15731</v>
      </c>
      <c r="C6150" s="1" t="s">
        <v>15732</v>
      </c>
      <c r="D6150" s="1" t="s">
        <v>15585</v>
      </c>
      <c r="E6150" s="1" t="s">
        <v>15585</v>
      </c>
      <c r="F6150" s="1" t="s">
        <v>15733</v>
      </c>
      <c r="G6150" s="1" t="s">
        <v>15734</v>
      </c>
      <c r="H6150" s="2" t="str">
        <f>Tabella1[[#This Row],[Denominazione]]&amp;" - "&amp;Tabella1[[#This Row],[Città]]</f>
        <v>VILLA HELVETIA - GROTTAMMARE</v>
      </c>
    </row>
    <row r="6151" spans="1:8" x14ac:dyDescent="0.25">
      <c r="A6151" s="1" t="s">
        <v>82</v>
      </c>
      <c r="B6151" s="1" t="s">
        <v>18222</v>
      </c>
      <c r="C6151" s="1" t="s">
        <v>18223</v>
      </c>
      <c r="D6151" s="1" t="s">
        <v>17932</v>
      </c>
      <c r="E6151" s="1" t="s">
        <v>18224</v>
      </c>
      <c r="F6151" s="1" t="s">
        <v>18225</v>
      </c>
      <c r="G6151" s="1" t="s">
        <v>18226</v>
      </c>
      <c r="H6151" s="2" t="str">
        <f>Tabella1[[#This Row],[Denominazione]]&amp;" - "&amp;Tabella1[[#This Row],[Città]]</f>
        <v>VILLA IL CANNONE - FERMO</v>
      </c>
    </row>
    <row r="6152" spans="1:8" x14ac:dyDescent="0.25">
      <c r="A6152" s="1" t="s">
        <v>29</v>
      </c>
      <c r="B6152" s="1" t="s">
        <v>6500</v>
      </c>
      <c r="C6152" s="1" t="s">
        <v>6501</v>
      </c>
      <c r="D6152" s="1" t="s">
        <v>6497</v>
      </c>
      <c r="E6152" s="1" t="s">
        <v>6497</v>
      </c>
      <c r="G6152" s="1" t="s">
        <v>6502</v>
      </c>
      <c r="H6152" s="2" t="str">
        <f>Tabella1[[#This Row],[Denominazione]]&amp;" - "&amp;Tabella1[[#This Row],[Città]]</f>
        <v>VILLA INCROCCA - CERRETO D'ESI</v>
      </c>
    </row>
    <row r="6153" spans="1:8" x14ac:dyDescent="0.25">
      <c r="A6153" s="1" t="s">
        <v>12</v>
      </c>
      <c r="B6153" s="1" t="s">
        <v>12296</v>
      </c>
      <c r="C6153" s="1" t="s">
        <v>12297</v>
      </c>
      <c r="D6153" s="1" t="s">
        <v>12290</v>
      </c>
      <c r="E6153" s="1" t="s">
        <v>12079</v>
      </c>
      <c r="F6153" s="1" t="s">
        <v>12298</v>
      </c>
      <c r="G6153" s="1" t="s">
        <v>12299</v>
      </c>
      <c r="H6153" s="2" t="str">
        <f>Tabella1[[#This Row],[Denominazione]]&amp;" - "&amp;Tabella1[[#This Row],[Città]]</f>
        <v>VILLA JOLANDA - MOGLIANO</v>
      </c>
    </row>
    <row r="6154" spans="1:8" x14ac:dyDescent="0.25">
      <c r="A6154" s="1" t="s">
        <v>20</v>
      </c>
      <c r="B6154" s="1" t="s">
        <v>3095</v>
      </c>
      <c r="C6154" s="1" t="s">
        <v>3096</v>
      </c>
      <c r="D6154" s="1" t="s">
        <v>3067</v>
      </c>
      <c r="E6154" s="1" t="s">
        <v>3067</v>
      </c>
      <c r="F6154" s="1" t="s">
        <v>3097</v>
      </c>
      <c r="G6154" s="1" t="s">
        <v>3098</v>
      </c>
      <c r="H6154" s="2" t="str">
        <f>Tabella1[[#This Row],[Denominazione]]&amp;" - "&amp;Tabella1[[#This Row],[Città]]</f>
        <v>VILLA LABOR - MONTECOPIOLO</v>
      </c>
    </row>
    <row r="6155" spans="1:8" x14ac:dyDescent="0.25">
      <c r="A6155" s="1" t="s">
        <v>20</v>
      </c>
      <c r="B6155" s="1" t="s">
        <v>18227</v>
      </c>
      <c r="C6155" s="1" t="s">
        <v>18228</v>
      </c>
      <c r="D6155" s="1" t="s">
        <v>17932</v>
      </c>
      <c r="E6155" s="1" t="s">
        <v>18229</v>
      </c>
      <c r="F6155" s="1" t="s">
        <v>18230</v>
      </c>
      <c r="G6155" s="1" t="s">
        <v>18231</v>
      </c>
      <c r="H6155" s="2" t="str">
        <f>Tabella1[[#This Row],[Denominazione]]&amp;" - "&amp;Tabella1[[#This Row],[Città]]</f>
        <v>VILLA LATTANZI - FERMO</v>
      </c>
    </row>
    <row r="6156" spans="1:8" x14ac:dyDescent="0.25">
      <c r="A6156" s="1" t="s">
        <v>12</v>
      </c>
      <c r="B6156" s="1" t="s">
        <v>4878</v>
      </c>
      <c r="C6156" s="1" t="s">
        <v>4879</v>
      </c>
      <c r="D6156" s="1" t="s">
        <v>9</v>
      </c>
      <c r="F6156" s="1" t="s">
        <v>4880</v>
      </c>
      <c r="G6156" s="1" t="s">
        <v>4881</v>
      </c>
      <c r="H6156" s="2" t="str">
        <f>Tabella1[[#This Row],[Denominazione]]&amp;" - "&amp;Tabella1[[#This Row],[Città]]</f>
        <v>VILLA LAURA - URBINO</v>
      </c>
    </row>
    <row r="6157" spans="1:8" x14ac:dyDescent="0.25">
      <c r="A6157" s="1" t="s">
        <v>29</v>
      </c>
      <c r="B6157" s="1" t="s">
        <v>3594</v>
      </c>
      <c r="C6157" s="1" t="s">
        <v>3595</v>
      </c>
      <c r="D6157" s="1" t="s">
        <v>2386</v>
      </c>
      <c r="E6157" s="1" t="s">
        <v>2386</v>
      </c>
      <c r="H6157" s="2" t="str">
        <f>Tabella1[[#This Row],[Denominazione]]&amp;" - "&amp;Tabella1[[#This Row],[Città]]</f>
        <v>VILLA LILIANA - PESARO</v>
      </c>
    </row>
    <row r="6158" spans="1:8" x14ac:dyDescent="0.25">
      <c r="A6158" s="1" t="s">
        <v>12</v>
      </c>
      <c r="B6158" s="1" t="s">
        <v>15609</v>
      </c>
      <c r="C6158" s="1" t="s">
        <v>15610</v>
      </c>
      <c r="D6158" s="1" t="s">
        <v>15585</v>
      </c>
      <c r="G6158" s="1" t="s">
        <v>15611</v>
      </c>
      <c r="H6158" s="2" t="str">
        <f>Tabella1[[#This Row],[Denominazione]]&amp;" - "&amp;Tabella1[[#This Row],[Città]]</f>
        <v>VILLA LUCREZIA - GROTTAMMARE</v>
      </c>
    </row>
    <row r="6159" spans="1:8" x14ac:dyDescent="0.25">
      <c r="A6159" s="1" t="s">
        <v>12</v>
      </c>
      <c r="B6159" s="1" t="s">
        <v>19287</v>
      </c>
      <c r="C6159" s="1" t="s">
        <v>19288</v>
      </c>
      <c r="D6159" s="1" t="s">
        <v>19283</v>
      </c>
      <c r="E6159" s="1" t="s">
        <v>19283</v>
      </c>
      <c r="G6159" s="1" t="s">
        <v>19289</v>
      </c>
      <c r="H6159" s="2" t="str">
        <f>Tabella1[[#This Row],[Denominazione]]&amp;" - "&amp;Tabella1[[#This Row],[Città]]</f>
        <v>VILLA LUNA - PORTO SANT'ELPIDIO</v>
      </c>
    </row>
    <row r="6160" spans="1:8" x14ac:dyDescent="0.25">
      <c r="A6160" s="1" t="s">
        <v>82</v>
      </c>
      <c r="B6160" s="1" t="s">
        <v>18417</v>
      </c>
      <c r="C6160" s="1" t="s">
        <v>18418</v>
      </c>
      <c r="D6160" s="1" t="s">
        <v>18389</v>
      </c>
      <c r="E6160" s="1" t="s">
        <v>18389</v>
      </c>
      <c r="F6160" s="1" t="s">
        <v>18419</v>
      </c>
      <c r="G6160" s="1" t="s">
        <v>18420</v>
      </c>
      <c r="H6160" s="2" t="str">
        <f>Tabella1[[#This Row],[Denominazione]]&amp;" - "&amp;Tabella1[[#This Row],[Città]]</f>
        <v>VILLA MANU' - LAPEDONA</v>
      </c>
    </row>
    <row r="6161" spans="1:8" x14ac:dyDescent="0.25">
      <c r="A6161" s="1" t="s">
        <v>20</v>
      </c>
      <c r="B6161" s="1" t="s">
        <v>6942</v>
      </c>
      <c r="C6161" s="1" t="s">
        <v>6943</v>
      </c>
      <c r="D6161" s="1" t="s">
        <v>6790</v>
      </c>
      <c r="E6161" s="1" t="s">
        <v>6790</v>
      </c>
      <c r="F6161" s="1" t="s">
        <v>6916</v>
      </c>
      <c r="G6161" s="1" t="s">
        <v>6917</v>
      </c>
      <c r="H6161" s="2" t="str">
        <f>Tabella1[[#This Row],[Denominazione]]&amp;" - "&amp;Tabella1[[#This Row],[Città]]</f>
        <v>VILLA MARCHESE DEL GRILLO - FABRIANO</v>
      </c>
    </row>
    <row r="6162" spans="1:8" x14ac:dyDescent="0.25">
      <c r="A6162" s="1" t="s">
        <v>20</v>
      </c>
      <c r="B6162" s="1" t="s">
        <v>2298</v>
      </c>
      <c r="C6162" s="1" t="s">
        <v>2299</v>
      </c>
      <c r="D6162" s="1" t="s">
        <v>1907</v>
      </c>
      <c r="E6162" s="1" t="s">
        <v>1907</v>
      </c>
      <c r="F6162" s="1" t="s">
        <v>2300</v>
      </c>
      <c r="G6162" s="1" t="s">
        <v>2301</v>
      </c>
      <c r="H6162" s="2" t="str">
        <f>Tabella1[[#This Row],[Denominazione]]&amp;" - "&amp;Tabella1[[#This Row],[Città]]</f>
        <v>VILLA MARE - GABICCE MARE</v>
      </c>
    </row>
    <row r="6163" spans="1:8" x14ac:dyDescent="0.25">
      <c r="A6163" s="1" t="s">
        <v>35</v>
      </c>
      <c r="B6163" s="1" t="s">
        <v>11190</v>
      </c>
      <c r="C6163" s="1" t="s">
        <v>11191</v>
      </c>
      <c r="D6163" s="1" t="s">
        <v>11058</v>
      </c>
      <c r="E6163" s="1" t="s">
        <v>11192</v>
      </c>
      <c r="F6163" s="1" t="s">
        <v>11084</v>
      </c>
      <c r="G6163" s="1" t="s">
        <v>11193</v>
      </c>
      <c r="H6163" s="2" t="str">
        <f>Tabella1[[#This Row],[Denominazione]]&amp;" - "&amp;Tabella1[[#This Row],[Città]]</f>
        <v>VILLA MARGHERITA - CINGOLI</v>
      </c>
    </row>
    <row r="6164" spans="1:8" x14ac:dyDescent="0.25">
      <c r="A6164" s="1" t="s">
        <v>82</v>
      </c>
      <c r="B6164" s="1" t="s">
        <v>10801</v>
      </c>
      <c r="C6164" s="1" t="s">
        <v>10802</v>
      </c>
      <c r="D6164" s="1" t="s">
        <v>10737</v>
      </c>
      <c r="G6164" s="1" t="s">
        <v>10803</v>
      </c>
      <c r="H6164" s="2" t="str">
        <f>Tabella1[[#This Row],[Denominazione]]&amp;" - "&amp;Tabella1[[#This Row],[Città]]</f>
        <v>VILLA MARIA - CAMERINO</v>
      </c>
    </row>
    <row r="6165" spans="1:8" x14ac:dyDescent="0.25">
      <c r="A6165" s="1" t="s">
        <v>6</v>
      </c>
      <c r="B6165" s="1" t="s">
        <v>3213</v>
      </c>
      <c r="C6165" s="1" t="s">
        <v>3214</v>
      </c>
      <c r="D6165" s="1" t="s">
        <v>3182</v>
      </c>
      <c r="F6165" s="1" t="s">
        <v>3215</v>
      </c>
      <c r="G6165" s="1" t="s">
        <v>3216</v>
      </c>
      <c r="H6165" s="2" t="str">
        <f>Tabella1[[#This Row],[Denominazione]]&amp;" - "&amp;Tabella1[[#This Row],[Città]]</f>
        <v>VILLA MARIETTA - MONTEMAGGIORE AL METAURO</v>
      </c>
    </row>
    <row r="6166" spans="1:8" x14ac:dyDescent="0.25">
      <c r="A6166" s="1" t="s">
        <v>82</v>
      </c>
      <c r="B6166" s="1" t="s">
        <v>3213</v>
      </c>
      <c r="C6166" s="1" t="s">
        <v>11375</v>
      </c>
      <c r="D6166" s="1" t="s">
        <v>11244</v>
      </c>
      <c r="E6166" s="1" t="s">
        <v>11244</v>
      </c>
      <c r="F6166" s="1" t="s">
        <v>11376</v>
      </c>
      <c r="G6166" s="1" t="s">
        <v>11377</v>
      </c>
      <c r="H6166" s="2" t="str">
        <f>Tabella1[[#This Row],[Denominazione]]&amp;" - "&amp;Tabella1[[#This Row],[Città]]</f>
        <v>VILLA MARIETTA - CIVITANOVA MARCHE</v>
      </c>
    </row>
    <row r="6167" spans="1:8" x14ac:dyDescent="0.25">
      <c r="A6167" s="1" t="s">
        <v>6</v>
      </c>
      <c r="B6167" s="1" t="s">
        <v>5219</v>
      </c>
      <c r="C6167" s="1" t="s">
        <v>5220</v>
      </c>
      <c r="D6167" s="1" t="s">
        <v>9</v>
      </c>
      <c r="E6167" s="1" t="s">
        <v>9</v>
      </c>
      <c r="F6167" s="1" t="s">
        <v>5221</v>
      </c>
      <c r="G6167" s="1" t="s">
        <v>5222</v>
      </c>
      <c r="H6167" s="2" t="str">
        <f>Tabella1[[#This Row],[Denominazione]]&amp;" - "&amp;Tabella1[[#This Row],[Città]]</f>
        <v>VILLA MARSI 2.0 - URBINO</v>
      </c>
    </row>
    <row r="6168" spans="1:8" x14ac:dyDescent="0.25">
      <c r="A6168" s="1" t="s">
        <v>20</v>
      </c>
      <c r="B6168" s="1" t="s">
        <v>2441</v>
      </c>
      <c r="C6168" s="1" t="s">
        <v>2442</v>
      </c>
      <c r="D6168" s="1" t="s">
        <v>2425</v>
      </c>
      <c r="F6168" s="1" t="s">
        <v>2443</v>
      </c>
      <c r="G6168" s="1" t="s">
        <v>2444</v>
      </c>
      <c r="H6168" s="2" t="str">
        <f>Tabella1[[#This Row],[Denominazione]]&amp;" - "&amp;Tabella1[[#This Row],[Città]]</f>
        <v>VILLA MATARAZZO - GRADARA</v>
      </c>
    </row>
    <row r="6169" spans="1:8" x14ac:dyDescent="0.25">
      <c r="A6169" s="1" t="s">
        <v>82</v>
      </c>
      <c r="B6169" s="1" t="s">
        <v>2890</v>
      </c>
      <c r="C6169" s="1" t="s">
        <v>2891</v>
      </c>
      <c r="D6169" s="1" t="s">
        <v>1605</v>
      </c>
      <c r="E6169" s="1" t="s">
        <v>1605</v>
      </c>
      <c r="G6169" s="1" t="s">
        <v>2892</v>
      </c>
      <c r="H6169" s="2" t="str">
        <f>Tabella1[[#This Row],[Denominazione]]&amp;" - "&amp;Tabella1[[#This Row],[Città]]</f>
        <v>VILLA MAURO - MONDOLFO</v>
      </c>
    </row>
    <row r="6170" spans="1:8" x14ac:dyDescent="0.25">
      <c r="A6170" s="1" t="s">
        <v>82</v>
      </c>
      <c r="B6170" s="1" t="s">
        <v>747</v>
      </c>
      <c r="C6170" s="1" t="s">
        <v>748</v>
      </c>
      <c r="D6170" s="1" t="s">
        <v>682</v>
      </c>
      <c r="E6170" s="1" t="s">
        <v>682</v>
      </c>
      <c r="G6170" s="1" t="s">
        <v>749</v>
      </c>
      <c r="H6170" s="2" t="str">
        <f>Tabella1[[#This Row],[Denominazione]]&amp;" - "&amp;Tabella1[[#This Row],[Città]]</f>
        <v>VILLA MAURO MARE - FANO</v>
      </c>
    </row>
    <row r="6171" spans="1:8" x14ac:dyDescent="0.25">
      <c r="A6171" s="1" t="s">
        <v>82</v>
      </c>
      <c r="B6171" s="1" t="s">
        <v>19626</v>
      </c>
      <c r="C6171" s="1" t="s">
        <v>19627</v>
      </c>
      <c r="D6171" s="1" t="s">
        <v>19628</v>
      </c>
      <c r="E6171" s="1" t="s">
        <v>19629</v>
      </c>
      <c r="F6171" s="1" t="s">
        <v>19630</v>
      </c>
      <c r="G6171" s="1" t="s">
        <v>19631</v>
      </c>
      <c r="H6171" s="2" t="str">
        <f>Tabella1[[#This Row],[Denominazione]]&amp;" - "&amp;Tabella1[[#This Row],[Città]]</f>
        <v>VILLA MIRAMONTI - SERVIGLIANO</v>
      </c>
    </row>
    <row r="6172" spans="1:8" x14ac:dyDescent="0.25">
      <c r="A6172" s="1" t="s">
        <v>82</v>
      </c>
      <c r="B6172" s="1" t="s">
        <v>8281</v>
      </c>
      <c r="C6172" s="1" t="s">
        <v>8282</v>
      </c>
      <c r="D6172" s="1" t="s">
        <v>7889</v>
      </c>
      <c r="E6172" s="1" t="s">
        <v>7889</v>
      </c>
      <c r="G6172" s="1" t="s">
        <v>8206</v>
      </c>
      <c r="H6172" s="2" t="str">
        <f>Tabella1[[#This Row],[Denominazione]]&amp;" - "&amp;Tabella1[[#This Row],[Città]]</f>
        <v>VILLA MIRELLA - NUMANA</v>
      </c>
    </row>
    <row r="6173" spans="1:8" x14ac:dyDescent="0.25">
      <c r="A6173" s="1" t="s">
        <v>6</v>
      </c>
      <c r="B6173" s="1" t="s">
        <v>18251</v>
      </c>
      <c r="C6173" s="1" t="s">
        <v>18252</v>
      </c>
      <c r="D6173" s="1" t="s">
        <v>17932</v>
      </c>
      <c r="E6173" s="1" t="s">
        <v>18084</v>
      </c>
      <c r="F6173" s="1" t="s">
        <v>18253</v>
      </c>
      <c r="G6173" s="1" t="s">
        <v>18254</v>
      </c>
      <c r="H6173" s="2" t="str">
        <f>Tabella1[[#This Row],[Denominazione]]&amp;" - "&amp;Tabella1[[#This Row],[Città]]</f>
        <v>VILLA MIRELLA BEACH - FERMO</v>
      </c>
    </row>
    <row r="6174" spans="1:8" x14ac:dyDescent="0.25">
      <c r="A6174" s="1" t="s">
        <v>29</v>
      </c>
      <c r="B6174" s="1" t="s">
        <v>19265</v>
      </c>
      <c r="C6174" s="1" t="s">
        <v>19266</v>
      </c>
      <c r="D6174" s="1" t="s">
        <v>18082</v>
      </c>
      <c r="E6174" s="1" t="s">
        <v>18082</v>
      </c>
      <c r="G6174" s="1" t="s">
        <v>19267</v>
      </c>
      <c r="H6174" s="2" t="str">
        <f>Tabella1[[#This Row],[Denominazione]]&amp;" - "&amp;Tabella1[[#This Row],[Città]]</f>
        <v>VILLA MONTANARI ROSATI - PORTO SAN GIORGIO</v>
      </c>
    </row>
    <row r="6175" spans="1:8" x14ac:dyDescent="0.25">
      <c r="A6175" s="1" t="s">
        <v>29</v>
      </c>
      <c r="B6175" s="1" t="s">
        <v>15254</v>
      </c>
      <c r="C6175" s="1" t="s">
        <v>15255</v>
      </c>
      <c r="D6175" s="1" t="s">
        <v>15249</v>
      </c>
      <c r="E6175" s="1" t="s">
        <v>15249</v>
      </c>
      <c r="G6175" s="1" t="s">
        <v>15256</v>
      </c>
      <c r="H6175" s="2" t="str">
        <f>Tabella1[[#This Row],[Denominazione]]&amp;" - "&amp;Tabella1[[#This Row],[Città]]</f>
        <v>VILLA MONTEGENCO - COMUNANZA</v>
      </c>
    </row>
    <row r="6176" spans="1:8" x14ac:dyDescent="0.25">
      <c r="A6176" s="1" t="s">
        <v>82</v>
      </c>
      <c r="B6176" s="1" t="s">
        <v>18810</v>
      </c>
      <c r="C6176" s="1" t="s">
        <v>18811</v>
      </c>
      <c r="D6176" s="1" t="s">
        <v>18783</v>
      </c>
      <c r="E6176" s="1" t="s">
        <v>18783</v>
      </c>
      <c r="F6176" s="1" t="s">
        <v>18812</v>
      </c>
      <c r="G6176" s="1" t="s">
        <v>18813</v>
      </c>
      <c r="H6176" s="2" t="str">
        <f>Tabella1[[#This Row],[Denominazione]]&amp;" - "&amp;Tabella1[[#This Row],[Città]]</f>
        <v>VILLA MONTOTTO - MONTERUBBIANO</v>
      </c>
    </row>
    <row r="6177" spans="1:8" x14ac:dyDescent="0.25">
      <c r="A6177" s="1" t="s">
        <v>190</v>
      </c>
      <c r="B6177" s="1" t="s">
        <v>18143</v>
      </c>
      <c r="C6177" s="1" t="s">
        <v>18144</v>
      </c>
      <c r="D6177" s="1" t="s">
        <v>17932</v>
      </c>
      <c r="E6177" s="1" t="s">
        <v>17932</v>
      </c>
      <c r="F6177" s="1" t="s">
        <v>18145</v>
      </c>
      <c r="G6177" s="1" t="s">
        <v>18146</v>
      </c>
      <c r="H6177" s="2" t="str">
        <f>Tabella1[[#This Row],[Denominazione]]&amp;" - "&amp;Tabella1[[#This Row],[Città]]</f>
        <v>VILLA NAZARETH - FERMO</v>
      </c>
    </row>
    <row r="6178" spans="1:8" x14ac:dyDescent="0.25">
      <c r="A6178" s="1" t="s">
        <v>29</v>
      </c>
      <c r="B6178" s="1" t="s">
        <v>6676</v>
      </c>
      <c r="C6178" s="1" t="s">
        <v>6677</v>
      </c>
      <c r="D6178" s="1" t="s">
        <v>6652</v>
      </c>
      <c r="E6178" s="1" t="s">
        <v>6652</v>
      </c>
      <c r="G6178" s="1" t="s">
        <v>6678</v>
      </c>
      <c r="H6178" s="2" t="str">
        <f>Tabella1[[#This Row],[Denominazione]]&amp;" - "&amp;Tabella1[[#This Row],[Città]]</f>
        <v>VILLA NUNZIA - CUPRAMONTANA</v>
      </c>
    </row>
    <row r="6179" spans="1:8" x14ac:dyDescent="0.25">
      <c r="A6179" s="1" t="s">
        <v>6</v>
      </c>
      <c r="B6179" s="1" t="s">
        <v>8620</v>
      </c>
      <c r="C6179" s="1" t="s">
        <v>8621</v>
      </c>
      <c r="D6179" s="1" t="s">
        <v>8608</v>
      </c>
      <c r="F6179" s="1" t="s">
        <v>8622</v>
      </c>
      <c r="G6179" s="1" t="s">
        <v>8623</v>
      </c>
      <c r="H6179" s="2" t="str">
        <f>Tabella1[[#This Row],[Denominazione]]&amp;" - "&amp;Tabella1[[#This Row],[Città]]</f>
        <v>VILLA OLESIA - OSTRA</v>
      </c>
    </row>
    <row r="6180" spans="1:8" x14ac:dyDescent="0.25">
      <c r="A6180" s="1" t="s">
        <v>12</v>
      </c>
      <c r="B6180" s="1" t="s">
        <v>4601</v>
      </c>
      <c r="C6180" s="1" t="s">
        <v>4602</v>
      </c>
      <c r="D6180" s="1" t="s">
        <v>4578</v>
      </c>
      <c r="G6180" s="1" t="s">
        <v>4603</v>
      </c>
      <c r="H6180" s="2" t="str">
        <f>Tabella1[[#This Row],[Denominazione]]&amp;" - "&amp;Tabella1[[#This Row],[Città]]</f>
        <v>VILLA OTTANI - SERRUNGARINA</v>
      </c>
    </row>
    <row r="6181" spans="1:8" x14ac:dyDescent="0.25">
      <c r="A6181" s="1" t="s">
        <v>12</v>
      </c>
      <c r="B6181" s="1" t="s">
        <v>12309</v>
      </c>
      <c r="C6181" s="1" t="s">
        <v>12310</v>
      </c>
      <c r="D6181" s="1" t="s">
        <v>12290</v>
      </c>
      <c r="E6181" s="1" t="s">
        <v>12290</v>
      </c>
      <c r="G6181" s="1" t="s">
        <v>12311</v>
      </c>
      <c r="H6181" s="2" t="str">
        <f>Tabella1[[#This Row],[Denominazione]]&amp;" - "&amp;Tabella1[[#This Row],[Città]]</f>
        <v>VILLA PALMA di EDWARD ANNA BEATRICE - MOGLIANO</v>
      </c>
    </row>
    <row r="6182" spans="1:8" x14ac:dyDescent="0.25">
      <c r="A6182" s="1" t="s">
        <v>6</v>
      </c>
      <c r="B6182" s="1" t="s">
        <v>3238</v>
      </c>
      <c r="C6182" s="1" t="s">
        <v>3239</v>
      </c>
      <c r="D6182" s="1" t="s">
        <v>3222</v>
      </c>
      <c r="E6182" s="1" t="s">
        <v>3240</v>
      </c>
      <c r="F6182" s="1" t="s">
        <v>3241</v>
      </c>
      <c r="G6182" s="1" t="s">
        <v>3242</v>
      </c>
      <c r="H6182" s="2" t="str">
        <f>Tabella1[[#This Row],[Denominazione]]&amp;" - "&amp;Tabella1[[#This Row],[Città]]</f>
        <v>VILLA PALOMBARA COUNTRY HOUSE - MONTE PORZIO</v>
      </c>
    </row>
    <row r="6183" spans="1:8" x14ac:dyDescent="0.25">
      <c r="A6183" s="1" t="s">
        <v>6</v>
      </c>
      <c r="B6183" s="1" t="s">
        <v>5862</v>
      </c>
      <c r="C6183" s="1" t="s">
        <v>5863</v>
      </c>
      <c r="D6183" s="1" t="s">
        <v>1864</v>
      </c>
      <c r="E6183" s="1" t="s">
        <v>5864</v>
      </c>
      <c r="F6183" s="1" t="s">
        <v>5865</v>
      </c>
      <c r="G6183" s="1" t="s">
        <v>5866</v>
      </c>
      <c r="H6183" s="2" t="str">
        <f>Tabella1[[#This Row],[Denominazione]]&amp;" - "&amp;Tabella1[[#This Row],[Città]]</f>
        <v>VILLA PAOLA - ANCONA</v>
      </c>
    </row>
    <row r="6184" spans="1:8" x14ac:dyDescent="0.25">
      <c r="A6184" s="1" t="s">
        <v>29</v>
      </c>
      <c r="B6184" s="1" t="s">
        <v>5862</v>
      </c>
      <c r="C6184" s="1" t="s">
        <v>15700</v>
      </c>
      <c r="D6184" s="1" t="s">
        <v>15585</v>
      </c>
      <c r="E6184" s="1" t="s">
        <v>15585</v>
      </c>
      <c r="F6184" s="1" t="s">
        <v>15701</v>
      </c>
      <c r="G6184" s="1" t="s">
        <v>15702</v>
      </c>
      <c r="H6184" s="2" t="str">
        <f>Tabella1[[#This Row],[Denominazione]]&amp;" - "&amp;Tabella1[[#This Row],[Città]]</f>
        <v>VILLA PAOLA - GROTTAMMARE</v>
      </c>
    </row>
    <row r="6185" spans="1:8" x14ac:dyDescent="0.25">
      <c r="A6185" s="1" t="s">
        <v>12</v>
      </c>
      <c r="B6185" s="1" t="s">
        <v>10584</v>
      </c>
      <c r="C6185" s="1" t="s">
        <v>10585</v>
      </c>
      <c r="D6185" s="1" t="s">
        <v>10519</v>
      </c>
      <c r="E6185" s="1" t="s">
        <v>10586</v>
      </c>
      <c r="F6185" s="1" t="s">
        <v>10587</v>
      </c>
      <c r="G6185" s="1" t="s">
        <v>10588</v>
      </c>
      <c r="H6185" s="2" t="str">
        <f>Tabella1[[#This Row],[Denominazione]]&amp;" - "&amp;Tabella1[[#This Row],[Città]]</f>
        <v>VILLA PEDOSSA, YOUR COUNTRY ESCAPE! - TRECASTELLI</v>
      </c>
    </row>
    <row r="6186" spans="1:8" x14ac:dyDescent="0.25">
      <c r="A6186" s="1" t="s">
        <v>35</v>
      </c>
      <c r="B6186" s="1" t="s">
        <v>11090</v>
      </c>
      <c r="C6186" s="1" t="s">
        <v>11091</v>
      </c>
      <c r="D6186" s="1" t="s">
        <v>11058</v>
      </c>
      <c r="E6186" s="1" t="s">
        <v>11058</v>
      </c>
      <c r="G6186" s="1" t="s">
        <v>11092</v>
      </c>
      <c r="H6186" s="2" t="str">
        <f>Tabella1[[#This Row],[Denominazione]]&amp;" - "&amp;Tabella1[[#This Row],[Città]]</f>
        <v>VILLA PIA - CINGOLI</v>
      </c>
    </row>
    <row r="6187" spans="1:8" x14ac:dyDescent="0.25">
      <c r="A6187" s="1" t="s">
        <v>20</v>
      </c>
      <c r="B6187" s="1" t="s">
        <v>9263</v>
      </c>
      <c r="C6187" s="1" t="s">
        <v>9264</v>
      </c>
      <c r="D6187" s="1" t="s">
        <v>8949</v>
      </c>
      <c r="E6187" s="1" t="s">
        <v>8949</v>
      </c>
      <c r="F6187" s="1" t="s">
        <v>9265</v>
      </c>
      <c r="G6187" s="1" t="s">
        <v>8962</v>
      </c>
      <c r="H6187" s="2" t="str">
        <f>Tabella1[[#This Row],[Denominazione]]&amp;" - "&amp;Tabella1[[#This Row],[Città]]</f>
        <v>VILLA PINA - SENIGALLIA</v>
      </c>
    </row>
    <row r="6188" spans="1:8" x14ac:dyDescent="0.25">
      <c r="A6188" s="1" t="s">
        <v>6</v>
      </c>
      <c r="B6188" s="1" t="s">
        <v>1329</v>
      </c>
      <c r="C6188" s="1" t="s">
        <v>1330</v>
      </c>
      <c r="D6188" s="1" t="s">
        <v>682</v>
      </c>
      <c r="E6188" s="1" t="s">
        <v>682</v>
      </c>
      <c r="F6188" s="1" t="s">
        <v>1331</v>
      </c>
      <c r="G6188" s="1" t="s">
        <v>1332</v>
      </c>
      <c r="H6188" s="2" t="str">
        <f>Tabella1[[#This Row],[Denominazione]]&amp;" - "&amp;Tabella1[[#This Row],[Città]]</f>
        <v>VILLA RINALDUCCI - FANO</v>
      </c>
    </row>
    <row r="6189" spans="1:8" x14ac:dyDescent="0.25">
      <c r="A6189" s="1" t="s">
        <v>82</v>
      </c>
      <c r="B6189" s="1" t="s">
        <v>235</v>
      </c>
      <c r="C6189" s="1" t="s">
        <v>236</v>
      </c>
      <c r="D6189" s="1" t="s">
        <v>227</v>
      </c>
      <c r="G6189" s="1" t="s">
        <v>237</v>
      </c>
      <c r="H6189" s="2" t="str">
        <f>Tabella1[[#This Row],[Denominazione]]&amp;" - "&amp;Tabella1[[#This Row],[Città]]</f>
        <v>VILLA RODI - BARCHI</v>
      </c>
    </row>
    <row r="6190" spans="1:8" x14ac:dyDescent="0.25">
      <c r="A6190" s="1" t="s">
        <v>35</v>
      </c>
      <c r="B6190" s="1" t="s">
        <v>4249</v>
      </c>
      <c r="C6190" s="1" t="s">
        <v>4250</v>
      </c>
      <c r="D6190" s="1" t="s">
        <v>4242</v>
      </c>
      <c r="E6190" s="1" t="s">
        <v>4242</v>
      </c>
      <c r="F6190" s="1" t="s">
        <v>4251</v>
      </c>
      <c r="G6190" s="1" t="s">
        <v>4252</v>
      </c>
      <c r="H6190" s="2" t="str">
        <f>Tabella1[[#This Row],[Denominazione]]&amp;" - "&amp;Tabella1[[#This Row],[Città]]</f>
        <v>VILLA ROMANA - SALTARA</v>
      </c>
    </row>
    <row r="6191" spans="1:8" x14ac:dyDescent="0.25">
      <c r="A6191" s="1" t="s">
        <v>35</v>
      </c>
      <c r="B6191" s="1" t="s">
        <v>3116</v>
      </c>
      <c r="C6191" s="1" t="s">
        <v>3117</v>
      </c>
      <c r="D6191" s="1" t="s">
        <v>3100</v>
      </c>
      <c r="F6191" s="1" t="s">
        <v>3118</v>
      </c>
      <c r="G6191" s="1" t="s">
        <v>3119</v>
      </c>
      <c r="H6191" s="2" t="str">
        <f>Tabella1[[#This Row],[Denominazione]]&amp;" - "&amp;Tabella1[[#This Row],[Città]]</f>
        <v>VILLA ROSA - MONTEFELCINO</v>
      </c>
    </row>
    <row r="6192" spans="1:8" x14ac:dyDescent="0.25">
      <c r="A6192" s="1" t="s">
        <v>82</v>
      </c>
      <c r="B6192" s="1" t="s">
        <v>4712</v>
      </c>
      <c r="C6192" s="1" t="s">
        <v>4713</v>
      </c>
      <c r="D6192" s="1" t="s">
        <v>4657</v>
      </c>
      <c r="E6192" s="1" t="s">
        <v>4714</v>
      </c>
      <c r="G6192" s="1" t="s">
        <v>4715</v>
      </c>
      <c r="H6192" s="2" t="str">
        <f>Tabella1[[#This Row],[Denominazione]]&amp;" - "&amp;Tabella1[[#This Row],[Città]]</f>
        <v>VILLA ROSA di RADI CLAUDIA - TAVULLIA</v>
      </c>
    </row>
    <row r="6193" spans="1:8" x14ac:dyDescent="0.25">
      <c r="A6193" s="1" t="s">
        <v>82</v>
      </c>
      <c r="B6193" s="1" t="s">
        <v>9011</v>
      </c>
      <c r="C6193" s="1" t="s">
        <v>9012</v>
      </c>
      <c r="D6193" s="1" t="s">
        <v>8949</v>
      </c>
      <c r="G6193" s="1" t="s">
        <v>9013</v>
      </c>
      <c r="H6193" s="2" t="str">
        <f>Tabella1[[#This Row],[Denominazione]]&amp;" - "&amp;Tabella1[[#This Row],[Città]]</f>
        <v>VILLA SABRA - SENIGALLIA</v>
      </c>
    </row>
    <row r="6194" spans="1:8" x14ac:dyDescent="0.25">
      <c r="A6194" s="1" t="s">
        <v>6</v>
      </c>
      <c r="B6194" s="1" t="s">
        <v>13533</v>
      </c>
      <c r="C6194" s="1" t="s">
        <v>13534</v>
      </c>
      <c r="D6194" s="1" t="s">
        <v>6072</v>
      </c>
      <c r="E6194" s="1" t="s">
        <v>13535</v>
      </c>
      <c r="G6194" s="1" t="s">
        <v>13536</v>
      </c>
      <c r="H6194" s="2" t="str">
        <f>Tabella1[[#This Row],[Denominazione]]&amp;" - "&amp;Tabella1[[#This Row],[Città]]</f>
        <v>VILLA SABRINA - SAN GINESIO</v>
      </c>
    </row>
    <row r="6195" spans="1:8" x14ac:dyDescent="0.25">
      <c r="A6195" s="1" t="s">
        <v>29</v>
      </c>
      <c r="B6195" s="1" t="s">
        <v>6166</v>
      </c>
      <c r="C6195" s="1" t="s">
        <v>6167</v>
      </c>
      <c r="D6195" s="1" t="s">
        <v>6049</v>
      </c>
      <c r="E6195" s="1" t="s">
        <v>6063</v>
      </c>
      <c r="F6195" s="1" t="s">
        <v>6168</v>
      </c>
      <c r="G6195" s="1" t="s">
        <v>6169</v>
      </c>
      <c r="H6195" s="2" t="str">
        <f>Tabella1[[#This Row],[Denominazione]]&amp;" - "&amp;Tabella1[[#This Row],[Città]]</f>
        <v>VILLA SAN GIOVANNI - ARCEVIA</v>
      </c>
    </row>
    <row r="6196" spans="1:8" x14ac:dyDescent="0.25">
      <c r="A6196" s="1" t="s">
        <v>82</v>
      </c>
      <c r="B6196" s="1" t="s">
        <v>13776</v>
      </c>
      <c r="C6196" s="1" t="s">
        <v>13777</v>
      </c>
      <c r="D6196" s="1" t="s">
        <v>13756</v>
      </c>
      <c r="E6196" s="1" t="s">
        <v>13756</v>
      </c>
      <c r="F6196" s="1" t="s">
        <v>13778</v>
      </c>
      <c r="G6196" s="1" t="s">
        <v>13779</v>
      </c>
      <c r="H6196" s="2" t="str">
        <f>Tabella1[[#This Row],[Denominazione]]&amp;" - "&amp;Tabella1[[#This Row],[Città]]</f>
        <v>VILLA SAN RAFFAELLO - SARNANO</v>
      </c>
    </row>
    <row r="6197" spans="1:8" x14ac:dyDescent="0.25">
      <c r="A6197" s="1" t="s">
        <v>190</v>
      </c>
      <c r="B6197" s="1" t="s">
        <v>191</v>
      </c>
      <c r="C6197" s="1" t="s">
        <v>192</v>
      </c>
      <c r="D6197" s="1" t="s">
        <v>102</v>
      </c>
      <c r="E6197" s="1" t="s">
        <v>193</v>
      </c>
      <c r="H6197" s="2" t="str">
        <f>Tabella1[[#This Row],[Denominazione]]&amp;" - "&amp;Tabella1[[#This Row],[Città]]</f>
        <v>VILLA SANTA MARIA - APECCHIO</v>
      </c>
    </row>
    <row r="6198" spans="1:8" x14ac:dyDescent="0.25">
      <c r="A6198" s="1" t="s">
        <v>20</v>
      </c>
      <c r="B6198" s="1" t="s">
        <v>11749</v>
      </c>
      <c r="C6198" s="1" t="s">
        <v>11750</v>
      </c>
      <c r="D6198" s="1" t="s">
        <v>11728</v>
      </c>
      <c r="F6198" s="1" t="s">
        <v>11751</v>
      </c>
      <c r="G6198" s="1" t="s">
        <v>11752</v>
      </c>
      <c r="H6198" s="2" t="str">
        <f>Tabella1[[#This Row],[Denominazione]]&amp;" - "&amp;Tabella1[[#This Row],[Città]]</f>
        <v>VILLA SANT'ISIDORO - CORRIDONIA</v>
      </c>
    </row>
    <row r="6199" spans="1:8" x14ac:dyDescent="0.25">
      <c r="A6199" s="1" t="s">
        <v>12</v>
      </c>
      <c r="B6199" s="1" t="s">
        <v>14160</v>
      </c>
      <c r="C6199" s="1" t="s">
        <v>14161</v>
      </c>
      <c r="D6199" s="1" t="s">
        <v>14065</v>
      </c>
      <c r="G6199" s="1" t="s">
        <v>14162</v>
      </c>
      <c r="H6199" s="2" t="str">
        <f>Tabella1[[#This Row],[Denominazione]]&amp;" - "&amp;Tabella1[[#This Row],[Città]]</f>
        <v>VILLA SARA - TREIA</v>
      </c>
    </row>
    <row r="6200" spans="1:8" x14ac:dyDescent="0.25">
      <c r="A6200" s="1" t="s">
        <v>35</v>
      </c>
      <c r="B6200" s="1" t="s">
        <v>9335</v>
      </c>
      <c r="C6200" s="1" t="s">
        <v>9336</v>
      </c>
      <c r="D6200" s="1" t="s">
        <v>8949</v>
      </c>
      <c r="E6200" s="1" t="s">
        <v>9337</v>
      </c>
      <c r="F6200" s="1" t="s">
        <v>9338</v>
      </c>
      <c r="G6200" s="1" t="s">
        <v>9339</v>
      </c>
      <c r="H6200" s="2" t="str">
        <f>Tabella1[[#This Row],[Denominazione]]&amp;" - "&amp;Tabella1[[#This Row],[Città]]</f>
        <v>VILLA SAVIGNANO - SENIGALLIA</v>
      </c>
    </row>
    <row r="6201" spans="1:8" x14ac:dyDescent="0.25">
      <c r="A6201" s="1" t="s">
        <v>190</v>
      </c>
      <c r="B6201" s="1" t="s">
        <v>7469</v>
      </c>
      <c r="C6201" s="1" t="s">
        <v>7470</v>
      </c>
      <c r="D6201" s="1" t="s">
        <v>7385</v>
      </c>
      <c r="E6201" s="1" t="s">
        <v>7385</v>
      </c>
      <c r="F6201" s="1" t="s">
        <v>7471</v>
      </c>
      <c r="G6201" s="1" t="s">
        <v>7472</v>
      </c>
      <c r="H6201" s="2" t="str">
        <f>Tabella1[[#This Row],[Denominazione]]&amp;" - "&amp;Tabella1[[#This Row],[Città]]</f>
        <v>VILLA SCALABRINI LORETO - VILLA PIO XII - LORETO</v>
      </c>
    </row>
    <row r="6202" spans="1:8" x14ac:dyDescent="0.25">
      <c r="A6202" s="1" t="s">
        <v>6</v>
      </c>
      <c r="B6202" s="1" t="s">
        <v>13448</v>
      </c>
      <c r="C6202" s="1" t="s">
        <v>13449</v>
      </c>
      <c r="D6202" s="1" t="s">
        <v>6072</v>
      </c>
      <c r="E6202" s="1" t="s">
        <v>6072</v>
      </c>
      <c r="F6202" s="1" t="s">
        <v>13450</v>
      </c>
      <c r="G6202" s="1" t="s">
        <v>13451</v>
      </c>
      <c r="H6202" s="2" t="str">
        <f>Tabella1[[#This Row],[Denominazione]]&amp;" - "&amp;Tabella1[[#This Row],[Città]]</f>
        <v>VILLA SIBILLINI - SAN GINESIO</v>
      </c>
    </row>
    <row r="6203" spans="1:8" x14ac:dyDescent="0.25">
      <c r="A6203" s="1" t="s">
        <v>82</v>
      </c>
      <c r="B6203" s="1" t="s">
        <v>17025</v>
      </c>
      <c r="C6203" s="1" t="s">
        <v>17026</v>
      </c>
      <c r="D6203" s="1" t="s">
        <v>15819</v>
      </c>
      <c r="E6203" s="1" t="s">
        <v>15819</v>
      </c>
      <c r="F6203" s="1" t="s">
        <v>17027</v>
      </c>
      <c r="G6203" s="1" t="s">
        <v>17028</v>
      </c>
      <c r="H6203" s="2" t="str">
        <f>Tabella1[[#This Row],[Denominazione]]&amp;" - "&amp;Tabella1[[#This Row],[Città]]</f>
        <v>VILLA SPINA - SAN BENEDETTO DEL TRONTO</v>
      </c>
    </row>
    <row r="6204" spans="1:8" x14ac:dyDescent="0.25">
      <c r="A6204" s="1" t="s">
        <v>12</v>
      </c>
      <c r="B6204" s="1" t="s">
        <v>6488</v>
      </c>
      <c r="C6204" s="1" t="s">
        <v>6489</v>
      </c>
      <c r="D6204" s="1" t="s">
        <v>6467</v>
      </c>
      <c r="G6204" s="1" t="s">
        <v>6490</v>
      </c>
      <c r="H6204" s="2" t="str">
        <f>Tabella1[[#This Row],[Denominazione]]&amp;" - "&amp;Tabella1[[#This Row],[Città]]</f>
        <v>VILLA STAFFIERI - CASTELPLANIO</v>
      </c>
    </row>
    <row r="6205" spans="1:8" x14ac:dyDescent="0.25">
      <c r="A6205" s="1" t="s">
        <v>20</v>
      </c>
      <c r="B6205" s="1" t="s">
        <v>7535</v>
      </c>
      <c r="C6205" s="1" t="s">
        <v>7536</v>
      </c>
      <c r="D6205" s="1" t="s">
        <v>7385</v>
      </c>
      <c r="E6205" s="1" t="s">
        <v>7385</v>
      </c>
      <c r="F6205" s="1" t="s">
        <v>7537</v>
      </c>
      <c r="G6205" s="1" t="s">
        <v>7538</v>
      </c>
      <c r="H6205" s="2" t="str">
        <f>Tabella1[[#This Row],[Denominazione]]&amp;" - "&amp;Tabella1[[#This Row],[Città]]</f>
        <v>VILLA TETLAMEYA E ZI' NENE - LORETO</v>
      </c>
    </row>
    <row r="6206" spans="1:8" x14ac:dyDescent="0.25">
      <c r="A6206" s="1" t="s">
        <v>35</v>
      </c>
      <c r="B6206" s="1" t="s">
        <v>3206</v>
      </c>
      <c r="C6206" s="1" t="s">
        <v>3207</v>
      </c>
      <c r="D6206" s="1" t="s">
        <v>3182</v>
      </c>
      <c r="E6206" s="1" t="s">
        <v>3182</v>
      </c>
      <c r="F6206" s="1" t="s">
        <v>3208</v>
      </c>
      <c r="G6206" s="1" t="s">
        <v>3209</v>
      </c>
      <c r="H6206" s="2" t="str">
        <f>Tabella1[[#This Row],[Denominazione]]&amp;" - "&amp;Tabella1[[#This Row],[Città]]</f>
        <v>VILLA TOMBOLINA - MONTEMAGGIORE AL METAURO</v>
      </c>
    </row>
    <row r="6207" spans="1:8" x14ac:dyDescent="0.25">
      <c r="A6207" s="1" t="s">
        <v>20</v>
      </c>
      <c r="B6207" s="1" t="s">
        <v>11119</v>
      </c>
      <c r="C6207" s="1" t="s">
        <v>11120</v>
      </c>
      <c r="D6207" s="1" t="s">
        <v>11058</v>
      </c>
      <c r="E6207" s="1" t="s">
        <v>11058</v>
      </c>
      <c r="F6207" s="1" t="s">
        <v>11121</v>
      </c>
      <c r="G6207" s="1" t="s">
        <v>11122</v>
      </c>
      <c r="H6207" s="2" t="str">
        <f>Tabella1[[#This Row],[Denominazione]]&amp;" - "&amp;Tabella1[[#This Row],[Città]]</f>
        <v>VILLA UGOLINI - CINGOLI</v>
      </c>
    </row>
    <row r="6208" spans="1:8" x14ac:dyDescent="0.25">
      <c r="A6208" s="1" t="s">
        <v>20</v>
      </c>
      <c r="B6208" s="1" t="s">
        <v>10628</v>
      </c>
      <c r="C6208" s="1" t="s">
        <v>10629</v>
      </c>
      <c r="D6208" s="1" t="s">
        <v>10630</v>
      </c>
      <c r="E6208" s="1" t="s">
        <v>10630</v>
      </c>
      <c r="F6208" s="1" t="s">
        <v>10631</v>
      </c>
      <c r="G6208" s="1" t="s">
        <v>10632</v>
      </c>
      <c r="H6208" s="2" t="str">
        <f>Tabella1[[#This Row],[Denominazione]]&amp;" - "&amp;Tabella1[[#This Row],[Città]]</f>
        <v>VILLA VERDEFIORE - APPIGNANO</v>
      </c>
    </row>
    <row r="6209" spans="1:8" x14ac:dyDescent="0.25">
      <c r="A6209" s="1" t="s">
        <v>82</v>
      </c>
      <c r="B6209" s="1" t="s">
        <v>10466</v>
      </c>
      <c r="C6209" s="1" t="s">
        <v>10467</v>
      </c>
      <c r="D6209" s="1" t="s">
        <v>10206</v>
      </c>
      <c r="E6209" s="1" t="s">
        <v>10206</v>
      </c>
      <c r="G6209" s="1" t="s">
        <v>10468</v>
      </c>
      <c r="H6209" s="2" t="str">
        <f>Tabella1[[#This Row],[Denominazione]]&amp;" - "&amp;Tabella1[[#This Row],[Città]]</f>
        <v>VILLA VETTA MARINA - SIROLO</v>
      </c>
    </row>
    <row r="6210" spans="1:8" x14ac:dyDescent="0.25">
      <c r="A6210" s="1" t="s">
        <v>12</v>
      </c>
      <c r="B6210" s="1" t="s">
        <v>18198</v>
      </c>
      <c r="C6210" s="1" t="s">
        <v>18199</v>
      </c>
      <c r="D6210" s="1" t="s">
        <v>17932</v>
      </c>
      <c r="E6210" s="1" t="s">
        <v>17932</v>
      </c>
      <c r="F6210" s="1" t="s">
        <v>18200</v>
      </c>
      <c r="G6210" s="1" t="s">
        <v>18201</v>
      </c>
      <c r="H6210" s="2" t="str">
        <f>Tabella1[[#This Row],[Denominazione]]&amp;" - "&amp;Tabella1[[#This Row],[Città]]</f>
        <v>VILLA VINCI - FERMO</v>
      </c>
    </row>
    <row r="6211" spans="1:8" x14ac:dyDescent="0.25">
      <c r="A6211" s="1" t="s">
        <v>571</v>
      </c>
      <c r="B6211" s="1" t="s">
        <v>9458</v>
      </c>
      <c r="C6211" s="1" t="s">
        <v>9318</v>
      </c>
      <c r="D6211" s="1" t="s">
        <v>8949</v>
      </c>
      <c r="E6211" s="1" t="s">
        <v>8949</v>
      </c>
      <c r="F6211" s="1" t="s">
        <v>9459</v>
      </c>
      <c r="G6211" s="1" t="s">
        <v>9319</v>
      </c>
      <c r="H6211" s="2" t="str">
        <f>Tabella1[[#This Row],[Denominazione]]&amp;" - "&amp;Tabella1[[#This Row],[Città]]</f>
        <v>VILLAGGIO CAMPING BLU - SENIGALLIA</v>
      </c>
    </row>
    <row r="6212" spans="1:8" x14ac:dyDescent="0.25">
      <c r="A6212" s="1" t="s">
        <v>82</v>
      </c>
      <c r="B6212" s="1" t="s">
        <v>5418</v>
      </c>
      <c r="C6212" s="1" t="s">
        <v>5419</v>
      </c>
      <c r="D6212" s="1" t="s">
        <v>5358</v>
      </c>
      <c r="E6212" s="1" t="s">
        <v>5420</v>
      </c>
      <c r="G6212" s="1" t="s">
        <v>5413</v>
      </c>
      <c r="H6212" s="2" t="str">
        <f>Tabella1[[#This Row],[Denominazione]]&amp;" - "&amp;Tabella1[[#This Row],[Città]]</f>
        <v>VILLAGGIO TROPICANA - VALLEFOGLIA</v>
      </c>
    </row>
    <row r="6213" spans="1:8" x14ac:dyDescent="0.25">
      <c r="A6213" s="1" t="s">
        <v>6092</v>
      </c>
      <c r="B6213" s="1" t="s">
        <v>9646</v>
      </c>
      <c r="C6213" s="1" t="s">
        <v>9647</v>
      </c>
      <c r="D6213" s="1" t="s">
        <v>8949</v>
      </c>
      <c r="E6213" s="1" t="s">
        <v>8949</v>
      </c>
      <c r="F6213" s="1" t="s">
        <v>9648</v>
      </c>
      <c r="G6213" s="1" t="s">
        <v>9649</v>
      </c>
      <c r="H6213" s="2" t="str">
        <f>Tabella1[[#This Row],[Denominazione]]&amp;" - "&amp;Tabella1[[#This Row],[Città]]</f>
        <v>VILLAGGIO TURISTICO BENVIVERE - SENIGALLIA</v>
      </c>
    </row>
    <row r="6214" spans="1:8" x14ac:dyDescent="0.25">
      <c r="A6214" s="1" t="s">
        <v>679</v>
      </c>
      <c r="B6214" s="1" t="s">
        <v>10022</v>
      </c>
      <c r="C6214" s="1" t="s">
        <v>10023</v>
      </c>
      <c r="D6214" s="1" t="s">
        <v>8949</v>
      </c>
      <c r="E6214" s="1" t="s">
        <v>8949</v>
      </c>
      <c r="F6214" s="1" t="s">
        <v>9649</v>
      </c>
      <c r="G6214" s="1" t="s">
        <v>9648</v>
      </c>
      <c r="H6214" s="2" t="str">
        <f>Tabella1[[#This Row],[Denominazione]]&amp;" - "&amp;Tabella1[[#This Row],[Città]]</f>
        <v>VILLAGGIO TURISTICO BENVIVERE - BAGNI 127 - SENIGALLIA</v>
      </c>
    </row>
    <row r="6215" spans="1:8" x14ac:dyDescent="0.25">
      <c r="A6215" s="1" t="s">
        <v>571</v>
      </c>
      <c r="B6215" s="1" t="s">
        <v>15480</v>
      </c>
      <c r="C6215" s="1" t="s">
        <v>15481</v>
      </c>
      <c r="D6215" s="1" t="s">
        <v>15349</v>
      </c>
      <c r="E6215" s="1" t="s">
        <v>15349</v>
      </c>
      <c r="F6215" s="1" t="s">
        <v>15482</v>
      </c>
      <c r="G6215" s="1" t="s">
        <v>15483</v>
      </c>
      <c r="H6215" s="2" t="str">
        <f>Tabella1[[#This Row],[Denominazione]]&amp;" - "&amp;Tabella1[[#This Row],[Città]]</f>
        <v>VILLAGGIO VERDE CUPRA - CUPRA MARITTIMA</v>
      </c>
    </row>
    <row r="6216" spans="1:8" x14ac:dyDescent="0.25">
      <c r="A6216" s="1" t="s">
        <v>35</v>
      </c>
      <c r="B6216" s="1" t="s">
        <v>13715</v>
      </c>
      <c r="D6216" s="1" t="s">
        <v>13548</v>
      </c>
      <c r="E6216" s="1" t="s">
        <v>13716</v>
      </c>
      <c r="F6216" s="1" t="s">
        <v>13717</v>
      </c>
      <c r="G6216" s="1" t="s">
        <v>13718</v>
      </c>
      <c r="H6216" s="2" t="str">
        <f>Tabella1[[#This Row],[Denominazione]]&amp;" - "&amp;Tabella1[[#This Row],[Città]]</f>
        <v>VILLAROSETTA - SAN SEVERINO MARCHE</v>
      </c>
    </row>
    <row r="6217" spans="1:8" x14ac:dyDescent="0.25">
      <c r="A6217" s="1" t="s">
        <v>82</v>
      </c>
      <c r="B6217" s="1" t="s">
        <v>1954</v>
      </c>
      <c r="C6217" s="1" t="s">
        <v>1955</v>
      </c>
      <c r="D6217" s="1" t="s">
        <v>1907</v>
      </c>
      <c r="E6217" s="1" t="s">
        <v>1907</v>
      </c>
      <c r="F6217" s="1" t="s">
        <v>1956</v>
      </c>
      <c r="G6217" s="1" t="s">
        <v>1957</v>
      </c>
      <c r="H6217" s="2" t="str">
        <f>Tabella1[[#This Row],[Denominazione]]&amp;" - "&amp;Tabella1[[#This Row],[Città]]</f>
        <v>VILLE E APPARTAMENTI ARCOBALENO - GABICCE MARE</v>
      </c>
    </row>
    <row r="6218" spans="1:8" x14ac:dyDescent="0.25">
      <c r="A6218" s="1" t="s">
        <v>82</v>
      </c>
      <c r="B6218" s="1" t="s">
        <v>11340</v>
      </c>
      <c r="C6218" s="1" t="s">
        <v>11341</v>
      </c>
      <c r="D6218" s="1" t="s">
        <v>11244</v>
      </c>
      <c r="E6218" s="1" t="s">
        <v>11244</v>
      </c>
      <c r="G6218" s="1" t="s">
        <v>11342</v>
      </c>
      <c r="H6218" s="2" t="str">
        <f>Tabella1[[#This Row],[Denominazione]]&amp;" - "&amp;Tabella1[[#This Row],[Città]]</f>
        <v>VILLETTA INDIPENDENTE DE MAR - CIVITANOVA MARCHE</v>
      </c>
    </row>
    <row r="6219" spans="1:8" x14ac:dyDescent="0.25">
      <c r="A6219" s="1" t="s">
        <v>82</v>
      </c>
      <c r="B6219" s="1" t="s">
        <v>12780</v>
      </c>
      <c r="C6219" s="1" t="s">
        <v>12781</v>
      </c>
      <c r="D6219" s="1" t="s">
        <v>12772</v>
      </c>
      <c r="F6219" s="1" t="s">
        <v>12782</v>
      </c>
      <c r="G6219" s="1" t="s">
        <v>12783</v>
      </c>
      <c r="H6219" s="2" t="str">
        <f>Tabella1[[#This Row],[Denominazione]]&amp;" - "&amp;Tabella1[[#This Row],[Città]]</f>
        <v>VILLINO LA CASETTA - POLLENZA</v>
      </c>
    </row>
    <row r="6220" spans="1:8" x14ac:dyDescent="0.25">
      <c r="A6220" s="1" t="s">
        <v>12</v>
      </c>
      <c r="B6220" s="1" t="s">
        <v>2009</v>
      </c>
      <c r="C6220" s="1" t="s">
        <v>2010</v>
      </c>
      <c r="D6220" s="1" t="s">
        <v>1907</v>
      </c>
      <c r="H6220" s="2" t="str">
        <f>Tabella1[[#This Row],[Denominazione]]&amp;" - "&amp;Tabella1[[#This Row],[Città]]</f>
        <v>VINCENZETTI MARCELLO - GABICCE MARE</v>
      </c>
    </row>
    <row r="6221" spans="1:8" x14ac:dyDescent="0.25">
      <c r="A6221" s="1" t="s">
        <v>12</v>
      </c>
      <c r="B6221" s="1" t="s">
        <v>2718</v>
      </c>
      <c r="C6221" s="1" t="s">
        <v>2719</v>
      </c>
      <c r="D6221" s="1" t="s">
        <v>2678</v>
      </c>
      <c r="E6221" s="1" t="s">
        <v>2678</v>
      </c>
      <c r="H6221" s="2" t="str">
        <f>Tabella1[[#This Row],[Denominazione]]&amp;" - "&amp;Tabella1[[#This Row],[Città]]</f>
        <v>VINCENZI PATRIZIO - MOMBAROCCIO</v>
      </c>
    </row>
    <row r="6222" spans="1:8" x14ac:dyDescent="0.25">
      <c r="A6222" s="1" t="s">
        <v>679</v>
      </c>
      <c r="B6222" s="1" t="s">
        <v>11712</v>
      </c>
      <c r="C6222" s="1" t="s">
        <v>11713</v>
      </c>
      <c r="D6222" s="1" t="s">
        <v>11244</v>
      </c>
      <c r="E6222" s="1" t="s">
        <v>11244</v>
      </c>
      <c r="H6222" s="2" t="str">
        <f>Tabella1[[#This Row],[Denominazione]]&amp;" - "&amp;Tabella1[[#This Row],[Città]]</f>
        <v>VIRGOLA ZERO UNO - N. 43 - CIVITANOVA MARCHE</v>
      </c>
    </row>
    <row r="6223" spans="1:8" x14ac:dyDescent="0.25">
      <c r="A6223" s="1" t="s">
        <v>82</v>
      </c>
      <c r="B6223" s="1" t="s">
        <v>6211</v>
      </c>
      <c r="C6223" s="1" t="s">
        <v>6212</v>
      </c>
      <c r="D6223" s="1" t="s">
        <v>6049</v>
      </c>
      <c r="E6223" s="1" t="s">
        <v>6049</v>
      </c>
      <c r="G6223" s="1" t="s">
        <v>6213</v>
      </c>
      <c r="H6223" s="2" t="str">
        <f>Tabella1[[#This Row],[Denominazione]]&amp;" - "&amp;Tabella1[[#This Row],[Città]]</f>
        <v>VIRIDITAS - ARCEVIA</v>
      </c>
    </row>
    <row r="6224" spans="1:8" x14ac:dyDescent="0.25">
      <c r="A6224" s="1" t="s">
        <v>679</v>
      </c>
      <c r="B6224" s="1" t="s">
        <v>18083</v>
      </c>
      <c r="C6224" s="1" t="s">
        <v>7074</v>
      </c>
      <c r="D6224" s="1" t="s">
        <v>17932</v>
      </c>
      <c r="E6224" s="1" t="s">
        <v>18084</v>
      </c>
      <c r="H6224" s="2" t="str">
        <f>Tabella1[[#This Row],[Denominazione]]&amp;" - "&amp;Tabella1[[#This Row],[Città]]</f>
        <v>VISI NICOLINA - FERMO</v>
      </c>
    </row>
    <row r="6225" spans="1:8" x14ac:dyDescent="0.25">
      <c r="A6225" s="1" t="s">
        <v>20</v>
      </c>
      <c r="B6225" s="1" t="s">
        <v>6222</v>
      </c>
      <c r="C6225" s="1" t="s">
        <v>6223</v>
      </c>
      <c r="D6225" s="1" t="s">
        <v>6049</v>
      </c>
      <c r="E6225" s="1" t="s">
        <v>6049</v>
      </c>
      <c r="F6225" s="1" t="s">
        <v>6224</v>
      </c>
      <c r="G6225" s="1" t="s">
        <v>6225</v>
      </c>
      <c r="H6225" s="2" t="str">
        <f>Tabella1[[#This Row],[Denominazione]]&amp;" - "&amp;Tabella1[[#This Row],[Città]]</f>
        <v>VISIT ARCEVIA - ARCEVIA</v>
      </c>
    </row>
    <row r="6226" spans="1:8" x14ac:dyDescent="0.25">
      <c r="A6226" s="1" t="s">
        <v>12</v>
      </c>
      <c r="B6226" s="1" t="s">
        <v>6231</v>
      </c>
      <c r="C6226" s="1" t="s">
        <v>6232</v>
      </c>
      <c r="D6226" s="1" t="s">
        <v>6049</v>
      </c>
      <c r="E6226" s="1" t="s">
        <v>6112</v>
      </c>
      <c r="G6226" s="1" t="s">
        <v>6114</v>
      </c>
      <c r="H6226" s="2" t="str">
        <f>Tabella1[[#This Row],[Denominazione]]&amp;" - "&amp;Tabella1[[#This Row],[Città]]</f>
        <v>VISTA MONTESECCO - ARCEVIA</v>
      </c>
    </row>
    <row r="6227" spans="1:8" x14ac:dyDescent="0.25">
      <c r="A6227" s="1" t="s">
        <v>679</v>
      </c>
      <c r="B6227" s="1" t="s">
        <v>17230</v>
      </c>
      <c r="C6227" s="1" t="s">
        <v>17231</v>
      </c>
      <c r="D6227" s="1" t="s">
        <v>15819</v>
      </c>
      <c r="E6227" s="1" t="s">
        <v>17077</v>
      </c>
      <c r="H6227" s="2" t="str">
        <f>Tabella1[[#This Row],[Denominazione]]&amp;" - "&amp;Tabella1[[#This Row],[Città]]</f>
        <v>VITADAMARE - SAN BENEDETTO DEL TRONTO</v>
      </c>
    </row>
    <row r="6228" spans="1:8" x14ac:dyDescent="0.25">
      <c r="A6228" s="1" t="s">
        <v>12</v>
      </c>
      <c r="B6228" s="1" t="s">
        <v>734</v>
      </c>
      <c r="C6228" s="1" t="s">
        <v>735</v>
      </c>
      <c r="D6228" s="1" t="s">
        <v>682</v>
      </c>
      <c r="E6228" s="1" t="s">
        <v>682</v>
      </c>
      <c r="G6228" s="1" t="s">
        <v>736</v>
      </c>
      <c r="H6228" s="2" t="str">
        <f>Tabella1[[#This Row],[Denominazione]]&amp;" - "&amp;Tabella1[[#This Row],[Città]]</f>
        <v>VITALI CARMEN - FANO</v>
      </c>
    </row>
    <row r="6229" spans="1:8" x14ac:dyDescent="0.25">
      <c r="A6229" s="1" t="s">
        <v>12</v>
      </c>
      <c r="B6229" s="1" t="s">
        <v>1633</v>
      </c>
      <c r="C6229" s="1" t="s">
        <v>1634</v>
      </c>
      <c r="D6229" s="1" t="s">
        <v>682</v>
      </c>
      <c r="G6229" s="1" t="s">
        <v>1635</v>
      </c>
      <c r="H6229" s="2" t="str">
        <f>Tabella1[[#This Row],[Denominazione]]&amp;" - "&amp;Tabella1[[#This Row],[Città]]</f>
        <v>VITALI FRANCESCA - FANO</v>
      </c>
    </row>
    <row r="6230" spans="1:8" x14ac:dyDescent="0.25">
      <c r="A6230" s="1" t="s">
        <v>12</v>
      </c>
      <c r="B6230" s="1" t="s">
        <v>1519</v>
      </c>
      <c r="C6230" s="1" t="s">
        <v>1520</v>
      </c>
      <c r="D6230" s="1" t="s">
        <v>682</v>
      </c>
      <c r="E6230" s="1" t="s">
        <v>682</v>
      </c>
      <c r="G6230" s="1" t="s">
        <v>833</v>
      </c>
      <c r="H6230" s="2" t="str">
        <f>Tabella1[[#This Row],[Denominazione]]&amp;" - "&amp;Tabella1[[#This Row],[Città]]</f>
        <v>VITALI MERIS - FANO</v>
      </c>
    </row>
    <row r="6231" spans="1:8" x14ac:dyDescent="0.25">
      <c r="A6231" s="1" t="s">
        <v>12</v>
      </c>
      <c r="B6231" s="1" t="s">
        <v>1519</v>
      </c>
      <c r="C6231" s="1" t="s">
        <v>1521</v>
      </c>
      <c r="D6231" s="1" t="s">
        <v>682</v>
      </c>
      <c r="G6231" s="1" t="s">
        <v>833</v>
      </c>
      <c r="H6231" s="2" t="str">
        <f>Tabella1[[#This Row],[Denominazione]]&amp;" - "&amp;Tabella1[[#This Row],[Città]]</f>
        <v>VITALI MERIS - FANO</v>
      </c>
    </row>
    <row r="6232" spans="1:8" x14ac:dyDescent="0.25">
      <c r="A6232" s="1" t="s">
        <v>29</v>
      </c>
      <c r="B6232" s="1" t="s">
        <v>11523</v>
      </c>
      <c r="C6232" s="1" t="s">
        <v>11506</v>
      </c>
      <c r="D6232" s="1" t="s">
        <v>11244</v>
      </c>
      <c r="F6232" s="1" t="s">
        <v>11524</v>
      </c>
      <c r="G6232" s="1" t="s">
        <v>11525</v>
      </c>
      <c r="H6232" s="2" t="str">
        <f>Tabella1[[#This Row],[Denominazione]]&amp;" - "&amp;Tabella1[[#This Row],[Città]]</f>
        <v>VITTORIA HOUSE B&amp;B CIVITANOVA MARCHE - CIVITANOVA MARCHE</v>
      </c>
    </row>
    <row r="6233" spans="1:8" x14ac:dyDescent="0.25">
      <c r="A6233" s="1" t="s">
        <v>6</v>
      </c>
      <c r="B6233" s="1" t="s">
        <v>8786</v>
      </c>
      <c r="C6233" s="1" t="s">
        <v>8787</v>
      </c>
      <c r="D6233" s="1" t="s">
        <v>8763</v>
      </c>
      <c r="E6233" s="1" t="s">
        <v>8763</v>
      </c>
      <c r="F6233" s="1" t="s">
        <v>8788</v>
      </c>
      <c r="G6233" s="1" t="s">
        <v>8789</v>
      </c>
      <c r="H6233" s="2" t="str">
        <f>Tabella1[[#This Row],[Denominazione]]&amp;" - "&amp;Tabella1[[#This Row],[Città]]</f>
        <v>VITTORIA IL GRADITEMPO - ROSORA</v>
      </c>
    </row>
    <row r="6234" spans="1:8" x14ac:dyDescent="0.25">
      <c r="A6234" s="1" t="s">
        <v>82</v>
      </c>
      <c r="B6234" s="1" t="s">
        <v>8375</v>
      </c>
      <c r="C6234" s="1" t="s">
        <v>8376</v>
      </c>
      <c r="D6234" s="1" t="s">
        <v>7889</v>
      </c>
      <c r="E6234" s="1" t="s">
        <v>7889</v>
      </c>
      <c r="G6234" s="1" t="s">
        <v>8377</v>
      </c>
      <c r="H6234" s="2" t="str">
        <f>Tabella1[[#This Row],[Denominazione]]&amp;" - "&amp;Tabella1[[#This Row],[Città]]</f>
        <v>VIVERE NUMANA - NUMANA</v>
      </c>
    </row>
    <row r="6235" spans="1:8" x14ac:dyDescent="0.25">
      <c r="A6235" s="1" t="s">
        <v>12</v>
      </c>
      <c r="B6235" s="1" t="s">
        <v>5360</v>
      </c>
      <c r="C6235" s="1" t="s">
        <v>5361</v>
      </c>
      <c r="D6235" s="1" t="s">
        <v>5358</v>
      </c>
      <c r="E6235" s="1" t="s">
        <v>5358</v>
      </c>
      <c r="G6235" s="1" t="s">
        <v>5362</v>
      </c>
      <c r="H6235" s="2" t="str">
        <f>Tabella1[[#This Row],[Denominazione]]&amp;" - "&amp;Tabella1[[#This Row],[Città]]</f>
        <v>VOLPONI GIANNI - VALLEFOGLIA</v>
      </c>
    </row>
    <row r="6236" spans="1:8" x14ac:dyDescent="0.25">
      <c r="A6236" s="1" t="s">
        <v>186</v>
      </c>
      <c r="B6236" s="1" t="s">
        <v>13335</v>
      </c>
      <c r="C6236" s="1" t="s">
        <v>13336</v>
      </c>
      <c r="D6236" s="1" t="s">
        <v>13298</v>
      </c>
      <c r="E6236" s="1" t="s">
        <v>13298</v>
      </c>
      <c r="G6236" s="1" t="s">
        <v>13337</v>
      </c>
      <c r="H6236" s="2" t="str">
        <f>Tabella1[[#This Row],[Denominazione]]&amp;" - "&amp;Tabella1[[#This Row],[Città]]</f>
        <v>W.W.F.  ITALIA - RECANATI</v>
      </c>
    </row>
    <row r="6237" spans="1:8" x14ac:dyDescent="0.25">
      <c r="A6237" s="1" t="s">
        <v>679</v>
      </c>
      <c r="B6237" s="1" t="s">
        <v>7746</v>
      </c>
      <c r="C6237" s="1" t="s">
        <v>7747</v>
      </c>
      <c r="D6237" s="1" t="s">
        <v>7718</v>
      </c>
      <c r="H6237" s="2" t="str">
        <f>Tabella1[[#This Row],[Denominazione]]&amp;" - "&amp;Tabella1[[#This Row],[Città]]</f>
        <v>WAIKIKI - MONTEMARCIANO</v>
      </c>
    </row>
    <row r="6238" spans="1:8" x14ac:dyDescent="0.25">
      <c r="A6238" s="1" t="s">
        <v>12</v>
      </c>
      <c r="B6238" s="1" t="s">
        <v>11944</v>
      </c>
      <c r="D6238" s="1" t="s">
        <v>11883</v>
      </c>
      <c r="G6238" s="1" t="s">
        <v>11945</v>
      </c>
      <c r="H6238" s="2" t="str">
        <f>Tabella1[[#This Row],[Denominazione]]&amp;" - "&amp;Tabella1[[#This Row],[Città]]</f>
        <v>WALES IAIN WILLIAM - GUALDO</v>
      </c>
    </row>
    <row r="6239" spans="1:8" x14ac:dyDescent="0.25">
      <c r="A6239" s="1" t="s">
        <v>679</v>
      </c>
      <c r="B6239" s="1" t="s">
        <v>12848</v>
      </c>
      <c r="C6239" s="1" t="s">
        <v>12849</v>
      </c>
      <c r="D6239" s="1" t="s">
        <v>12801</v>
      </c>
      <c r="E6239" s="1" t="s">
        <v>12801</v>
      </c>
      <c r="H6239" s="2" t="str">
        <f>Tabella1[[#This Row],[Denominazione]]&amp;" - "&amp;Tabella1[[#This Row],[Città]]</f>
        <v>WANDA - PORTO RECANATI</v>
      </c>
    </row>
    <row r="6240" spans="1:8" x14ac:dyDescent="0.25">
      <c r="A6240" s="1" t="s">
        <v>12</v>
      </c>
      <c r="B6240" s="1" t="s">
        <v>11905</v>
      </c>
      <c r="C6240" s="1" t="s">
        <v>11906</v>
      </c>
      <c r="D6240" s="1" t="s">
        <v>11883</v>
      </c>
      <c r="E6240" s="1" t="s">
        <v>11907</v>
      </c>
      <c r="G6240" s="1" t="s">
        <v>11908</v>
      </c>
      <c r="H6240" s="2" t="str">
        <f>Tabella1[[#This Row],[Denominazione]]&amp;" - "&amp;Tabella1[[#This Row],[Città]]</f>
        <v>WELCH RACHAEL - GUALDO</v>
      </c>
    </row>
    <row r="6241" spans="1:8" x14ac:dyDescent="0.25">
      <c r="A6241" s="1" t="s">
        <v>29</v>
      </c>
      <c r="B6241" s="1" t="s">
        <v>19281</v>
      </c>
      <c r="C6241" s="1" t="s">
        <v>19282</v>
      </c>
      <c r="D6241" s="1" t="s">
        <v>19283</v>
      </c>
      <c r="E6241" s="1" t="s">
        <v>19283</v>
      </c>
      <c r="G6241" s="1" t="s">
        <v>19284</v>
      </c>
      <c r="H6241" s="2" t="str">
        <f>Tabella1[[#This Row],[Denominazione]]&amp;" - "&amp;Tabella1[[#This Row],[Città]]</f>
        <v>WELCHOME - PORTO SANT'ELPIDIO</v>
      </c>
    </row>
    <row r="6242" spans="1:8" x14ac:dyDescent="0.25">
      <c r="A6242" s="1" t="s">
        <v>20</v>
      </c>
      <c r="B6242" s="1" t="s">
        <v>1180</v>
      </c>
      <c r="C6242" s="1" t="s">
        <v>1181</v>
      </c>
      <c r="D6242" s="1" t="s">
        <v>682</v>
      </c>
      <c r="E6242" s="1" t="s">
        <v>1173</v>
      </c>
      <c r="F6242" s="1" t="s">
        <v>1174</v>
      </c>
      <c r="G6242" s="1" t="s">
        <v>1182</v>
      </c>
      <c r="H6242" s="2" t="str">
        <f>Tabella1[[#This Row],[Denominazione]]&amp;" - "&amp;Tabella1[[#This Row],[Città]]</f>
        <v>WERTHER - FANO</v>
      </c>
    </row>
    <row r="6243" spans="1:8" x14ac:dyDescent="0.25">
      <c r="A6243" s="1" t="s">
        <v>679</v>
      </c>
      <c r="B6243" s="1" t="s">
        <v>7088</v>
      </c>
      <c r="C6243" s="1" t="s">
        <v>5741</v>
      </c>
      <c r="D6243" s="1" t="s">
        <v>5735</v>
      </c>
      <c r="E6243" s="1" t="s">
        <v>5735</v>
      </c>
      <c r="H6243" s="2" t="str">
        <f>Tabella1[[#This Row],[Denominazione]]&amp;" - "&amp;Tabella1[[#This Row],[Città]]</f>
        <v>WIND SURF - FALCONARA MARITTIMA</v>
      </c>
    </row>
    <row r="6244" spans="1:8" x14ac:dyDescent="0.25">
      <c r="A6244" s="1" t="s">
        <v>679</v>
      </c>
      <c r="B6244" s="1" t="s">
        <v>19053</v>
      </c>
      <c r="C6244" s="1" t="s">
        <v>19054</v>
      </c>
      <c r="D6244" s="1" t="s">
        <v>18082</v>
      </c>
      <c r="E6244" s="1" t="s">
        <v>18082</v>
      </c>
      <c r="F6244" s="1" t="s">
        <v>19055</v>
      </c>
      <c r="H6244" s="2" t="str">
        <f>Tabella1[[#This Row],[Denominazione]]&amp;" - "&amp;Tabella1[[#This Row],[Città]]</f>
        <v>WINDSURF - PORTO SAN GIORGIO</v>
      </c>
    </row>
    <row r="6245" spans="1:8" x14ac:dyDescent="0.25">
      <c r="A6245" s="1" t="s">
        <v>35</v>
      </c>
      <c r="B6245" s="1" t="s">
        <v>12260</v>
      </c>
      <c r="C6245" s="1" t="s">
        <v>12261</v>
      </c>
      <c r="D6245" s="1" t="s">
        <v>12208</v>
      </c>
      <c r="E6245" s="1" t="s">
        <v>12262</v>
      </c>
      <c r="H6245" s="2" t="str">
        <f>Tabella1[[#This Row],[Denominazione]]&amp;" - "&amp;Tabella1[[#This Row],[Città]]</f>
        <v>WINE &amp; WELLNESS - MATELICA</v>
      </c>
    </row>
    <row r="6246" spans="1:8" x14ac:dyDescent="0.25">
      <c r="A6246" s="1" t="s">
        <v>12</v>
      </c>
      <c r="B6246" s="1" t="s">
        <v>352</v>
      </c>
      <c r="D6246" s="1" t="s">
        <v>316</v>
      </c>
      <c r="G6246" s="1" t="s">
        <v>353</v>
      </c>
      <c r="H6246" s="2" t="str">
        <f>Tabella1[[#This Row],[Denominazione]]&amp;" - "&amp;Tabella1[[#This Row],[Città]]</f>
        <v>WOERNLE BETTINA - CAGLI</v>
      </c>
    </row>
    <row r="6247" spans="1:8" x14ac:dyDescent="0.25">
      <c r="A6247" s="1" t="s">
        <v>12</v>
      </c>
      <c r="B6247" s="1" t="s">
        <v>9161</v>
      </c>
      <c r="C6247" s="1" t="s">
        <v>9162</v>
      </c>
      <c r="D6247" s="1" t="s">
        <v>8949</v>
      </c>
      <c r="E6247" s="1" t="s">
        <v>8949</v>
      </c>
      <c r="G6247" s="1" t="s">
        <v>9163</v>
      </c>
      <c r="H6247" s="2" t="str">
        <f>Tabella1[[#This Row],[Denominazione]]&amp;" - "&amp;Tabella1[[#This Row],[Città]]</f>
        <v>ZACCARO ROBERTO - SENIGALLIA</v>
      </c>
    </row>
    <row r="6248" spans="1:8" x14ac:dyDescent="0.25">
      <c r="A6248" s="1" t="s">
        <v>12</v>
      </c>
      <c r="B6248" s="1" t="s">
        <v>9192</v>
      </c>
      <c r="C6248" s="1" t="s">
        <v>9193</v>
      </c>
      <c r="D6248" s="1" t="s">
        <v>8949</v>
      </c>
      <c r="E6248" s="1" t="s">
        <v>8949</v>
      </c>
      <c r="G6248" s="1" t="s">
        <v>9194</v>
      </c>
      <c r="H6248" s="2" t="str">
        <f>Tabella1[[#This Row],[Denominazione]]&amp;" - "&amp;Tabella1[[#This Row],[Città]]</f>
        <v>ZACCARO SAVINO 125/B - SENIGALLIA</v>
      </c>
    </row>
    <row r="6249" spans="1:8" x14ac:dyDescent="0.25">
      <c r="A6249" s="1" t="s">
        <v>12</v>
      </c>
      <c r="B6249" s="1" t="s">
        <v>9195</v>
      </c>
      <c r="C6249" s="1" t="s">
        <v>9196</v>
      </c>
      <c r="D6249" s="1" t="s">
        <v>8949</v>
      </c>
      <c r="E6249" s="1" t="s">
        <v>8949</v>
      </c>
      <c r="G6249" s="1" t="s">
        <v>9194</v>
      </c>
      <c r="H6249" s="2" t="str">
        <f>Tabella1[[#This Row],[Denominazione]]&amp;" - "&amp;Tabella1[[#This Row],[Città]]</f>
        <v>ZACCARO SAVINO 125/C - SENIGALLIA</v>
      </c>
    </row>
    <row r="6250" spans="1:8" x14ac:dyDescent="0.25">
      <c r="A6250" s="1" t="s">
        <v>29</v>
      </c>
      <c r="B6250" s="1" t="s">
        <v>10223</v>
      </c>
      <c r="C6250" s="1" t="s">
        <v>10224</v>
      </c>
      <c r="D6250" s="1" t="s">
        <v>10206</v>
      </c>
      <c r="E6250" s="1" t="s">
        <v>10206</v>
      </c>
      <c r="F6250" s="1" t="s">
        <v>10225</v>
      </c>
      <c r="G6250" s="1" t="s">
        <v>10226</v>
      </c>
      <c r="H6250" s="2" t="str">
        <f>Tabella1[[#This Row],[Denominazione]]&amp;" - "&amp;Tabella1[[#This Row],[Città]]</f>
        <v>ZARATAN B&amp;B di MASSINI MARTA - SIROLO</v>
      </c>
    </row>
    <row r="6251" spans="1:8" x14ac:dyDescent="0.25">
      <c r="A6251" s="1" t="s">
        <v>12</v>
      </c>
      <c r="B6251" s="1" t="s">
        <v>3137</v>
      </c>
      <c r="C6251" s="1" t="s">
        <v>3138</v>
      </c>
      <c r="D6251" s="1" t="s">
        <v>3131</v>
      </c>
      <c r="H6251" s="2" t="str">
        <f>Tabella1[[#This Row],[Denominazione]]&amp;" - "&amp;Tabella1[[#This Row],[Città]]</f>
        <v>ZAVOLI PIERINA - MONTE GRIMANO TERME</v>
      </c>
    </row>
    <row r="6252" spans="1:8" x14ac:dyDescent="0.25">
      <c r="A6252" s="1" t="s">
        <v>679</v>
      </c>
      <c r="B6252" s="1" t="s">
        <v>5762</v>
      </c>
      <c r="C6252" s="1" t="s">
        <v>5722</v>
      </c>
      <c r="D6252" s="1" t="s">
        <v>1864</v>
      </c>
      <c r="E6252" s="1" t="s">
        <v>1864</v>
      </c>
      <c r="H6252" s="2" t="str">
        <f>Tabella1[[#This Row],[Denominazione]]&amp;" - "&amp;Tabella1[[#This Row],[Città]]</f>
        <v>ZAZZARINI PAOLO - ANCONA</v>
      </c>
    </row>
    <row r="6253" spans="1:8" x14ac:dyDescent="0.25">
      <c r="A6253" s="1" t="s">
        <v>20</v>
      </c>
      <c r="B6253" s="1" t="s">
        <v>2302</v>
      </c>
      <c r="C6253" s="1" t="s">
        <v>2303</v>
      </c>
      <c r="D6253" s="1" t="s">
        <v>1907</v>
      </c>
      <c r="E6253" s="1" t="s">
        <v>1907</v>
      </c>
      <c r="F6253" s="1" t="s">
        <v>2304</v>
      </c>
      <c r="G6253" s="1" t="s">
        <v>2305</v>
      </c>
      <c r="H6253" s="2" t="str">
        <f>Tabella1[[#This Row],[Denominazione]]&amp;" - "&amp;Tabella1[[#This Row],[Città]]</f>
        <v>ZEUS - GABICCE MARE</v>
      </c>
    </row>
    <row r="6254" spans="1:8" x14ac:dyDescent="0.25">
      <c r="A6254" s="1" t="s">
        <v>29</v>
      </c>
      <c r="B6254" s="1" t="s">
        <v>793</v>
      </c>
      <c r="C6254" s="1" t="s">
        <v>794</v>
      </c>
      <c r="D6254" s="1" t="s">
        <v>682</v>
      </c>
      <c r="E6254" s="1" t="s">
        <v>682</v>
      </c>
      <c r="G6254" s="1" t="s">
        <v>795</v>
      </c>
      <c r="H6254" s="2" t="str">
        <f>Tabella1[[#This Row],[Denominazione]]&amp;" - "&amp;Tabella1[[#This Row],[Città]]</f>
        <v>ZIA LELLY B&amp;B - FANO</v>
      </c>
    </row>
    <row r="6255" spans="1:8" x14ac:dyDescent="0.25">
      <c r="A6255" s="1" t="s">
        <v>12</v>
      </c>
      <c r="B6255" s="1" t="s">
        <v>11135</v>
      </c>
      <c r="C6255" s="1" t="s">
        <v>11136</v>
      </c>
      <c r="D6255" s="1" t="s">
        <v>11058</v>
      </c>
      <c r="G6255" s="1" t="s">
        <v>11102</v>
      </c>
      <c r="H6255" s="2" t="str">
        <f>Tabella1[[#This Row],[Denominazione]]&amp;" - "&amp;Tabella1[[#This Row],[Città]]</f>
        <v>ZIAMELIA - CINGOLI</v>
      </c>
    </row>
    <row r="6256" spans="1:8" x14ac:dyDescent="0.25">
      <c r="A6256" s="1" t="s">
        <v>679</v>
      </c>
      <c r="B6256" s="1" t="s">
        <v>17223</v>
      </c>
      <c r="C6256" s="1" t="s">
        <v>17224</v>
      </c>
      <c r="D6256" s="1" t="s">
        <v>15819</v>
      </c>
      <c r="E6256" s="1" t="s">
        <v>15819</v>
      </c>
      <c r="G6256" s="1" t="s">
        <v>17225</v>
      </c>
      <c r="H6256" s="2" t="str">
        <f>Tabella1[[#This Row],[Denominazione]]&amp;" - "&amp;Tabella1[[#This Row],[Città]]</f>
        <v>ZODIACO - SAN BENEDETTO DEL TRONTO</v>
      </c>
    </row>
    <row r="6257" spans="1:8" x14ac:dyDescent="0.25">
      <c r="A6257" s="1" t="s">
        <v>679</v>
      </c>
      <c r="B6257" s="1" t="s">
        <v>2368</v>
      </c>
      <c r="C6257" s="1" t="s">
        <v>2369</v>
      </c>
      <c r="D6257" s="1" t="s">
        <v>1907</v>
      </c>
      <c r="E6257" s="1" t="s">
        <v>1907</v>
      </c>
      <c r="F6257" s="1" t="s">
        <v>2370</v>
      </c>
      <c r="H6257" s="2" t="str">
        <f>Tabella1[[#This Row],[Denominazione]]&amp;" - "&amp;Tabella1[[#This Row],[Città]]</f>
        <v>ZONA 17 - GABICCE MARE</v>
      </c>
    </row>
    <row r="6258" spans="1:8" x14ac:dyDescent="0.25">
      <c r="A6258" s="1" t="s">
        <v>679</v>
      </c>
      <c r="B6258" s="1" t="s">
        <v>2407</v>
      </c>
      <c r="C6258" s="1" t="s">
        <v>2369</v>
      </c>
      <c r="D6258" s="1" t="s">
        <v>1907</v>
      </c>
      <c r="E6258" s="1" t="s">
        <v>2408</v>
      </c>
      <c r="F6258" s="1" t="s">
        <v>2409</v>
      </c>
      <c r="H6258" s="2" t="str">
        <f>Tabella1[[#This Row],[Denominazione]]&amp;" - "&amp;Tabella1[[#This Row],[Città]]</f>
        <v>ZONA 30 GIGIO - GABICCE MARE</v>
      </c>
    </row>
    <row r="6259" spans="1:8" x14ac:dyDescent="0.25">
      <c r="A6259" s="1" t="s">
        <v>679</v>
      </c>
      <c r="B6259" s="1" t="s">
        <v>2403</v>
      </c>
      <c r="C6259" s="1" t="s">
        <v>2404</v>
      </c>
      <c r="D6259" s="1" t="s">
        <v>1907</v>
      </c>
      <c r="E6259" s="1" t="s">
        <v>1907</v>
      </c>
      <c r="F6259" s="1" t="s">
        <v>2405</v>
      </c>
      <c r="G6259" s="1" t="s">
        <v>2406</v>
      </c>
      <c r="H6259" s="2" t="str">
        <f>Tabella1[[#This Row],[Denominazione]]&amp;" - "&amp;Tabella1[[#This Row],[Città]]</f>
        <v>ZONA 31 - GABICCE MARE</v>
      </c>
    </row>
  </sheetData>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1"/>
  <sheetViews>
    <sheetView tabSelected="1" workbookViewId="0">
      <selection activeCell="G21" sqref="G21"/>
    </sheetView>
  </sheetViews>
  <sheetFormatPr defaultColWidth="14.42578125" defaultRowHeight="15" customHeight="1" x14ac:dyDescent="0.25"/>
  <cols>
    <col min="1" max="1" width="4.140625" customWidth="1"/>
    <col min="2" max="2" width="31.28515625" customWidth="1"/>
    <col min="3" max="3" width="90.28515625" bestFit="1" customWidth="1"/>
    <col min="4" max="26" width="8.7109375" customWidth="1"/>
  </cols>
  <sheetData>
    <row r="1" spans="2:3" x14ac:dyDescent="0.25">
      <c r="B1" s="6" t="s">
        <v>19695</v>
      </c>
      <c r="C1" s="7"/>
    </row>
    <row r="2" spans="2:3" ht="15" customHeight="1" thickBot="1" x14ac:dyDescent="0.3">
      <c r="B2" s="8"/>
      <c r="C2" s="9"/>
    </row>
    <row r="3" spans="2:3" ht="19.5" thickBot="1" x14ac:dyDescent="0.35">
      <c r="B3" s="19" t="s">
        <v>19696</v>
      </c>
      <c r="C3" s="10" t="s">
        <v>19717</v>
      </c>
    </row>
    <row r="4" spans="2:3" x14ac:dyDescent="0.25">
      <c r="B4" s="14" t="s">
        <v>19697</v>
      </c>
      <c r="C4" s="17" t="str">
        <f>IF(_xlfn.XLOOKUP($C$3,Tabella1[CHIAVE RICERCA],Tabella1[Città],0)&lt;&gt;0,_xlfn.XLOOKUP($C$3,Tabella1[CHIAVE RICERCA],Tabella1[Città], "Non Disponibile",0),"Non Disponibile")</f>
        <v>SAN SEVERINO MARCHE</v>
      </c>
    </row>
    <row r="5" spans="2:3" x14ac:dyDescent="0.25">
      <c r="B5" s="15" t="s">
        <v>19698</v>
      </c>
      <c r="C5" s="18" t="str">
        <f>IF(_xlfn.XLOOKUP($C$3,Tabella1[CHIAVE RICERCA],Tabella1[Indirizzo],0)&lt;&gt;0,_xlfn.XLOOKUP($C$3,Tabella1[CHIAVE RICERCA],Tabella1[Indirizzo], "Non Disponibile",0),"Non Disponibile")</f>
        <v>localita' Valle dei Grilli 1</v>
      </c>
    </row>
    <row r="6" spans="2:3" x14ac:dyDescent="0.25">
      <c r="B6" s="15" t="s">
        <v>19699</v>
      </c>
      <c r="C6" s="18" t="str">
        <f>IF(_xlfn.XLOOKUP($C$3,Tabella1[CHIAVE RICERCA],Tabella1[Indirizzo di posta elettronica],0)&lt;&gt;0,_xlfn.XLOOKUP($C$3,Tabella1[CHIAVE RICERCA],Tabella1[Indirizzo di posta elettronica], "Non Disponibile",0),"Non Disponibile")</f>
        <v>info@locandasalimbeni.it</v>
      </c>
    </row>
    <row r="7" spans="2:3" x14ac:dyDescent="0.25">
      <c r="B7" s="15" t="s">
        <v>19700</v>
      </c>
      <c r="C7" s="18" t="str">
        <f>IF(_xlfn.XLOOKUP($C$3,Tabella1[CHIAVE RICERCA],Tabella1[Indirizzo internet],0)&lt;&gt;0,_xlfn.XLOOKUP($C$3,Tabella1[CHIAVE RICERCA],Tabella1[Indirizzo internet], "Non Disponibile",0),"Non Disponibile")</f>
        <v>www.locandasalimbeni.it</v>
      </c>
    </row>
    <row r="8" spans="2:3" ht="15.75" thickBot="1" x14ac:dyDescent="0.3">
      <c r="B8" s="20" t="s">
        <v>19706</v>
      </c>
      <c r="C8" s="18" t="str">
        <f>IF(_xlfn.XLOOKUP($C$3,Tabella1[CHIAVE RICERCA],Tabella1[Località],0)&lt;&gt;0,_xlfn.XLOOKUP($C$3,Tabella1[CHIAVE RICERCA],Tabella1[Località], "Non Disponibile",0),"Non Disponibile")</f>
        <v>SAN SEVERINO MARCHE</v>
      </c>
    </row>
    <row r="9" spans="2:3" x14ac:dyDescent="0.25">
      <c r="B9" s="15" t="s">
        <v>19701</v>
      </c>
      <c r="C9" s="11">
        <f>COUNTA(Tabella1[Denominazione])</f>
        <v>6258</v>
      </c>
    </row>
    <row r="10" spans="2:3" x14ac:dyDescent="0.25">
      <c r="B10" s="15" t="s">
        <v>19702</v>
      </c>
      <c r="C10" s="12">
        <f>COUNTIF(Tabella1[Località],C8)</f>
        <v>26</v>
      </c>
    </row>
    <row r="11" spans="2:3" ht="15.75" thickBot="1" x14ac:dyDescent="0.3">
      <c r="B11" s="16" t="s">
        <v>19705</v>
      </c>
      <c r="C11" s="13">
        <f>COUNTIF(Tabella1[Città],C4)</f>
        <v>56</v>
      </c>
    </row>
    <row r="12" spans="2:3" x14ac:dyDescent="0.25"/>
    <row r="13" spans="2:3" x14ac:dyDescent="0.25"/>
    <row r="14" spans="2:3" x14ac:dyDescent="0.25"/>
    <row r="15" spans="2:3" x14ac:dyDescent="0.25"/>
    <row r="16" spans="2:3" x14ac:dyDescent="0.25"/>
    <row r="17" x14ac:dyDescent="0.25"/>
    <row r="18" x14ac:dyDescent="0.25"/>
    <row r="19" x14ac:dyDescent="0.25"/>
    <row r="20" x14ac:dyDescent="0.25"/>
    <row r="21" x14ac:dyDescent="0.25"/>
  </sheetData>
  <mergeCells count="1">
    <mergeCell ref="B1:C2"/>
  </mergeCells>
  <pageMargins left="0.7" right="0.7" top="0.75" bottom="0.75" header="0" footer="0"/>
  <pageSetup paperSize="9" orientation="portrait"/>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0BA64A7-897A-4114-A18E-05E6705032D0}">
          <x14:formula1>
            <xm:f>'Strutture ricettive'!$H$2:$H$6259</xm:f>
          </x14:formula1>
          <xm:sqref>C3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3</vt:i4>
      </vt:variant>
      <vt:variant>
        <vt:lpstr>Intervalli denominati</vt:lpstr>
      </vt:variant>
      <vt:variant>
        <vt:i4>7</vt:i4>
      </vt:variant>
    </vt:vector>
  </HeadingPairs>
  <TitlesOfParts>
    <vt:vector size="10" baseType="lpstr">
      <vt:lpstr>PIVOT</vt:lpstr>
      <vt:lpstr>Strutture ricettive</vt:lpstr>
      <vt:lpstr>RICERCA</vt:lpstr>
      <vt:lpstr>Categoria</vt:lpstr>
      <vt:lpstr>Città</vt:lpstr>
      <vt:lpstr>Denominazione</vt:lpstr>
      <vt:lpstr>Indirizzo</vt:lpstr>
      <vt:lpstr>Indirizzo_di_posta_elettronica</vt:lpstr>
      <vt:lpstr>Indirizzo_internet</vt:lpstr>
      <vt:lpstr>Localita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SIMONE VITALE</cp:lastModifiedBy>
  <dcterms:created xsi:type="dcterms:W3CDTF">2006-09-16T00:00:00Z</dcterms:created>
  <dcterms:modified xsi:type="dcterms:W3CDTF">2025-11-21T18:36:25Z</dcterms:modified>
</cp:coreProperties>
</file>